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16C74171-13D0-491A-9F6B-C85FEAF457ED}" xr6:coauthVersionLast="47" xr6:coauthVersionMax="47" xr10:uidLastSave="{00000000-0000-0000-0000-000000000000}"/>
  <bookViews>
    <workbookView xWindow="6060" yWindow="180" windowWidth="31130" windowHeight="20570" activeTab="6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人口" sheetId="11" r:id="rId7"/>
    <sheet name="凡例" sheetId="6" r:id="rId8"/>
    <sheet name="市町村データ" sheetId="5" r:id="rId9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1" l="1"/>
  <c r="BC38" i="11"/>
  <c r="BC37" i="11"/>
  <c r="BD36" i="11"/>
  <c r="BS47" i="11"/>
  <c r="BS46" i="11"/>
  <c r="BS45" i="11"/>
  <c r="BT44" i="11"/>
  <c r="BO47" i="11"/>
  <c r="BO46" i="11"/>
  <c r="BO45" i="11"/>
  <c r="BP44" i="11"/>
  <c r="BK47" i="11"/>
  <c r="BK46" i="11"/>
  <c r="BK45" i="11"/>
  <c r="BL44" i="11"/>
  <c r="BG47" i="11"/>
  <c r="BG46" i="11"/>
  <c r="BG45" i="11"/>
  <c r="BH44" i="11"/>
  <c r="BC47" i="11"/>
  <c r="BC46" i="11"/>
  <c r="BC45" i="11"/>
  <c r="BD44" i="11"/>
  <c r="AY47" i="11"/>
  <c r="AY46" i="11"/>
  <c r="AY45" i="11"/>
  <c r="AZ44" i="11"/>
  <c r="AU47" i="11"/>
  <c r="AU46" i="11"/>
  <c r="AU45" i="11"/>
  <c r="AV44" i="11"/>
  <c r="AQ47" i="11"/>
  <c r="AQ46" i="11"/>
  <c r="AQ45" i="11"/>
  <c r="AR44" i="11"/>
  <c r="AM47" i="11"/>
  <c r="AM46" i="11"/>
  <c r="AM45" i="11"/>
  <c r="AN44" i="11"/>
  <c r="BS43" i="11"/>
  <c r="BS42" i="11"/>
  <c r="BS41" i="11"/>
  <c r="BT40" i="11"/>
  <c r="AU43" i="11"/>
  <c r="AU42" i="11"/>
  <c r="AU41" i="11"/>
  <c r="AV40" i="11"/>
  <c r="AQ43" i="11"/>
  <c r="AQ42" i="11"/>
  <c r="AQ41" i="11"/>
  <c r="AR40" i="11"/>
  <c r="AM43" i="11"/>
  <c r="AM42" i="11"/>
  <c r="AM41" i="11"/>
  <c r="AN40" i="11"/>
  <c r="BS39" i="11"/>
  <c r="BS38" i="11"/>
  <c r="BS37" i="11"/>
  <c r="BT36" i="11"/>
  <c r="BK39" i="11"/>
  <c r="BK38" i="11"/>
  <c r="BK37" i="11"/>
  <c r="BL36" i="11"/>
  <c r="AU39" i="11"/>
  <c r="AU38" i="11"/>
  <c r="AU37" i="11"/>
  <c r="AV36" i="11"/>
  <c r="AQ39" i="11"/>
  <c r="AQ38" i="11"/>
  <c r="AQ37" i="11"/>
  <c r="AR36" i="11"/>
  <c r="AM39" i="11"/>
  <c r="AM38" i="11"/>
  <c r="AM37" i="11"/>
  <c r="AN36" i="11"/>
  <c r="AI39" i="11"/>
  <c r="AI38" i="11"/>
  <c r="AI37" i="11"/>
  <c r="AJ36" i="11"/>
  <c r="S39" i="11"/>
  <c r="S38" i="11"/>
  <c r="S37" i="11"/>
  <c r="T36" i="11"/>
  <c r="G39" i="11"/>
  <c r="G38" i="11"/>
  <c r="G37" i="11"/>
  <c r="H36" i="11"/>
  <c r="BS35" i="11"/>
  <c r="BS34" i="11"/>
  <c r="BS33" i="11"/>
  <c r="BT32" i="11"/>
  <c r="BK35" i="11"/>
  <c r="BK34" i="11"/>
  <c r="BK33" i="11"/>
  <c r="BL32" i="11"/>
  <c r="AM35" i="11"/>
  <c r="AM34" i="11"/>
  <c r="AM33" i="11"/>
  <c r="AN32" i="11"/>
  <c r="AI35" i="11"/>
  <c r="AI34" i="11"/>
  <c r="AI33" i="11"/>
  <c r="AJ32" i="11"/>
  <c r="AE35" i="11"/>
  <c r="AE34" i="11"/>
  <c r="AE33" i="11"/>
  <c r="AF32" i="11"/>
  <c r="AA35" i="11"/>
  <c r="AA34" i="11"/>
  <c r="AA33" i="11"/>
  <c r="AB32" i="11"/>
  <c r="S35" i="11"/>
  <c r="S34" i="11"/>
  <c r="S33" i="11"/>
  <c r="T32" i="11"/>
  <c r="G35" i="11"/>
  <c r="G34" i="11"/>
  <c r="G33" i="11"/>
  <c r="H32" i="11"/>
  <c r="BO31" i="11"/>
  <c r="BO30" i="11"/>
  <c r="BO29" i="11"/>
  <c r="BP28" i="11"/>
  <c r="BK31" i="11"/>
  <c r="BK30" i="11"/>
  <c r="BK29" i="11"/>
  <c r="BL28" i="11"/>
  <c r="BG31" i="11"/>
  <c r="BG30" i="11"/>
  <c r="BG29" i="11"/>
  <c r="BH28" i="11"/>
  <c r="BC31" i="11"/>
  <c r="BC30" i="11"/>
  <c r="BC29" i="11"/>
  <c r="BD28" i="11"/>
  <c r="AY31" i="11"/>
  <c r="AY30" i="11"/>
  <c r="AY29" i="11"/>
  <c r="AZ28" i="11"/>
  <c r="AU31" i="11"/>
  <c r="AU30" i="11"/>
  <c r="AU29" i="11"/>
  <c r="AV28" i="11"/>
  <c r="AQ31" i="11"/>
  <c r="AQ30" i="11"/>
  <c r="AQ29" i="11"/>
  <c r="AR28" i="11"/>
  <c r="AM31" i="11"/>
  <c r="AM30" i="11"/>
  <c r="AM29" i="11"/>
  <c r="AN28" i="11"/>
  <c r="AI31" i="11"/>
  <c r="AI30" i="11"/>
  <c r="AI29" i="11"/>
  <c r="AJ28" i="11"/>
  <c r="AA31" i="11"/>
  <c r="AA30" i="11"/>
  <c r="AA29" i="11"/>
  <c r="AB28" i="11"/>
  <c r="W31" i="11"/>
  <c r="W30" i="11"/>
  <c r="W29" i="11"/>
  <c r="X28" i="11"/>
  <c r="O31" i="11"/>
  <c r="O30" i="11"/>
  <c r="O29" i="11"/>
  <c r="P28" i="11"/>
  <c r="K31" i="11"/>
  <c r="K30" i="11"/>
  <c r="K29" i="11"/>
  <c r="L28" i="11"/>
  <c r="BO27" i="11"/>
  <c r="BO26" i="11"/>
  <c r="BO25" i="11"/>
  <c r="BP24" i="11"/>
  <c r="AU27" i="11"/>
  <c r="AU26" i="11"/>
  <c r="AU25" i="11"/>
  <c r="AV24" i="11"/>
  <c r="AQ27" i="11"/>
  <c r="AQ26" i="11"/>
  <c r="AQ25" i="11"/>
  <c r="AR24" i="11"/>
  <c r="AM27" i="11"/>
  <c r="AM26" i="11"/>
  <c r="AM25" i="11"/>
  <c r="AN24" i="11"/>
  <c r="AI27" i="11"/>
  <c r="AI26" i="11"/>
  <c r="AI25" i="11"/>
  <c r="AJ24" i="11"/>
  <c r="AE27" i="11"/>
  <c r="AE26" i="11"/>
  <c r="AE25" i="11"/>
  <c r="AF24" i="11"/>
  <c r="AA27" i="11"/>
  <c r="AA26" i="11"/>
  <c r="AA25" i="11"/>
  <c r="AB24" i="11"/>
  <c r="W27" i="11"/>
  <c r="W26" i="11"/>
  <c r="W25" i="11"/>
  <c r="X24" i="11"/>
  <c r="S27" i="11"/>
  <c r="S26" i="11"/>
  <c r="S25" i="11"/>
  <c r="T24" i="11"/>
  <c r="O27" i="11"/>
  <c r="O26" i="11"/>
  <c r="O25" i="11"/>
  <c r="P24" i="11"/>
  <c r="AU23" i="11"/>
  <c r="AU22" i="11"/>
  <c r="AU21" i="11"/>
  <c r="AV20" i="11"/>
  <c r="AQ23" i="11"/>
  <c r="AQ22" i="11"/>
  <c r="AQ21" i="11"/>
  <c r="AR20" i="11"/>
  <c r="O23" i="11"/>
  <c r="O22" i="11"/>
  <c r="O21" i="11"/>
  <c r="P20" i="11"/>
  <c r="G23" i="11"/>
  <c r="G22" i="11"/>
  <c r="G21" i="11"/>
  <c r="H20" i="11"/>
  <c r="AU19" i="11"/>
  <c r="AU18" i="11"/>
  <c r="AU17" i="11"/>
  <c r="AV16" i="11"/>
  <c r="AQ19" i="11"/>
  <c r="AQ18" i="11"/>
  <c r="AQ17" i="11"/>
  <c r="AR16" i="11"/>
  <c r="W19" i="11"/>
  <c r="W18" i="11"/>
  <c r="W17" i="11"/>
  <c r="X16" i="11"/>
  <c r="O19" i="11"/>
  <c r="O18" i="11"/>
  <c r="O17" i="11"/>
  <c r="P16" i="11"/>
  <c r="K19" i="11"/>
  <c r="K18" i="11"/>
  <c r="K17" i="11"/>
  <c r="L16" i="11"/>
  <c r="G19" i="11"/>
  <c r="G18" i="11"/>
  <c r="G17" i="11"/>
  <c r="H16" i="11"/>
  <c r="BS7" i="11"/>
  <c r="BT6" i="11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L36" i="3"/>
  <c r="AV36" i="3"/>
  <c r="AR36" i="3"/>
  <c r="AN36" i="3"/>
  <c r="AJ36" i="3"/>
  <c r="T36" i="3"/>
  <c r="H36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<sst xmlns="http://schemas.openxmlformats.org/spreadsheetml/2006/main" count="626" uniqueCount="316">
  <si>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</si>
  <si>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</si>
  <si>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</si>
  <si>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</si>
  <si>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</si>
  <si>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</si>
  <si>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</si>
  <si>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</si>
  <si>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</si>
  <si>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</si>
  <si>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</si>
  <si>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</si>
  <si>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</si>
  <si>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</si>
  <si>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</si>
  <si>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</si>
  <si>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</si>
  <si>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</si>
  <si>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</si>
  <si>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</si>
  <si>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</si>
  <si>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</si>
  <si>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</si>
  <si>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</si>
  <si>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</si>
  <si>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</si>
  <si>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</si>
  <si>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</si>
  <si>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</si>
  <si>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</si>
  <si>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</si>
  <si>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</si>
  <si>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</si>
  <si>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</si>
  <si>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</si>
  <si>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</si>
  <si>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</si>
  <si>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</si>
  <si>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</si>
  <si>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</si>
  <si>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</si>
  <si>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</si>
  <si>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</si>
  <si>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</si>
  <si>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</si>
  <si>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</si>
  <si>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</si>
  <si>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</si>
  <si>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</si>
  <si>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</si>
  <si>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</si>
  <si>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</si>
  <si>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</si>
  <si>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</si>
  <si>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</si>
  <si>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</si>
  <si>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</si>
  <si>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</si>
  <si>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</si>
  <si>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</si>
  <si>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</si>
  <si>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</si>
  <si>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</si>
  <si>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</si>
  <si>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</si>
  <si>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</si>
  <si>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</si>
  <si>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</si>
  <si>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</si>
  <si>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</si>
  <si>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</si>
  <si>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</si>
  <si>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</si>
  <si>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</si>
  <si>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</si>
  <si>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</si>
  <si>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</si>
  <si>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</si>
  <si>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</si>
  <si>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</si>
  <si>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</si>
  <si>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</si>
  <si>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</si>
  <si>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</si>
  <si>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</si>
  <si>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</si>
  <si>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</si>
  <si>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</si>
  <si>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</si>
  <si>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</si>
  <si>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</si>
  <si>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</si>
  <si>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</si>
  <si>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</si>
  <si>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</si>
  <si>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</si>
  <si>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</si>
  <si>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</si>
  <si>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</si>
  <si>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</si>
  <si>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</si>
  <si>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</si>
  <si>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</si>
  <si>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</si>
  <si>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</si>
  <si>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</si>
  <si>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</si>
  <si>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</si>
  <si>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</si>
  <si>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</si>
  <si>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</si>
  <si>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</si>
  <si>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</si>
  <si>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</si>
  <si>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</si>
  <si>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</si>
  <si>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</si>
  <si>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</si>
  <si>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</si>
  <si>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</si>
  <si>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</si>
  <si>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</si>
  <si>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</si>
  <si>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</si>
  <si>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</si>
  <si>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</si>
  <si>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</si>
  <si>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</si>
  <si>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</si>
  <si>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</si>
  <si>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</si>
  <si>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</si>
  <si>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</si>
  <si>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</si>
  <si>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</si>
  <si>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</si>
  <si>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</si>
  <si>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</si>
  <si>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</si>
  <si>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</si>
  <si>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</si>
  <si>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</si>
  <si>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</si>
  <si>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</si>
  <si>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</si>
  <si>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</si>
  <si>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</si>
  <si>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</si>
  <si>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</si>
  <si>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</si>
  <si>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</si>
  <si>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</si>
  <si>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</si>
  <si>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</si>
  <si>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</si>
  <si>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</si>
  <si>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</si>
  <si>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</si>
  <si>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</si>
  <si>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</si>
  <si>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</si>
  <si>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</si>
  <si>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</si>
  <si>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</si>
  <si>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</si>
  <si>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</si>
  <si>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</si>
  <si>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</si>
  <si>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</si>
  <si>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</si>
  <si>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</si>
  <si>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</si>
  <si>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</si>
  <si>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</si>
  <si>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</si>
  <si>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</si>
  <si>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</si>
  <si>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</si>
  <si>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</si>
  <si>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</si>
  <si>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</si>
  <si>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</si>
  <si>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</si>
  <si>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</si>
  <si>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</si>
  <si>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</si>
  <si>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</si>
  <si>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</si>
  <si>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</si>
  <si>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</si>
  <si>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</si>
  <si>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</si>
  <si>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</si>
  <si>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</si>
  <si>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</si>
  <si>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</si>
  <si>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</si>
  <si>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</si>
  <si>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</si>
  <si>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</si>
  <si>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</si>
  <si>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</si>
  <si>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</si>
  <si>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</si>
  <si>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</si>
  <si>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</si>
  <si>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</si>
  <si>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</si>
  <si>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</si>
  <si>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</si>
  <si>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</si>
  <si>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</si>
  <si>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</si>
  <si>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</si>
  <si>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</si>
  <si>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</si>
  <si>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</si>
  <si>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</si>
  <si>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</si>
  <si>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</si>
  <si>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</si>
  <si>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</si>
  <si>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</si>
  <si>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</si>
  <si>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</si>
  <si>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</si>
  <si>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</si>
  <si>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</si>
  <si>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</si>
  <si>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</si>
  <si>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</si>
  <si>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</si>
  <si>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</si>
  <si>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</si>
  <si>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</si>
  <si>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</si>
  <si>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</si>
  <si>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</si>
  <si>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</si>
  <si>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</si>
  <si>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</si>
  <si>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</si>
  <si>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</si>
  <si>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</si>
  <si>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</si>
  <si>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</si>
  <si>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</si>
  <si>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</si>
  <si>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</si>
  <si>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</si>
  <si>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</si>
  <si>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</si>
  <si>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</si>
  <si>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</si>
  <si>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</si>
  <si>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</si>
  <si>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</si>
  <si>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</si>
  <si>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</si>
  <si>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</si>
  <si>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</si>
  <si>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</si>
  <si>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</si>
  <si>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</si>
  <si>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</si>
  <si>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</si>
  <si>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</si>
  <si>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</si>
  <si>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</si>
  <si>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</si>
  <si>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</si>
  <si>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</si>
  <si>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</si>
  <si>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</si>
  <si>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</si>
  <si>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</si>
  <si>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</si>
  <si>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</si>
  <si>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</si>
  <si>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</si>
  <si>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</si>
  <si>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</si>
  <si>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</si>
  <si>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</si>
  <si>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</si>
  <si>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</si>
  <si>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</si>
  <si>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  <phoneticPr fontId="1"/>
  </si>
  <si>
    <t>以上</t>
    <phoneticPr fontId="1"/>
  </si>
  <si>
    <t>背景色</t>
  </si>
  <si>
    <t>以上</t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</si>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</sst>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02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7" borderId="0" xfId="0" applyNumberFormat="1" applyFont="1" applyFill="1">
      <alignment vertical="center"/>
    </xf>
    <xf numFmtId="176" fontId="10" fillId="18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9" borderId="0" xfId="0" applyFont="1" applyFill="1">
      <alignment vertical="center"/>
    </xf>
    <xf numFmtId="0" fontId="0" fillId="19" borderId="0" xfId="0" applyFill="1">
      <alignment vertical="center"/>
    </xf>
    <xf numFmtId="0" fontId="18" fillId="20" borderId="0" xfId="0" applyFont="1" applyFill="1">
      <alignment vertical="center"/>
    </xf>
    <xf numFmtId="0" fontId="18" fillId="0" borderId="0" xfId="0" applyFont="1">
      <alignment vertical="center"/>
    </xf>
    <xf numFmtId="0" fontId="19" fillId="21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left" vertical="center"/>
    </xf>
    <xf numFmtId="0" fontId="5" fillId="22" borderId="0" xfId="0" applyFont="1" applyFill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0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23" borderId="5" xfId="0" applyFont="1" applyFill="1" applyBorder="1" applyAlignment="1">
      <alignment horizontal="right" vertical="center"/>
    </xf>
    <xf numFmtId="0" fontId="4" fillId="24" borderId="5" xfId="0" applyFont="1" applyFill="1" applyBorder="1" applyAlignment="1">
      <alignment horizontal="right" vertical="center"/>
    </xf>
    <xf numFmtId="0" fontId="4" fillId="25" borderId="5" xfId="0" applyFont="1" applyFill="1" applyBorder="1">
      <alignment vertical="center"/>
    </xf>
    <xf numFmtId="0" fontId="7" fillId="26" borderId="5" xfId="0" applyFont="1" applyFill="1" applyBorder="1" applyAlignment="1">
      <alignment horizontal="right" vertical="center"/>
    </xf>
    <xf numFmtId="0" fontId="7" fillId="27" borderId="5" xfId="0" applyFont="1" applyFill="1" applyBorder="1" applyAlignment="1">
      <alignment horizontal="right" vertical="center"/>
    </xf>
    <xf numFmtId="0" fontId="4" fillId="28" borderId="5" xfId="0" applyFont="1" applyFill="1" applyBorder="1" applyAlignment="1">
      <alignment horizontal="right" vertical="center"/>
    </xf>
    <xf numFmtId="0" fontId="18" fillId="20" borderId="13" xfId="0" applyFont="1" applyFill="1" applyBorder="1">
      <alignment vertical="center"/>
    </xf>
    <xf numFmtId="0" fontId="17" fillId="29" borderId="10" xfId="0" applyFont="1" applyFill="1" applyBorder="1" applyAlignment="1">
      <alignment horizontal="center" vertical="center"/>
    </xf>
    <xf numFmtId="0" fontId="17" fillId="29" borderId="9" xfId="0" applyFont="1" applyFill="1" applyBorder="1" applyAlignment="1">
      <alignment horizontal="right" vertical="center"/>
    </xf>
    <xf numFmtId="0" fontId="16" fillId="29" borderId="13" xfId="0" applyFont="1" applyFill="1" applyBorder="1">
      <alignment vertical="center"/>
    </xf>
    <xf numFmtId="0" fontId="13" fillId="22" borderId="12" xfId="0" applyFont="1" applyFill="1" applyBorder="1" applyAlignment="1">
      <alignment horizontal="right" vertical="center"/>
    </xf>
    <xf numFmtId="0" fontId="18" fillId="0" borderId="14" xfId="0" applyFont="1" applyBorder="1">
      <alignment vertical="center"/>
    </xf>
    <xf numFmtId="0" fontId="13" fillId="22" borderId="2" xfId="0" applyFont="1" applyFill="1" applyBorder="1" applyAlignment="1">
      <alignment horizontal="right" vertical="center"/>
    </xf>
    <xf numFmtId="0" fontId="13" fillId="22" borderId="15" xfId="0" applyFont="1" applyFill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13" fillId="22" borderId="0" xfId="0" applyFont="1" applyFill="1" applyAlignment="1">
      <alignment horizontal="right" vertical="center"/>
    </xf>
    <xf numFmtId="176" fontId="18" fillId="0" borderId="0" xfId="0" applyNumberFormat="1" applyFont="1">
      <alignment vertical="center"/>
    </xf>
    <xf numFmtId="0" fontId="13" fillId="22" borderId="0" xfId="0" applyFont="1" applyFill="1">
      <alignment vertical="center"/>
    </xf>
    <xf numFmtId="176" fontId="18" fillId="0" borderId="12" xfId="0" applyNumberFormat="1" applyFont="1" applyBorder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11" borderId="17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8" xfId="0" applyFont="1" applyBorder="1" applyAlignment="1">
      <alignment horizontal="right" vertical="center"/>
    </xf>
    <xf numFmtId="0" fontId="16" fillId="27" borderId="17" xfId="0" applyFont="1" applyFill="1" applyBorder="1" applyAlignment="1">
      <alignment horizontal="right" vertical="center"/>
    </xf>
    <xf numFmtId="0" fontId="16" fillId="8" borderId="17" xfId="0" applyFont="1" applyFill="1" applyBorder="1" applyAlignment="1">
      <alignment horizontal="right" vertical="center"/>
    </xf>
    <xf numFmtId="0" fontId="14" fillId="9" borderId="17" xfId="0" applyFont="1" applyFill="1" applyBorder="1" applyAlignment="1">
      <alignment horizontal="right" vertical="center"/>
    </xf>
    <xf numFmtId="0" fontId="14" fillId="28" borderId="17" xfId="0" applyFont="1" applyFill="1" applyBorder="1" applyAlignment="1">
      <alignment horizontal="right" vertical="center"/>
    </xf>
    <xf numFmtId="0" fontId="14" fillId="11" borderId="16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6" fillId="27" borderId="16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28" borderId="16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7" fillId="27" borderId="16" xfId="0" applyFont="1" applyFill="1" applyBorder="1" applyAlignment="1">
      <alignment horizontal="right" vertical="center"/>
    </xf>
    <xf numFmtId="0" fontId="17" fillId="8" borderId="16" xfId="0" applyFont="1" applyFill="1" applyBorder="1" applyAlignment="1">
      <alignment horizontal="right" vertical="center"/>
    </xf>
    <xf numFmtId="0" fontId="15" fillId="9" borderId="16" xfId="0" applyFont="1" applyFill="1" applyBorder="1" applyAlignment="1">
      <alignment horizontal="right" vertical="center"/>
    </xf>
    <xf numFmtId="0" fontId="15" fillId="28" borderId="16" xfId="0" applyFont="1" applyFill="1" applyBorder="1" applyAlignment="1">
      <alignment horizontal="right" vertical="center"/>
    </xf>
    <xf numFmtId="0" fontId="14" fillId="23" borderId="16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6" fillId="26" borderId="17" xfId="0" applyFont="1" applyFill="1" applyBorder="1" applyAlignment="1">
      <alignment horizontal="right" vertical="center"/>
    </xf>
    <xf numFmtId="0" fontId="14" fillId="24" borderId="17" xfId="0" applyFont="1" applyFill="1" applyBorder="1" applyAlignment="1">
      <alignment horizontal="right" vertical="center"/>
    </xf>
    <xf numFmtId="0" fontId="14" fillId="23" borderId="17" xfId="0" applyFont="1" applyFill="1" applyBorder="1" applyAlignment="1">
      <alignment horizontal="right" vertical="center"/>
    </xf>
    <xf numFmtId="0" fontId="16" fillId="26" borderId="16" xfId="0" applyFont="1" applyFill="1" applyBorder="1" applyAlignment="1">
      <alignment horizontal="right" vertical="center"/>
    </xf>
    <xf numFmtId="0" fontId="14" fillId="24" borderId="16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7" fillId="26" borderId="16" xfId="0" applyFont="1" applyFill="1" applyBorder="1" applyAlignment="1">
      <alignment horizontal="right" vertical="center"/>
    </xf>
    <xf numFmtId="0" fontId="15" fillId="24" borderId="16" xfId="0" applyFont="1" applyFill="1" applyBorder="1" applyAlignment="1">
      <alignment horizontal="right" vertical="center"/>
    </xf>
    <xf numFmtId="0" fontId="15" fillId="23" borderId="16" xfId="0" applyFont="1" applyFill="1" applyBorder="1" applyAlignment="1">
      <alignment horizontal="right" vertical="center"/>
    </xf>
    <xf numFmtId="0" fontId="14" fillId="25" borderId="17" xfId="0" applyFont="1" applyFill="1" applyBorder="1" applyAlignment="1">
      <alignment horizontal="right" vertical="center"/>
    </xf>
    <xf numFmtId="0" fontId="14" fillId="16" borderId="16" xfId="0" applyFont="1" applyFill="1" applyBorder="1" applyAlignment="1">
      <alignment horizontal="right" vertical="center"/>
    </xf>
    <xf numFmtId="0" fontId="14" fillId="16" borderId="17" xfId="0" applyFont="1" applyFill="1" applyBorder="1" applyAlignment="1">
      <alignment horizontal="right" vertical="center"/>
    </xf>
    <xf numFmtId="0" fontId="14" fillId="25" borderId="16" xfId="0" applyFont="1" applyFill="1" applyBorder="1" applyAlignment="1">
      <alignment horizontal="right" vertical="center"/>
    </xf>
    <xf numFmtId="0" fontId="14" fillId="10" borderId="0" xfId="0" applyFont="1" applyFill="1" applyAlignment="1">
      <alignment horizontal="right" vertical="center"/>
    </xf>
    <xf numFmtId="0" fontId="15" fillId="25" borderId="16" xfId="0" applyFont="1" applyFill="1" applyBorder="1" applyAlignment="1">
      <alignment horizontal="right" vertical="center"/>
    </xf>
    <xf numFmtId="0" fontId="15" fillId="16" borderId="16" xfId="0" applyFont="1" applyFill="1" applyBorder="1" applyAlignment="1">
      <alignment horizontal="right" vertical="center"/>
    </xf>
    <xf numFmtId="0" fontId="15" fillId="10" borderId="0" xfId="0" applyFont="1" applyFill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4" fillId="23" borderId="4" xfId="0" applyFont="1" applyFill="1" applyBorder="1" applyAlignment="1">
      <alignment horizontal="right" vertical="center"/>
    </xf>
    <xf numFmtId="3" fontId="15" fillId="23" borderId="4" xfId="0" applyNumberFormat="1" applyFont="1" applyFill="1" applyBorder="1" applyAlignment="1">
      <alignment horizontal="right" vertical="center"/>
    </xf>
    <xf numFmtId="0" fontId="14" fillId="23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18" fillId="0" borderId="5" xfId="0" applyFont="1" applyBorder="1" applyAlignment="1">
      <alignment horizontal="left" vertical="center"/>
    </xf>
    <xf numFmtId="0" fontId="14" fillId="25" borderId="4" xfId="0" applyFont="1" applyFill="1" applyBorder="1" applyAlignment="1">
      <alignment horizontal="right" vertical="center"/>
    </xf>
    <xf numFmtId="3" fontId="15" fillId="25" borderId="4" xfId="0" applyNumberFormat="1" applyFont="1" applyFill="1" applyBorder="1" applyAlignment="1">
      <alignment horizontal="right" vertical="center"/>
    </xf>
    <xf numFmtId="0" fontId="14" fillId="25" borderId="6" xfId="0" applyFont="1" applyFill="1" applyBorder="1" applyAlignment="1">
      <alignment horizontal="right" vertical="center"/>
    </xf>
    <xf numFmtId="0" fontId="14" fillId="24" borderId="4" xfId="0" applyFont="1" applyFill="1" applyBorder="1" applyAlignment="1">
      <alignment horizontal="right" vertical="center"/>
    </xf>
    <xf numFmtId="3" fontId="15" fillId="24" borderId="4" xfId="0" applyNumberFormat="1" applyFont="1" applyFill="1" applyBorder="1" applyAlignment="1">
      <alignment horizontal="right" vertical="center"/>
    </xf>
    <xf numFmtId="0" fontId="14" fillId="24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28" borderId="4" xfId="0" applyFont="1" applyFill="1" applyBorder="1" applyAlignment="1">
      <alignment horizontal="right" vertical="center"/>
    </xf>
    <xf numFmtId="3" fontId="15" fillId="28" borderId="4" xfId="0" applyNumberFormat="1" applyFont="1" applyFill="1" applyBorder="1" applyAlignment="1">
      <alignment horizontal="right" vertical="center"/>
    </xf>
    <xf numFmtId="0" fontId="14" fillId="28" borderId="6" xfId="0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4" fillId="11" borderId="0" xfId="0" applyFont="1" applyFill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16" fillId="26" borderId="6" xfId="0" applyFont="1" applyFill="1" applyBorder="1" applyAlignment="1">
      <alignment horizontal="right" vertical="center"/>
    </xf>
    <xf numFmtId="3" fontId="13" fillId="22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3" fillId="22" borderId="0" xfId="0" applyFont="1" applyFill="1" applyAlignment="1">
      <alignment horizontal="right" vertical="center"/>
    </xf>
    <xf numFmtId="3" fontId="14" fillId="11" borderId="4" xfId="0" applyNumberFormat="1" applyFont="1" applyFill="1" applyBorder="1">
      <alignment vertical="center"/>
    </xf>
    <xf numFmtId="0" fontId="4" fillId="15" borderId="0" xfId="0" applyFont="1" applyFill="1">
      <alignment vertical="center"/>
    </xf>
    <xf numFmtId="3" fontId="15" fillId="11" borderId="4" xfId="0" applyNumberFormat="1" applyFont="1" applyFill="1" applyBorder="1">
      <alignment vertical="center"/>
    </xf>
    <xf numFmtId="0" fontId="14" fillId="11" borderId="6" xfId="0" applyFont="1" applyFill="1" applyBorder="1">
      <alignment vertical="center"/>
    </xf>
    <xf numFmtId="0" fontId="4" fillId="15" borderId="7" xfId="0" applyFont="1" applyFill="1" applyBorder="1">
      <alignment vertical="center"/>
    </xf>
    <xf numFmtId="0" fontId="18" fillId="0" borderId="2" xfId="0" applyFont="1" applyBorder="1">
      <alignment vertical="center"/>
    </xf>
    <xf numFmtId="0" fontId="4" fillId="0" borderId="2" xfId="0" applyFont="1" applyBorder="1">
      <alignment vertical="center"/>
    </xf>
    <xf numFmtId="3" fontId="16" fillId="26" borderId="4" xfId="0" applyNumberFormat="1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3" fontId="17" fillId="26" borderId="4" xfId="0" applyNumberFormat="1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3" fontId="16" fillId="27" borderId="4" xfId="0" applyNumberFormat="1" applyFont="1" applyFill="1" applyBorder="1" applyAlignment="1">
      <alignment horizontal="right" vertical="center"/>
    </xf>
    <xf numFmtId="3" fontId="17" fillId="27" borderId="4" xfId="0" applyNumberFormat="1" applyFont="1" applyFill="1" applyBorder="1" applyAlignment="1">
      <alignment horizontal="right" vertical="center"/>
    </xf>
    <xf numFmtId="0" fontId="16" fillId="27" borderId="6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18" fillId="0" borderId="15" xfId="0" applyFont="1" applyBorder="1">
      <alignment vertical="center"/>
    </xf>
    <xf numFmtId="0" fontId="16" fillId="8" borderId="0" xfId="0" applyFont="1" applyFill="1" applyAlignment="1">
      <alignment horizontal="right" vertical="center"/>
    </xf>
    <xf numFmtId="3" fontId="17" fillId="8" borderId="0" xfId="0" applyNumberFormat="1" applyFont="1" applyFill="1" applyAlignment="1">
      <alignment horizontal="right" vertical="center"/>
    </xf>
    <xf numFmtId="3" fontId="14" fillId="24" borderId="4" xfId="0" applyNumberFormat="1" applyFont="1" applyFill="1" applyBorder="1" applyAlignment="1">
      <alignment horizontal="right" vertical="center"/>
    </xf>
    <xf numFmtId="0" fontId="16" fillId="26" borderId="4" xfId="0" applyFont="1" applyFill="1" applyBorder="1" applyAlignment="1">
      <alignment horizontal="right" vertical="center"/>
    </xf>
    <xf numFmtId="0" fontId="18" fillId="0" borderId="14" xfId="0" applyFont="1" applyBorder="1">
      <alignment vertical="center"/>
    </xf>
    <xf numFmtId="0" fontId="14" fillId="9" borderId="4" xfId="0" applyFont="1" applyFill="1" applyBorder="1" applyAlignment="1">
      <alignment horizontal="right" vertical="center"/>
    </xf>
    <xf numFmtId="3" fontId="14" fillId="28" borderId="4" xfId="0" applyNumberFormat="1" applyFont="1" applyFill="1" applyBorder="1" applyAlignment="1">
      <alignment horizontal="right" vertical="center"/>
    </xf>
    <xf numFmtId="3" fontId="16" fillId="8" borderId="0" xfId="0" applyNumberFormat="1" applyFont="1" applyFill="1" applyAlignment="1">
      <alignment horizontal="right" vertical="center"/>
    </xf>
    <xf numFmtId="0" fontId="11" fillId="0" borderId="4" xfId="0" applyFont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16" fillId="29" borderId="13" xfId="0" applyFont="1" applyFill="1" applyBorder="1" applyAlignment="1">
      <alignment vertical="center"/>
    </xf>
    <xf numFmtId="0" fontId="16" fillId="33" borderId="11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vertical="center"/>
    </xf>
    <xf numFmtId="0" fontId="13" fillId="22" borderId="16" xfId="0" applyFont="1" applyFill="1" applyBorder="1" applyAlignment="1">
      <alignment horizontal="right" vertical="center"/>
    </xf>
    <xf numFmtId="0" fontId="16" fillId="34" borderId="11" xfId="0" applyFont="1" applyFill="1" applyBorder="1" applyAlignment="1">
      <alignment horizontal="right" vertical="center"/>
    </xf>
    <xf numFmtId="0" fontId="16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8" fillId="35" borderId="11" xfId="0" applyFont="1" applyFill="1" applyBorder="1" applyAlignment="1">
      <alignment horizontal="right" vertical="center"/>
    </xf>
    <xf numFmtId="0" fontId="18" fillId="36" borderId="11" xfId="0" applyFont="1" applyFill="1" applyBorder="1" applyAlignment="1">
      <alignment horizontal="right" vertical="center"/>
    </xf>
    <xf numFmtId="0" fontId="18" fillId="37" borderId="11" xfId="0" applyFont="1" applyFill="1" applyBorder="1" applyAlignment="1">
      <alignment horizontal="right" vertical="center"/>
    </xf>
    <xf numFmtId="0" fontId="18" fillId="38" borderId="11" xfId="0" applyFont="1" applyFill="1" applyBorder="1" applyAlignment="1">
      <alignment horizontal="right" vertical="center"/>
    </xf>
    <xf numFmtId="0" fontId="18" fillId="39" borderId="11" xfId="0" applyFont="1" applyFill="1" applyBorder="1" applyAlignment="1">
      <alignment vertical="center"/>
    </xf>
    <xf numFmtId="0" fontId="13" fillId="22" borderId="16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18" xfId="0" applyFont="1" applyFill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3" fillId="22" borderId="17" xfId="0" applyFont="1" applyFill="1" applyBorder="1" applyAlignment="1">
      <alignment horizontal="right" vertical="center"/>
    </xf>
    <xf numFmtId="0" fontId="18" fillId="20" borderId="0" xfId="0" applyFont="1" applyFill="1" applyBorder="1" applyAlignment="1">
      <alignment vertical="center"/>
    </xf>
    <xf numFmtId="0" fontId="19" fillId="21" borderId="0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18" fillId="0" borderId="9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vertical="center"/>
    </xf>
    <xf numFmtId="0" fontId="18" fillId="0" borderId="9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right" vertical="center"/>
    </xf>
    <xf numFmtId="0" fontId="5" fillId="0" borderId="9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left" vertical="center"/>
    </xf>
    <xf numFmtId="0" fontId="5" fillId="22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/>
    </xf>
    <xf numFmtId="0" fontId="14" fillId="0" borderId="16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1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11" xfId="0" applyFont="1" applyFill="1" applyBorder="1" applyAlignment="1">
      <alignment horizontal="right" vertical="center"/>
    </xf>
    <xf numFmtId="0" fontId="14" fillId="0" borderId="17" xfId="0" applyFont="1" applyFill="1" applyBorder="1" applyAlignment="1">
      <alignment horizontal="right" vertical="center"/>
    </xf>
    <xf numFmtId="0" fontId="14" fillId="0" borderId="12" xfId="0" applyFont="1" applyFill="1" applyBorder="1" applyAlignment="1">
      <alignment horizontal="right" vertical="center"/>
    </xf>
    <xf numFmtId="0" fontId="14" fillId="0" borderId="18" xfId="0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82550</xdr:rowOff>
        </xdr:from>
        <xdr:to>
          <xdr:col>22</xdr:col>
          <xdr:colOff>127000</xdr:colOff>
          <xdr:row>6</xdr:row>
          <xdr:rowOff>215900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/>
      <c r="I16" s="100"/>
      <c r="J16" s="101"/>
      <c r="K16" s="4">
        <v>2</v>
      </c>
      <c r="L16" s="100"/>
      <c r="M16" s="100"/>
      <c r="N16" s="101"/>
      <c r="O16" s="4">
        <v>3</v>
      </c>
      <c r="P16" s="100"/>
      <c r="Q16" s="100"/>
      <c r="R16" s="100"/>
      <c r="S16" s="6"/>
      <c r="T16" s="6"/>
      <c r="U16" s="6"/>
      <c r="V16" s="6"/>
      <c r="W16" s="4">
        <v>4</v>
      </c>
      <c r="X16" s="100"/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/>
      <c r="AS16" s="100"/>
      <c r="AT16" s="101"/>
      <c r="AU16" s="4">
        <v>6</v>
      </c>
      <c r="AV16" s="100"/>
      <c r="AW16" s="100"/>
      <c r="AX16" s="101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91"/>
      <c r="H17" s="92"/>
      <c r="I17" s="92"/>
      <c r="J17" s="93"/>
      <c r="K17" s="91"/>
      <c r="L17" s="92"/>
      <c r="M17" s="92"/>
      <c r="N17" s="93"/>
      <c r="O17" s="91"/>
      <c r="P17" s="92"/>
      <c r="Q17" s="92"/>
      <c r="R17" s="92"/>
      <c r="W17" s="91"/>
      <c r="X17" s="92"/>
      <c r="Y17" s="92"/>
      <c r="Z17" s="92"/>
      <c r="AQ17" s="91"/>
      <c r="AR17" s="92"/>
      <c r="AS17" s="92"/>
      <c r="AT17" s="92"/>
      <c r="AU17" s="91"/>
      <c r="AV17" s="92"/>
      <c r="AW17" s="92"/>
      <c r="AX17" s="93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94"/>
      <c r="H18" s="95"/>
      <c r="I18" s="95"/>
      <c r="J18" s="96"/>
      <c r="K18" s="94"/>
      <c r="L18" s="95"/>
      <c r="M18" s="95"/>
      <c r="N18" s="96"/>
      <c r="O18" s="94"/>
      <c r="P18" s="95"/>
      <c r="Q18" s="95"/>
      <c r="R18" s="95"/>
      <c r="W18" s="94"/>
      <c r="X18" s="95"/>
      <c r="Y18" s="95"/>
      <c r="Z18" s="95"/>
      <c r="AQ18" s="94"/>
      <c r="AR18" s="95"/>
      <c r="AS18" s="95"/>
      <c r="AT18" s="95"/>
      <c r="AU18" s="94"/>
      <c r="AV18" s="95"/>
      <c r="AW18" s="95"/>
      <c r="AX18" s="96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97"/>
      <c r="H19" s="98"/>
      <c r="I19" s="98"/>
      <c r="J19" s="99"/>
      <c r="K19" s="104"/>
      <c r="L19" s="102"/>
      <c r="M19" s="102"/>
      <c r="N19" s="105"/>
      <c r="O19" s="97"/>
      <c r="P19" s="98"/>
      <c r="Q19" s="98"/>
      <c r="R19" s="98"/>
      <c r="W19" s="104"/>
      <c r="X19" s="102"/>
      <c r="Y19" s="102"/>
      <c r="Z19" s="102"/>
      <c r="AQ19" s="97"/>
      <c r="AR19" s="98"/>
      <c r="AS19" s="98"/>
      <c r="AT19" s="98"/>
      <c r="AU19" s="97"/>
      <c r="AV19" s="98"/>
      <c r="AW19" s="98"/>
      <c r="AX19" s="99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/>
      <c r="I20" s="100"/>
      <c r="J20" s="101"/>
      <c r="O20" s="4">
        <v>8</v>
      </c>
      <c r="P20" s="100"/>
      <c r="Q20" s="100"/>
      <c r="R20" s="101"/>
      <c r="W20" s="7"/>
      <c r="AQ20" s="4">
        <v>9</v>
      </c>
      <c r="AR20" s="100"/>
      <c r="AS20" s="100"/>
      <c r="AT20" s="101"/>
      <c r="AU20" s="4">
        <v>10</v>
      </c>
      <c r="AV20" s="100"/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91"/>
      <c r="H21" s="92"/>
      <c r="I21" s="92"/>
      <c r="J21" s="93"/>
      <c r="O21" s="91"/>
      <c r="P21" s="92"/>
      <c r="Q21" s="92"/>
      <c r="R21" s="93"/>
      <c r="W21" s="7"/>
      <c r="AQ21" s="91"/>
      <c r="AR21" s="92"/>
      <c r="AS21" s="92"/>
      <c r="AT21" s="93"/>
      <c r="AU21" s="91"/>
      <c r="AV21" s="92"/>
      <c r="AW21" s="92"/>
      <c r="AX21" s="92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94"/>
      <c r="H22" s="95"/>
      <c r="I22" s="95"/>
      <c r="J22" s="96"/>
      <c r="O22" s="94"/>
      <c r="P22" s="95"/>
      <c r="Q22" s="95"/>
      <c r="R22" s="96"/>
      <c r="W22" s="7"/>
      <c r="AQ22" s="94"/>
      <c r="AR22" s="95"/>
      <c r="AS22" s="95"/>
      <c r="AT22" s="96"/>
      <c r="AU22" s="94"/>
      <c r="AV22" s="95"/>
      <c r="AW22" s="95"/>
      <c r="AX22" s="95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04"/>
      <c r="H23" s="102"/>
      <c r="I23" s="102"/>
      <c r="J23" s="105"/>
      <c r="O23" s="97"/>
      <c r="P23" s="98"/>
      <c r="Q23" s="98"/>
      <c r="R23" s="99"/>
      <c r="W23" s="7"/>
      <c r="AQ23" s="97"/>
      <c r="AR23" s="98"/>
      <c r="AS23" s="98"/>
      <c r="AT23" s="99"/>
      <c r="AU23" s="97"/>
      <c r="AV23" s="98"/>
      <c r="AW23" s="98"/>
      <c r="AX23" s="98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/>
      <c r="Q24" s="100"/>
      <c r="R24" s="101"/>
      <c r="S24" s="4">
        <v>12</v>
      </c>
      <c r="T24" s="100"/>
      <c r="U24" s="100"/>
      <c r="V24" s="101"/>
      <c r="W24" s="4">
        <v>13</v>
      </c>
      <c r="X24" s="100"/>
      <c r="Y24" s="100"/>
      <c r="Z24" s="101"/>
      <c r="AA24" s="4">
        <v>14</v>
      </c>
      <c r="AB24" s="100"/>
      <c r="AC24" s="100"/>
      <c r="AD24" s="101"/>
      <c r="AE24" s="4">
        <v>15</v>
      </c>
      <c r="AF24" s="100"/>
      <c r="AG24" s="100"/>
      <c r="AH24" s="101"/>
      <c r="AI24" s="4">
        <v>16</v>
      </c>
      <c r="AJ24" s="100"/>
      <c r="AK24" s="100"/>
      <c r="AL24" s="101"/>
      <c r="AM24" s="4">
        <v>17</v>
      </c>
      <c r="AN24" s="100"/>
      <c r="AO24" s="100"/>
      <c r="AP24" s="101"/>
      <c r="AQ24" s="4">
        <v>18</v>
      </c>
      <c r="AR24" s="100"/>
      <c r="AS24" s="100"/>
      <c r="AT24" s="101"/>
      <c r="AU24" s="4">
        <v>19</v>
      </c>
      <c r="AV24" s="100"/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0"/>
      <c r="BQ24" s="100"/>
      <c r="BR24" s="101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91"/>
      <c r="P25" s="92"/>
      <c r="Q25" s="92"/>
      <c r="R25" s="93"/>
      <c r="S25" s="91"/>
      <c r="T25" s="92"/>
      <c r="U25" s="92"/>
      <c r="V25" s="93"/>
      <c r="W25" s="91"/>
      <c r="X25" s="92"/>
      <c r="Y25" s="92"/>
      <c r="Z25" s="93"/>
      <c r="AA25" s="91"/>
      <c r="AB25" s="92"/>
      <c r="AC25" s="92"/>
      <c r="AD25" s="93"/>
      <c r="AE25" s="91"/>
      <c r="AF25" s="92"/>
      <c r="AG25" s="92"/>
      <c r="AH25" s="93"/>
      <c r="AI25" s="91"/>
      <c r="AJ25" s="92"/>
      <c r="AK25" s="92"/>
      <c r="AL25" s="93"/>
      <c r="AM25" s="91"/>
      <c r="AN25" s="92"/>
      <c r="AO25" s="92"/>
      <c r="AP25" s="93"/>
      <c r="AQ25" s="91"/>
      <c r="AR25" s="92"/>
      <c r="AS25" s="92"/>
      <c r="AT25" s="93"/>
      <c r="AU25" s="91"/>
      <c r="AV25" s="92"/>
      <c r="AW25" s="92"/>
      <c r="AX25" s="92"/>
      <c r="BO25" s="91"/>
      <c r="BP25" s="92"/>
      <c r="BQ25" s="92"/>
      <c r="BR25" s="93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94"/>
      <c r="P26" s="95"/>
      <c r="Q26" s="95"/>
      <c r="R26" s="96"/>
      <c r="S26" s="94"/>
      <c r="T26" s="95"/>
      <c r="U26" s="95"/>
      <c r="V26" s="96"/>
      <c r="W26" s="94"/>
      <c r="X26" s="95"/>
      <c r="Y26" s="95"/>
      <c r="Z26" s="96"/>
      <c r="AA26" s="94"/>
      <c r="AB26" s="95"/>
      <c r="AC26" s="95"/>
      <c r="AD26" s="96"/>
      <c r="AE26" s="94"/>
      <c r="AF26" s="95"/>
      <c r="AG26" s="95"/>
      <c r="AH26" s="96"/>
      <c r="AI26" s="94"/>
      <c r="AJ26" s="95"/>
      <c r="AK26" s="95"/>
      <c r="AL26" s="96"/>
      <c r="AM26" s="94"/>
      <c r="AN26" s="95"/>
      <c r="AO26" s="95"/>
      <c r="AP26" s="96"/>
      <c r="AQ26" s="94"/>
      <c r="AR26" s="95"/>
      <c r="AS26" s="95"/>
      <c r="AT26" s="96"/>
      <c r="AU26" s="94"/>
      <c r="AV26" s="95"/>
      <c r="AW26" s="95"/>
      <c r="AX26" s="95"/>
      <c r="BO26" s="94"/>
      <c r="BP26" s="95"/>
      <c r="BQ26" s="95"/>
      <c r="BR26" s="96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97"/>
      <c r="P27" s="98"/>
      <c r="Q27" s="98"/>
      <c r="R27" s="99"/>
      <c r="S27" s="97"/>
      <c r="T27" s="98"/>
      <c r="U27" s="98"/>
      <c r="V27" s="99"/>
      <c r="W27" s="97"/>
      <c r="X27" s="98"/>
      <c r="Y27" s="98"/>
      <c r="Z27" s="99"/>
      <c r="AA27" s="97"/>
      <c r="AB27" s="98"/>
      <c r="AC27" s="98"/>
      <c r="AD27" s="99"/>
      <c r="AE27" s="97"/>
      <c r="AF27" s="98"/>
      <c r="AG27" s="98"/>
      <c r="AH27" s="99"/>
      <c r="AI27" s="97"/>
      <c r="AJ27" s="98"/>
      <c r="AK27" s="98"/>
      <c r="AL27" s="99"/>
      <c r="AM27" s="97"/>
      <c r="AN27" s="98"/>
      <c r="AO27" s="98"/>
      <c r="AP27" s="99"/>
      <c r="AQ27" s="97"/>
      <c r="AR27" s="98"/>
      <c r="AS27" s="98"/>
      <c r="AT27" s="99"/>
      <c r="AU27" s="97"/>
      <c r="AV27" s="98"/>
      <c r="AW27" s="98"/>
      <c r="AX27" s="98"/>
      <c r="BO27" s="97"/>
      <c r="BP27" s="98"/>
      <c r="BQ27" s="98"/>
      <c r="BR27" s="99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/>
      <c r="M28" s="100"/>
      <c r="N28" s="101"/>
      <c r="O28" s="4">
        <v>22</v>
      </c>
      <c r="P28" s="100"/>
      <c r="Q28" s="100"/>
      <c r="R28" s="100"/>
      <c r="S28" s="6"/>
      <c r="T28" s="6"/>
      <c r="U28" s="6"/>
      <c r="V28" s="6"/>
      <c r="W28" s="4">
        <v>23</v>
      </c>
      <c r="X28" s="100"/>
      <c r="Y28" s="100"/>
      <c r="Z28" s="101"/>
      <c r="AA28" s="4">
        <v>24</v>
      </c>
      <c r="AB28" s="100"/>
      <c r="AC28" s="100"/>
      <c r="AD28" s="100"/>
      <c r="AE28" s="6"/>
      <c r="AF28" s="6"/>
      <c r="AG28" s="6"/>
      <c r="AH28" s="6"/>
      <c r="AI28" s="4">
        <v>25</v>
      </c>
      <c r="AJ28" s="100"/>
      <c r="AK28" s="100"/>
      <c r="AL28" s="101"/>
      <c r="AM28" s="4">
        <v>26</v>
      </c>
      <c r="AN28" s="100"/>
      <c r="AO28" s="100"/>
      <c r="AP28" s="101"/>
      <c r="AQ28" s="4">
        <v>27</v>
      </c>
      <c r="AR28" s="100"/>
      <c r="AS28" s="100"/>
      <c r="AT28" s="101"/>
      <c r="AU28" s="4">
        <v>28</v>
      </c>
      <c r="AV28" s="100"/>
      <c r="AW28" s="100"/>
      <c r="AX28" s="101"/>
      <c r="AY28" s="4">
        <v>29</v>
      </c>
      <c r="AZ28" s="100"/>
      <c r="BA28" s="100"/>
      <c r="BB28" s="101"/>
      <c r="BC28" s="4">
        <v>30</v>
      </c>
      <c r="BD28" s="100"/>
      <c r="BE28" s="100"/>
      <c r="BF28" s="101"/>
      <c r="BG28" s="4">
        <v>31</v>
      </c>
      <c r="BH28" s="100"/>
      <c r="BI28" s="100"/>
      <c r="BJ28" s="101"/>
      <c r="BK28" s="4">
        <v>32</v>
      </c>
      <c r="BL28" s="100"/>
      <c r="BM28" s="100"/>
      <c r="BN28" s="101"/>
      <c r="BO28" s="4">
        <v>33</v>
      </c>
      <c r="BP28" s="100"/>
      <c r="BQ28" s="100"/>
      <c r="BR28" s="101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91"/>
      <c r="L29" s="92"/>
      <c r="M29" s="92"/>
      <c r="N29" s="93"/>
      <c r="O29" s="91"/>
      <c r="P29" s="92"/>
      <c r="Q29" s="92"/>
      <c r="R29" s="92"/>
      <c r="V29" s="8"/>
      <c r="W29" s="91"/>
      <c r="X29" s="92"/>
      <c r="Y29" s="92"/>
      <c r="Z29" s="93"/>
      <c r="AA29" s="91"/>
      <c r="AB29" s="92"/>
      <c r="AC29" s="92"/>
      <c r="AD29" s="92"/>
      <c r="AI29" s="91"/>
      <c r="AJ29" s="92"/>
      <c r="AK29" s="92"/>
      <c r="AL29" s="93"/>
      <c r="AM29" s="91"/>
      <c r="AN29" s="92"/>
      <c r="AO29" s="92"/>
      <c r="AP29" s="93"/>
      <c r="AQ29" s="91"/>
      <c r="AR29" s="92"/>
      <c r="AS29" s="92"/>
      <c r="AT29" s="93"/>
      <c r="AU29" s="91"/>
      <c r="AV29" s="92"/>
      <c r="AW29" s="92"/>
      <c r="AX29" s="93"/>
      <c r="AY29" s="91"/>
      <c r="AZ29" s="92"/>
      <c r="BA29" s="92"/>
      <c r="BB29" s="93"/>
      <c r="BC29" s="91"/>
      <c r="BD29" s="92"/>
      <c r="BE29" s="92"/>
      <c r="BF29" s="93"/>
      <c r="BG29" s="91"/>
      <c r="BH29" s="92"/>
      <c r="BI29" s="92"/>
      <c r="BJ29" s="93"/>
      <c r="BK29" s="91"/>
      <c r="BL29" s="92"/>
      <c r="BM29" s="92"/>
      <c r="BN29" s="93"/>
      <c r="BO29" s="91"/>
      <c r="BP29" s="92"/>
      <c r="BQ29" s="92"/>
      <c r="BR29" s="93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94"/>
      <c r="L30" s="95"/>
      <c r="M30" s="95"/>
      <c r="N30" s="96"/>
      <c r="O30" s="94"/>
      <c r="P30" s="95"/>
      <c r="Q30" s="95"/>
      <c r="R30" s="95"/>
      <c r="V30" s="8"/>
      <c r="W30" s="94"/>
      <c r="X30" s="95"/>
      <c r="Y30" s="95"/>
      <c r="Z30" s="96"/>
      <c r="AA30" s="94"/>
      <c r="AB30" s="95"/>
      <c r="AC30" s="95"/>
      <c r="AD30" s="95"/>
      <c r="AI30" s="94"/>
      <c r="AJ30" s="95"/>
      <c r="AK30" s="95"/>
      <c r="AL30" s="96"/>
      <c r="AM30" s="94"/>
      <c r="AN30" s="95"/>
      <c r="AO30" s="95"/>
      <c r="AP30" s="96"/>
      <c r="AQ30" s="94"/>
      <c r="AR30" s="95"/>
      <c r="AS30" s="95"/>
      <c r="AT30" s="96"/>
      <c r="AU30" s="94"/>
      <c r="AV30" s="95"/>
      <c r="AW30" s="95"/>
      <c r="AX30" s="96"/>
      <c r="AY30" s="94"/>
      <c r="AZ30" s="95"/>
      <c r="BA30" s="95"/>
      <c r="BB30" s="96"/>
      <c r="BC30" s="94"/>
      <c r="BD30" s="95"/>
      <c r="BE30" s="95"/>
      <c r="BF30" s="96"/>
      <c r="BG30" s="94"/>
      <c r="BH30" s="95"/>
      <c r="BI30" s="95"/>
      <c r="BJ30" s="96"/>
      <c r="BK30" s="94"/>
      <c r="BL30" s="95"/>
      <c r="BM30" s="95"/>
      <c r="BN30" s="96"/>
      <c r="BO30" s="94"/>
      <c r="BP30" s="95"/>
      <c r="BQ30" s="95"/>
      <c r="BR30" s="96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97"/>
      <c r="L31" s="98"/>
      <c r="M31" s="98"/>
      <c r="N31" s="99"/>
      <c r="O31" s="97"/>
      <c r="P31" s="98"/>
      <c r="Q31" s="98"/>
      <c r="R31" s="98"/>
      <c r="S31" s="11"/>
      <c r="T31" s="11"/>
      <c r="U31" s="11"/>
      <c r="V31" s="13"/>
      <c r="W31" s="104"/>
      <c r="X31" s="102"/>
      <c r="Y31" s="102"/>
      <c r="Z31" s="105"/>
      <c r="AA31" s="97"/>
      <c r="AB31" s="98"/>
      <c r="AC31" s="98"/>
      <c r="AD31" s="98"/>
      <c r="AI31" s="97"/>
      <c r="AJ31" s="98"/>
      <c r="AK31" s="98"/>
      <c r="AL31" s="99"/>
      <c r="AM31" s="97"/>
      <c r="AN31" s="98"/>
      <c r="AO31" s="98"/>
      <c r="AP31" s="99"/>
      <c r="AQ31" s="97"/>
      <c r="AR31" s="98"/>
      <c r="AS31" s="98"/>
      <c r="AT31" s="99"/>
      <c r="AU31" s="97"/>
      <c r="AV31" s="98"/>
      <c r="AW31" s="98"/>
      <c r="AX31" s="99"/>
      <c r="AY31" s="97"/>
      <c r="AZ31" s="98"/>
      <c r="BA31" s="98"/>
      <c r="BB31" s="99"/>
      <c r="BC31" s="97"/>
      <c r="BD31" s="98"/>
      <c r="BE31" s="98"/>
      <c r="BF31" s="99"/>
      <c r="BG31" s="97"/>
      <c r="BH31" s="98"/>
      <c r="BI31" s="98"/>
      <c r="BJ31" s="99"/>
      <c r="BK31" s="97"/>
      <c r="BL31" s="98"/>
      <c r="BM31" s="98"/>
      <c r="BN31" s="99"/>
      <c r="BO31" s="97"/>
      <c r="BP31" s="98"/>
      <c r="BQ31" s="98"/>
      <c r="BR31" s="99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/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/>
      <c r="U32" s="100"/>
      <c r="V32" s="101"/>
      <c r="AA32" s="4">
        <v>36</v>
      </c>
      <c r="AB32" s="100"/>
      <c r="AC32" s="100"/>
      <c r="AD32" s="101"/>
      <c r="AE32" s="4">
        <v>37</v>
      </c>
      <c r="AF32" s="100"/>
      <c r="AG32" s="100"/>
      <c r="AH32" s="101"/>
      <c r="AI32" s="4">
        <v>38</v>
      </c>
      <c r="AJ32" s="100"/>
      <c r="AK32" s="100"/>
      <c r="AL32" s="101"/>
      <c r="AM32" s="4">
        <v>39</v>
      </c>
      <c r="AN32" s="100"/>
      <c r="AO32" s="100"/>
      <c r="AP32" s="100"/>
      <c r="AQ32" s="6"/>
      <c r="AR32" s="6"/>
      <c r="AS32" s="6"/>
      <c r="AT32" s="6"/>
      <c r="AU32" s="4">
        <v>40</v>
      </c>
      <c r="AV32" s="100"/>
      <c r="AW32" s="100"/>
      <c r="AX32" s="100"/>
      <c r="AY32" s="12">
        <v>41</v>
      </c>
      <c r="AZ32" s="100"/>
      <c r="BA32" s="100"/>
      <c r="BB32" s="100"/>
      <c r="BC32" s="12">
        <v>42</v>
      </c>
      <c r="BD32" s="100"/>
      <c r="BE32" s="100"/>
      <c r="BF32" s="100"/>
      <c r="BG32" s="12">
        <v>43</v>
      </c>
      <c r="BH32" s="100"/>
      <c r="BI32" s="100"/>
      <c r="BJ32" s="101"/>
      <c r="BK32" s="12">
        <v>44</v>
      </c>
      <c r="BL32" s="100"/>
      <c r="BM32" s="100"/>
      <c r="BN32" s="100"/>
      <c r="BO32" s="6"/>
      <c r="BP32" s="6"/>
      <c r="BQ32" s="6"/>
      <c r="BR32" s="9"/>
      <c r="BS32" s="4">
        <v>45</v>
      </c>
      <c r="BT32" s="100"/>
      <c r="BU32" s="100"/>
      <c r="BV32" s="101"/>
      <c r="BX32" s="55"/>
      <c r="BY32" s="53"/>
      <c r="BZ32" s="54"/>
      <c r="CB32" s="5"/>
    </row>
    <row r="33" spans="1:80" ht="21" customHeight="1" x14ac:dyDescent="0.55000000000000004">
      <c r="A33" s="5"/>
      <c r="G33" s="91"/>
      <c r="H33" s="92"/>
      <c r="I33" s="92"/>
      <c r="J33" s="92"/>
      <c r="R33" s="8"/>
      <c r="S33" s="91"/>
      <c r="T33" s="92"/>
      <c r="U33" s="92"/>
      <c r="V33" s="93"/>
      <c r="W33" s="7"/>
      <c r="Z33" s="8"/>
      <c r="AA33" s="91"/>
      <c r="AB33" s="92"/>
      <c r="AC33" s="92"/>
      <c r="AD33" s="93"/>
      <c r="AE33" s="91"/>
      <c r="AF33" s="92"/>
      <c r="AG33" s="92"/>
      <c r="AH33" s="93"/>
      <c r="AI33" s="91"/>
      <c r="AJ33" s="92"/>
      <c r="AK33" s="92"/>
      <c r="AL33" s="93"/>
      <c r="AM33" s="91"/>
      <c r="AN33" s="92"/>
      <c r="AO33" s="92"/>
      <c r="AP33" s="92"/>
      <c r="AU33" s="91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1"/>
      <c r="BL33" s="92"/>
      <c r="BM33" s="92"/>
      <c r="BN33" s="92"/>
      <c r="BR33" s="8"/>
      <c r="BS33" s="91"/>
      <c r="BT33" s="92"/>
      <c r="BU33" s="92"/>
      <c r="BV33" s="93"/>
      <c r="BX33" s="55"/>
      <c r="BY33" s="53"/>
      <c r="BZ33" s="54"/>
      <c r="CB33" s="5"/>
    </row>
    <row r="34" spans="1:80" ht="21" customHeight="1" x14ac:dyDescent="0.55000000000000004">
      <c r="A34" s="5"/>
      <c r="G34" s="94"/>
      <c r="H34" s="95"/>
      <c r="I34" s="95"/>
      <c r="J34" s="95"/>
      <c r="R34" s="8"/>
      <c r="S34" s="94"/>
      <c r="T34" s="95"/>
      <c r="U34" s="95"/>
      <c r="V34" s="96"/>
      <c r="W34" s="7"/>
      <c r="Z34" s="8"/>
      <c r="AA34" s="94"/>
      <c r="AB34" s="95"/>
      <c r="AC34" s="95"/>
      <c r="AD34" s="96"/>
      <c r="AE34" s="94"/>
      <c r="AF34" s="95"/>
      <c r="AG34" s="95"/>
      <c r="AH34" s="96"/>
      <c r="AI34" s="94"/>
      <c r="AJ34" s="95"/>
      <c r="AK34" s="95"/>
      <c r="AL34" s="96"/>
      <c r="AM34" s="94"/>
      <c r="AN34" s="95"/>
      <c r="AO34" s="95"/>
      <c r="AP34" s="95"/>
      <c r="AU34" s="94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4"/>
      <c r="BL34" s="95"/>
      <c r="BM34" s="95"/>
      <c r="BN34" s="95"/>
      <c r="BR34" s="8"/>
      <c r="BS34" s="94"/>
      <c r="BT34" s="95"/>
      <c r="BU34" s="95"/>
      <c r="BV34" s="96"/>
      <c r="BX34" s="55"/>
      <c r="BY34" s="53"/>
      <c r="BZ34" s="54"/>
      <c r="CB34" s="5"/>
    </row>
    <row r="35" spans="1:80" ht="21" customHeight="1" thickBot="1" x14ac:dyDescent="0.6">
      <c r="A35" s="5"/>
      <c r="G35" s="97"/>
      <c r="H35" s="98"/>
      <c r="I35" s="98"/>
      <c r="J35" s="98"/>
      <c r="R35" s="8"/>
      <c r="S35" s="97"/>
      <c r="T35" s="98"/>
      <c r="U35" s="98"/>
      <c r="V35" s="99"/>
      <c r="W35" s="10"/>
      <c r="X35" s="11"/>
      <c r="Y35" s="11"/>
      <c r="Z35" s="13"/>
      <c r="AA35" s="97"/>
      <c r="AB35" s="98"/>
      <c r="AC35" s="98"/>
      <c r="AD35" s="99"/>
      <c r="AE35" s="97"/>
      <c r="AF35" s="98"/>
      <c r="AG35" s="98"/>
      <c r="AH35" s="99"/>
      <c r="AI35" s="97"/>
      <c r="AJ35" s="98"/>
      <c r="AK35" s="98"/>
      <c r="AL35" s="99"/>
      <c r="AM35" s="97"/>
      <c r="AN35" s="98"/>
      <c r="AO35" s="98"/>
      <c r="AP35" s="98"/>
      <c r="AU35" s="97"/>
      <c r="AV35" s="98"/>
      <c r="AW35" s="98"/>
      <c r="AX35" s="98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  <c r="BK35" s="97"/>
      <c r="BL35" s="98"/>
      <c r="BM35" s="98"/>
      <c r="BN35" s="98"/>
      <c r="BO35" s="11"/>
      <c r="BP35" s="11"/>
      <c r="BQ35" s="11"/>
      <c r="BR35" s="13"/>
      <c r="BS35" s="97"/>
      <c r="BT35" s="98"/>
      <c r="BU35" s="98"/>
      <c r="BV35" s="99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0"/>
      <c r="I36" s="100"/>
      <c r="J36" s="101"/>
      <c r="R36" s="8"/>
      <c r="S36" s="4">
        <v>47</v>
      </c>
      <c r="T36" s="100"/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/>
      <c r="AK36" s="100"/>
      <c r="AL36" s="101"/>
      <c r="AM36" s="4">
        <v>49</v>
      </c>
      <c r="AN36" s="100"/>
      <c r="AO36" s="100"/>
      <c r="AP36" s="101"/>
      <c r="AQ36" s="4">
        <v>50</v>
      </c>
      <c r="AR36" s="100"/>
      <c r="AS36" s="100"/>
      <c r="AT36" s="101"/>
      <c r="AU36" s="4">
        <v>51</v>
      </c>
      <c r="AV36" s="100"/>
      <c r="AW36" s="100"/>
      <c r="AX36" s="101"/>
      <c r="AY36" s="14">
        <v>52</v>
      </c>
      <c r="AZ36" s="103"/>
      <c r="BA36" s="103"/>
      <c r="BB36" s="103"/>
      <c r="BC36" s="3">
        <v>53</v>
      </c>
      <c r="BD36" s="103"/>
      <c r="BE36" s="103"/>
      <c r="BF36" s="103"/>
      <c r="BG36" s="3">
        <v>54</v>
      </c>
      <c r="BH36" s="103"/>
      <c r="BI36" s="103"/>
      <c r="BJ36" s="103"/>
      <c r="BK36" s="4">
        <v>55</v>
      </c>
      <c r="BL36" s="100"/>
      <c r="BM36" s="100"/>
      <c r="BN36" s="100"/>
      <c r="BS36" s="4">
        <v>56</v>
      </c>
      <c r="BT36" s="100"/>
      <c r="BU36" s="100"/>
      <c r="BV36" s="101"/>
      <c r="BX36" s="55"/>
      <c r="BY36" s="53"/>
      <c r="BZ36" s="54"/>
      <c r="CB36" s="5"/>
    </row>
    <row r="37" spans="1:80" ht="21" customHeight="1" x14ac:dyDescent="0.55000000000000004">
      <c r="A37" s="5"/>
      <c r="G37" s="91"/>
      <c r="H37" s="92"/>
      <c r="I37" s="92"/>
      <c r="J37" s="93"/>
      <c r="R37" s="8"/>
      <c r="S37" s="91"/>
      <c r="T37" s="92"/>
      <c r="U37" s="92"/>
      <c r="V37" s="92"/>
      <c r="AI37" s="91"/>
      <c r="AJ37" s="92"/>
      <c r="AK37" s="92"/>
      <c r="AL37" s="93"/>
      <c r="AM37" s="91"/>
      <c r="AN37" s="92"/>
      <c r="AO37" s="92"/>
      <c r="AP37" s="93"/>
      <c r="AQ37" s="91"/>
      <c r="AR37" s="92"/>
      <c r="AS37" s="92"/>
      <c r="AT37" s="93"/>
      <c r="AU37" s="91"/>
      <c r="AV37" s="92"/>
      <c r="AW37" s="92"/>
      <c r="AX37" s="93"/>
      <c r="AY37" s="91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1"/>
      <c r="BL37" s="92"/>
      <c r="BM37" s="92"/>
      <c r="BN37" s="92"/>
      <c r="BS37" s="91"/>
      <c r="BT37" s="92"/>
      <c r="BU37" s="92"/>
      <c r="BV37" s="93"/>
      <c r="CB37" s="5"/>
    </row>
    <row r="38" spans="1:80" ht="21" customHeight="1" x14ac:dyDescent="0.55000000000000004">
      <c r="A38" s="5"/>
      <c r="G38" s="94"/>
      <c r="H38" s="95"/>
      <c r="I38" s="95"/>
      <c r="J38" s="96"/>
      <c r="R38" s="8"/>
      <c r="S38" s="94"/>
      <c r="T38" s="95"/>
      <c r="U38" s="95"/>
      <c r="V38" s="95"/>
      <c r="AI38" s="94"/>
      <c r="AJ38" s="95"/>
      <c r="AK38" s="95"/>
      <c r="AL38" s="96"/>
      <c r="AM38" s="94"/>
      <c r="AN38" s="95"/>
      <c r="AO38" s="95"/>
      <c r="AP38" s="96"/>
      <c r="AQ38" s="94"/>
      <c r="AR38" s="95"/>
      <c r="AS38" s="95"/>
      <c r="AT38" s="96"/>
      <c r="AU38" s="94"/>
      <c r="AV38" s="95"/>
      <c r="AW38" s="95"/>
      <c r="AX38" s="96"/>
      <c r="AY38" s="94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4"/>
      <c r="BL38" s="95"/>
      <c r="BM38" s="95"/>
      <c r="BN38" s="95"/>
      <c r="BS38" s="94"/>
      <c r="BT38" s="95"/>
      <c r="BU38" s="95"/>
      <c r="BV38" s="96"/>
      <c r="CB38" s="5"/>
    </row>
    <row r="39" spans="1:80" ht="21" customHeight="1" thickBot="1" x14ac:dyDescent="0.6">
      <c r="A39" s="5"/>
      <c r="G39" s="97"/>
      <c r="H39" s="98"/>
      <c r="I39" s="98"/>
      <c r="J39" s="99"/>
      <c r="R39" s="8"/>
      <c r="S39" s="104"/>
      <c r="T39" s="102"/>
      <c r="U39" s="102"/>
      <c r="V39" s="102"/>
      <c r="AI39" s="97"/>
      <c r="AJ39" s="98"/>
      <c r="AK39" s="98"/>
      <c r="AL39" s="99"/>
      <c r="AM39" s="97"/>
      <c r="AN39" s="98"/>
      <c r="AO39" s="98"/>
      <c r="AP39" s="99"/>
      <c r="AQ39" s="97"/>
      <c r="AR39" s="98"/>
      <c r="AS39" s="98"/>
      <c r="AT39" s="99"/>
      <c r="AU39" s="97"/>
      <c r="AV39" s="98"/>
      <c r="AW39" s="98"/>
      <c r="AX39" s="99"/>
      <c r="AY39" s="104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4"/>
      <c r="BL39" s="102"/>
      <c r="BM39" s="102"/>
      <c r="BN39" s="102"/>
      <c r="BS39" s="97"/>
      <c r="BT39" s="98"/>
      <c r="BU39" s="98"/>
      <c r="BV39" s="99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/>
      <c r="AO40" s="100"/>
      <c r="AP40" s="101"/>
      <c r="AQ40" s="4">
        <v>58</v>
      </c>
      <c r="AR40" s="100"/>
      <c r="AS40" s="100"/>
      <c r="AT40" s="101"/>
      <c r="AU40" s="4">
        <v>59</v>
      </c>
      <c r="AV40" s="100"/>
      <c r="AW40" s="100"/>
      <c r="AX40" s="101"/>
      <c r="AY40" s="14">
        <v>60</v>
      </c>
      <c r="AZ40" s="103"/>
      <c r="BA40" s="103"/>
      <c r="BB40" s="103"/>
      <c r="BC40" s="3">
        <v>61</v>
      </c>
      <c r="BD40" s="103"/>
      <c r="BE40" s="103"/>
      <c r="BF40" s="103"/>
      <c r="BG40" s="3">
        <v>62</v>
      </c>
      <c r="BH40" s="103"/>
      <c r="BI40" s="103"/>
      <c r="BJ40" s="103"/>
      <c r="BK40" s="7"/>
      <c r="BS40" s="4">
        <v>63</v>
      </c>
      <c r="BT40" s="100"/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91"/>
      <c r="AN41" s="92"/>
      <c r="AO41" s="92"/>
      <c r="AP41" s="93"/>
      <c r="AQ41" s="91"/>
      <c r="AR41" s="92"/>
      <c r="AS41" s="92"/>
      <c r="AT41" s="93"/>
      <c r="AU41" s="91"/>
      <c r="AV41" s="92"/>
      <c r="AW41" s="92"/>
      <c r="AX41" s="93"/>
      <c r="AY41" s="91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7"/>
      <c r="BS41" s="91"/>
      <c r="BT41" s="92"/>
      <c r="BU41" s="92"/>
      <c r="BV41" s="93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94"/>
      <c r="AN42" s="95"/>
      <c r="AO42" s="95"/>
      <c r="AP42" s="96"/>
      <c r="AQ42" s="94"/>
      <c r="AR42" s="95"/>
      <c r="AS42" s="95"/>
      <c r="AT42" s="96"/>
      <c r="AU42" s="94"/>
      <c r="AV42" s="95"/>
      <c r="AW42" s="95"/>
      <c r="AX42" s="96"/>
      <c r="AY42" s="94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7"/>
      <c r="BS42" s="94"/>
      <c r="BT42" s="95"/>
      <c r="BU42" s="95"/>
      <c r="BV42" s="96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97"/>
      <c r="AN43" s="98"/>
      <c r="AO43" s="98"/>
      <c r="AP43" s="99"/>
      <c r="AQ43" s="97"/>
      <c r="AR43" s="98"/>
      <c r="AS43" s="98"/>
      <c r="AT43" s="99"/>
      <c r="AU43" s="97"/>
      <c r="AV43" s="98"/>
      <c r="AW43" s="98"/>
      <c r="AX43" s="99"/>
      <c r="AY43" s="97"/>
      <c r="AZ43" s="98"/>
      <c r="BA43" s="98"/>
      <c r="BB43" s="98"/>
      <c r="BC43" s="102"/>
      <c r="BD43" s="102"/>
      <c r="BE43" s="102"/>
      <c r="BF43" s="102"/>
      <c r="BG43" s="102"/>
      <c r="BH43" s="102"/>
      <c r="BI43" s="102"/>
      <c r="BJ43" s="102"/>
      <c r="BK43" s="7"/>
      <c r="BS43" s="97"/>
      <c r="BT43" s="98"/>
      <c r="BU43" s="98"/>
      <c r="BV43" s="99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/>
      <c r="AO44" s="100"/>
      <c r="AP44" s="101"/>
      <c r="AQ44" s="4">
        <v>65</v>
      </c>
      <c r="AR44" s="100"/>
      <c r="AS44" s="100"/>
      <c r="AT44" s="101"/>
      <c r="AU44" s="4">
        <v>66</v>
      </c>
      <c r="AV44" s="100"/>
      <c r="AW44" s="100"/>
      <c r="AX44" s="101"/>
      <c r="AY44" s="4">
        <v>67</v>
      </c>
      <c r="AZ44" s="100"/>
      <c r="BA44" s="100"/>
      <c r="BB44" s="101"/>
      <c r="BC44" s="4">
        <v>68</v>
      </c>
      <c r="BD44" s="100"/>
      <c r="BE44" s="100"/>
      <c r="BF44" s="101"/>
      <c r="BG44" s="4">
        <v>69</v>
      </c>
      <c r="BH44" s="100"/>
      <c r="BI44" s="100"/>
      <c r="BJ44" s="101"/>
      <c r="BK44" s="4">
        <v>70</v>
      </c>
      <c r="BL44" s="100"/>
      <c r="BM44" s="100"/>
      <c r="BN44" s="101"/>
      <c r="BO44" s="4">
        <v>71</v>
      </c>
      <c r="BP44" s="100"/>
      <c r="BQ44" s="100"/>
      <c r="BR44" s="101"/>
      <c r="BS44" s="4">
        <v>72</v>
      </c>
      <c r="BT44" s="100"/>
      <c r="BU44" s="100"/>
      <c r="BV44" s="101"/>
      <c r="CB44" s="5"/>
    </row>
    <row r="45" spans="1:80" ht="21" customHeight="1" x14ac:dyDescent="0.55000000000000004">
      <c r="A45" s="5"/>
      <c r="AM45" s="91"/>
      <c r="AN45" s="92"/>
      <c r="AO45" s="92"/>
      <c r="AP45" s="93"/>
      <c r="AQ45" s="91"/>
      <c r="AR45" s="92"/>
      <c r="AS45" s="92"/>
      <c r="AT45" s="93"/>
      <c r="AU45" s="91"/>
      <c r="AV45" s="92"/>
      <c r="AW45" s="92"/>
      <c r="AX45" s="93"/>
      <c r="AY45" s="91"/>
      <c r="AZ45" s="92"/>
      <c r="BA45" s="92"/>
      <c r="BB45" s="93"/>
      <c r="BC45" s="91"/>
      <c r="BD45" s="92"/>
      <c r="BE45" s="92"/>
      <c r="BF45" s="93"/>
      <c r="BG45" s="91"/>
      <c r="BH45" s="92"/>
      <c r="BI45" s="92"/>
      <c r="BJ45" s="93"/>
      <c r="BK45" s="91"/>
      <c r="BL45" s="92"/>
      <c r="BM45" s="92"/>
      <c r="BN45" s="93"/>
      <c r="BO45" s="91"/>
      <c r="BP45" s="92"/>
      <c r="BQ45" s="92"/>
      <c r="BR45" s="93"/>
      <c r="BS45" s="91"/>
      <c r="BT45" s="92"/>
      <c r="BU45" s="92"/>
      <c r="BV45" s="93"/>
      <c r="CB45" s="5"/>
    </row>
    <row r="46" spans="1:80" ht="21" customHeight="1" x14ac:dyDescent="0.55000000000000004">
      <c r="A46" s="5"/>
      <c r="G46" s="2" t="s">
        <v>172</v>
      </c>
      <c r="AM46" s="94"/>
      <c r="AN46" s="95"/>
      <c r="AO46" s="95"/>
      <c r="AP46" s="96"/>
      <c r="AQ46" s="94"/>
      <c r="AR46" s="95"/>
      <c r="AS46" s="95"/>
      <c r="AT46" s="96"/>
      <c r="AU46" s="94"/>
      <c r="AV46" s="95"/>
      <c r="AW46" s="95"/>
      <c r="AX46" s="96"/>
      <c r="AY46" s="94"/>
      <c r="AZ46" s="95"/>
      <c r="BA46" s="95"/>
      <c r="BB46" s="96"/>
      <c r="BC46" s="94"/>
      <c r="BD46" s="95"/>
      <c r="BE46" s="95"/>
      <c r="BF46" s="96"/>
      <c r="BG46" s="94"/>
      <c r="BH46" s="95"/>
      <c r="BI46" s="95"/>
      <c r="BJ46" s="96"/>
      <c r="BK46" s="94"/>
      <c r="BL46" s="95"/>
      <c r="BM46" s="95"/>
      <c r="BN46" s="96"/>
      <c r="BO46" s="94"/>
      <c r="BP46" s="95"/>
      <c r="BQ46" s="95"/>
      <c r="BR46" s="96"/>
      <c r="BS46" s="94"/>
      <c r="BT46" s="95"/>
      <c r="BU46" s="95"/>
      <c r="BV46" s="96"/>
      <c r="CB46" s="5"/>
    </row>
    <row r="47" spans="1:80" ht="21" customHeight="1" thickBot="1" x14ac:dyDescent="0.6">
      <c r="A47" s="5"/>
      <c r="G47" s="15" t="s">
        <v>171</v>
      </c>
      <c r="AM47" s="97"/>
      <c r="AN47" s="98"/>
      <c r="AO47" s="98"/>
      <c r="AP47" s="99"/>
      <c r="AQ47" s="97"/>
      <c r="AR47" s="98"/>
      <c r="AS47" s="98"/>
      <c r="AT47" s="99"/>
      <c r="AU47" s="97"/>
      <c r="AV47" s="98"/>
      <c r="AW47" s="98"/>
      <c r="AX47" s="99"/>
      <c r="AY47" s="97"/>
      <c r="AZ47" s="98"/>
      <c r="BA47" s="98"/>
      <c r="BB47" s="99"/>
      <c r="BC47" s="97"/>
      <c r="BD47" s="98"/>
      <c r="BE47" s="98"/>
      <c r="BF47" s="99"/>
      <c r="BG47" s="97"/>
      <c r="BH47" s="98"/>
      <c r="BI47" s="98"/>
      <c r="BJ47" s="99"/>
      <c r="BK47" s="97"/>
      <c r="BL47" s="98"/>
      <c r="BM47" s="98"/>
      <c r="BN47" s="99"/>
      <c r="BO47" s="97"/>
      <c r="BP47" s="98"/>
      <c r="BQ47" s="98"/>
      <c r="BR47" s="99"/>
      <c r="BS47" s="97"/>
      <c r="BT47" s="98"/>
      <c r="BU47" s="98"/>
      <c r="BV47" s="99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/>
      <c r="I16" s="100"/>
      <c r="J16" s="101"/>
      <c r="K16" s="4">
        <v>2</v>
      </c>
      <c r="L16" s="100"/>
      <c r="M16" s="100"/>
      <c r="N16" s="101"/>
      <c r="O16" s="4">
        <v>3</v>
      </c>
      <c r="P16" s="100"/>
      <c r="Q16" s="100"/>
      <c r="R16" s="100"/>
      <c r="S16" s="6"/>
      <c r="T16" s="6"/>
      <c r="U16" s="6"/>
      <c r="V16" s="6"/>
      <c r="W16" s="4">
        <v>4</v>
      </c>
      <c r="X16" s="100"/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/>
      <c r="AS16" s="100"/>
      <c r="AT16" s="101"/>
      <c r="AU16" s="4">
        <v>6</v>
      </c>
      <c r="AV16" s="100"/>
      <c r="AW16" s="100"/>
      <c r="AX16" s="101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91"/>
      <c r="H17" s="92"/>
      <c r="I17" s="92"/>
      <c r="J17" s="93"/>
      <c r="K17" s="91"/>
      <c r="L17" s="92"/>
      <c r="M17" s="92"/>
      <c r="N17" s="93"/>
      <c r="O17" s="91"/>
      <c r="P17" s="92"/>
      <c r="Q17" s="92"/>
      <c r="R17" s="92"/>
      <c r="W17" s="91"/>
      <c r="X17" s="92"/>
      <c r="Y17" s="92"/>
      <c r="Z17" s="92"/>
      <c r="AQ17" s="91"/>
      <c r="AR17" s="92"/>
      <c r="AS17" s="92"/>
      <c r="AT17" s="92"/>
      <c r="AU17" s="91"/>
      <c r="AV17" s="92"/>
      <c r="AW17" s="92"/>
      <c r="AX17" s="93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94"/>
      <c r="H18" s="95"/>
      <c r="I18" s="95"/>
      <c r="J18" s="96"/>
      <c r="K18" s="94"/>
      <c r="L18" s="95"/>
      <c r="M18" s="95"/>
      <c r="N18" s="96"/>
      <c r="O18" s="94"/>
      <c r="P18" s="95"/>
      <c r="Q18" s="95"/>
      <c r="R18" s="95"/>
      <c r="W18" s="94"/>
      <c r="X18" s="95"/>
      <c r="Y18" s="95"/>
      <c r="Z18" s="95"/>
      <c r="AQ18" s="94"/>
      <c r="AR18" s="95"/>
      <c r="AS18" s="95"/>
      <c r="AT18" s="95"/>
      <c r="AU18" s="94"/>
      <c r="AV18" s="95"/>
      <c r="AW18" s="95"/>
      <c r="AX18" s="96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97"/>
      <c r="H19" s="98"/>
      <c r="I19" s="98"/>
      <c r="J19" s="99"/>
      <c r="K19" s="104"/>
      <c r="L19" s="102"/>
      <c r="M19" s="102"/>
      <c r="N19" s="105"/>
      <c r="O19" s="97"/>
      <c r="P19" s="98"/>
      <c r="Q19" s="98"/>
      <c r="R19" s="98"/>
      <c r="W19" s="104"/>
      <c r="X19" s="102"/>
      <c r="Y19" s="102"/>
      <c r="Z19" s="102"/>
      <c r="AQ19" s="97"/>
      <c r="AR19" s="98"/>
      <c r="AS19" s="98"/>
      <c r="AT19" s="98"/>
      <c r="AU19" s="97"/>
      <c r="AV19" s="98"/>
      <c r="AW19" s="98"/>
      <c r="AX19" s="99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/>
      <c r="I20" s="100"/>
      <c r="J20" s="101"/>
      <c r="O20" s="4">
        <v>8</v>
      </c>
      <c r="P20" s="100"/>
      <c r="Q20" s="100"/>
      <c r="R20" s="101"/>
      <c r="W20" s="7"/>
      <c r="AQ20" s="4">
        <v>9</v>
      </c>
      <c r="AR20" s="100"/>
      <c r="AS20" s="100"/>
      <c r="AT20" s="101"/>
      <c r="AU20" s="4">
        <v>10</v>
      </c>
      <c r="AV20" s="100"/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91"/>
      <c r="H21" s="92"/>
      <c r="I21" s="92"/>
      <c r="J21" s="93"/>
      <c r="O21" s="91"/>
      <c r="P21" s="92"/>
      <c r="Q21" s="92"/>
      <c r="R21" s="93"/>
      <c r="W21" s="7"/>
      <c r="AQ21" s="91"/>
      <c r="AR21" s="92"/>
      <c r="AS21" s="92"/>
      <c r="AT21" s="93"/>
      <c r="AU21" s="91"/>
      <c r="AV21" s="92"/>
      <c r="AW21" s="92"/>
      <c r="AX21" s="92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94"/>
      <c r="H22" s="95"/>
      <c r="I22" s="95"/>
      <c r="J22" s="96"/>
      <c r="O22" s="94"/>
      <c r="P22" s="95"/>
      <c r="Q22" s="95"/>
      <c r="R22" s="96"/>
      <c r="W22" s="7"/>
      <c r="AQ22" s="94"/>
      <c r="AR22" s="95"/>
      <c r="AS22" s="95"/>
      <c r="AT22" s="96"/>
      <c r="AU22" s="94"/>
      <c r="AV22" s="95"/>
      <c r="AW22" s="95"/>
      <c r="AX22" s="95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04"/>
      <c r="H23" s="102"/>
      <c r="I23" s="102"/>
      <c r="J23" s="105"/>
      <c r="O23" s="97"/>
      <c r="P23" s="98"/>
      <c r="Q23" s="98"/>
      <c r="R23" s="99"/>
      <c r="W23" s="7"/>
      <c r="AQ23" s="97"/>
      <c r="AR23" s="98"/>
      <c r="AS23" s="98"/>
      <c r="AT23" s="99"/>
      <c r="AU23" s="97"/>
      <c r="AV23" s="98"/>
      <c r="AW23" s="98"/>
      <c r="AX23" s="98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/>
      <c r="Q24" s="100"/>
      <c r="R24" s="101"/>
      <c r="S24" s="4">
        <v>12</v>
      </c>
      <c r="T24" s="100"/>
      <c r="U24" s="100"/>
      <c r="V24" s="101"/>
      <c r="W24" s="4">
        <v>13</v>
      </c>
      <c r="X24" s="100"/>
      <c r="Y24" s="100"/>
      <c r="Z24" s="101"/>
      <c r="AA24" s="4">
        <v>14</v>
      </c>
      <c r="AB24" s="100"/>
      <c r="AC24" s="100"/>
      <c r="AD24" s="101"/>
      <c r="AE24" s="4">
        <v>15</v>
      </c>
      <c r="AF24" s="100"/>
      <c r="AG24" s="100"/>
      <c r="AH24" s="101"/>
      <c r="AI24" s="4">
        <v>16</v>
      </c>
      <c r="AJ24" s="100"/>
      <c r="AK24" s="100"/>
      <c r="AL24" s="101"/>
      <c r="AM24" s="4">
        <v>17</v>
      </c>
      <c r="AN24" s="100"/>
      <c r="AO24" s="100"/>
      <c r="AP24" s="101"/>
      <c r="AQ24" s="4">
        <v>18</v>
      </c>
      <c r="AR24" s="100"/>
      <c r="AS24" s="100"/>
      <c r="AT24" s="101"/>
      <c r="AU24" s="4">
        <v>19</v>
      </c>
      <c r="AV24" s="100"/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0"/>
      <c r="BQ24" s="100"/>
      <c r="BR24" s="101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91"/>
      <c r="P25" s="92"/>
      <c r="Q25" s="92"/>
      <c r="R25" s="93"/>
      <c r="S25" s="91"/>
      <c r="T25" s="92"/>
      <c r="U25" s="92"/>
      <c r="V25" s="93"/>
      <c r="W25" s="91"/>
      <c r="X25" s="92"/>
      <c r="Y25" s="92"/>
      <c r="Z25" s="93"/>
      <c r="AA25" s="91"/>
      <c r="AB25" s="92"/>
      <c r="AC25" s="92"/>
      <c r="AD25" s="93"/>
      <c r="AE25" s="91"/>
      <c r="AF25" s="92"/>
      <c r="AG25" s="92"/>
      <c r="AH25" s="93"/>
      <c r="AI25" s="91"/>
      <c r="AJ25" s="92"/>
      <c r="AK25" s="92"/>
      <c r="AL25" s="93"/>
      <c r="AM25" s="91"/>
      <c r="AN25" s="92"/>
      <c r="AO25" s="92"/>
      <c r="AP25" s="93"/>
      <c r="AQ25" s="91"/>
      <c r="AR25" s="92"/>
      <c r="AS25" s="92"/>
      <c r="AT25" s="93"/>
      <c r="AU25" s="91"/>
      <c r="AV25" s="92"/>
      <c r="AW25" s="92"/>
      <c r="AX25" s="92"/>
      <c r="BO25" s="91"/>
      <c r="BP25" s="92"/>
      <c r="BQ25" s="92"/>
      <c r="BR25" s="93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94"/>
      <c r="P26" s="95"/>
      <c r="Q26" s="95"/>
      <c r="R26" s="96"/>
      <c r="S26" s="94"/>
      <c r="T26" s="95"/>
      <c r="U26" s="95"/>
      <c r="V26" s="96"/>
      <c r="W26" s="94"/>
      <c r="X26" s="95"/>
      <c r="Y26" s="95"/>
      <c r="Z26" s="96"/>
      <c r="AA26" s="94"/>
      <c r="AB26" s="95"/>
      <c r="AC26" s="95"/>
      <c r="AD26" s="96"/>
      <c r="AE26" s="94"/>
      <c r="AF26" s="95"/>
      <c r="AG26" s="95"/>
      <c r="AH26" s="96"/>
      <c r="AI26" s="94"/>
      <c r="AJ26" s="95"/>
      <c r="AK26" s="95"/>
      <c r="AL26" s="96"/>
      <c r="AM26" s="94"/>
      <c r="AN26" s="95"/>
      <c r="AO26" s="95"/>
      <c r="AP26" s="96"/>
      <c r="AQ26" s="94"/>
      <c r="AR26" s="95"/>
      <c r="AS26" s="95"/>
      <c r="AT26" s="96"/>
      <c r="AU26" s="94"/>
      <c r="AV26" s="95"/>
      <c r="AW26" s="95"/>
      <c r="AX26" s="95"/>
      <c r="BO26" s="94"/>
      <c r="BP26" s="95"/>
      <c r="BQ26" s="95"/>
      <c r="BR26" s="96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97"/>
      <c r="P27" s="98"/>
      <c r="Q27" s="98"/>
      <c r="R27" s="99"/>
      <c r="S27" s="97"/>
      <c r="T27" s="98"/>
      <c r="U27" s="98"/>
      <c r="V27" s="99"/>
      <c r="W27" s="97"/>
      <c r="X27" s="98"/>
      <c r="Y27" s="98"/>
      <c r="Z27" s="99"/>
      <c r="AA27" s="97"/>
      <c r="AB27" s="98"/>
      <c r="AC27" s="98"/>
      <c r="AD27" s="99"/>
      <c r="AE27" s="97"/>
      <c r="AF27" s="98"/>
      <c r="AG27" s="98"/>
      <c r="AH27" s="99"/>
      <c r="AI27" s="97"/>
      <c r="AJ27" s="98"/>
      <c r="AK27" s="98"/>
      <c r="AL27" s="99"/>
      <c r="AM27" s="97"/>
      <c r="AN27" s="98"/>
      <c r="AO27" s="98"/>
      <c r="AP27" s="99"/>
      <c r="AQ27" s="97"/>
      <c r="AR27" s="98"/>
      <c r="AS27" s="98"/>
      <c r="AT27" s="99"/>
      <c r="AU27" s="97"/>
      <c r="AV27" s="98"/>
      <c r="AW27" s="98"/>
      <c r="AX27" s="98"/>
      <c r="BO27" s="97"/>
      <c r="BP27" s="98"/>
      <c r="BQ27" s="98"/>
      <c r="BR27" s="99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/>
      <c r="M28" s="100"/>
      <c r="N28" s="101"/>
      <c r="O28" s="4">
        <v>22</v>
      </c>
      <c r="P28" s="100"/>
      <c r="Q28" s="100"/>
      <c r="R28" s="100"/>
      <c r="S28" s="6"/>
      <c r="T28" s="6"/>
      <c r="U28" s="6"/>
      <c r="V28" s="6"/>
      <c r="W28" s="4">
        <v>23</v>
      </c>
      <c r="X28" s="100"/>
      <c r="Y28" s="100"/>
      <c r="Z28" s="101"/>
      <c r="AA28" s="4">
        <v>24</v>
      </c>
      <c r="AB28" s="100"/>
      <c r="AC28" s="100"/>
      <c r="AD28" s="100"/>
      <c r="AE28" s="6"/>
      <c r="AF28" s="6"/>
      <c r="AG28" s="6"/>
      <c r="AH28" s="6"/>
      <c r="AI28" s="4">
        <v>25</v>
      </c>
      <c r="AJ28" s="100"/>
      <c r="AK28" s="100"/>
      <c r="AL28" s="101"/>
      <c r="AM28" s="4">
        <v>26</v>
      </c>
      <c r="AN28" s="100"/>
      <c r="AO28" s="100"/>
      <c r="AP28" s="101"/>
      <c r="AQ28" s="4">
        <v>27</v>
      </c>
      <c r="AR28" s="100"/>
      <c r="AS28" s="100"/>
      <c r="AT28" s="101"/>
      <c r="AU28" s="4">
        <v>28</v>
      </c>
      <c r="AV28" s="100"/>
      <c r="AW28" s="100"/>
      <c r="AX28" s="101"/>
      <c r="AY28" s="4">
        <v>29</v>
      </c>
      <c r="AZ28" s="100"/>
      <c r="BA28" s="100"/>
      <c r="BB28" s="101"/>
      <c r="BC28" s="4">
        <v>30</v>
      </c>
      <c r="BD28" s="100"/>
      <c r="BE28" s="100"/>
      <c r="BF28" s="101"/>
      <c r="BG28" s="4">
        <v>31</v>
      </c>
      <c r="BH28" s="100"/>
      <c r="BI28" s="100"/>
      <c r="BJ28" s="101"/>
      <c r="BK28" s="4">
        <v>32</v>
      </c>
      <c r="BL28" s="100"/>
      <c r="BM28" s="100"/>
      <c r="BN28" s="101"/>
      <c r="BO28" s="4">
        <v>33</v>
      </c>
      <c r="BP28" s="100"/>
      <c r="BQ28" s="100"/>
      <c r="BR28" s="101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91"/>
      <c r="L29" s="92"/>
      <c r="M29" s="92"/>
      <c r="N29" s="93"/>
      <c r="O29" s="91"/>
      <c r="P29" s="92"/>
      <c r="Q29" s="92"/>
      <c r="R29" s="92"/>
      <c r="V29" s="8"/>
      <c r="W29" s="91"/>
      <c r="X29" s="92"/>
      <c r="Y29" s="92"/>
      <c r="Z29" s="93"/>
      <c r="AA29" s="91"/>
      <c r="AB29" s="92"/>
      <c r="AC29" s="92"/>
      <c r="AD29" s="92"/>
      <c r="AI29" s="91"/>
      <c r="AJ29" s="92"/>
      <c r="AK29" s="92"/>
      <c r="AL29" s="93"/>
      <c r="AM29" s="91"/>
      <c r="AN29" s="92"/>
      <c r="AO29" s="92"/>
      <c r="AP29" s="93"/>
      <c r="AQ29" s="91"/>
      <c r="AR29" s="92"/>
      <c r="AS29" s="92"/>
      <c r="AT29" s="93"/>
      <c r="AU29" s="91"/>
      <c r="AV29" s="92"/>
      <c r="AW29" s="92"/>
      <c r="AX29" s="93"/>
      <c r="AY29" s="91"/>
      <c r="AZ29" s="92"/>
      <c r="BA29" s="92"/>
      <c r="BB29" s="93"/>
      <c r="BC29" s="91"/>
      <c r="BD29" s="92"/>
      <c r="BE29" s="92"/>
      <c r="BF29" s="93"/>
      <c r="BG29" s="91"/>
      <c r="BH29" s="92"/>
      <c r="BI29" s="92"/>
      <c r="BJ29" s="93"/>
      <c r="BK29" s="91"/>
      <c r="BL29" s="92"/>
      <c r="BM29" s="92"/>
      <c r="BN29" s="93"/>
      <c r="BO29" s="91"/>
      <c r="BP29" s="92"/>
      <c r="BQ29" s="92"/>
      <c r="BR29" s="93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94"/>
      <c r="L30" s="95"/>
      <c r="M30" s="95"/>
      <c r="N30" s="96"/>
      <c r="O30" s="94"/>
      <c r="P30" s="95"/>
      <c r="Q30" s="95"/>
      <c r="R30" s="95"/>
      <c r="V30" s="8"/>
      <c r="W30" s="94"/>
      <c r="X30" s="95"/>
      <c r="Y30" s="95"/>
      <c r="Z30" s="96"/>
      <c r="AA30" s="94"/>
      <c r="AB30" s="95"/>
      <c r="AC30" s="95"/>
      <c r="AD30" s="95"/>
      <c r="AI30" s="94"/>
      <c r="AJ30" s="95"/>
      <c r="AK30" s="95"/>
      <c r="AL30" s="96"/>
      <c r="AM30" s="94"/>
      <c r="AN30" s="95"/>
      <c r="AO30" s="95"/>
      <c r="AP30" s="96"/>
      <c r="AQ30" s="94"/>
      <c r="AR30" s="95"/>
      <c r="AS30" s="95"/>
      <c r="AT30" s="96"/>
      <c r="AU30" s="94"/>
      <c r="AV30" s="95"/>
      <c r="AW30" s="95"/>
      <c r="AX30" s="96"/>
      <c r="AY30" s="94"/>
      <c r="AZ30" s="95"/>
      <c r="BA30" s="95"/>
      <c r="BB30" s="96"/>
      <c r="BC30" s="94"/>
      <c r="BD30" s="95"/>
      <c r="BE30" s="95"/>
      <c r="BF30" s="96"/>
      <c r="BG30" s="94"/>
      <c r="BH30" s="95"/>
      <c r="BI30" s="95"/>
      <c r="BJ30" s="96"/>
      <c r="BK30" s="94"/>
      <c r="BL30" s="95"/>
      <c r="BM30" s="95"/>
      <c r="BN30" s="96"/>
      <c r="BO30" s="94"/>
      <c r="BP30" s="95"/>
      <c r="BQ30" s="95"/>
      <c r="BR30" s="96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97"/>
      <c r="L31" s="98"/>
      <c r="M31" s="98"/>
      <c r="N31" s="99"/>
      <c r="O31" s="97"/>
      <c r="P31" s="98"/>
      <c r="Q31" s="98"/>
      <c r="R31" s="98"/>
      <c r="S31" s="11"/>
      <c r="T31" s="11"/>
      <c r="U31" s="11"/>
      <c r="V31" s="13"/>
      <c r="W31" s="104"/>
      <c r="X31" s="102"/>
      <c r="Y31" s="102"/>
      <c r="Z31" s="105"/>
      <c r="AA31" s="97"/>
      <c r="AB31" s="98"/>
      <c r="AC31" s="98"/>
      <c r="AD31" s="98"/>
      <c r="AI31" s="97"/>
      <c r="AJ31" s="98"/>
      <c r="AK31" s="98"/>
      <c r="AL31" s="99"/>
      <c r="AM31" s="97"/>
      <c r="AN31" s="98"/>
      <c r="AO31" s="98"/>
      <c r="AP31" s="99"/>
      <c r="AQ31" s="97"/>
      <c r="AR31" s="98"/>
      <c r="AS31" s="98"/>
      <c r="AT31" s="99"/>
      <c r="AU31" s="97"/>
      <c r="AV31" s="98"/>
      <c r="AW31" s="98"/>
      <c r="AX31" s="99"/>
      <c r="AY31" s="97"/>
      <c r="AZ31" s="98"/>
      <c r="BA31" s="98"/>
      <c r="BB31" s="99"/>
      <c r="BC31" s="97"/>
      <c r="BD31" s="98"/>
      <c r="BE31" s="98"/>
      <c r="BF31" s="99"/>
      <c r="BG31" s="97"/>
      <c r="BH31" s="98"/>
      <c r="BI31" s="98"/>
      <c r="BJ31" s="99"/>
      <c r="BK31" s="97"/>
      <c r="BL31" s="98"/>
      <c r="BM31" s="98"/>
      <c r="BN31" s="99"/>
      <c r="BO31" s="97"/>
      <c r="BP31" s="98"/>
      <c r="BQ31" s="98"/>
      <c r="BR31" s="99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/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/>
      <c r="U32" s="100"/>
      <c r="V32" s="101"/>
      <c r="AA32" s="4">
        <v>36</v>
      </c>
      <c r="AB32" s="100"/>
      <c r="AC32" s="100"/>
      <c r="AD32" s="101"/>
      <c r="AE32" s="4">
        <v>37</v>
      </c>
      <c r="AF32" s="100"/>
      <c r="AG32" s="100"/>
      <c r="AH32" s="101"/>
      <c r="AI32" s="4">
        <v>38</v>
      </c>
      <c r="AJ32" s="100"/>
      <c r="AK32" s="100"/>
      <c r="AL32" s="101"/>
      <c r="AM32" s="4">
        <v>39</v>
      </c>
      <c r="AN32" s="100"/>
      <c r="AO32" s="100"/>
      <c r="AP32" s="100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12">
        <v>44</v>
      </c>
      <c r="BL32" s="100"/>
      <c r="BM32" s="100"/>
      <c r="BN32" s="100"/>
      <c r="BO32" s="6"/>
      <c r="BP32" s="6"/>
      <c r="BQ32" s="6"/>
      <c r="BR32" s="9"/>
      <c r="BS32" s="4">
        <v>45</v>
      </c>
      <c r="BT32" s="100"/>
      <c r="BU32" s="100"/>
      <c r="BV32" s="101"/>
      <c r="BX32" s="55"/>
      <c r="BY32" s="53"/>
      <c r="BZ32" s="54"/>
      <c r="CB32" s="5"/>
    </row>
    <row r="33" spans="1:80" ht="21" customHeight="1" x14ac:dyDescent="0.55000000000000004">
      <c r="A33" s="5"/>
      <c r="G33" s="91"/>
      <c r="H33" s="92"/>
      <c r="I33" s="92"/>
      <c r="J33" s="92"/>
      <c r="R33" s="8"/>
      <c r="S33" s="91"/>
      <c r="T33" s="92"/>
      <c r="U33" s="92"/>
      <c r="V33" s="93"/>
      <c r="W33" s="7"/>
      <c r="Z33" s="8"/>
      <c r="AA33" s="91"/>
      <c r="AB33" s="92"/>
      <c r="AC33" s="92"/>
      <c r="AD33" s="93"/>
      <c r="AE33" s="91"/>
      <c r="AF33" s="92"/>
      <c r="AG33" s="92"/>
      <c r="AH33" s="93"/>
      <c r="AI33" s="91"/>
      <c r="AJ33" s="92"/>
      <c r="AK33" s="92"/>
      <c r="AL33" s="93"/>
      <c r="AM33" s="91"/>
      <c r="AN33" s="92"/>
      <c r="AO33" s="92"/>
      <c r="AP33" s="92"/>
      <c r="AU33" s="45"/>
      <c r="AY33" s="44"/>
      <c r="BC33" s="44"/>
      <c r="BG33" s="44"/>
      <c r="BK33" s="91"/>
      <c r="BL33" s="92"/>
      <c r="BM33" s="92"/>
      <c r="BN33" s="92"/>
      <c r="BR33" s="8"/>
      <c r="BS33" s="91"/>
      <c r="BT33" s="92"/>
      <c r="BU33" s="92"/>
      <c r="BV33" s="93"/>
      <c r="BX33" s="55"/>
      <c r="BY33" s="53"/>
      <c r="BZ33" s="54"/>
      <c r="CB33" s="5"/>
    </row>
    <row r="34" spans="1:80" ht="21" customHeight="1" x14ac:dyDescent="0.55000000000000004">
      <c r="A34" s="5"/>
      <c r="G34" s="94"/>
      <c r="H34" s="95"/>
      <c r="I34" s="95"/>
      <c r="J34" s="95"/>
      <c r="R34" s="8"/>
      <c r="S34" s="94"/>
      <c r="T34" s="95"/>
      <c r="U34" s="95"/>
      <c r="V34" s="96"/>
      <c r="W34" s="7"/>
      <c r="Z34" s="8"/>
      <c r="AA34" s="94"/>
      <c r="AB34" s="95"/>
      <c r="AC34" s="95"/>
      <c r="AD34" s="96"/>
      <c r="AE34" s="94"/>
      <c r="AF34" s="95"/>
      <c r="AG34" s="95"/>
      <c r="AH34" s="96"/>
      <c r="AI34" s="94"/>
      <c r="AJ34" s="95"/>
      <c r="AK34" s="95"/>
      <c r="AL34" s="96"/>
      <c r="AM34" s="94"/>
      <c r="AN34" s="95"/>
      <c r="AO34" s="95"/>
      <c r="AP34" s="95"/>
      <c r="AU34" s="7"/>
      <c r="BK34" s="94"/>
      <c r="BL34" s="95"/>
      <c r="BM34" s="95"/>
      <c r="BN34" s="95"/>
      <c r="BR34" s="8"/>
      <c r="BS34" s="94"/>
      <c r="BT34" s="95"/>
      <c r="BU34" s="95"/>
      <c r="BV34" s="96"/>
      <c r="BX34" s="55"/>
      <c r="BY34" s="53"/>
      <c r="BZ34" s="54"/>
      <c r="CB34" s="5"/>
    </row>
    <row r="35" spans="1:80" ht="21" customHeight="1" thickBot="1" x14ac:dyDescent="0.6">
      <c r="A35" s="5"/>
      <c r="G35" s="97"/>
      <c r="H35" s="98"/>
      <c r="I35" s="98"/>
      <c r="J35" s="98"/>
      <c r="R35" s="8"/>
      <c r="S35" s="97"/>
      <c r="T35" s="98"/>
      <c r="U35" s="98"/>
      <c r="V35" s="99"/>
      <c r="W35" s="10"/>
      <c r="X35" s="11"/>
      <c r="Y35" s="11"/>
      <c r="Z35" s="13"/>
      <c r="AA35" s="97"/>
      <c r="AB35" s="98"/>
      <c r="AC35" s="98"/>
      <c r="AD35" s="99"/>
      <c r="AE35" s="97"/>
      <c r="AF35" s="98"/>
      <c r="AG35" s="98"/>
      <c r="AH35" s="99"/>
      <c r="AI35" s="97"/>
      <c r="AJ35" s="98"/>
      <c r="AK35" s="98"/>
      <c r="AL35" s="99"/>
      <c r="AM35" s="97"/>
      <c r="AN35" s="98"/>
      <c r="AO35" s="98"/>
      <c r="AP35" s="98"/>
      <c r="AU35" s="7"/>
      <c r="BK35" s="97"/>
      <c r="BL35" s="98"/>
      <c r="BM35" s="98"/>
      <c r="BN35" s="98"/>
      <c r="BO35" s="11"/>
      <c r="BP35" s="11"/>
      <c r="BQ35" s="11"/>
      <c r="BR35" s="13"/>
      <c r="BS35" s="97"/>
      <c r="BT35" s="98"/>
      <c r="BU35" s="98"/>
      <c r="BV35" s="99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0"/>
      <c r="I36" s="100"/>
      <c r="J36" s="101"/>
      <c r="R36" s="8"/>
      <c r="S36" s="4">
        <v>47</v>
      </c>
      <c r="T36" s="100"/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/>
      <c r="AK36" s="100"/>
      <c r="AL36" s="101"/>
      <c r="AM36" s="4">
        <v>49</v>
      </c>
      <c r="AN36" s="100"/>
      <c r="AO36" s="100"/>
      <c r="AP36" s="101"/>
      <c r="AQ36" s="4">
        <v>50</v>
      </c>
      <c r="AR36" s="100"/>
      <c r="AS36" s="100"/>
      <c r="AT36" s="101"/>
      <c r="AU36" s="4">
        <v>51</v>
      </c>
      <c r="AV36" s="100"/>
      <c r="AW36" s="100"/>
      <c r="AX36" s="101"/>
      <c r="AY36" s="30"/>
      <c r="BC36" s="3" t="s">
        <v>163</v>
      </c>
      <c r="BD36" s="103"/>
      <c r="BE36" s="103"/>
      <c r="BF36" s="103"/>
      <c r="BG36" s="31"/>
      <c r="BJ36" s="8"/>
      <c r="BK36" s="4">
        <v>55</v>
      </c>
      <c r="BL36" s="100"/>
      <c r="BM36" s="100"/>
      <c r="BN36" s="100"/>
      <c r="BS36" s="4">
        <v>56</v>
      </c>
      <c r="BT36" s="100"/>
      <c r="BU36" s="100"/>
      <c r="BV36" s="101"/>
      <c r="BX36" s="55"/>
      <c r="BY36" s="53"/>
      <c r="BZ36" s="54"/>
      <c r="CB36" s="5"/>
    </row>
    <row r="37" spans="1:80" ht="21" customHeight="1" x14ac:dyDescent="0.55000000000000004">
      <c r="A37" s="5"/>
      <c r="G37" s="91"/>
      <c r="H37" s="92"/>
      <c r="I37" s="92"/>
      <c r="J37" s="93"/>
      <c r="R37" s="8"/>
      <c r="S37" s="91"/>
      <c r="T37" s="92"/>
      <c r="U37" s="92"/>
      <c r="V37" s="92"/>
      <c r="AI37" s="91"/>
      <c r="AJ37" s="92"/>
      <c r="AK37" s="92"/>
      <c r="AL37" s="93"/>
      <c r="AM37" s="91"/>
      <c r="AN37" s="92"/>
      <c r="AO37" s="92"/>
      <c r="AP37" s="93"/>
      <c r="AQ37" s="91"/>
      <c r="AR37" s="92"/>
      <c r="AS37" s="92"/>
      <c r="AT37" s="93"/>
      <c r="AU37" s="91"/>
      <c r="AV37" s="92"/>
      <c r="AW37" s="92"/>
      <c r="AX37" s="93"/>
      <c r="AY37" s="44"/>
      <c r="BC37" s="92"/>
      <c r="BD37" s="92"/>
      <c r="BE37" s="92"/>
      <c r="BF37" s="92"/>
      <c r="BG37" s="44"/>
      <c r="BK37" s="91"/>
      <c r="BL37" s="92"/>
      <c r="BM37" s="92"/>
      <c r="BN37" s="92"/>
      <c r="BS37" s="91"/>
      <c r="BT37" s="92"/>
      <c r="BU37" s="92"/>
      <c r="BV37" s="93"/>
      <c r="CB37" s="5"/>
    </row>
    <row r="38" spans="1:80" ht="21" customHeight="1" x14ac:dyDescent="0.55000000000000004">
      <c r="A38" s="5"/>
      <c r="G38" s="94"/>
      <c r="H38" s="95"/>
      <c r="I38" s="95"/>
      <c r="J38" s="96"/>
      <c r="R38" s="8"/>
      <c r="S38" s="94"/>
      <c r="T38" s="95"/>
      <c r="U38" s="95"/>
      <c r="V38" s="95"/>
      <c r="AI38" s="94"/>
      <c r="AJ38" s="95"/>
      <c r="AK38" s="95"/>
      <c r="AL38" s="96"/>
      <c r="AM38" s="94"/>
      <c r="AN38" s="95"/>
      <c r="AO38" s="95"/>
      <c r="AP38" s="96"/>
      <c r="AQ38" s="94"/>
      <c r="AR38" s="95"/>
      <c r="AS38" s="95"/>
      <c r="AT38" s="96"/>
      <c r="AU38" s="94"/>
      <c r="AV38" s="95"/>
      <c r="AW38" s="95"/>
      <c r="AX38" s="96"/>
      <c r="BC38" s="95"/>
      <c r="BD38" s="95"/>
      <c r="BE38" s="95"/>
      <c r="BF38" s="95"/>
      <c r="BK38" s="94"/>
      <c r="BL38" s="95"/>
      <c r="BM38" s="95"/>
      <c r="BN38" s="95"/>
      <c r="BS38" s="94"/>
      <c r="BT38" s="95"/>
      <c r="BU38" s="95"/>
      <c r="BV38" s="96"/>
      <c r="CB38" s="5"/>
    </row>
    <row r="39" spans="1:80" ht="21" customHeight="1" thickBot="1" x14ac:dyDescent="0.6">
      <c r="A39" s="5"/>
      <c r="G39" s="97"/>
      <c r="H39" s="98"/>
      <c r="I39" s="98"/>
      <c r="J39" s="99"/>
      <c r="R39" s="8"/>
      <c r="S39" s="104"/>
      <c r="T39" s="102"/>
      <c r="U39" s="102"/>
      <c r="V39" s="102"/>
      <c r="AI39" s="97"/>
      <c r="AJ39" s="98"/>
      <c r="AK39" s="98"/>
      <c r="AL39" s="99"/>
      <c r="AM39" s="97"/>
      <c r="AN39" s="98"/>
      <c r="AO39" s="98"/>
      <c r="AP39" s="99"/>
      <c r="AQ39" s="97"/>
      <c r="AR39" s="98"/>
      <c r="AS39" s="98"/>
      <c r="AT39" s="99"/>
      <c r="AU39" s="97"/>
      <c r="AV39" s="98"/>
      <c r="AW39" s="98"/>
      <c r="AX39" s="99"/>
      <c r="BC39" s="102"/>
      <c r="BD39" s="102"/>
      <c r="BE39" s="102"/>
      <c r="BF39" s="102"/>
      <c r="BK39" s="104"/>
      <c r="BL39" s="102"/>
      <c r="BM39" s="102"/>
      <c r="BN39" s="102"/>
      <c r="BS39" s="97"/>
      <c r="BT39" s="98"/>
      <c r="BU39" s="98"/>
      <c r="BV39" s="99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/>
      <c r="AO40" s="100"/>
      <c r="AP40" s="101"/>
      <c r="AQ40" s="4">
        <v>58</v>
      </c>
      <c r="AR40" s="100"/>
      <c r="AS40" s="100"/>
      <c r="AT40" s="101"/>
      <c r="AU40" s="4">
        <v>59</v>
      </c>
      <c r="AV40" s="100"/>
      <c r="AW40" s="100"/>
      <c r="AX40" s="101"/>
      <c r="AY40" s="31"/>
      <c r="BC40" s="31"/>
      <c r="BG40" s="31"/>
      <c r="BJ40" s="8"/>
      <c r="BK40" s="7"/>
      <c r="BS40" s="4">
        <v>63</v>
      </c>
      <c r="BT40" s="100"/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91"/>
      <c r="AN41" s="92"/>
      <c r="AO41" s="92"/>
      <c r="AP41" s="93"/>
      <c r="AQ41" s="91"/>
      <c r="AR41" s="92"/>
      <c r="AS41" s="92"/>
      <c r="AT41" s="93"/>
      <c r="AU41" s="91"/>
      <c r="AV41" s="92"/>
      <c r="AW41" s="92"/>
      <c r="AX41" s="93"/>
      <c r="AY41" s="44"/>
      <c r="BC41" s="44"/>
      <c r="BG41" s="44"/>
      <c r="BK41" s="7"/>
      <c r="BS41" s="91"/>
      <c r="BT41" s="92"/>
      <c r="BU41" s="92"/>
      <c r="BV41" s="93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94"/>
      <c r="AN42" s="95"/>
      <c r="AO42" s="95"/>
      <c r="AP42" s="96"/>
      <c r="AQ42" s="94"/>
      <c r="AR42" s="95"/>
      <c r="AS42" s="95"/>
      <c r="AT42" s="96"/>
      <c r="AU42" s="94"/>
      <c r="AV42" s="95"/>
      <c r="AW42" s="95"/>
      <c r="AX42" s="96"/>
      <c r="BK42" s="7"/>
      <c r="BS42" s="94"/>
      <c r="BT42" s="95"/>
      <c r="BU42" s="95"/>
      <c r="BV42" s="96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97"/>
      <c r="AN43" s="98"/>
      <c r="AO43" s="98"/>
      <c r="AP43" s="99"/>
      <c r="AQ43" s="97"/>
      <c r="AR43" s="98"/>
      <c r="AS43" s="98"/>
      <c r="AT43" s="99"/>
      <c r="AU43" s="97"/>
      <c r="AV43" s="98"/>
      <c r="AW43" s="98"/>
      <c r="AX43" s="99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97"/>
      <c r="BT43" s="98"/>
      <c r="BU43" s="98"/>
      <c r="BV43" s="99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/>
      <c r="AO44" s="100"/>
      <c r="AP44" s="101"/>
      <c r="AQ44" s="4">
        <v>65</v>
      </c>
      <c r="AR44" s="100"/>
      <c r="AS44" s="100"/>
      <c r="AT44" s="101"/>
      <c r="AU44" s="4">
        <v>66</v>
      </c>
      <c r="AV44" s="100"/>
      <c r="AW44" s="100"/>
      <c r="AX44" s="101"/>
      <c r="AY44" s="4">
        <v>67</v>
      </c>
      <c r="AZ44" s="100"/>
      <c r="BA44" s="100"/>
      <c r="BB44" s="101"/>
      <c r="BC44" s="4">
        <v>68</v>
      </c>
      <c r="BD44" s="100"/>
      <c r="BE44" s="100"/>
      <c r="BF44" s="101"/>
      <c r="BG44" s="4">
        <v>69</v>
      </c>
      <c r="BH44" s="100"/>
      <c r="BI44" s="100"/>
      <c r="BJ44" s="101"/>
      <c r="BK44" s="4">
        <v>70</v>
      </c>
      <c r="BL44" s="100"/>
      <c r="BM44" s="100"/>
      <c r="BN44" s="101"/>
      <c r="BO44" s="4">
        <v>71</v>
      </c>
      <c r="BP44" s="100"/>
      <c r="BQ44" s="100"/>
      <c r="BR44" s="101"/>
      <c r="BS44" s="4">
        <v>72</v>
      </c>
      <c r="BT44" s="100"/>
      <c r="BU44" s="100"/>
      <c r="BV44" s="101"/>
      <c r="CB44" s="5"/>
    </row>
    <row r="45" spans="1:80" ht="21" customHeight="1" x14ac:dyDescent="0.55000000000000004">
      <c r="A45" s="5"/>
      <c r="AM45" s="91"/>
      <c r="AN45" s="92"/>
      <c r="AO45" s="92"/>
      <c r="AP45" s="93"/>
      <c r="AQ45" s="91"/>
      <c r="AR45" s="92"/>
      <c r="AS45" s="92"/>
      <c r="AT45" s="93"/>
      <c r="AU45" s="91"/>
      <c r="AV45" s="92"/>
      <c r="AW45" s="92"/>
      <c r="AX45" s="93"/>
      <c r="AY45" s="91"/>
      <c r="AZ45" s="92"/>
      <c r="BA45" s="92"/>
      <c r="BB45" s="93"/>
      <c r="BC45" s="91"/>
      <c r="BD45" s="92"/>
      <c r="BE45" s="92"/>
      <c r="BF45" s="93"/>
      <c r="BG45" s="91"/>
      <c r="BH45" s="92"/>
      <c r="BI45" s="92"/>
      <c r="BJ45" s="93"/>
      <c r="BK45" s="91"/>
      <c r="BL45" s="92"/>
      <c r="BM45" s="92"/>
      <c r="BN45" s="93"/>
      <c r="BO45" s="91"/>
      <c r="BP45" s="92"/>
      <c r="BQ45" s="92"/>
      <c r="BR45" s="93"/>
      <c r="BS45" s="91"/>
      <c r="BT45" s="92"/>
      <c r="BU45" s="92"/>
      <c r="BV45" s="93"/>
      <c r="CB45" s="5"/>
    </row>
    <row r="46" spans="1:80" ht="21" customHeight="1" x14ac:dyDescent="0.55000000000000004">
      <c r="A46" s="5"/>
      <c r="G46" s="2" t="s">
        <v>172</v>
      </c>
      <c r="AM46" s="94"/>
      <c r="AN46" s="95"/>
      <c r="AO46" s="95"/>
      <c r="AP46" s="96"/>
      <c r="AQ46" s="94"/>
      <c r="AR46" s="95"/>
      <c r="AS46" s="95"/>
      <c r="AT46" s="96"/>
      <c r="AU46" s="94"/>
      <c r="AV46" s="95"/>
      <c r="AW46" s="95"/>
      <c r="AX46" s="96"/>
      <c r="AY46" s="94"/>
      <c r="AZ46" s="95"/>
      <c r="BA46" s="95"/>
      <c r="BB46" s="96"/>
      <c r="BC46" s="94"/>
      <c r="BD46" s="95"/>
      <c r="BE46" s="95"/>
      <c r="BF46" s="96"/>
      <c r="BG46" s="94"/>
      <c r="BH46" s="95"/>
      <c r="BI46" s="95"/>
      <c r="BJ46" s="96"/>
      <c r="BK46" s="94"/>
      <c r="BL46" s="95"/>
      <c r="BM46" s="95"/>
      <c r="BN46" s="96"/>
      <c r="BO46" s="94"/>
      <c r="BP46" s="95"/>
      <c r="BQ46" s="95"/>
      <c r="BR46" s="96"/>
      <c r="BS46" s="94"/>
      <c r="BT46" s="95"/>
      <c r="BU46" s="95"/>
      <c r="BV46" s="96"/>
      <c r="CB46" s="5"/>
    </row>
    <row r="47" spans="1:80" ht="21" customHeight="1" thickBot="1" x14ac:dyDescent="0.6">
      <c r="A47" s="5"/>
      <c r="G47" s="15" t="s">
        <v>171</v>
      </c>
      <c r="AM47" s="97"/>
      <c r="AN47" s="98"/>
      <c r="AO47" s="98"/>
      <c r="AP47" s="99"/>
      <c r="AQ47" s="97"/>
      <c r="AR47" s="98"/>
      <c r="AS47" s="98"/>
      <c r="AT47" s="99"/>
      <c r="AU47" s="97"/>
      <c r="AV47" s="98"/>
      <c r="AW47" s="98"/>
      <c r="AX47" s="99"/>
      <c r="AY47" s="97"/>
      <c r="AZ47" s="98"/>
      <c r="BA47" s="98"/>
      <c r="BB47" s="99"/>
      <c r="BC47" s="97"/>
      <c r="BD47" s="98"/>
      <c r="BE47" s="98"/>
      <c r="BF47" s="99"/>
      <c r="BG47" s="97"/>
      <c r="BH47" s="98"/>
      <c r="BI47" s="98"/>
      <c r="BJ47" s="99"/>
      <c r="BK47" s="97"/>
      <c r="BL47" s="98"/>
      <c r="BM47" s="98"/>
      <c r="BN47" s="99"/>
      <c r="BO47" s="97"/>
      <c r="BP47" s="98"/>
      <c r="BQ47" s="98"/>
      <c r="BR47" s="99"/>
      <c r="BS47" s="97"/>
      <c r="BT47" s="98"/>
      <c r="BU47" s="98"/>
      <c r="BV47" s="99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8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52" t="s">
        <v>185</v>
      </c>
      <c r="D5" s="153"/>
      <c r="E5" s="153"/>
      <c r="F5" s="154"/>
    </row>
    <row r="6" spans="1:80" ht="21" customHeight="1" x14ac:dyDescent="0.55000000000000004">
      <c r="C6" s="152" t="s">
        <v>186</v>
      </c>
      <c r="D6" s="153"/>
      <c r="E6" s="153"/>
      <c r="F6" s="154"/>
    </row>
    <row r="7" spans="1:80" ht="21" customHeight="1" thickBot="1" x14ac:dyDescent="0.6">
      <c r="C7" s="155" t="s">
        <v>187</v>
      </c>
      <c r="D7" s="156"/>
      <c r="E7" s="156"/>
      <c r="F7" s="157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thickBot="1" x14ac:dyDescent="0.6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78"/>
      <c r="D12" s="120" t="s">
        <v>286</v>
      </c>
      <c r="E12" s="120"/>
      <c r="F12" s="121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7"/>
      <c r="C13" s="149" t="s">
        <v>185</v>
      </c>
      <c r="D13" s="149"/>
      <c r="E13" s="149"/>
      <c r="F13" s="149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60"/>
      <c r="B14" s="67"/>
      <c r="C14" s="149" t="s">
        <v>186</v>
      </c>
      <c r="D14" s="149"/>
      <c r="E14" s="149"/>
      <c r="F14" s="149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60"/>
      <c r="B15" s="67"/>
      <c r="C15" s="158" t="s">
        <v>187</v>
      </c>
      <c r="D15" s="158"/>
      <c r="E15" s="158"/>
      <c r="F15" s="158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280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0" t="str">
        <f>VLOOKUP(G16,市町村データ領域,MATCH($D$4, 市町村データヘッダー, 0),FALSE)</f>
        <v>上里町</v>
      </c>
      <c r="I16" s="120"/>
      <c r="J16" s="121"/>
      <c r="K16" s="64">
        <v>2</v>
      </c>
      <c r="L16" s="120" t="str">
        <f>VLOOKUP(K16,市町村データ領域,MATCH($D$4, 市町村データヘッダー, 0),FALSE)</f>
        <v>本庄市</v>
      </c>
      <c r="M16" s="120"/>
      <c r="N16" s="121"/>
      <c r="O16" s="64">
        <v>3</v>
      </c>
      <c r="P16" s="120" t="str">
        <f>VLOOKUP(O16,市町村データ領域,MATCH($D$4, 市町村データヘッダー, 0),FALSE)</f>
        <v>深谷市</v>
      </c>
      <c r="Q16" s="120"/>
      <c r="R16" s="120"/>
      <c r="S16" s="66"/>
      <c r="T16" s="66"/>
      <c r="U16" s="66"/>
      <c r="V16" s="65"/>
      <c r="W16" s="64">
        <v>4</v>
      </c>
      <c r="X16" s="120" t="str">
        <f>VLOOKUP(W16,市町村データ領域,MATCH($D$4, 市町村データヘッダー, 0),FALSE)</f>
        <v>熊谷市</v>
      </c>
      <c r="Y16" s="120"/>
      <c r="Z16" s="120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0" t="str">
        <f>VLOOKUP(AQ16,市町村データ領域,MATCH($D$4, 市町村データヘッダー, 0),FALSE)</f>
        <v>行田市</v>
      </c>
      <c r="AS16" s="120"/>
      <c r="AT16" s="121"/>
      <c r="AU16" s="64">
        <v>6</v>
      </c>
      <c r="AV16" s="120" t="str">
        <f>VLOOKUP(AU16,市町村データ領域,MATCH($D$4, 市町村データヘッダー, 0),FALSE)</f>
        <v>羽生市</v>
      </c>
      <c r="AW16" s="120"/>
      <c r="AX16" s="121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46">
        <f>VLOOKUP(G16,市町村データ領域,MATCH($C$5, 市町村データヘッダー, 0),FALSE)</f>
        <v>1047</v>
      </c>
      <c r="H17" s="123"/>
      <c r="I17" s="123"/>
      <c r="J17" s="124"/>
      <c r="K17" s="147">
        <f>VLOOKUP(K16,市町村データ領域,MATCH($C$5, 市町村データヘッダー, 0),FALSE)</f>
        <v>862</v>
      </c>
      <c r="L17" s="123"/>
      <c r="M17" s="123"/>
      <c r="N17" s="124"/>
      <c r="O17" s="146">
        <f>VLOOKUP(O16,市町村データ領域,MATCH($C$5, 市町村データヘッダー, 0),FALSE)</f>
        <v>1022</v>
      </c>
      <c r="P17" s="123"/>
      <c r="Q17" s="123"/>
      <c r="R17" s="123"/>
      <c r="S17" s="60"/>
      <c r="T17" s="60"/>
      <c r="U17" s="60"/>
      <c r="V17" s="67"/>
      <c r="W17" s="146">
        <f>VLOOKUP(W16,市町村データ領域,MATCH($C$5, 市町村データヘッダー, 0),FALSE)</f>
        <v>1202</v>
      </c>
      <c r="X17" s="123"/>
      <c r="Y17" s="123"/>
      <c r="Z17" s="123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46">
        <f>VLOOKUP(AQ16,市町村データ領域,MATCH($C$5, 市町村データヘッダー, 0),FALSE)</f>
        <v>1162</v>
      </c>
      <c r="AR17" s="123"/>
      <c r="AS17" s="123"/>
      <c r="AT17" s="124"/>
      <c r="AU17" s="147">
        <f>VLOOKUP(AU16,市町村データ領域,MATCH($C$5, 市町村データヘッダー, 0),FALSE)</f>
        <v>918</v>
      </c>
      <c r="AV17" s="123"/>
      <c r="AW17" s="123"/>
      <c r="AX17" s="124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44">
        <f>VLOOKUP(G16,市町村データ領域,MATCH($C$6, 市町村データヘッダー, 0),FALSE)</f>
        <v>30549</v>
      </c>
      <c r="H18" s="114"/>
      <c r="I18" s="114"/>
      <c r="J18" s="115"/>
      <c r="K18" s="142">
        <f>VLOOKUP(K16,市町村データ領域,MATCH($C$6, 市町村データヘッダー, 0),FALSE)</f>
        <v>77285</v>
      </c>
      <c r="L18" s="114"/>
      <c r="M18" s="114"/>
      <c r="N18" s="115"/>
      <c r="O18" s="144">
        <f>VLOOKUP(O16,市町村データ領域,MATCH($C$6, 市町村データヘッダー, 0),FALSE)</f>
        <v>141419</v>
      </c>
      <c r="P18" s="114"/>
      <c r="Q18" s="114"/>
      <c r="R18" s="114"/>
      <c r="S18" s="60"/>
      <c r="T18" s="60"/>
      <c r="U18" s="60"/>
      <c r="V18" s="67"/>
      <c r="W18" s="144">
        <f>VLOOKUP(W16,市町村データ領域,MATCH($C$6, 市町村データヘッダー, 0),FALSE)</f>
        <v>192074</v>
      </c>
      <c r="X18" s="114"/>
      <c r="Y18" s="114"/>
      <c r="Z18" s="114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44">
        <f>VLOOKUP(AQ16,市町村データ領域,MATCH($C$6, 市町村データヘッダー, 0),FALSE)</f>
        <v>78416</v>
      </c>
      <c r="AR18" s="114"/>
      <c r="AS18" s="114"/>
      <c r="AT18" s="115"/>
      <c r="AU18" s="142">
        <f>VLOOKUP(AU16,市町村データ領域,MATCH($C$6, 市町村データヘッダー, 0),FALSE)</f>
        <v>53855</v>
      </c>
      <c r="AV18" s="114"/>
      <c r="AW18" s="114"/>
      <c r="AX18" s="115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41">
        <f>VLOOKUP(G16,市町村データ領域,MATCH($C$7, 市町村データヘッダー, 0),FALSE)</f>
        <v>29.2</v>
      </c>
      <c r="H19" s="107"/>
      <c r="I19" s="107"/>
      <c r="J19" s="108"/>
      <c r="K19" s="142">
        <f>VLOOKUP(K16,市町村データ領域,MATCH($C$7, 市町村データヘッダー, 0),FALSE)</f>
        <v>89.7</v>
      </c>
      <c r="L19" s="123"/>
      <c r="M19" s="123"/>
      <c r="N19" s="124"/>
      <c r="O19" s="141">
        <f>VLOOKUP(O16,市町村データ領域,MATCH($C$7, 市町村データヘッダー, 0),FALSE)</f>
        <v>138.4</v>
      </c>
      <c r="P19" s="107"/>
      <c r="Q19" s="107"/>
      <c r="R19" s="107"/>
      <c r="S19" s="60"/>
      <c r="T19" s="60"/>
      <c r="U19" s="60"/>
      <c r="V19" s="67"/>
      <c r="W19" s="144">
        <f>VLOOKUP(W16,市町村データ領域,MATCH($C$7, 市町村データヘッダー, 0),FALSE)</f>
        <v>159.80000000000001</v>
      </c>
      <c r="X19" s="123"/>
      <c r="Y19" s="123"/>
      <c r="Z19" s="123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41">
        <f>VLOOKUP(AQ16,市町村データ領域,MATCH($C$7, 市町村データヘッダー, 0),FALSE)</f>
        <v>67.5</v>
      </c>
      <c r="AR19" s="107"/>
      <c r="AS19" s="107"/>
      <c r="AT19" s="108"/>
      <c r="AU19" s="143">
        <f>VLOOKUP(AU16,市町村データ領域,MATCH($C$7, 市町村データヘッダー, 0),FALSE)</f>
        <v>58.7</v>
      </c>
      <c r="AV19" s="107"/>
      <c r="AW19" s="107"/>
      <c r="AX19" s="10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0" t="str">
        <f>VLOOKUP(G20,市町村データ領域,MATCH($D$4, 市町村データヘッダー, 0),FALSE)</f>
        <v>神川町</v>
      </c>
      <c r="I20" s="120"/>
      <c r="J20" s="121"/>
      <c r="K20" s="60"/>
      <c r="L20" s="60"/>
      <c r="M20" s="60"/>
      <c r="N20" s="67"/>
      <c r="O20" s="64">
        <v>8</v>
      </c>
      <c r="P20" s="120" t="str">
        <f>VLOOKUP(O20,市町村データ領域,MATCH($D$4, 市町村データヘッダー, 0),FALSE)</f>
        <v>美里町</v>
      </c>
      <c r="Q20" s="120"/>
      <c r="R20" s="121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0" t="str">
        <f>VLOOKUP(AQ20,市町村データ領域,MATCH($D$4, 市町村データヘッダー, 0),FALSE)</f>
        <v>鴻巣市</v>
      </c>
      <c r="AS20" s="120"/>
      <c r="AT20" s="121"/>
      <c r="AU20" s="64">
        <v>10</v>
      </c>
      <c r="AV20" s="120" t="str">
        <f>VLOOKUP(AU20,市町村データ領域,MATCH($D$4, 市町村データヘッダー, 0),FALSE)</f>
        <v>加須市</v>
      </c>
      <c r="AW20" s="120"/>
      <c r="AX20" s="120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47">
        <f>VLOOKUP(G20,市町村データ領域,MATCH($C$5, 市町村データヘッダー, 0),FALSE)</f>
        <v>272</v>
      </c>
      <c r="H21" s="123"/>
      <c r="I21" s="123"/>
      <c r="J21" s="124"/>
      <c r="K21" s="60"/>
      <c r="L21" s="60"/>
      <c r="M21" s="60"/>
      <c r="N21" s="67"/>
      <c r="O21" s="147">
        <f>VLOOKUP(O20,市町村データ領域,MATCH($C$5, 市町村データヘッダー, 0),FALSE)</f>
        <v>324</v>
      </c>
      <c r="P21" s="123"/>
      <c r="Q21" s="123"/>
      <c r="R21" s="124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46">
        <f>VLOOKUP(AQ20,市町村データ領域,MATCH($C$5, 市町村データヘッダー, 0),FALSE)</f>
        <v>1744</v>
      </c>
      <c r="AR21" s="123"/>
      <c r="AS21" s="123"/>
      <c r="AT21" s="124"/>
      <c r="AU21" s="147">
        <f>VLOOKUP(AU20,市町村データ領域,MATCH($C$5, 市町村データヘッダー, 0),FALSE)</f>
        <v>841</v>
      </c>
      <c r="AV21" s="123"/>
      <c r="AW21" s="123"/>
      <c r="AX21" s="123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42">
        <f>VLOOKUP(G20,市町村データ領域,MATCH($C$6, 市町村データヘッダー, 0),FALSE)</f>
        <v>12888</v>
      </c>
      <c r="H22" s="114"/>
      <c r="I22" s="114"/>
      <c r="J22" s="115"/>
      <c r="K22" s="60"/>
      <c r="L22" s="60"/>
      <c r="M22" s="60"/>
      <c r="N22" s="67"/>
      <c r="O22" s="142">
        <f>VLOOKUP(O20,市町村データ領域,MATCH($C$6, 市町村データヘッダー, 0),FALSE)</f>
        <v>10819</v>
      </c>
      <c r="P22" s="114"/>
      <c r="Q22" s="114"/>
      <c r="R22" s="115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44">
        <f>VLOOKUP(AQ20,市町村データ領域,MATCH($C$6, 市町村データヘッダー, 0),FALSE)</f>
        <v>117582</v>
      </c>
      <c r="AR22" s="114"/>
      <c r="AS22" s="114"/>
      <c r="AT22" s="115"/>
      <c r="AU22" s="142">
        <f>VLOOKUP(AU20,市町村データ領域,MATCH($C$6, 市町村データヘッダー, 0),FALSE)</f>
        <v>112163</v>
      </c>
      <c r="AV22" s="114"/>
      <c r="AW22" s="114"/>
      <c r="AX22" s="114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42">
        <f>VLOOKUP(G20,市町村データ領域,MATCH($C$7, 市町村データヘッダー, 0),FALSE)</f>
        <v>47.4</v>
      </c>
      <c r="H23" s="123"/>
      <c r="I23" s="123"/>
      <c r="J23" s="124"/>
      <c r="K23" s="60"/>
      <c r="L23" s="60"/>
      <c r="M23" s="60"/>
      <c r="N23" s="67"/>
      <c r="O23" s="143">
        <f>VLOOKUP(O20,市町村データ領域,MATCH($C$7, 市町村データヘッダー, 0),FALSE)</f>
        <v>33.4</v>
      </c>
      <c r="P23" s="107"/>
      <c r="Q23" s="107"/>
      <c r="R23" s="108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41">
        <f>VLOOKUP(AQ20,市町村データ領域,MATCH($C$7, 市町村データヘッダー, 0),FALSE)</f>
        <v>67.400000000000006</v>
      </c>
      <c r="AR23" s="107"/>
      <c r="AS23" s="107"/>
      <c r="AT23" s="108"/>
      <c r="AU23" s="143">
        <f>VLOOKUP(AU20,市町村データ領域,MATCH($C$7, 市町村データヘッダー, 0),FALSE)</f>
        <v>133.4</v>
      </c>
      <c r="AV23" s="107"/>
      <c r="AW23" s="107"/>
      <c r="AX23" s="107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0" t="str">
        <f>VLOOKUP(O24,市町村データ領域,MATCH($D$4, 市町村データヘッダー, 0),FALSE)</f>
        <v>長瀞町</v>
      </c>
      <c r="Q24" s="120"/>
      <c r="R24" s="121"/>
      <c r="S24" s="64">
        <v>12</v>
      </c>
      <c r="T24" s="120" t="str">
        <f>VLOOKUP(S24,市町村データ領域,MATCH($D$4, 市町村データヘッダー, 0),FALSE)</f>
        <v>寄居町</v>
      </c>
      <c r="U24" s="120"/>
      <c r="V24" s="121"/>
      <c r="W24" s="64">
        <v>13</v>
      </c>
      <c r="X24" s="120" t="str">
        <f>VLOOKUP(W24,市町村データ領域,MATCH($D$4, 市町村データヘッダー, 0),FALSE)</f>
        <v>小川町</v>
      </c>
      <c r="Y24" s="120"/>
      <c r="Z24" s="121"/>
      <c r="AA24" s="64">
        <v>14</v>
      </c>
      <c r="AB24" s="120" t="str">
        <f>VLOOKUP(AA24,市町村データ領域,MATCH($D$4, 市町村データヘッダー, 0),FALSE)</f>
        <v>嵐山町</v>
      </c>
      <c r="AC24" s="120"/>
      <c r="AD24" s="121"/>
      <c r="AE24" s="64">
        <v>15</v>
      </c>
      <c r="AF24" s="120" t="str">
        <f>VLOOKUP(AE24,市町村データ領域,MATCH($D$4, 市町村データヘッダー, 0),FALSE)</f>
        <v>滑川町</v>
      </c>
      <c r="AG24" s="120"/>
      <c r="AH24" s="121"/>
      <c r="AI24" s="64">
        <v>16</v>
      </c>
      <c r="AJ24" s="120" t="str">
        <f>VLOOKUP(AI24,市町村データ領域,MATCH($D$4, 市町村データヘッダー, 0),FALSE)</f>
        <v>東松山市</v>
      </c>
      <c r="AK24" s="120"/>
      <c r="AL24" s="121"/>
      <c r="AM24" s="64">
        <v>17</v>
      </c>
      <c r="AN24" s="120" t="str">
        <f>VLOOKUP(AM24,市町村データ領域,MATCH($D$4, 市町村データヘッダー, 0),FALSE)</f>
        <v>吉見町</v>
      </c>
      <c r="AO24" s="120"/>
      <c r="AP24" s="121"/>
      <c r="AQ24" s="64">
        <v>18</v>
      </c>
      <c r="AR24" s="120" t="str">
        <f>VLOOKUP(AQ24,市町村データ領域,MATCH($D$4, 市町村データヘッダー, 0),FALSE)</f>
        <v>北本市</v>
      </c>
      <c r="AS24" s="120"/>
      <c r="AT24" s="121"/>
      <c r="AU24" s="64">
        <v>19</v>
      </c>
      <c r="AV24" s="120" t="str">
        <f>VLOOKUP(AU24,市町村データ領域,MATCH($D$4, 市町村データヘッダー, 0),FALSE)</f>
        <v>久喜市</v>
      </c>
      <c r="AW24" s="120"/>
      <c r="AX24" s="120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0" t="str">
        <f>VLOOKUP(BO24,市町村データ領域,MATCH($D$4, 市町村データヘッダー, 0),FALSE)</f>
        <v>幸手市</v>
      </c>
      <c r="BQ24" s="120"/>
      <c r="BR24" s="121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47">
        <f>VLOOKUP(O24,市町村データ領域,MATCH($C$5, 市町村データヘッダー, 0),FALSE)</f>
        <v>214</v>
      </c>
      <c r="P25" s="123"/>
      <c r="Q25" s="123"/>
      <c r="R25" s="124"/>
      <c r="S25" s="147">
        <f>VLOOKUP(S24,市町村データ領域,MATCH($C$5, 市町村データヘッダー, 0),FALSE)</f>
        <v>499</v>
      </c>
      <c r="T25" s="123"/>
      <c r="U25" s="123"/>
      <c r="V25" s="124"/>
      <c r="W25" s="147">
        <f>VLOOKUP(W24,市町村データ領域,MATCH($C$5, 市町村データヘッダー, 0),FALSE)</f>
        <v>462</v>
      </c>
      <c r="X25" s="123"/>
      <c r="Y25" s="123"/>
      <c r="Z25" s="124"/>
      <c r="AA25" s="147">
        <f>VLOOKUP(AA24,市町村データ領域,MATCH($C$5, 市町村データヘッダー, 0),FALSE)</f>
        <v>585</v>
      </c>
      <c r="AB25" s="123"/>
      <c r="AC25" s="123"/>
      <c r="AD25" s="124"/>
      <c r="AE25" s="147">
        <f>VLOOKUP(AE24,市町村データ領域,MATCH($C$5, 市町村データヘッダー, 0),FALSE)</f>
        <v>665</v>
      </c>
      <c r="AF25" s="123"/>
      <c r="AG25" s="123"/>
      <c r="AH25" s="124"/>
      <c r="AI25" s="146">
        <f>VLOOKUP(AI24,市町村データ領域,MATCH($C$5, 市町村データヘッダー, 0),FALSE)</f>
        <v>1394</v>
      </c>
      <c r="AJ25" s="123"/>
      <c r="AK25" s="123"/>
      <c r="AL25" s="124"/>
      <c r="AM25" s="147">
        <f>VLOOKUP(AM24,市町村データ領域,MATCH($C$5, 市町村データヘッダー, 0),FALSE)</f>
        <v>462</v>
      </c>
      <c r="AN25" s="123"/>
      <c r="AO25" s="123"/>
      <c r="AP25" s="124"/>
      <c r="AQ25" s="140">
        <f>VLOOKUP(AQ24,市町村データ領域,MATCH($C$5, 市町村データヘッダー, 0),FALSE)</f>
        <v>3300</v>
      </c>
      <c r="AR25" s="123"/>
      <c r="AS25" s="123"/>
      <c r="AT25" s="124"/>
      <c r="AU25" s="146">
        <f>VLOOKUP(AU24,市町村データ領域,MATCH($C$5, 市町村データヘッダー, 0),FALSE)</f>
        <v>1831</v>
      </c>
      <c r="AV25" s="123"/>
      <c r="AW25" s="123"/>
      <c r="AX25" s="123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46">
        <f>VLOOKUP(BO24,市町村データ領域,MATCH($C$5, 市町村データヘッダー, 0),FALSE)</f>
        <v>1446</v>
      </c>
      <c r="BP25" s="123"/>
      <c r="BQ25" s="123"/>
      <c r="BR25" s="124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42">
        <f>VLOOKUP(O24,市町村データ領域,MATCH($C$6, 市町村データヘッダー, 0),FALSE)</f>
        <v>6516</v>
      </c>
      <c r="P26" s="114"/>
      <c r="Q26" s="114"/>
      <c r="R26" s="115"/>
      <c r="S26" s="142">
        <f>VLOOKUP(S24,市町村データ領域,MATCH($C$6, 市町村データヘッダー, 0),FALSE)</f>
        <v>32041</v>
      </c>
      <c r="T26" s="114"/>
      <c r="U26" s="114"/>
      <c r="V26" s="115"/>
      <c r="W26" s="142">
        <f>VLOOKUP(W24,市町村データ領域,MATCH($C$6, 市町村データヘッダー, 0),FALSE)</f>
        <v>27886</v>
      </c>
      <c r="X26" s="114"/>
      <c r="Y26" s="114"/>
      <c r="Z26" s="115"/>
      <c r="AA26" s="142">
        <f>VLOOKUP(AA24,市町村データ領域,MATCH($C$6, 市町村データヘッダー, 0),FALSE)</f>
        <v>17516</v>
      </c>
      <c r="AB26" s="114"/>
      <c r="AC26" s="114"/>
      <c r="AD26" s="115"/>
      <c r="AE26" s="142">
        <f>VLOOKUP(AE24,市町村データ領域,MATCH($C$6, 市町村データヘッダー, 0),FALSE)</f>
        <v>19745</v>
      </c>
      <c r="AF26" s="114"/>
      <c r="AG26" s="114"/>
      <c r="AH26" s="115"/>
      <c r="AI26" s="144">
        <f>VLOOKUP(AI24,市町村データ領域,MATCH($C$6, 市町村データヘッダー, 0),FALSE)</f>
        <v>91094</v>
      </c>
      <c r="AJ26" s="114"/>
      <c r="AK26" s="114"/>
      <c r="AL26" s="115"/>
      <c r="AM26" s="142">
        <f>VLOOKUP(AM24,市町村データ領域,MATCH($C$6, 市町村データヘッダー, 0),FALSE)</f>
        <v>17859</v>
      </c>
      <c r="AN26" s="114"/>
      <c r="AO26" s="114"/>
      <c r="AP26" s="115"/>
      <c r="AQ26" s="129">
        <f>VLOOKUP(AQ24,市町村データ領域,MATCH($C$6, 市町村データヘッダー, 0),FALSE)</f>
        <v>65403</v>
      </c>
      <c r="AR26" s="114"/>
      <c r="AS26" s="114"/>
      <c r="AT26" s="115"/>
      <c r="AU26" s="144">
        <f>VLOOKUP(AU24,市町村データ領域,MATCH($C$6, 市町村データヘッダー, 0),FALSE)</f>
        <v>150913</v>
      </c>
      <c r="AV26" s="114"/>
      <c r="AW26" s="114"/>
      <c r="AX26" s="114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44">
        <f>VLOOKUP(BO24,市町村データ領域,MATCH($C$6, 市町村データヘッダー, 0),FALSE)</f>
        <v>49063</v>
      </c>
      <c r="BP26" s="114"/>
      <c r="BQ26" s="114"/>
      <c r="BR26" s="115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43">
        <f>VLOOKUP(O24,市町村データ領域,MATCH($C$7, 市町村データヘッダー, 0),FALSE)</f>
        <v>30.4</v>
      </c>
      <c r="P27" s="107"/>
      <c r="Q27" s="107"/>
      <c r="R27" s="108"/>
      <c r="S27" s="143">
        <f>VLOOKUP(S24,市町村データ領域,MATCH($C$7, 市町村データヘッダー, 0),FALSE)</f>
        <v>64.2</v>
      </c>
      <c r="T27" s="107"/>
      <c r="U27" s="107"/>
      <c r="V27" s="108"/>
      <c r="W27" s="143">
        <f>VLOOKUP(W24,市町村データ領域,MATCH($C$7, 市町村データヘッダー, 0),FALSE)</f>
        <v>60.4</v>
      </c>
      <c r="X27" s="107"/>
      <c r="Y27" s="107"/>
      <c r="Z27" s="108"/>
      <c r="AA27" s="143">
        <f>VLOOKUP(AA24,市町村データ領域,MATCH($C$7, 市町村データヘッダー, 0),FALSE)</f>
        <v>29.9</v>
      </c>
      <c r="AB27" s="107"/>
      <c r="AC27" s="107"/>
      <c r="AD27" s="108"/>
      <c r="AE27" s="143">
        <f>VLOOKUP(AE24,市町村データ領域,MATCH($C$7, 市町村データヘッダー, 0),FALSE)</f>
        <v>29.7</v>
      </c>
      <c r="AF27" s="107"/>
      <c r="AG27" s="107"/>
      <c r="AH27" s="108"/>
      <c r="AI27" s="141">
        <f>VLOOKUP(AI24,市町村データ領域,MATCH($C$7, 市町村データヘッダー, 0),FALSE)</f>
        <v>65.3</v>
      </c>
      <c r="AJ27" s="107"/>
      <c r="AK27" s="107"/>
      <c r="AL27" s="108"/>
      <c r="AM27" s="143">
        <f>VLOOKUP(AM24,市町村データ領域,MATCH($C$7, 市町村データヘッダー, 0),FALSE)</f>
        <v>38.700000000000003</v>
      </c>
      <c r="AN27" s="107"/>
      <c r="AO27" s="107"/>
      <c r="AP27" s="108"/>
      <c r="AQ27" s="134">
        <f>VLOOKUP(AQ24,市町村データ領域,MATCH($C$7, 市町村データヘッダー, 0),FALSE)</f>
        <v>19.8</v>
      </c>
      <c r="AR27" s="107"/>
      <c r="AS27" s="107"/>
      <c r="AT27" s="108"/>
      <c r="AU27" s="141">
        <f>VLOOKUP(AU24,市町村データ領域,MATCH($C$7, 市町村データヘッダー, 0),FALSE)</f>
        <v>82.4</v>
      </c>
      <c r="AV27" s="107"/>
      <c r="AW27" s="107"/>
      <c r="AX27" s="107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41">
        <f>VLOOKUP(BO24,市町村データ領域,MATCH($C$7, 市町村データヘッダー, 0),FALSE)</f>
        <v>33.9</v>
      </c>
      <c r="BP27" s="107"/>
      <c r="BQ27" s="107"/>
      <c r="BR27" s="108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0" t="str">
        <f>VLOOKUP(K28,市町村データ領域,MATCH($D$4, 市町村データヘッダー, 0),FALSE)</f>
        <v>皆野町</v>
      </c>
      <c r="M28" s="120"/>
      <c r="N28" s="121"/>
      <c r="O28" s="64">
        <v>22</v>
      </c>
      <c r="P28" s="120" t="str">
        <f>VLOOKUP(O28,市町村データ領域,MATCH($D$4, 市町村データヘッダー, 0),FALSE)</f>
        <v>東秩父村</v>
      </c>
      <c r="Q28" s="120"/>
      <c r="R28" s="120"/>
      <c r="S28" s="66"/>
      <c r="T28" s="66"/>
      <c r="U28" s="66"/>
      <c r="V28" s="65"/>
      <c r="W28" s="64">
        <v>23</v>
      </c>
      <c r="X28" s="120" t="str">
        <f>VLOOKUP(W28,市町村データ領域,MATCH($D$4, 市町村データヘッダー, 0),FALSE)</f>
        <v>ときがわ町</v>
      </c>
      <c r="Y28" s="120"/>
      <c r="Z28" s="121"/>
      <c r="AA28" s="64">
        <v>24</v>
      </c>
      <c r="AB28" s="120" t="str">
        <f>VLOOKUP(AA28,市町村データ領域,MATCH($D$4, 市町村データヘッダー, 0),FALSE)</f>
        <v>鳩山町</v>
      </c>
      <c r="AC28" s="120"/>
      <c r="AD28" s="120"/>
      <c r="AE28" s="66"/>
      <c r="AF28" s="66"/>
      <c r="AG28" s="66"/>
      <c r="AH28" s="65"/>
      <c r="AI28" s="64">
        <v>25</v>
      </c>
      <c r="AJ28" s="120" t="str">
        <f>VLOOKUP(AI28,市町村データ領域,MATCH($D$4, 市町村データヘッダー, 0),FALSE)</f>
        <v>坂戸市</v>
      </c>
      <c r="AK28" s="120"/>
      <c r="AL28" s="121"/>
      <c r="AM28" s="64">
        <v>26</v>
      </c>
      <c r="AN28" s="120" t="str">
        <f>VLOOKUP(AM28,市町村データ領域,MATCH($D$4, 市町村データヘッダー, 0),FALSE)</f>
        <v>川島町</v>
      </c>
      <c r="AO28" s="120"/>
      <c r="AP28" s="121"/>
      <c r="AQ28" s="64">
        <v>27</v>
      </c>
      <c r="AR28" s="120" t="str">
        <f>VLOOKUP(AQ28,市町村データ領域,MATCH($D$4, 市町村データヘッダー, 0),FALSE)</f>
        <v>桶川市</v>
      </c>
      <c r="AS28" s="120"/>
      <c r="AT28" s="121"/>
      <c r="AU28" s="64">
        <v>28</v>
      </c>
      <c r="AV28" s="120" t="str">
        <f>VLOOKUP(AU28,市町村データ領域,MATCH($D$4, 市町村データヘッダー, 0),FALSE)</f>
        <v>上尾市</v>
      </c>
      <c r="AW28" s="120"/>
      <c r="AX28" s="121"/>
      <c r="AY28" s="64">
        <v>29</v>
      </c>
      <c r="AZ28" s="120" t="str">
        <f>VLOOKUP(AY28,市町村データ領域,MATCH($D$4, 市町村データヘッダー, 0),FALSE)</f>
        <v>伊奈町</v>
      </c>
      <c r="BA28" s="120"/>
      <c r="BB28" s="121"/>
      <c r="BC28" s="64">
        <v>30</v>
      </c>
      <c r="BD28" s="120" t="str">
        <f>VLOOKUP(BC28,市町村データ領域,MATCH($D$4, 市町村データヘッダー, 0),FALSE)</f>
        <v>蓮田市</v>
      </c>
      <c r="BE28" s="120"/>
      <c r="BF28" s="121"/>
      <c r="BG28" s="64">
        <v>31</v>
      </c>
      <c r="BH28" s="120" t="str">
        <f>VLOOKUP(BG28,市町村データ領域,MATCH($D$4, 市町村データヘッダー, 0),FALSE)</f>
        <v>白岡市</v>
      </c>
      <c r="BI28" s="120"/>
      <c r="BJ28" s="121"/>
      <c r="BK28" s="64">
        <v>32</v>
      </c>
      <c r="BL28" s="120" t="str">
        <f>VLOOKUP(BK28,市町村データ領域,MATCH($D$4, 市町村データヘッダー, 0),FALSE)</f>
        <v>宮代町</v>
      </c>
      <c r="BM28" s="120"/>
      <c r="BN28" s="121"/>
      <c r="BO28" s="64">
        <v>33</v>
      </c>
      <c r="BP28" s="120" t="str">
        <f>VLOOKUP(BO28,市町村データ領域,MATCH($D$4, 市町村データヘッダー, 0),FALSE)</f>
        <v>杉戸町</v>
      </c>
      <c r="BQ28" s="120"/>
      <c r="BR28" s="121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47">
        <f>VLOOKUP(K28,市町村データ領域,MATCH($C$5, 市町村データヘッダー, 0),FALSE)</f>
        <v>142</v>
      </c>
      <c r="L29" s="123"/>
      <c r="M29" s="123"/>
      <c r="N29" s="124"/>
      <c r="O29" s="147">
        <f>VLOOKUP(O28,市町村データ領域,MATCH($C$5, 市町村データヘッダー, 0),FALSE)</f>
        <v>67</v>
      </c>
      <c r="P29" s="123"/>
      <c r="Q29" s="123"/>
      <c r="R29" s="123"/>
      <c r="S29" s="60"/>
      <c r="T29" s="60"/>
      <c r="U29" s="60"/>
      <c r="V29" s="67"/>
      <c r="W29" s="147">
        <f>VLOOKUP(W28,市町村データ領域,MATCH($C$5, 市町村データヘッダー, 0),FALSE)</f>
        <v>186</v>
      </c>
      <c r="X29" s="123"/>
      <c r="Y29" s="123"/>
      <c r="Z29" s="124"/>
      <c r="AA29" s="147">
        <f>VLOOKUP(AA28,市町村データ領域,MATCH($C$5, 市町村データヘッダー, 0),FALSE)</f>
        <v>504</v>
      </c>
      <c r="AB29" s="123"/>
      <c r="AC29" s="123"/>
      <c r="AD29" s="123"/>
      <c r="AE29" s="60"/>
      <c r="AF29" s="60"/>
      <c r="AG29" s="60"/>
      <c r="AH29" s="67"/>
      <c r="AI29" s="139">
        <f>VLOOKUP(AI28,市町村データ領域,MATCH($C$5, 市町村データヘッダー, 0),FALSE)</f>
        <v>2426</v>
      </c>
      <c r="AJ29" s="123"/>
      <c r="AK29" s="123"/>
      <c r="AL29" s="124"/>
      <c r="AM29" s="147">
        <f>VLOOKUP(AM28,市町村データ領域,MATCH($C$5, 市町村データヘッダー, 0),FALSE)</f>
        <v>453</v>
      </c>
      <c r="AN29" s="123"/>
      <c r="AO29" s="123"/>
      <c r="AP29" s="124"/>
      <c r="AQ29" s="139">
        <f>VLOOKUP(AQ28,市町村データ領域,MATCH($C$5, 市町村データヘッダー, 0),FALSE)</f>
        <v>2937</v>
      </c>
      <c r="AR29" s="123"/>
      <c r="AS29" s="123"/>
      <c r="AT29" s="124"/>
      <c r="AU29" s="122">
        <f>VLOOKUP(AU28,市町村データ領域,MATCH($C$5, 市町村データヘッダー, 0),FALSE)</f>
        <v>5058</v>
      </c>
      <c r="AV29" s="123"/>
      <c r="AW29" s="123"/>
      <c r="AX29" s="124"/>
      <c r="AY29" s="140">
        <f>VLOOKUP(AY28,市町村データ領域,MATCH($C$5, 市町村データヘッダー, 0),FALSE)</f>
        <v>3046</v>
      </c>
      <c r="AZ29" s="123"/>
      <c r="BA29" s="123"/>
      <c r="BB29" s="124"/>
      <c r="BC29" s="139">
        <f>VLOOKUP(BC28,市町村データ領域,MATCH($C$5, 市町村データヘッダー, 0),FALSE)</f>
        <v>2248</v>
      </c>
      <c r="BD29" s="123"/>
      <c r="BE29" s="123"/>
      <c r="BF29" s="124"/>
      <c r="BG29" s="139">
        <f>VLOOKUP(BG28,市町村データ領域,MATCH($C$5, 市町村データヘッダー, 0),FALSE)</f>
        <v>2113</v>
      </c>
      <c r="BH29" s="123"/>
      <c r="BI29" s="123"/>
      <c r="BJ29" s="124"/>
      <c r="BK29" s="139">
        <f>VLOOKUP(BK28,市町村データ領域,MATCH($C$5, 市町村データヘッダー, 0),FALSE)</f>
        <v>2092</v>
      </c>
      <c r="BL29" s="123"/>
      <c r="BM29" s="123"/>
      <c r="BN29" s="124"/>
      <c r="BO29" s="146">
        <f>VLOOKUP(BO28,市町村データ領域,MATCH($C$5, 市町村データヘッダー, 0),FALSE)</f>
        <v>1466</v>
      </c>
      <c r="BP29" s="123"/>
      <c r="BQ29" s="123"/>
      <c r="BR29" s="124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42">
        <f>VLOOKUP(K28,市町村データ領域,MATCH($C$6, 市町村データヘッダー, 0),FALSE)</f>
        <v>9050</v>
      </c>
      <c r="L30" s="114"/>
      <c r="M30" s="114"/>
      <c r="N30" s="115"/>
      <c r="O30" s="142">
        <f>VLOOKUP(O28,市町村データ領域,MATCH($C$6, 市町村データヘッダー, 0),FALSE)</f>
        <v>2473</v>
      </c>
      <c r="P30" s="114"/>
      <c r="Q30" s="114"/>
      <c r="R30" s="114"/>
      <c r="S30" s="60"/>
      <c r="T30" s="60"/>
      <c r="U30" s="60"/>
      <c r="V30" s="67"/>
      <c r="W30" s="142">
        <f>VLOOKUP(W28,市町村データ領域,MATCH($C$6, 市町村データヘッダー, 0),FALSE)</f>
        <v>10414</v>
      </c>
      <c r="X30" s="114"/>
      <c r="Y30" s="114"/>
      <c r="Z30" s="115"/>
      <c r="AA30" s="142">
        <f>VLOOKUP(AA28,市町村データ領域,MATCH($C$6, 市町村データヘッダー, 0),FALSE)</f>
        <v>12967</v>
      </c>
      <c r="AB30" s="114"/>
      <c r="AC30" s="114"/>
      <c r="AD30" s="114"/>
      <c r="AE30" s="60"/>
      <c r="AF30" s="60"/>
      <c r="AG30" s="60"/>
      <c r="AH30" s="67"/>
      <c r="AI30" s="136">
        <f>VLOOKUP(AI28,市町村データ領域,MATCH($C$6, 市町村データヘッダー, 0),FALSE)</f>
        <v>99527</v>
      </c>
      <c r="AJ30" s="114"/>
      <c r="AK30" s="114"/>
      <c r="AL30" s="115"/>
      <c r="AM30" s="142">
        <f>VLOOKUP(AM28,市町村データ領域,MATCH($C$6, 市町村データヘッダー, 0),FALSE)</f>
        <v>18874</v>
      </c>
      <c r="AN30" s="114"/>
      <c r="AO30" s="114"/>
      <c r="AP30" s="115"/>
      <c r="AQ30" s="136">
        <f>VLOOKUP(AQ28,市町村データ領域,MATCH($C$6, 市町村データヘッダー, 0),FALSE)</f>
        <v>74448</v>
      </c>
      <c r="AR30" s="114"/>
      <c r="AS30" s="114"/>
      <c r="AT30" s="115"/>
      <c r="AU30" s="113">
        <f>VLOOKUP(AU28,市町村データ領域,MATCH($C$6, 市町村データヘッダー, 0),FALSE)</f>
        <v>230167</v>
      </c>
      <c r="AV30" s="114"/>
      <c r="AW30" s="114"/>
      <c r="AX30" s="115"/>
      <c r="AY30" s="129">
        <f>VLOOKUP(AY28,市町村データ領域,MATCH($C$6, 市町村データヘッダー, 0),FALSE)</f>
        <v>45045</v>
      </c>
      <c r="AZ30" s="114"/>
      <c r="BA30" s="114"/>
      <c r="BB30" s="115"/>
      <c r="BC30" s="136">
        <f>VLOOKUP(BC28,市町村データ領域,MATCH($C$6, 市町村データヘッダー, 0),FALSE)</f>
        <v>61337</v>
      </c>
      <c r="BD30" s="114"/>
      <c r="BE30" s="114"/>
      <c r="BF30" s="115"/>
      <c r="BG30" s="136">
        <f>VLOOKUP(BG28,市町村データ領域,MATCH($C$6, 市町村データヘッダー, 0),FALSE)</f>
        <v>52649</v>
      </c>
      <c r="BH30" s="114"/>
      <c r="BI30" s="114"/>
      <c r="BJ30" s="115"/>
      <c r="BK30" s="136">
        <f>VLOOKUP(BK28,市町村データ領域,MATCH($C$6, 市町村データヘッダー, 0),FALSE)</f>
        <v>33371</v>
      </c>
      <c r="BL30" s="114"/>
      <c r="BM30" s="114"/>
      <c r="BN30" s="115"/>
      <c r="BO30" s="144">
        <f>VLOOKUP(BO28,市町村データ領域,MATCH($C$6, 市町村データヘッダー, 0),FALSE)</f>
        <v>44014</v>
      </c>
      <c r="BP30" s="114"/>
      <c r="BQ30" s="114"/>
      <c r="BR30" s="115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43">
        <f>VLOOKUP(K28,市町村データ領域,MATCH($C$7, 市町村データヘッダー, 0),FALSE)</f>
        <v>63.7</v>
      </c>
      <c r="L31" s="107"/>
      <c r="M31" s="107"/>
      <c r="N31" s="108"/>
      <c r="O31" s="143">
        <f>VLOOKUP(O28,市町村データ領域,MATCH($C$7, 市町村データヘッダー, 0),FALSE)</f>
        <v>36.9</v>
      </c>
      <c r="P31" s="107"/>
      <c r="Q31" s="107"/>
      <c r="R31" s="107"/>
      <c r="S31" s="60"/>
      <c r="T31" s="60"/>
      <c r="U31" s="60"/>
      <c r="V31" s="67"/>
      <c r="W31" s="142">
        <f>VLOOKUP(W28,市町村データ領域,MATCH($C$7, 市町村データヘッダー, 0),FALSE)</f>
        <v>56</v>
      </c>
      <c r="X31" s="123"/>
      <c r="Y31" s="123"/>
      <c r="Z31" s="124"/>
      <c r="AA31" s="143">
        <f>VLOOKUP(AA28,市町村データ領域,MATCH($C$7, 市町村データヘッダー, 0),FALSE)</f>
        <v>25.7</v>
      </c>
      <c r="AB31" s="107"/>
      <c r="AC31" s="107"/>
      <c r="AD31" s="107"/>
      <c r="AE31" s="60"/>
      <c r="AF31" s="60"/>
      <c r="AG31" s="60"/>
      <c r="AH31" s="67"/>
      <c r="AI31" s="133">
        <f>VLOOKUP(AI28,市町村データ領域,MATCH($C$7, 市町村データヘッダー, 0),FALSE)</f>
        <v>41</v>
      </c>
      <c r="AJ31" s="107"/>
      <c r="AK31" s="107"/>
      <c r="AL31" s="108"/>
      <c r="AM31" s="143">
        <f>VLOOKUP(AM28,市町村データ領域,MATCH($C$7, 市町村データヘッダー, 0),FALSE)</f>
        <v>41.7</v>
      </c>
      <c r="AN31" s="107"/>
      <c r="AO31" s="107"/>
      <c r="AP31" s="108"/>
      <c r="AQ31" s="133">
        <f>VLOOKUP(AQ28,市町村データ領域,MATCH($C$7, 市町村データヘッダー, 0),FALSE)</f>
        <v>25.3</v>
      </c>
      <c r="AR31" s="107"/>
      <c r="AS31" s="107"/>
      <c r="AT31" s="108"/>
      <c r="AU31" s="106">
        <f>VLOOKUP(AU28,市町村データ領域,MATCH($C$7, 市町村データヘッダー, 0),FALSE)</f>
        <v>45.5</v>
      </c>
      <c r="AV31" s="107"/>
      <c r="AW31" s="107"/>
      <c r="AX31" s="108"/>
      <c r="AY31" s="134">
        <f>VLOOKUP(AY28,市町村データ領域,MATCH($C$7, 市町村データヘッダー, 0),FALSE)</f>
        <v>14.8</v>
      </c>
      <c r="AZ31" s="107"/>
      <c r="BA31" s="107"/>
      <c r="BB31" s="108"/>
      <c r="BC31" s="133">
        <f>VLOOKUP(BC28,市町村データ領域,MATCH($C$7, 市町村データヘッダー, 0),FALSE)</f>
        <v>27.3</v>
      </c>
      <c r="BD31" s="107"/>
      <c r="BE31" s="107"/>
      <c r="BF31" s="108"/>
      <c r="BG31" s="133">
        <f>VLOOKUP(BG28,市町村データ領域,MATCH($C$7, 市町村データヘッダー, 0),FALSE)</f>
        <v>24.9</v>
      </c>
      <c r="BH31" s="107"/>
      <c r="BI31" s="107"/>
      <c r="BJ31" s="108"/>
      <c r="BK31" s="133">
        <f>VLOOKUP(BK28,市町村データ領域,MATCH($C$7, 市町村データヘッダー, 0),FALSE)</f>
        <v>16</v>
      </c>
      <c r="BL31" s="107"/>
      <c r="BM31" s="107"/>
      <c r="BN31" s="108"/>
      <c r="BO31" s="141">
        <f>VLOOKUP(BO28,市町村データ領域,MATCH($C$7, 市町村データヘッダー, 0),FALSE)</f>
        <v>30</v>
      </c>
      <c r="BP31" s="107"/>
      <c r="BQ31" s="107"/>
      <c r="BR31" s="108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0" t="str">
        <f>VLOOKUP(G32,市町村データ領域,MATCH($D$4, 市町村データヘッダー, 0),FALSE)</f>
        <v>秩父市</v>
      </c>
      <c r="I32" s="120"/>
      <c r="J32" s="120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0" t="str">
        <f>VLOOKUP(S32,市町村データ領域,MATCH($D$4, 市町村データヘッダー, 0),FALSE)</f>
        <v>横瀬町</v>
      </c>
      <c r="U32" s="120"/>
      <c r="V32" s="121"/>
      <c r="W32" s="60"/>
      <c r="X32" s="60"/>
      <c r="Y32" s="60"/>
      <c r="Z32" s="67"/>
      <c r="AA32" s="64">
        <v>36</v>
      </c>
      <c r="AB32" s="120" t="str">
        <f>VLOOKUP(AA32,市町村データ領域,MATCH($D$4, 市町村データヘッダー, 0),FALSE)</f>
        <v>越生町</v>
      </c>
      <c r="AC32" s="120"/>
      <c r="AD32" s="121"/>
      <c r="AE32" s="64">
        <v>37</v>
      </c>
      <c r="AF32" s="120" t="str">
        <f>VLOOKUP(AE32,市町村データ領域,MATCH($D$4, 市町村データヘッダー, 0),FALSE)</f>
        <v>毛呂山町</v>
      </c>
      <c r="AG32" s="120"/>
      <c r="AH32" s="121"/>
      <c r="AI32" s="64">
        <v>38</v>
      </c>
      <c r="AJ32" s="120" t="str">
        <f>VLOOKUP(AI32,市町村データ領域,MATCH($D$4, 市町村データヘッダー, 0),FALSE)</f>
        <v>鶴ヶ島市</v>
      </c>
      <c r="AK32" s="120"/>
      <c r="AL32" s="121"/>
      <c r="AM32" s="64">
        <v>39</v>
      </c>
      <c r="AN32" s="120" t="str">
        <f>VLOOKUP(AM32,市町村データ領域,MATCH($D$4, 市町村データヘッダー, 0),FALSE)</f>
        <v>川越市</v>
      </c>
      <c r="AO32" s="120"/>
      <c r="AP32" s="120"/>
      <c r="AQ32" s="66"/>
      <c r="AR32" s="66"/>
      <c r="AS32" s="66"/>
      <c r="AT32" s="65"/>
      <c r="AU32" s="86"/>
      <c r="AV32" s="150"/>
      <c r="AW32" s="150"/>
      <c r="AX32" s="150"/>
      <c r="AY32" s="86"/>
      <c r="AZ32" s="150"/>
      <c r="BA32" s="150"/>
      <c r="BB32" s="150"/>
      <c r="BC32" s="86"/>
      <c r="BD32" s="150"/>
      <c r="BE32" s="150"/>
      <c r="BF32" s="150"/>
      <c r="BG32" s="86"/>
      <c r="BH32" s="150"/>
      <c r="BI32" s="150"/>
      <c r="BJ32" s="151"/>
      <c r="BK32" s="64">
        <v>44</v>
      </c>
      <c r="BL32" s="120" t="str">
        <f>VLOOKUP(BK32,市町村データ領域,MATCH($D$4, 市町村データヘッダー, 0),FALSE)</f>
        <v>春日部市</v>
      </c>
      <c r="BM32" s="120"/>
      <c r="BN32" s="120"/>
      <c r="BO32" s="66"/>
      <c r="BP32" s="66"/>
      <c r="BQ32" s="66"/>
      <c r="BR32" s="65"/>
      <c r="BS32" s="64">
        <v>45</v>
      </c>
      <c r="BT32" s="120" t="str">
        <f>VLOOKUP(BS32,市町村データ領域,MATCH($D$4, 市町村データヘッダー, 0),FALSE)</f>
        <v>松伏町</v>
      </c>
      <c r="BU32" s="120"/>
      <c r="BV32" s="121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47">
        <f>VLOOKUP(G32,市町村データ領域,MATCH($C$5, 市町村データヘッダー, 0),FALSE)</f>
        <v>101</v>
      </c>
      <c r="H33" s="123"/>
      <c r="I33" s="123"/>
      <c r="J33" s="123"/>
      <c r="K33" s="60"/>
      <c r="L33" s="60"/>
      <c r="M33" s="60"/>
      <c r="N33" s="60"/>
      <c r="O33" s="60"/>
      <c r="P33" s="60"/>
      <c r="Q33" s="60"/>
      <c r="R33" s="67"/>
      <c r="S33" s="147">
        <f>VLOOKUP(S32,市町村データ領域,MATCH($C$5, 市町村データヘッダー, 0),FALSE)</f>
        <v>157</v>
      </c>
      <c r="T33" s="123"/>
      <c r="U33" s="123"/>
      <c r="V33" s="124"/>
      <c r="W33" s="60"/>
      <c r="X33" s="60"/>
      <c r="Y33" s="60"/>
      <c r="Z33" s="67"/>
      <c r="AA33" s="147">
        <f>VLOOKUP(AA32,市町村データ領域,MATCH($C$5, 市町村データヘッダー, 0),FALSE)</f>
        <v>269</v>
      </c>
      <c r="AB33" s="123"/>
      <c r="AC33" s="123"/>
      <c r="AD33" s="124"/>
      <c r="AE33" s="147">
        <f>VLOOKUP(AE32,市町村データ領域,MATCH($C$5, 市町村データヘッダー, 0),FALSE)</f>
        <v>950</v>
      </c>
      <c r="AF33" s="123"/>
      <c r="AG33" s="123"/>
      <c r="AH33" s="124"/>
      <c r="AI33" s="140">
        <f>VLOOKUP(AI32,市町村データ領域,MATCH($C$5, 市町村データヘッダー, 0),FALSE)</f>
        <v>3970</v>
      </c>
      <c r="AJ33" s="123"/>
      <c r="AK33" s="123"/>
      <c r="AL33" s="124"/>
      <c r="AM33" s="140">
        <f>VLOOKUP(AM32,市町村データ領域,MATCH($C$5, 市町村データヘッダー, 0),FALSE)</f>
        <v>3232</v>
      </c>
      <c r="AN33" s="123"/>
      <c r="AO33" s="123"/>
      <c r="AP33" s="123"/>
      <c r="AQ33" s="60"/>
      <c r="AR33" s="60"/>
      <c r="AS33" s="60"/>
      <c r="AT33" s="67"/>
      <c r="AU33" s="137"/>
      <c r="AV33" s="130"/>
      <c r="AW33" s="130"/>
      <c r="AX33" s="130"/>
      <c r="AY33" s="137"/>
      <c r="AZ33" s="130"/>
      <c r="BA33" s="130"/>
      <c r="BB33" s="130"/>
      <c r="BC33" s="137"/>
      <c r="BD33" s="130"/>
      <c r="BE33" s="130"/>
      <c r="BF33" s="130"/>
      <c r="BG33" s="137"/>
      <c r="BH33" s="130"/>
      <c r="BI33" s="130"/>
      <c r="BJ33" s="131"/>
      <c r="BK33" s="140">
        <f>VLOOKUP(BK32,市町村データ領域,MATCH($C$5, 市町村データヘッダー, 0),FALSE)</f>
        <v>3495</v>
      </c>
      <c r="BL33" s="123"/>
      <c r="BM33" s="123"/>
      <c r="BN33" s="123"/>
      <c r="BO33" s="60"/>
      <c r="BP33" s="60"/>
      <c r="BQ33" s="60"/>
      <c r="BR33" s="67"/>
      <c r="BS33" s="146">
        <f>VLOOKUP(BS32,市町村データ領域,MATCH($C$5, 市町村データヘッダー, 0),FALSE)</f>
        <v>1737</v>
      </c>
      <c r="BT33" s="123"/>
      <c r="BU33" s="123"/>
      <c r="BV33" s="124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42">
        <f>VLOOKUP(G32,市町村データ領域,MATCH($C$6, 市町村データヘッダー, 0),FALSE)</f>
        <v>58223</v>
      </c>
      <c r="H34" s="114"/>
      <c r="I34" s="114"/>
      <c r="J34" s="114"/>
      <c r="K34" s="60"/>
      <c r="L34" s="60"/>
      <c r="M34" s="60"/>
      <c r="N34" s="60"/>
      <c r="O34" s="60"/>
      <c r="P34" s="60"/>
      <c r="Q34" s="60"/>
      <c r="R34" s="67"/>
      <c r="S34" s="142">
        <f>VLOOKUP(S32,市町村データ領域,MATCH($C$6, 市町村データヘッダー, 0),FALSE)</f>
        <v>7748</v>
      </c>
      <c r="T34" s="114"/>
      <c r="U34" s="114"/>
      <c r="V34" s="115"/>
      <c r="W34" s="60"/>
      <c r="X34" s="60"/>
      <c r="Y34" s="60"/>
      <c r="Z34" s="67"/>
      <c r="AA34" s="142">
        <f>VLOOKUP(AA32,市町村データ領域,MATCH($C$6, 市町村データヘッダー, 0),FALSE)</f>
        <v>10863</v>
      </c>
      <c r="AB34" s="114"/>
      <c r="AC34" s="114"/>
      <c r="AD34" s="115"/>
      <c r="AE34" s="142">
        <f>VLOOKUP(AE32,市町村データ領域,MATCH($C$6, 市町村データヘッダー, 0),FALSE)</f>
        <v>32365</v>
      </c>
      <c r="AF34" s="114"/>
      <c r="AG34" s="114"/>
      <c r="AH34" s="115"/>
      <c r="AI34" s="129">
        <f>VLOOKUP(AI32,市町村データ領域,MATCH($C$6, 市町村データヘッダー, 0),FALSE)</f>
        <v>70063</v>
      </c>
      <c r="AJ34" s="114"/>
      <c r="AK34" s="114"/>
      <c r="AL34" s="115"/>
      <c r="AM34" s="129">
        <f>VLOOKUP(AM32,市町村データ領域,MATCH($C$6, 市町村データヘッダー, 0),FALSE)</f>
        <v>352717</v>
      </c>
      <c r="AN34" s="114"/>
      <c r="AO34" s="114"/>
      <c r="AP34" s="114"/>
      <c r="AQ34" s="60"/>
      <c r="AR34" s="60"/>
      <c r="AS34" s="60"/>
      <c r="AT34" s="67"/>
      <c r="AU34" s="130"/>
      <c r="AV34" s="130"/>
      <c r="AW34" s="130"/>
      <c r="AX34" s="130"/>
      <c r="AY34" s="130"/>
      <c r="AZ34" s="130"/>
      <c r="BA34" s="130"/>
      <c r="BB34" s="130"/>
      <c r="BC34" s="130"/>
      <c r="BD34" s="130"/>
      <c r="BE34" s="130"/>
      <c r="BF34" s="130"/>
      <c r="BG34" s="130"/>
      <c r="BH34" s="130"/>
      <c r="BI34" s="130"/>
      <c r="BJ34" s="131"/>
      <c r="BK34" s="129">
        <f>VLOOKUP(BK32,市町村データ領域,MATCH($C$6, 市町村データヘッダー, 0),FALSE)</f>
        <v>230687</v>
      </c>
      <c r="BL34" s="114"/>
      <c r="BM34" s="114"/>
      <c r="BN34" s="114"/>
      <c r="BO34" s="60"/>
      <c r="BP34" s="60"/>
      <c r="BQ34" s="60"/>
      <c r="BR34" s="67"/>
      <c r="BS34" s="144">
        <f>VLOOKUP(BS32,市町村データ領域,MATCH($C$6, 市町村データヘッダー, 0),FALSE)</f>
        <v>28140</v>
      </c>
      <c r="BT34" s="114"/>
      <c r="BU34" s="114"/>
      <c r="BV34" s="115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43">
        <f>VLOOKUP(G32,市町村データ領域,MATCH($C$7, 市町村データヘッダー, 0),FALSE)</f>
        <v>576.5</v>
      </c>
      <c r="H35" s="107"/>
      <c r="I35" s="107"/>
      <c r="J35" s="107"/>
      <c r="K35" s="60"/>
      <c r="L35" s="60"/>
      <c r="M35" s="60"/>
      <c r="N35" s="60"/>
      <c r="O35" s="60"/>
      <c r="P35" s="60"/>
      <c r="Q35" s="60"/>
      <c r="R35" s="67"/>
      <c r="S35" s="143">
        <f>VLOOKUP(S32,市町村データ領域,MATCH($C$7, 市町村データヘッダー, 0),FALSE)</f>
        <v>49.4</v>
      </c>
      <c r="T35" s="107"/>
      <c r="U35" s="107"/>
      <c r="V35" s="108"/>
      <c r="W35" s="60"/>
      <c r="X35" s="60"/>
      <c r="Y35" s="60"/>
      <c r="Z35" s="67"/>
      <c r="AA35" s="143">
        <f>VLOOKUP(AA32,市町村データ領域,MATCH($C$7, 市町村データヘッダー, 0),FALSE)</f>
        <v>40.4</v>
      </c>
      <c r="AB35" s="107"/>
      <c r="AC35" s="107"/>
      <c r="AD35" s="108"/>
      <c r="AE35" s="143">
        <f>VLOOKUP(AE32,市町村データ領域,MATCH($C$7, 市町村データヘッダー, 0),FALSE)</f>
        <v>34.1</v>
      </c>
      <c r="AF35" s="107"/>
      <c r="AG35" s="107"/>
      <c r="AH35" s="108"/>
      <c r="AI35" s="134">
        <f>VLOOKUP(AI32,市町村データ領域,MATCH($C$7, 市町村データヘッダー, 0),FALSE)</f>
        <v>17.600000000000001</v>
      </c>
      <c r="AJ35" s="107"/>
      <c r="AK35" s="107"/>
      <c r="AL35" s="108"/>
      <c r="AM35" s="134">
        <f>VLOOKUP(AM32,市町村データ領域,MATCH($C$7, 市町村データヘッダー, 0),FALSE)</f>
        <v>109.1</v>
      </c>
      <c r="AN35" s="107"/>
      <c r="AO35" s="107"/>
      <c r="AP35" s="107"/>
      <c r="AQ35" s="60"/>
      <c r="AR35" s="60"/>
      <c r="AS35" s="60"/>
      <c r="AT35" s="67"/>
      <c r="AU35" s="130"/>
      <c r="AV35" s="130"/>
      <c r="AW35" s="130"/>
      <c r="AX35" s="130"/>
      <c r="AY35" s="130"/>
      <c r="AZ35" s="130"/>
      <c r="BA35" s="130"/>
      <c r="BB35" s="130"/>
      <c r="BC35" s="130"/>
      <c r="BD35" s="130"/>
      <c r="BE35" s="130"/>
      <c r="BF35" s="130"/>
      <c r="BG35" s="130"/>
      <c r="BH35" s="130"/>
      <c r="BI35" s="130"/>
      <c r="BJ35" s="131"/>
      <c r="BK35" s="134">
        <f>VLOOKUP(BK32,市町村データ領域,MATCH($C$7, 市町村データヘッダー, 0),FALSE)</f>
        <v>66</v>
      </c>
      <c r="BL35" s="107"/>
      <c r="BM35" s="107"/>
      <c r="BN35" s="107"/>
      <c r="BO35" s="60"/>
      <c r="BP35" s="60"/>
      <c r="BQ35" s="60"/>
      <c r="BR35" s="67"/>
      <c r="BS35" s="141">
        <f>VLOOKUP(BS32,市町村データ領域,MATCH($C$7, 市町村データヘッダー, 0),FALSE)</f>
        <v>16.2</v>
      </c>
      <c r="BT35" s="107"/>
      <c r="BU35" s="107"/>
      <c r="BV35" s="108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0" t="str">
        <f>VLOOKUP(G36,市町村データ領域,MATCH($D$4, 市町村データヘッダー, 0),FALSE)</f>
        <v>小鹿野町</v>
      </c>
      <c r="I36" s="120"/>
      <c r="J36" s="121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0" t="str">
        <f>VLOOKUP(S36,市町村データ領域,MATCH($D$4, 市町村データヘッダー, 0),FALSE)</f>
        <v>飯能市</v>
      </c>
      <c r="U36" s="120"/>
      <c r="V36" s="120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0" t="str">
        <f>VLOOKUP(AI36,市町村データ領域,MATCH($D$4, 市町村データヘッダー, 0),FALSE)</f>
        <v>日高市</v>
      </c>
      <c r="AK36" s="120"/>
      <c r="AL36" s="121"/>
      <c r="AM36" s="64">
        <v>49</v>
      </c>
      <c r="AN36" s="120" t="str">
        <f>VLOOKUP(AM36,市町村データ領域,MATCH($D$4, 市町村データヘッダー, 0),FALSE)</f>
        <v>狭山市</v>
      </c>
      <c r="AO36" s="120"/>
      <c r="AP36" s="121"/>
      <c r="AQ36" s="64">
        <v>50</v>
      </c>
      <c r="AR36" s="120" t="str">
        <f>VLOOKUP(AQ36,市町村データ領域,MATCH($D$4, 市町村データヘッダー, 0),FALSE)</f>
        <v>ふじみ野市</v>
      </c>
      <c r="AS36" s="120"/>
      <c r="AT36" s="121"/>
      <c r="AU36" s="64">
        <v>51</v>
      </c>
      <c r="AV36" s="120" t="str">
        <f>VLOOKUP(AU36,市町村データ領域,MATCH($D$4, 市町村データヘッダー, 0),FALSE)</f>
        <v>富士見市</v>
      </c>
      <c r="AW36" s="120"/>
      <c r="AX36" s="121"/>
      <c r="AY36" s="31"/>
      <c r="AZ36" s="130"/>
      <c r="BA36" s="130"/>
      <c r="BB36" s="130"/>
      <c r="BC36" s="63" t="s">
        <v>163</v>
      </c>
      <c r="BD36" s="149" t="str">
        <f>VLOOKUP(BC36,市町村データ領域,MATCH($D$4, 市町村データヘッダー, 0),FALSE)</f>
        <v>さいたま市</v>
      </c>
      <c r="BE36" s="149"/>
      <c r="BF36" s="149"/>
      <c r="BG36" s="31"/>
      <c r="BH36" s="130"/>
      <c r="BI36" s="130"/>
      <c r="BJ36" s="131"/>
      <c r="BK36" s="64">
        <v>55</v>
      </c>
      <c r="BL36" s="120" t="str">
        <f>VLOOKUP(BK36,市町村データ領域,MATCH($D$4, 市町村データヘッダー, 0),FALSE)</f>
        <v>越谷市</v>
      </c>
      <c r="BM36" s="120"/>
      <c r="BN36" s="120"/>
      <c r="BO36" s="66"/>
      <c r="BP36" s="66"/>
      <c r="BQ36" s="66"/>
      <c r="BR36" s="65"/>
      <c r="BS36" s="64">
        <v>56</v>
      </c>
      <c r="BT36" s="120" t="str">
        <f>VLOOKUP(BS36,市町村データ領域,MATCH($D$4, 市町村データヘッダー, 0),FALSE)</f>
        <v>吉川市</v>
      </c>
      <c r="BU36" s="120"/>
      <c r="BV36" s="121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47">
        <f>VLOOKUP(G36,市町村データ領域,MATCH($C$5, 市町村データヘッダー, 0),FALSE)</f>
        <v>60</v>
      </c>
      <c r="H37" s="123"/>
      <c r="I37" s="123"/>
      <c r="J37" s="124"/>
      <c r="K37" s="60"/>
      <c r="L37" s="60"/>
      <c r="M37" s="60"/>
      <c r="N37" s="60"/>
      <c r="O37" s="60"/>
      <c r="P37" s="60"/>
      <c r="Q37" s="60"/>
      <c r="R37" s="67"/>
      <c r="S37" s="147">
        <f>VLOOKUP(S36,市町村データ領域,MATCH($C$5, 市町村データヘッダー, 0),FALSE)</f>
        <v>406</v>
      </c>
      <c r="T37" s="123"/>
      <c r="U37" s="123"/>
      <c r="V37" s="123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46">
        <f>VLOOKUP(AI36,市町村データ領域,MATCH($C$5, 市町村データヘッダー, 0),FALSE)</f>
        <v>1146</v>
      </c>
      <c r="AJ37" s="123"/>
      <c r="AK37" s="123"/>
      <c r="AL37" s="124"/>
      <c r="AM37" s="140">
        <f>VLOOKUP(AM36,市町村データ領域,MATCH($C$5, 市町村データヘッダー, 0),FALSE)</f>
        <v>3039</v>
      </c>
      <c r="AN37" s="123"/>
      <c r="AO37" s="123"/>
      <c r="AP37" s="124"/>
      <c r="AQ37" s="127">
        <f>VLOOKUP(AQ36,市町村データ領域,MATCH($C$5, 市町村データヘッダー, 0),FALSE)</f>
        <v>7812</v>
      </c>
      <c r="AR37" s="123"/>
      <c r="AS37" s="123"/>
      <c r="AT37" s="124"/>
      <c r="AU37" s="122">
        <f>VLOOKUP(AU36,市町村データ領域,MATCH($C$5, 市町村データヘッダー, 0),FALSE)</f>
        <v>5723</v>
      </c>
      <c r="AV37" s="123"/>
      <c r="AW37" s="123"/>
      <c r="AX37" s="124"/>
      <c r="AY37" s="137"/>
      <c r="AZ37" s="130"/>
      <c r="BA37" s="130"/>
      <c r="BB37" s="130"/>
      <c r="BC37" s="148">
        <f>VLOOKUP(BC36,市町村データ領域,MATCH($C$5, 市町村データヘッダー, 0),FALSE)</f>
        <v>6186</v>
      </c>
      <c r="BD37" s="123"/>
      <c r="BE37" s="123"/>
      <c r="BF37" s="123"/>
      <c r="BG37" s="137"/>
      <c r="BH37" s="130"/>
      <c r="BI37" s="130"/>
      <c r="BJ37" s="131"/>
      <c r="BK37" s="122">
        <f>VLOOKUP(BK36,市町村データ領域,MATCH($C$5, 市町村データヘッダー, 0),FALSE)</f>
        <v>5695</v>
      </c>
      <c r="BL37" s="123"/>
      <c r="BM37" s="123"/>
      <c r="BN37" s="123"/>
      <c r="BO37" s="60"/>
      <c r="BP37" s="60"/>
      <c r="BQ37" s="60"/>
      <c r="BR37" s="67"/>
      <c r="BS37" s="139">
        <f>VLOOKUP(BS36,市町村データ領域,MATCH($C$5, 市町村データヘッダー, 0),FALSE)</f>
        <v>2296</v>
      </c>
      <c r="BT37" s="123"/>
      <c r="BU37" s="123"/>
      <c r="BV37" s="124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42">
        <f>VLOOKUP(G36,市町村データ領域,MATCH($C$6, 市町村データヘッダー, 0),FALSE)</f>
        <v>10316</v>
      </c>
      <c r="H38" s="114"/>
      <c r="I38" s="114"/>
      <c r="J38" s="115"/>
      <c r="K38" s="60"/>
      <c r="L38" s="60"/>
      <c r="M38" s="60"/>
      <c r="N38" s="60"/>
      <c r="O38" s="60"/>
      <c r="P38" s="60"/>
      <c r="Q38" s="60"/>
      <c r="R38" s="67"/>
      <c r="S38" s="142">
        <f>VLOOKUP(S36,市町村データ領域,MATCH($C$6, 市町村データヘッダー, 0),FALSE)</f>
        <v>78472</v>
      </c>
      <c r="T38" s="114"/>
      <c r="U38" s="114"/>
      <c r="V38" s="114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44">
        <f>VLOOKUP(AI36,市町村データ領域,MATCH($C$6, 市町村データヘッダー, 0),FALSE)</f>
        <v>54396</v>
      </c>
      <c r="AJ38" s="114"/>
      <c r="AK38" s="114"/>
      <c r="AL38" s="115"/>
      <c r="AM38" s="129">
        <f>VLOOKUP(AM36,市町村データ領域,MATCH($C$6, 市町村データヘッダー, 0),FALSE)</f>
        <v>148872</v>
      </c>
      <c r="AN38" s="114"/>
      <c r="AO38" s="114"/>
      <c r="AP38" s="115"/>
      <c r="AQ38" s="118">
        <f>VLOOKUP(AQ36,市町村データ領域,MATCH($C$6, 市町村データヘッダー, 0),FALSE)</f>
        <v>114363</v>
      </c>
      <c r="AR38" s="114"/>
      <c r="AS38" s="114"/>
      <c r="AT38" s="115"/>
      <c r="AU38" s="113">
        <f>VLOOKUP(AU36,市町村データ領域,MATCH($C$6, 市町村データヘッダー, 0),FALSE)</f>
        <v>113145</v>
      </c>
      <c r="AV38" s="114"/>
      <c r="AW38" s="114"/>
      <c r="AX38" s="115"/>
      <c r="AY38" s="130"/>
      <c r="AZ38" s="130"/>
      <c r="BA38" s="130"/>
      <c r="BB38" s="130"/>
      <c r="BC38" s="145">
        <f>VLOOKUP(BC36,市町村データ領域,MATCH($C$6, 市町村データヘッダー, 0),FALSE)</f>
        <v>1345012</v>
      </c>
      <c r="BD38" s="114"/>
      <c r="BE38" s="114"/>
      <c r="BF38" s="114"/>
      <c r="BG38" s="130"/>
      <c r="BH38" s="130"/>
      <c r="BI38" s="130"/>
      <c r="BJ38" s="131"/>
      <c r="BK38" s="113">
        <f>VLOOKUP(BK36,市町村データ領域,MATCH($C$6, 市町村データヘッダー, 0),FALSE)</f>
        <v>343062</v>
      </c>
      <c r="BL38" s="114"/>
      <c r="BM38" s="114"/>
      <c r="BN38" s="114"/>
      <c r="BO38" s="60"/>
      <c r="BP38" s="60"/>
      <c r="BQ38" s="60"/>
      <c r="BR38" s="67"/>
      <c r="BS38" s="136">
        <f>VLOOKUP(BS36,市町村データ領域,MATCH($C$6, 市町村データヘッダー, 0),FALSE)</f>
        <v>72678</v>
      </c>
      <c r="BT38" s="114"/>
      <c r="BU38" s="114"/>
      <c r="BV38" s="115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43">
        <f>VLOOKUP(G36,市町村データ領域,MATCH($C$7, 市町村データヘッダー, 0),FALSE)</f>
        <v>171.9</v>
      </c>
      <c r="H39" s="107"/>
      <c r="I39" s="107"/>
      <c r="J39" s="108"/>
      <c r="K39" s="60"/>
      <c r="L39" s="60"/>
      <c r="M39" s="60"/>
      <c r="N39" s="60"/>
      <c r="O39" s="60"/>
      <c r="P39" s="60"/>
      <c r="Q39" s="60"/>
      <c r="R39" s="67"/>
      <c r="S39" s="142">
        <f>VLOOKUP(S36,市町村データ領域,MATCH($C$7, 市町村データヘッダー, 0),FALSE)</f>
        <v>193.3</v>
      </c>
      <c r="T39" s="123"/>
      <c r="U39" s="123"/>
      <c r="V39" s="123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41">
        <f>VLOOKUP(AI36,市町村データ領域,MATCH($C$7, 市町村データヘッダー, 0),FALSE)</f>
        <v>47.5</v>
      </c>
      <c r="AJ39" s="107"/>
      <c r="AK39" s="107"/>
      <c r="AL39" s="108"/>
      <c r="AM39" s="134">
        <f>VLOOKUP(AM36,市町村データ領域,MATCH($C$7, 市町村データヘッダー, 0),FALSE)</f>
        <v>49</v>
      </c>
      <c r="AN39" s="107"/>
      <c r="AO39" s="107"/>
      <c r="AP39" s="108"/>
      <c r="AQ39" s="111">
        <f>VLOOKUP(AQ36,市町村データ領域,MATCH($C$7, 市町村データヘッダー, 0),FALSE)</f>
        <v>14.6</v>
      </c>
      <c r="AR39" s="107"/>
      <c r="AS39" s="107"/>
      <c r="AT39" s="108"/>
      <c r="AU39" s="106">
        <f>VLOOKUP(AU36,市町村データ領域,MATCH($C$7, 市町村データヘッダー, 0),FALSE)</f>
        <v>19.8</v>
      </c>
      <c r="AV39" s="107"/>
      <c r="AW39" s="107"/>
      <c r="AX39" s="108"/>
      <c r="AY39" s="130"/>
      <c r="AZ39" s="130"/>
      <c r="BA39" s="130"/>
      <c r="BB39" s="130"/>
      <c r="BC39" s="145">
        <f>VLOOKUP(BC36,市町村データ領域,MATCH($C$7, 市町村データヘッダー, 0),FALSE)</f>
        <v>217.4</v>
      </c>
      <c r="BD39" s="123"/>
      <c r="BE39" s="123"/>
      <c r="BF39" s="123"/>
      <c r="BG39" s="130"/>
      <c r="BH39" s="130"/>
      <c r="BI39" s="130"/>
      <c r="BJ39" s="131"/>
      <c r="BK39" s="113">
        <f>VLOOKUP(BK36,市町村データ領域,MATCH($C$7, 市町村データヘッダー, 0),FALSE)</f>
        <v>60.2</v>
      </c>
      <c r="BL39" s="123"/>
      <c r="BM39" s="123"/>
      <c r="BN39" s="123"/>
      <c r="BO39" s="60"/>
      <c r="BP39" s="60"/>
      <c r="BQ39" s="60"/>
      <c r="BR39" s="67"/>
      <c r="BS39" s="133">
        <f>VLOOKUP(BS36,市町村データ領域,MATCH($C$7, 市町村データヘッダー, 0),FALSE)</f>
        <v>31.7</v>
      </c>
      <c r="BT39" s="107"/>
      <c r="BU39" s="107"/>
      <c r="BV39" s="108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0" t="str">
        <f>VLOOKUP(AM40,市町村データ領域,MATCH($D$4, 市町村データヘッダー, 0),FALSE)</f>
        <v>入間市</v>
      </c>
      <c r="AO40" s="120"/>
      <c r="AP40" s="121"/>
      <c r="AQ40" s="64">
        <v>58</v>
      </c>
      <c r="AR40" s="120" t="str">
        <f>VLOOKUP(AQ40,市町村データ領域,MATCH($D$4, 市町村データヘッダー, 0),FALSE)</f>
        <v>三芳町</v>
      </c>
      <c r="AS40" s="120"/>
      <c r="AT40" s="121"/>
      <c r="AU40" s="64">
        <v>59</v>
      </c>
      <c r="AV40" s="120" t="str">
        <f>VLOOKUP(AU40,市町村データ領域,MATCH($D$4, 市町村データヘッダー, 0),FALSE)</f>
        <v>志木市</v>
      </c>
      <c r="AW40" s="120"/>
      <c r="AX40" s="121"/>
      <c r="AY40" s="31"/>
      <c r="AZ40" s="130"/>
      <c r="BA40" s="130"/>
      <c r="BB40" s="130"/>
      <c r="BC40" s="31"/>
      <c r="BD40" s="130"/>
      <c r="BE40" s="130"/>
      <c r="BF40" s="130"/>
      <c r="BG40" s="31"/>
      <c r="BH40" s="130"/>
      <c r="BI40" s="130"/>
      <c r="BJ40" s="131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0" t="str">
        <f>VLOOKUP(BS40,市町村データ領域,MATCH($D$4, 市町村データヘッダー, 0),FALSE)</f>
        <v>三郷市</v>
      </c>
      <c r="BU40" s="120"/>
      <c r="BV40" s="121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40">
        <f>VLOOKUP(AM40,市町村データ領域,MATCH($C$5, 市町村データヘッダー, 0),FALSE)</f>
        <v>3238</v>
      </c>
      <c r="AN41" s="123"/>
      <c r="AO41" s="123"/>
      <c r="AP41" s="124"/>
      <c r="AQ41" s="139">
        <f>VLOOKUP(AQ40,市町村データ領域,MATCH($C$5, 市町村データヘッダー, 0),FALSE)</f>
        <v>2443</v>
      </c>
      <c r="AR41" s="123"/>
      <c r="AS41" s="123"/>
      <c r="AT41" s="124"/>
      <c r="AU41" s="138">
        <f>VLOOKUP(AU40,市町村データ領域,MATCH($C$5, 市町村データヘッダー, 0),FALSE)</f>
        <v>8432</v>
      </c>
      <c r="AV41" s="123"/>
      <c r="AW41" s="123"/>
      <c r="AX41" s="124"/>
      <c r="AY41" s="137"/>
      <c r="AZ41" s="130"/>
      <c r="BA41" s="130"/>
      <c r="BB41" s="130"/>
      <c r="BC41" s="137"/>
      <c r="BD41" s="130"/>
      <c r="BE41" s="130"/>
      <c r="BF41" s="130"/>
      <c r="BG41" s="137"/>
      <c r="BH41" s="130"/>
      <c r="BI41" s="130"/>
      <c r="BJ41" s="131"/>
      <c r="BK41" s="60"/>
      <c r="BL41" s="60"/>
      <c r="BM41" s="60"/>
      <c r="BN41" s="60"/>
      <c r="BO41" s="60"/>
      <c r="BP41" s="60"/>
      <c r="BQ41" s="60"/>
      <c r="BR41" s="67"/>
      <c r="BS41" s="128">
        <f>VLOOKUP(BS40,市町村データ領域,MATCH($C$5, 市町村データヘッダー, 0),FALSE)</f>
        <v>4711</v>
      </c>
      <c r="BT41" s="123"/>
      <c r="BU41" s="123"/>
      <c r="BV41" s="124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29">
        <f>VLOOKUP(AM40,市町村データ領域,MATCH($C$6, 市町村データヘッダー, 0),FALSE)</f>
        <v>144723</v>
      </c>
      <c r="AN42" s="114"/>
      <c r="AO42" s="114"/>
      <c r="AP42" s="115"/>
      <c r="AQ42" s="136">
        <f>VLOOKUP(AQ40,市町村データ領域,MATCH($C$6, 市町村データヘッダー, 0),FALSE)</f>
        <v>37453</v>
      </c>
      <c r="AR42" s="114"/>
      <c r="AS42" s="114"/>
      <c r="AT42" s="115"/>
      <c r="AU42" s="135">
        <f>VLOOKUP(AU40,市町村データ領域,MATCH($C$6, 市町村データヘッダー, 0),FALSE)</f>
        <v>76312</v>
      </c>
      <c r="AV42" s="114"/>
      <c r="AW42" s="114"/>
      <c r="AX42" s="115"/>
      <c r="AY42" s="130"/>
      <c r="AZ42" s="130"/>
      <c r="BA42" s="130"/>
      <c r="BB42" s="130"/>
      <c r="BC42" s="130"/>
      <c r="BD42" s="130"/>
      <c r="BE42" s="130"/>
      <c r="BF42" s="130"/>
      <c r="BG42" s="130"/>
      <c r="BH42" s="130"/>
      <c r="BI42" s="130"/>
      <c r="BJ42" s="131"/>
      <c r="BK42" s="60"/>
      <c r="BL42" s="60"/>
      <c r="BM42" s="60"/>
      <c r="BN42" s="60"/>
      <c r="BO42" s="60"/>
      <c r="BP42" s="60"/>
      <c r="BQ42" s="60"/>
      <c r="BR42" s="67"/>
      <c r="BS42" s="119">
        <f>VLOOKUP(BS40,市町村データ領域,MATCH($C$6, 市町村データヘッダー, 0),FALSE)</f>
        <v>141942</v>
      </c>
      <c r="BT42" s="114"/>
      <c r="BU42" s="114"/>
      <c r="BV42" s="115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34">
        <f>VLOOKUP(AM40,市町村データ領域,MATCH($C$7, 市町村データヘッダー, 0),FALSE)</f>
        <v>44.7</v>
      </c>
      <c r="AN43" s="107"/>
      <c r="AO43" s="107"/>
      <c r="AP43" s="108"/>
      <c r="AQ43" s="133">
        <f>VLOOKUP(AQ40,市町村データ領域,MATCH($C$7, 市町村データヘッダー, 0),FALSE)</f>
        <v>15.3</v>
      </c>
      <c r="AR43" s="107"/>
      <c r="AS43" s="107"/>
      <c r="AT43" s="108"/>
      <c r="AU43" s="132">
        <f>VLOOKUP(AU40,市町村データ領域,MATCH($C$7, 市町村データヘッダー, 0),FALSE)</f>
        <v>9.1</v>
      </c>
      <c r="AV43" s="107"/>
      <c r="AW43" s="107"/>
      <c r="AX43" s="108"/>
      <c r="AY43" s="130"/>
      <c r="AZ43" s="130"/>
      <c r="BA43" s="130"/>
      <c r="BB43" s="130"/>
      <c r="BC43" s="130"/>
      <c r="BD43" s="130"/>
      <c r="BE43" s="130"/>
      <c r="BF43" s="130"/>
      <c r="BG43" s="130"/>
      <c r="BH43" s="130"/>
      <c r="BI43" s="130"/>
      <c r="BJ43" s="131"/>
      <c r="BK43" s="60"/>
      <c r="BL43" s="60"/>
      <c r="BM43" s="60"/>
      <c r="BN43" s="60"/>
      <c r="BO43" s="60"/>
      <c r="BP43" s="60"/>
      <c r="BQ43" s="60"/>
      <c r="BR43" s="67"/>
      <c r="BS43" s="112">
        <f>VLOOKUP(BS40,市町村データ領域,MATCH($C$7, 市町村データヘッダー, 0),FALSE)</f>
        <v>30.1</v>
      </c>
      <c r="BT43" s="107"/>
      <c r="BU43" s="107"/>
      <c r="BV43" s="108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0" t="str">
        <f>VLOOKUP(AM44,市町村データ領域,MATCH($D$4, 市町村データヘッダー, 0),FALSE)</f>
        <v>所沢市</v>
      </c>
      <c r="AO44" s="120"/>
      <c r="AP44" s="121"/>
      <c r="AQ44" s="64">
        <v>65</v>
      </c>
      <c r="AR44" s="120" t="str">
        <f>VLOOKUP(AQ44,市町村データ領域,MATCH($D$4, 市町村データヘッダー, 0),FALSE)</f>
        <v>新座市</v>
      </c>
      <c r="AS44" s="120"/>
      <c r="AT44" s="121"/>
      <c r="AU44" s="64">
        <v>66</v>
      </c>
      <c r="AV44" s="120" t="str">
        <f>VLOOKUP(AU44,市町村データ領域,MATCH($D$4, 市町村データヘッダー, 0),FALSE)</f>
        <v>朝霞市</v>
      </c>
      <c r="AW44" s="120"/>
      <c r="AX44" s="121"/>
      <c r="AY44" s="64">
        <v>67</v>
      </c>
      <c r="AZ44" s="120" t="str">
        <f>VLOOKUP(AY44,市町村データ領域,MATCH($D$4, 市町村データヘッダー, 0),FALSE)</f>
        <v>和光市</v>
      </c>
      <c r="BA44" s="120"/>
      <c r="BB44" s="121"/>
      <c r="BC44" s="64">
        <v>68</v>
      </c>
      <c r="BD44" s="120" t="str">
        <f>VLOOKUP(BC44,市町村データ領域,MATCH($D$4, 市町村データヘッダー, 0),FALSE)</f>
        <v>戸田市</v>
      </c>
      <c r="BE44" s="120"/>
      <c r="BF44" s="121"/>
      <c r="BG44" s="64">
        <v>69</v>
      </c>
      <c r="BH44" s="120" t="str">
        <f>VLOOKUP(BG44,市町村データ領域,MATCH($D$4, 市町村データヘッダー, 0),FALSE)</f>
        <v>蕨市</v>
      </c>
      <c r="BI44" s="120"/>
      <c r="BJ44" s="121"/>
      <c r="BK44" s="64">
        <v>70</v>
      </c>
      <c r="BL44" s="120" t="str">
        <f>VLOOKUP(BK44,市町村データ領域,MATCH($D$4, 市町村データヘッダー, 0),FALSE)</f>
        <v>川口市</v>
      </c>
      <c r="BM44" s="120"/>
      <c r="BN44" s="121"/>
      <c r="BO44" s="64">
        <v>71</v>
      </c>
      <c r="BP44" s="120" t="str">
        <f>VLOOKUP(BO44,市町村データ領域,MATCH($D$4, 市町村データヘッダー, 0),FALSE)</f>
        <v>草加市</v>
      </c>
      <c r="BQ44" s="120"/>
      <c r="BR44" s="121"/>
      <c r="BS44" s="64">
        <v>72</v>
      </c>
      <c r="BT44" s="120" t="str">
        <f>VLOOKUP(BS44,市町村データ領域,MATCH($D$4, 市町村データヘッダー, 0),FALSE)</f>
        <v>八潮市</v>
      </c>
      <c r="BU44" s="120"/>
      <c r="BV44" s="121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28">
        <f>VLOOKUP(AM44,市町村データ領域,MATCH($C$5, 市町村データヘッダー, 0),FALSE)</f>
        <v>4764</v>
      </c>
      <c r="AN45" s="123"/>
      <c r="AO45" s="123"/>
      <c r="AP45" s="124"/>
      <c r="AQ45" s="127">
        <f>VLOOKUP(AQ44,市町村データ領域,MATCH($C$5, 市町村データヘッダー, 0),FALSE)</f>
        <v>7289</v>
      </c>
      <c r="AR45" s="123"/>
      <c r="AS45" s="123"/>
      <c r="AT45" s="124"/>
      <c r="AU45" s="127">
        <f>VLOOKUP(AU44,市町村データ領域,MATCH($C$5, 市町村データヘッダー, 0),FALSE)</f>
        <v>7904</v>
      </c>
      <c r="AV45" s="123"/>
      <c r="AW45" s="123"/>
      <c r="AX45" s="124"/>
      <c r="AY45" s="127">
        <f>VLOOKUP(AY44,市町村データ領域,MATCH($C$5, 市町村データヘッダー, 0),FALSE)</f>
        <v>7675</v>
      </c>
      <c r="AZ45" s="123"/>
      <c r="BA45" s="123"/>
      <c r="BB45" s="124"/>
      <c r="BC45" s="127">
        <f>VLOOKUP(BC44,市町村データ領域,MATCH($C$5, 市町村データヘッダー, 0),FALSE)</f>
        <v>7815</v>
      </c>
      <c r="BD45" s="123"/>
      <c r="BE45" s="123"/>
      <c r="BF45" s="124"/>
      <c r="BG45" s="126">
        <f>VLOOKUP(BG44,市町村データ領域,MATCH($C$5, 市町村データヘッダー, 0),FALSE)</f>
        <v>14804</v>
      </c>
      <c r="BH45" s="123"/>
      <c r="BI45" s="123"/>
      <c r="BJ45" s="124"/>
      <c r="BK45" s="125">
        <f>VLOOKUP(BK44,市町村データ領域,MATCH($C$5, 市町村データヘッダー, 0),FALSE)</f>
        <v>9787</v>
      </c>
      <c r="BL45" s="123"/>
      <c r="BM45" s="123"/>
      <c r="BN45" s="124"/>
      <c r="BO45" s="125">
        <f>VLOOKUP(BO44,市町村データ領域,MATCH($C$5, 市町村データヘッダー, 0),FALSE)</f>
        <v>9149</v>
      </c>
      <c r="BP45" s="123"/>
      <c r="BQ45" s="123"/>
      <c r="BR45" s="124"/>
      <c r="BS45" s="122">
        <f>VLOOKUP(BS44,市町村データ領域,MATCH($C$5, 市町村データヘッダー, 0),FALSE)</f>
        <v>5165</v>
      </c>
      <c r="BT45" s="123"/>
      <c r="BU45" s="123"/>
      <c r="BV45" s="124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281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19">
        <f>VLOOKUP(AM44,市町村データ領域,MATCH($C$6, 市町村データヘッダー, 0),FALSE)</f>
        <v>343529</v>
      </c>
      <c r="AN46" s="114"/>
      <c r="AO46" s="114"/>
      <c r="AP46" s="115"/>
      <c r="AQ46" s="118">
        <f>VLOOKUP(AQ44,市町村データ領域,MATCH($C$6, 市町村データヘッダー, 0),FALSE)</f>
        <v>166036</v>
      </c>
      <c r="AR46" s="114"/>
      <c r="AS46" s="114"/>
      <c r="AT46" s="115"/>
      <c r="AU46" s="118">
        <f>VLOOKUP(AU44,市町村データ領域,MATCH($C$6, 市町村データヘッダー, 0),FALSE)</f>
        <v>144964</v>
      </c>
      <c r="AV46" s="114"/>
      <c r="AW46" s="114"/>
      <c r="AX46" s="115"/>
      <c r="AY46" s="118">
        <f>VLOOKUP(AY44,市町村データ領域,MATCH($C$6, 市町村データヘッダー, 0),FALSE)</f>
        <v>84728</v>
      </c>
      <c r="AZ46" s="114"/>
      <c r="BA46" s="114"/>
      <c r="BB46" s="115"/>
      <c r="BC46" s="118">
        <f>VLOOKUP(BC44,市町村データ領域,MATCH($C$6, 市町村データヘッダー, 0),FALSE)</f>
        <v>142163</v>
      </c>
      <c r="BD46" s="114"/>
      <c r="BE46" s="114"/>
      <c r="BF46" s="115"/>
      <c r="BG46" s="117">
        <f>VLOOKUP(BG44,市町村データ領域,MATCH($C$6, 市町村データヘッダー, 0),FALSE)</f>
        <v>75646</v>
      </c>
      <c r="BH46" s="114"/>
      <c r="BI46" s="114"/>
      <c r="BJ46" s="115"/>
      <c r="BK46" s="116">
        <f>VLOOKUP(BK44,市町村データ領域,MATCH($C$6, 市町村データヘッダー, 0),FALSE)</f>
        <v>606315</v>
      </c>
      <c r="BL46" s="114"/>
      <c r="BM46" s="114"/>
      <c r="BN46" s="115"/>
      <c r="BO46" s="116">
        <f>VLOOKUP(BO44,市町村データ領域,MATCH($C$6, 市町村データヘッダー, 0),FALSE)</f>
        <v>251219</v>
      </c>
      <c r="BP46" s="114"/>
      <c r="BQ46" s="114"/>
      <c r="BR46" s="115"/>
      <c r="BS46" s="113">
        <f>VLOOKUP(BS44,市町村データ領域,MATCH($C$6, 市町村データヘッダー, 0),FALSE)</f>
        <v>93065</v>
      </c>
      <c r="BT46" s="114"/>
      <c r="BU46" s="114"/>
      <c r="BV46" s="115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171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12">
        <f>VLOOKUP(AM44,市町村データ領域,MATCH($C$7, 市町村データヘッダー, 0),FALSE)</f>
        <v>72.099999999999994</v>
      </c>
      <c r="AN47" s="107"/>
      <c r="AO47" s="107"/>
      <c r="AP47" s="108"/>
      <c r="AQ47" s="111">
        <f>VLOOKUP(AQ44,市町村データ領域,MATCH($C$7, 市町村データヘッダー, 0),FALSE)</f>
        <v>22.8</v>
      </c>
      <c r="AR47" s="107"/>
      <c r="AS47" s="107"/>
      <c r="AT47" s="108"/>
      <c r="AU47" s="111">
        <f>VLOOKUP(AU44,市町村データ領域,MATCH($C$7, 市町村データヘッダー, 0),FALSE)</f>
        <v>18.3</v>
      </c>
      <c r="AV47" s="107"/>
      <c r="AW47" s="107"/>
      <c r="AX47" s="108"/>
      <c r="AY47" s="111">
        <f>VLOOKUP(AY44,市町村データ領域,MATCH($C$7, 市町村データヘッダー, 0),FALSE)</f>
        <v>11</v>
      </c>
      <c r="AZ47" s="107"/>
      <c r="BA47" s="107"/>
      <c r="BB47" s="108"/>
      <c r="BC47" s="111">
        <f>VLOOKUP(BC44,市町村データ領域,MATCH($C$7, 市町村データヘッダー, 0),FALSE)</f>
        <v>18.2</v>
      </c>
      <c r="BD47" s="107"/>
      <c r="BE47" s="107"/>
      <c r="BF47" s="108"/>
      <c r="BG47" s="110">
        <f>VLOOKUP(BG44,市町村データ領域,MATCH($C$7, 市町村データヘッダー, 0),FALSE)</f>
        <v>5.0999999999999996</v>
      </c>
      <c r="BH47" s="107"/>
      <c r="BI47" s="107"/>
      <c r="BJ47" s="108"/>
      <c r="BK47" s="109">
        <f>VLOOKUP(BK44,市町村データ領域,MATCH($C$7, 市町村データヘッダー, 0),FALSE)</f>
        <v>62</v>
      </c>
      <c r="BL47" s="107"/>
      <c r="BM47" s="107"/>
      <c r="BN47" s="108"/>
      <c r="BO47" s="109">
        <f>VLOOKUP(BO44,市町村データ領域,MATCH($C$7, 市町村データヘッダー, 0),FALSE)</f>
        <v>27.5</v>
      </c>
      <c r="BP47" s="107"/>
      <c r="BQ47" s="107"/>
      <c r="BR47" s="108"/>
      <c r="BS47" s="106">
        <f>VLOOKUP(BS44,市町村データ領域,MATCH($C$7, 市町村データヘッダー, 0),FALSE)</f>
        <v>18</v>
      </c>
      <c r="BT47" s="107"/>
      <c r="BU47" s="107"/>
      <c r="BV47" s="108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6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63" t="s">
        <v>181</v>
      </c>
      <c r="D5" s="103"/>
      <c r="E5" s="103"/>
      <c r="F5" s="164"/>
    </row>
    <row r="6" spans="1:80" ht="21" customHeight="1" x14ac:dyDescent="0.55000000000000004">
      <c r="C6" s="163"/>
      <c r="D6" s="103"/>
      <c r="E6" s="103"/>
      <c r="F6" s="164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65"/>
      <c r="D7" s="166"/>
      <c r="E7" s="166"/>
      <c r="F7" s="167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x14ac:dyDescent="0.55000000000000004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59"/>
      <c r="D12" s="62"/>
      <c r="E12" s="62"/>
      <c r="F12" s="62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0"/>
      <c r="C13" s="62"/>
      <c r="D13" s="62"/>
      <c r="E13" s="62"/>
      <c r="F13" s="62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59"/>
      <c r="B14" s="60"/>
      <c r="C14" s="62"/>
      <c r="D14" s="62"/>
      <c r="E14" s="62"/>
      <c r="F14" s="62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59"/>
      <c r="B15" s="60"/>
      <c r="C15" s="62"/>
      <c r="D15" s="62"/>
      <c r="E15" s="62"/>
      <c r="F15" s="62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282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0" t="str">
        <f>VLOOKUP(G16,市町村データ領域,MATCH($D$4, 市町村データヘッダー, 0),FALSE)</f>
        <v>上里町</v>
      </c>
      <c r="I16" s="120"/>
      <c r="J16" s="121"/>
      <c r="K16" s="64">
        <v>2</v>
      </c>
      <c r="L16" s="120" t="str">
        <f>VLOOKUP(K16,市町村データ領域,MATCH($D$4, 市町村データヘッダー, 0),FALSE)</f>
        <v>本庄市</v>
      </c>
      <c r="M16" s="120"/>
      <c r="N16" s="121"/>
      <c r="O16" s="64">
        <v>3</v>
      </c>
      <c r="P16" s="120" t="str">
        <f>VLOOKUP(O16,市町村データ領域,MATCH($D$4, 市町村データヘッダー, 0),FALSE)</f>
        <v>深谷市</v>
      </c>
      <c r="Q16" s="120"/>
      <c r="R16" s="120"/>
      <c r="S16" s="66"/>
      <c r="T16" s="66"/>
      <c r="U16" s="66"/>
      <c r="V16" s="65"/>
      <c r="W16" s="64">
        <v>4</v>
      </c>
      <c r="X16" s="120" t="str">
        <f>VLOOKUP(W16,市町村データ領域,MATCH($D$4, 市町村データヘッダー, 0),FALSE)</f>
        <v>熊谷市</v>
      </c>
      <c r="Y16" s="120"/>
      <c r="Z16" s="120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0" t="str">
        <f>VLOOKUP(AQ16,市町村データ領域,MATCH($D$4, 市町村データヘッダー, 0),FALSE)</f>
        <v>行田市</v>
      </c>
      <c r="AS16" s="120"/>
      <c r="AT16" s="121"/>
      <c r="AU16" s="64">
        <v>6</v>
      </c>
      <c r="AV16" s="120" t="str">
        <f>VLOOKUP(AU16,市町村データ領域,MATCH($D$4, 市町村データヘッダー, 0),FALSE)</f>
        <v>羽生市</v>
      </c>
      <c r="AW16" s="120"/>
      <c r="AX16" s="121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02" t="str">
        <f>VLOOKUP(G16,市町村データ領域,MATCH($C$5, 市町村データヘッダー, 0),FALSE)</f>
        <v>かみさとまち</v>
      </c>
      <c r="H17" s="102"/>
      <c r="I17" s="102"/>
      <c r="J17" s="159"/>
      <c r="K17" s="102" t="str">
        <f>VLOOKUP(K16,市町村データ領域,MATCH($C$5, 市町村データヘッダー, 0),FALSE)</f>
        <v>ほんじょうし</v>
      </c>
      <c r="L17" s="102"/>
      <c r="M17" s="102"/>
      <c r="N17" s="159"/>
      <c r="O17" s="102" t="str">
        <f>VLOOKUP(O16,市町村データ領域,MATCH($C$5, 市町村データヘッダー, 0),FALSE)</f>
        <v>ふかやし</v>
      </c>
      <c r="P17" s="102"/>
      <c r="Q17" s="102"/>
      <c r="R17" s="102"/>
      <c r="S17" s="60"/>
      <c r="T17" s="60"/>
      <c r="U17" s="60"/>
      <c r="V17" s="67"/>
      <c r="W17" s="102" t="str">
        <f>VLOOKUP(W16,市町村データ領域,MATCH($C$5, 市町村データヘッダー, 0),FALSE)</f>
        <v>くまがやし</v>
      </c>
      <c r="X17" s="102"/>
      <c r="Y17" s="102"/>
      <c r="Z17" s="102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02" t="str">
        <f>VLOOKUP(AQ16,市町村データ領域,MATCH($C$5, 市町村データヘッダー, 0),FALSE)</f>
        <v>ぎょうだし</v>
      </c>
      <c r="AR17" s="102"/>
      <c r="AS17" s="102"/>
      <c r="AT17" s="159"/>
      <c r="AU17" s="102" t="str">
        <f>VLOOKUP(AU16,市町村データ領域,MATCH($C$5, 市町村データヘッダー, 0),FALSE)</f>
        <v>はにゅうし</v>
      </c>
      <c r="AV17" s="102"/>
      <c r="AW17" s="102"/>
      <c r="AX17" s="159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61"/>
      <c r="H18" s="161"/>
      <c r="I18" s="161"/>
      <c r="J18" s="162"/>
      <c r="K18" s="161"/>
      <c r="L18" s="161"/>
      <c r="M18" s="161"/>
      <c r="N18" s="162"/>
      <c r="O18" s="161"/>
      <c r="P18" s="161"/>
      <c r="Q18" s="161"/>
      <c r="R18" s="161"/>
      <c r="S18" s="60"/>
      <c r="T18" s="60"/>
      <c r="U18" s="60"/>
      <c r="V18" s="67"/>
      <c r="W18" s="161"/>
      <c r="X18" s="161"/>
      <c r="Y18" s="161"/>
      <c r="Z18" s="161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61"/>
      <c r="AR18" s="161"/>
      <c r="AS18" s="161"/>
      <c r="AT18" s="162"/>
      <c r="AU18" s="161"/>
      <c r="AV18" s="161"/>
      <c r="AW18" s="161"/>
      <c r="AX18" s="162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02"/>
      <c r="H19" s="102"/>
      <c r="I19" s="102"/>
      <c r="J19" s="159"/>
      <c r="K19" s="102"/>
      <c r="L19" s="102"/>
      <c r="M19" s="102"/>
      <c r="N19" s="159"/>
      <c r="O19" s="102"/>
      <c r="P19" s="102"/>
      <c r="Q19" s="102"/>
      <c r="R19" s="102"/>
      <c r="S19" s="60"/>
      <c r="T19" s="60"/>
      <c r="U19" s="60"/>
      <c r="V19" s="67"/>
      <c r="W19" s="102"/>
      <c r="X19" s="102"/>
      <c r="Y19" s="102"/>
      <c r="Z19" s="102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02"/>
      <c r="AR19" s="102"/>
      <c r="AS19" s="102"/>
      <c r="AT19" s="159"/>
      <c r="AU19" s="102"/>
      <c r="AV19" s="102"/>
      <c r="AW19" s="102"/>
      <c r="AX19" s="159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0" t="str">
        <f>VLOOKUP(G20,市町村データ領域,MATCH($D$4, 市町村データヘッダー, 0),FALSE)</f>
        <v>神川町</v>
      </c>
      <c r="I20" s="120"/>
      <c r="J20" s="121"/>
      <c r="K20" s="60"/>
      <c r="L20" s="60"/>
      <c r="M20" s="60"/>
      <c r="N20" s="67"/>
      <c r="O20" s="64">
        <v>8</v>
      </c>
      <c r="P20" s="120" t="str">
        <f>VLOOKUP(O20,市町村データ領域,MATCH($D$4, 市町村データヘッダー, 0),FALSE)</f>
        <v>美里町</v>
      </c>
      <c r="Q20" s="120"/>
      <c r="R20" s="121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0" t="str">
        <f>VLOOKUP(AQ20,市町村データ領域,MATCH($D$4, 市町村データヘッダー, 0),FALSE)</f>
        <v>鴻巣市</v>
      </c>
      <c r="AS20" s="120"/>
      <c r="AT20" s="121"/>
      <c r="AU20" s="64">
        <v>10</v>
      </c>
      <c r="AV20" s="120" t="str">
        <f>VLOOKUP(AU20,市町村データ領域,MATCH($D$4, 市町村データヘッダー, 0),FALSE)</f>
        <v>加須市</v>
      </c>
      <c r="AW20" s="120"/>
      <c r="AX20" s="120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02" t="str">
        <f>VLOOKUP(G20,市町村データ領域,MATCH($C$5, 市町村データヘッダー, 0),FALSE)</f>
        <v>かみかわまち</v>
      </c>
      <c r="H21" s="102"/>
      <c r="I21" s="102"/>
      <c r="J21" s="159"/>
      <c r="K21" s="60"/>
      <c r="L21" s="60"/>
      <c r="M21" s="60"/>
      <c r="N21" s="67"/>
      <c r="O21" s="102" t="str">
        <f>VLOOKUP(O20,市町村データ領域,MATCH($C$5, 市町村データヘッダー, 0),FALSE)</f>
        <v>みさとまち</v>
      </c>
      <c r="P21" s="102"/>
      <c r="Q21" s="102"/>
      <c r="R21" s="159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02" t="str">
        <f>VLOOKUP(AQ20,市町村データ領域,MATCH($C$5, 市町村データヘッダー, 0),FALSE)</f>
        <v>こうのすし</v>
      </c>
      <c r="AR21" s="102"/>
      <c r="AS21" s="102"/>
      <c r="AT21" s="159"/>
      <c r="AU21" s="102" t="str">
        <f>VLOOKUP(AU20,市町村データ領域,MATCH($C$5, 市町村データヘッダー, 0),FALSE)</f>
        <v>かぞし</v>
      </c>
      <c r="AV21" s="102"/>
      <c r="AW21" s="102"/>
      <c r="AX21" s="102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61"/>
      <c r="H22" s="161"/>
      <c r="I22" s="161"/>
      <c r="J22" s="162"/>
      <c r="K22" s="60"/>
      <c r="L22" s="60"/>
      <c r="M22" s="60"/>
      <c r="N22" s="67"/>
      <c r="O22" s="161"/>
      <c r="P22" s="161"/>
      <c r="Q22" s="161"/>
      <c r="R22" s="162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61"/>
      <c r="AR22" s="161"/>
      <c r="AS22" s="161"/>
      <c r="AT22" s="162"/>
      <c r="AU22" s="161"/>
      <c r="AV22" s="161"/>
      <c r="AW22" s="161"/>
      <c r="AX22" s="161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02"/>
      <c r="H23" s="102"/>
      <c r="I23" s="102"/>
      <c r="J23" s="159"/>
      <c r="K23" s="60"/>
      <c r="L23" s="60"/>
      <c r="M23" s="60"/>
      <c r="N23" s="67"/>
      <c r="O23" s="102"/>
      <c r="P23" s="102"/>
      <c r="Q23" s="102"/>
      <c r="R23" s="159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02"/>
      <c r="AR23" s="102"/>
      <c r="AS23" s="102"/>
      <c r="AT23" s="159"/>
      <c r="AU23" s="102"/>
      <c r="AV23" s="102"/>
      <c r="AW23" s="102"/>
      <c r="AX23" s="102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0" t="str">
        <f>VLOOKUP(O24,市町村データ領域,MATCH($D$4, 市町村データヘッダー, 0),FALSE)</f>
        <v>長瀞町</v>
      </c>
      <c r="Q24" s="120"/>
      <c r="R24" s="121"/>
      <c r="S24" s="64">
        <v>12</v>
      </c>
      <c r="T24" s="120" t="str">
        <f>VLOOKUP(S24,市町村データ領域,MATCH($D$4, 市町村データヘッダー, 0),FALSE)</f>
        <v>寄居町</v>
      </c>
      <c r="U24" s="120"/>
      <c r="V24" s="121"/>
      <c r="W24" s="64">
        <v>13</v>
      </c>
      <c r="X24" s="120" t="str">
        <f>VLOOKUP(W24,市町村データ領域,MATCH($D$4, 市町村データヘッダー, 0),FALSE)</f>
        <v>小川町</v>
      </c>
      <c r="Y24" s="120"/>
      <c r="Z24" s="121"/>
      <c r="AA24" s="64">
        <v>14</v>
      </c>
      <c r="AB24" s="120" t="str">
        <f>VLOOKUP(AA24,市町村データ領域,MATCH($D$4, 市町村データヘッダー, 0),FALSE)</f>
        <v>嵐山町</v>
      </c>
      <c r="AC24" s="120"/>
      <c r="AD24" s="121"/>
      <c r="AE24" s="64">
        <v>15</v>
      </c>
      <c r="AF24" s="120" t="str">
        <f>VLOOKUP(AE24,市町村データ領域,MATCH($D$4, 市町村データヘッダー, 0),FALSE)</f>
        <v>滑川町</v>
      </c>
      <c r="AG24" s="120"/>
      <c r="AH24" s="121"/>
      <c r="AI24" s="64">
        <v>16</v>
      </c>
      <c r="AJ24" s="120" t="str">
        <f>VLOOKUP(AI24,市町村データ領域,MATCH($D$4, 市町村データヘッダー, 0),FALSE)</f>
        <v>東松山市</v>
      </c>
      <c r="AK24" s="120"/>
      <c r="AL24" s="121"/>
      <c r="AM24" s="64">
        <v>17</v>
      </c>
      <c r="AN24" s="120" t="str">
        <f>VLOOKUP(AM24,市町村データ領域,MATCH($D$4, 市町村データヘッダー, 0),FALSE)</f>
        <v>吉見町</v>
      </c>
      <c r="AO24" s="120"/>
      <c r="AP24" s="121"/>
      <c r="AQ24" s="64">
        <v>18</v>
      </c>
      <c r="AR24" s="120" t="str">
        <f>VLOOKUP(AQ24,市町村データ領域,MATCH($D$4, 市町村データヘッダー, 0),FALSE)</f>
        <v>北本市</v>
      </c>
      <c r="AS24" s="120"/>
      <c r="AT24" s="121"/>
      <c r="AU24" s="64">
        <v>19</v>
      </c>
      <c r="AV24" s="120" t="str">
        <f>VLOOKUP(AU24,市町村データ領域,MATCH($D$4, 市町村データヘッダー, 0),FALSE)</f>
        <v>久喜市</v>
      </c>
      <c r="AW24" s="120"/>
      <c r="AX24" s="120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0" t="str">
        <f>VLOOKUP(BO24,市町村データ領域,MATCH($D$4, 市町村データヘッダー, 0),FALSE)</f>
        <v>幸手市</v>
      </c>
      <c r="BQ24" s="120"/>
      <c r="BR24" s="121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02" t="str">
        <f>VLOOKUP(O24,市町村データ領域,MATCH($C$5, 市町村データヘッダー, 0),FALSE)</f>
        <v>ながとろまち</v>
      </c>
      <c r="P25" s="102"/>
      <c r="Q25" s="102"/>
      <c r="R25" s="159"/>
      <c r="S25" s="102" t="str">
        <f>VLOOKUP(S24,市町村データ領域,MATCH($C$5, 市町村データヘッダー, 0),FALSE)</f>
        <v>よりいまち</v>
      </c>
      <c r="T25" s="102"/>
      <c r="U25" s="102"/>
      <c r="V25" s="159"/>
      <c r="W25" s="102" t="str">
        <f>VLOOKUP(W24,市町村データ領域,MATCH($C$5, 市町村データヘッダー, 0),FALSE)</f>
        <v>おがわまち</v>
      </c>
      <c r="X25" s="102"/>
      <c r="Y25" s="102"/>
      <c r="Z25" s="159"/>
      <c r="AA25" s="102" t="str">
        <f>VLOOKUP(AA24,市町村データ領域,MATCH($C$5, 市町村データヘッダー, 0),FALSE)</f>
        <v>らんざんまち</v>
      </c>
      <c r="AB25" s="102"/>
      <c r="AC25" s="102"/>
      <c r="AD25" s="159"/>
      <c r="AE25" s="102" t="str">
        <f>VLOOKUP(AE24,市町村データ領域,MATCH($C$5, 市町村データヘッダー, 0),FALSE)</f>
        <v>なめがわまち</v>
      </c>
      <c r="AF25" s="102"/>
      <c r="AG25" s="102"/>
      <c r="AH25" s="159"/>
      <c r="AI25" s="102" t="str">
        <f>VLOOKUP(AI24,市町村データ領域,MATCH($C$5, 市町村データヘッダー, 0),FALSE)</f>
        <v>ひがしまつやまし</v>
      </c>
      <c r="AJ25" s="102"/>
      <c r="AK25" s="102"/>
      <c r="AL25" s="159"/>
      <c r="AM25" s="102" t="str">
        <f>VLOOKUP(AM24,市町村データ領域,MATCH($C$5, 市町村データヘッダー, 0),FALSE)</f>
        <v>よしみまち</v>
      </c>
      <c r="AN25" s="102"/>
      <c r="AO25" s="102"/>
      <c r="AP25" s="159"/>
      <c r="AQ25" s="102" t="str">
        <f>VLOOKUP(AQ24,市町村データ領域,MATCH($C$5, 市町村データヘッダー, 0),FALSE)</f>
        <v>きたもとし</v>
      </c>
      <c r="AR25" s="102"/>
      <c r="AS25" s="102"/>
      <c r="AT25" s="159"/>
      <c r="AU25" s="102" t="str">
        <f>VLOOKUP(AU24,市町村データ領域,MATCH($C$5, 市町村データヘッダー, 0),FALSE)</f>
        <v>くきし</v>
      </c>
      <c r="AV25" s="102"/>
      <c r="AW25" s="102"/>
      <c r="AX25" s="102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02" t="str">
        <f>VLOOKUP(BO24,市町村データ領域,MATCH($C$5, 市町村データヘッダー, 0),FALSE)</f>
        <v>さってし</v>
      </c>
      <c r="BP25" s="102"/>
      <c r="BQ25" s="102"/>
      <c r="BR25" s="159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61"/>
      <c r="P26" s="161"/>
      <c r="Q26" s="161"/>
      <c r="R26" s="162"/>
      <c r="S26" s="161"/>
      <c r="T26" s="161"/>
      <c r="U26" s="161"/>
      <c r="V26" s="162"/>
      <c r="W26" s="161"/>
      <c r="X26" s="161"/>
      <c r="Y26" s="161"/>
      <c r="Z26" s="162"/>
      <c r="AA26" s="161"/>
      <c r="AB26" s="161"/>
      <c r="AC26" s="161"/>
      <c r="AD26" s="162"/>
      <c r="AE26" s="161"/>
      <c r="AF26" s="161"/>
      <c r="AG26" s="161"/>
      <c r="AH26" s="162"/>
      <c r="AI26" s="161"/>
      <c r="AJ26" s="161"/>
      <c r="AK26" s="161"/>
      <c r="AL26" s="162"/>
      <c r="AM26" s="161"/>
      <c r="AN26" s="161"/>
      <c r="AO26" s="161"/>
      <c r="AP26" s="162"/>
      <c r="AQ26" s="161"/>
      <c r="AR26" s="161"/>
      <c r="AS26" s="161"/>
      <c r="AT26" s="162"/>
      <c r="AU26" s="161"/>
      <c r="AV26" s="161"/>
      <c r="AW26" s="161"/>
      <c r="AX26" s="161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61"/>
      <c r="BP26" s="161"/>
      <c r="BQ26" s="161"/>
      <c r="BR26" s="162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02"/>
      <c r="P27" s="102"/>
      <c r="Q27" s="102"/>
      <c r="R27" s="159"/>
      <c r="S27" s="102"/>
      <c r="T27" s="102"/>
      <c r="U27" s="102"/>
      <c r="V27" s="159"/>
      <c r="W27" s="102"/>
      <c r="X27" s="102"/>
      <c r="Y27" s="102"/>
      <c r="Z27" s="159"/>
      <c r="AA27" s="102"/>
      <c r="AB27" s="102"/>
      <c r="AC27" s="102"/>
      <c r="AD27" s="159"/>
      <c r="AE27" s="102"/>
      <c r="AF27" s="102"/>
      <c r="AG27" s="102"/>
      <c r="AH27" s="159"/>
      <c r="AI27" s="102"/>
      <c r="AJ27" s="102"/>
      <c r="AK27" s="102"/>
      <c r="AL27" s="159"/>
      <c r="AM27" s="102"/>
      <c r="AN27" s="102"/>
      <c r="AO27" s="102"/>
      <c r="AP27" s="159"/>
      <c r="AQ27" s="102"/>
      <c r="AR27" s="102"/>
      <c r="AS27" s="102"/>
      <c r="AT27" s="159"/>
      <c r="AU27" s="102"/>
      <c r="AV27" s="102"/>
      <c r="AW27" s="102"/>
      <c r="AX27" s="102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02"/>
      <c r="BP27" s="102"/>
      <c r="BQ27" s="102"/>
      <c r="BR27" s="159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0" t="str">
        <f>VLOOKUP(K28,市町村データ領域,MATCH($D$4, 市町村データヘッダー, 0),FALSE)</f>
        <v>皆野町</v>
      </c>
      <c r="M28" s="120"/>
      <c r="N28" s="121"/>
      <c r="O28" s="64">
        <v>22</v>
      </c>
      <c r="P28" s="120" t="str">
        <f>VLOOKUP(O28,市町村データ領域,MATCH($D$4, 市町村データヘッダー, 0),FALSE)</f>
        <v>東秩父村</v>
      </c>
      <c r="Q28" s="120"/>
      <c r="R28" s="120"/>
      <c r="S28" s="66"/>
      <c r="T28" s="66"/>
      <c r="U28" s="66"/>
      <c r="V28" s="65"/>
      <c r="W28" s="64">
        <v>23</v>
      </c>
      <c r="X28" s="120" t="str">
        <f>VLOOKUP(W28,市町村データ領域,MATCH($D$4, 市町村データヘッダー, 0),FALSE)</f>
        <v>ときがわ町</v>
      </c>
      <c r="Y28" s="120"/>
      <c r="Z28" s="121"/>
      <c r="AA28" s="64">
        <v>24</v>
      </c>
      <c r="AB28" s="120" t="str">
        <f>VLOOKUP(AA28,市町村データ領域,MATCH($D$4, 市町村データヘッダー, 0),FALSE)</f>
        <v>鳩山町</v>
      </c>
      <c r="AC28" s="120"/>
      <c r="AD28" s="120"/>
      <c r="AE28" s="66"/>
      <c r="AF28" s="66"/>
      <c r="AG28" s="66"/>
      <c r="AH28" s="65"/>
      <c r="AI28" s="64">
        <v>25</v>
      </c>
      <c r="AJ28" s="120" t="str">
        <f>VLOOKUP(AI28,市町村データ領域,MATCH($D$4, 市町村データヘッダー, 0),FALSE)</f>
        <v>坂戸市</v>
      </c>
      <c r="AK28" s="120"/>
      <c r="AL28" s="121"/>
      <c r="AM28" s="64">
        <v>26</v>
      </c>
      <c r="AN28" s="120" t="str">
        <f>VLOOKUP(AM28,市町村データ領域,MATCH($D$4, 市町村データヘッダー, 0),FALSE)</f>
        <v>川島町</v>
      </c>
      <c r="AO28" s="120"/>
      <c r="AP28" s="121"/>
      <c r="AQ28" s="64">
        <v>27</v>
      </c>
      <c r="AR28" s="120" t="str">
        <f>VLOOKUP(AQ28,市町村データ領域,MATCH($D$4, 市町村データヘッダー, 0),FALSE)</f>
        <v>桶川市</v>
      </c>
      <c r="AS28" s="120"/>
      <c r="AT28" s="121"/>
      <c r="AU28" s="64">
        <v>28</v>
      </c>
      <c r="AV28" s="120" t="str">
        <f>VLOOKUP(AU28,市町村データ領域,MATCH($D$4, 市町村データヘッダー, 0),FALSE)</f>
        <v>上尾市</v>
      </c>
      <c r="AW28" s="120"/>
      <c r="AX28" s="121"/>
      <c r="AY28" s="64">
        <v>29</v>
      </c>
      <c r="AZ28" s="120" t="str">
        <f>VLOOKUP(AY28,市町村データ領域,MATCH($D$4, 市町村データヘッダー, 0),FALSE)</f>
        <v>伊奈町</v>
      </c>
      <c r="BA28" s="120"/>
      <c r="BB28" s="121"/>
      <c r="BC28" s="64">
        <v>30</v>
      </c>
      <c r="BD28" s="120" t="str">
        <f>VLOOKUP(BC28,市町村データ領域,MATCH($D$4, 市町村データヘッダー, 0),FALSE)</f>
        <v>蓮田市</v>
      </c>
      <c r="BE28" s="120"/>
      <c r="BF28" s="121"/>
      <c r="BG28" s="64">
        <v>31</v>
      </c>
      <c r="BH28" s="120" t="str">
        <f>VLOOKUP(BG28,市町村データ領域,MATCH($D$4, 市町村データヘッダー, 0),FALSE)</f>
        <v>白岡市</v>
      </c>
      <c r="BI28" s="120"/>
      <c r="BJ28" s="121"/>
      <c r="BK28" s="64">
        <v>32</v>
      </c>
      <c r="BL28" s="120" t="str">
        <f>VLOOKUP(BK28,市町村データ領域,MATCH($D$4, 市町村データヘッダー, 0),FALSE)</f>
        <v>宮代町</v>
      </c>
      <c r="BM28" s="120"/>
      <c r="BN28" s="121"/>
      <c r="BO28" s="64">
        <v>33</v>
      </c>
      <c r="BP28" s="120" t="str">
        <f>VLOOKUP(BO28,市町村データ領域,MATCH($D$4, 市町村データヘッダー, 0),FALSE)</f>
        <v>杉戸町</v>
      </c>
      <c r="BQ28" s="120"/>
      <c r="BR28" s="121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02" t="str">
        <f>VLOOKUP(K28,市町村データ領域,MATCH($C$5, 市町村データヘッダー, 0),FALSE)</f>
        <v>みなのまち</v>
      </c>
      <c r="L29" s="102"/>
      <c r="M29" s="102"/>
      <c r="N29" s="159"/>
      <c r="O29" s="102" t="str">
        <f>VLOOKUP(O28,市町村データ領域,MATCH($C$5, 市町村データヘッダー, 0),FALSE)</f>
        <v>ひがしちちぶむら</v>
      </c>
      <c r="P29" s="102"/>
      <c r="Q29" s="102"/>
      <c r="R29" s="102"/>
      <c r="S29" s="60"/>
      <c r="T29" s="60"/>
      <c r="U29" s="60"/>
      <c r="V29" s="67"/>
      <c r="W29" s="102" t="str">
        <f>VLOOKUP(W28,市町村データ領域,MATCH($C$5, 市町村データヘッダー, 0),FALSE)</f>
        <v>ときがわまち</v>
      </c>
      <c r="X29" s="102"/>
      <c r="Y29" s="102"/>
      <c r="Z29" s="159"/>
      <c r="AA29" s="102" t="str">
        <f>VLOOKUP(AA28,市町村データ領域,MATCH($C$5, 市町村データヘッダー, 0),FALSE)</f>
        <v>はとやままち</v>
      </c>
      <c r="AB29" s="102"/>
      <c r="AC29" s="102"/>
      <c r="AD29" s="102"/>
      <c r="AE29" s="60"/>
      <c r="AF29" s="60"/>
      <c r="AG29" s="60"/>
      <c r="AH29" s="67"/>
      <c r="AI29" s="102" t="str">
        <f>VLOOKUP(AI28,市町村データ領域,MATCH($C$5, 市町村データヘッダー, 0),FALSE)</f>
        <v>さかどし</v>
      </c>
      <c r="AJ29" s="102"/>
      <c r="AK29" s="102"/>
      <c r="AL29" s="159"/>
      <c r="AM29" s="102" t="str">
        <f>VLOOKUP(AM28,市町村データ領域,MATCH($C$5, 市町村データヘッダー, 0),FALSE)</f>
        <v>かわじままち</v>
      </c>
      <c r="AN29" s="102"/>
      <c r="AO29" s="102"/>
      <c r="AP29" s="159"/>
      <c r="AQ29" s="102" t="str">
        <f>VLOOKUP(AQ28,市町村データ領域,MATCH($C$5, 市町村データヘッダー, 0),FALSE)</f>
        <v>おけがわし</v>
      </c>
      <c r="AR29" s="102"/>
      <c r="AS29" s="102"/>
      <c r="AT29" s="159"/>
      <c r="AU29" s="102" t="str">
        <f>VLOOKUP(AU28,市町村データ領域,MATCH($C$5, 市町村データヘッダー, 0),FALSE)</f>
        <v>あげおし</v>
      </c>
      <c r="AV29" s="102"/>
      <c r="AW29" s="102"/>
      <c r="AX29" s="159"/>
      <c r="AY29" s="102" t="str">
        <f>VLOOKUP(AY28,市町村データ領域,MATCH($C$5, 市町村データヘッダー, 0),FALSE)</f>
        <v>いなまち</v>
      </c>
      <c r="AZ29" s="102"/>
      <c r="BA29" s="102"/>
      <c r="BB29" s="159"/>
      <c r="BC29" s="102" t="str">
        <f>VLOOKUP(BC28,市町村データ領域,MATCH($C$5, 市町村データヘッダー, 0),FALSE)</f>
        <v>はすだし</v>
      </c>
      <c r="BD29" s="102"/>
      <c r="BE29" s="102"/>
      <c r="BF29" s="159"/>
      <c r="BG29" s="102" t="str">
        <f>VLOOKUP(BG28,市町村データ領域,MATCH($C$5, 市町村データヘッダー, 0),FALSE)</f>
        <v>しらおかし</v>
      </c>
      <c r="BH29" s="102"/>
      <c r="BI29" s="102"/>
      <c r="BJ29" s="159"/>
      <c r="BK29" s="102" t="str">
        <f>VLOOKUP(BK28,市町村データ領域,MATCH($C$5, 市町村データヘッダー, 0),FALSE)</f>
        <v>みやしろまち</v>
      </c>
      <c r="BL29" s="102"/>
      <c r="BM29" s="102"/>
      <c r="BN29" s="159"/>
      <c r="BO29" s="102" t="str">
        <f>VLOOKUP(BO28,市町村データ領域,MATCH($C$5, 市町村データヘッダー, 0),FALSE)</f>
        <v>すぎとまち</v>
      </c>
      <c r="BP29" s="102"/>
      <c r="BQ29" s="102"/>
      <c r="BR29" s="159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61"/>
      <c r="L30" s="161"/>
      <c r="M30" s="161"/>
      <c r="N30" s="162"/>
      <c r="O30" s="161"/>
      <c r="P30" s="161"/>
      <c r="Q30" s="161"/>
      <c r="R30" s="161"/>
      <c r="S30" s="60"/>
      <c r="T30" s="60"/>
      <c r="U30" s="60"/>
      <c r="V30" s="67"/>
      <c r="W30" s="161"/>
      <c r="X30" s="161"/>
      <c r="Y30" s="161"/>
      <c r="Z30" s="162"/>
      <c r="AA30" s="161"/>
      <c r="AB30" s="161"/>
      <c r="AC30" s="161"/>
      <c r="AD30" s="161"/>
      <c r="AE30" s="60"/>
      <c r="AF30" s="60"/>
      <c r="AG30" s="60"/>
      <c r="AH30" s="67"/>
      <c r="AI30" s="161"/>
      <c r="AJ30" s="161"/>
      <c r="AK30" s="161"/>
      <c r="AL30" s="162"/>
      <c r="AM30" s="161"/>
      <c r="AN30" s="161"/>
      <c r="AO30" s="161"/>
      <c r="AP30" s="162"/>
      <c r="AQ30" s="161"/>
      <c r="AR30" s="161"/>
      <c r="AS30" s="161"/>
      <c r="AT30" s="162"/>
      <c r="AU30" s="161"/>
      <c r="AV30" s="161"/>
      <c r="AW30" s="161"/>
      <c r="AX30" s="162"/>
      <c r="AY30" s="161"/>
      <c r="AZ30" s="161"/>
      <c r="BA30" s="161"/>
      <c r="BB30" s="162"/>
      <c r="BC30" s="161"/>
      <c r="BD30" s="161"/>
      <c r="BE30" s="161"/>
      <c r="BF30" s="162"/>
      <c r="BG30" s="161"/>
      <c r="BH30" s="161"/>
      <c r="BI30" s="161"/>
      <c r="BJ30" s="162"/>
      <c r="BK30" s="161"/>
      <c r="BL30" s="161"/>
      <c r="BM30" s="161"/>
      <c r="BN30" s="162"/>
      <c r="BO30" s="161"/>
      <c r="BP30" s="161"/>
      <c r="BQ30" s="161"/>
      <c r="BR30" s="162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02"/>
      <c r="L31" s="102"/>
      <c r="M31" s="102"/>
      <c r="N31" s="159"/>
      <c r="O31" s="102"/>
      <c r="P31" s="102"/>
      <c r="Q31" s="102"/>
      <c r="R31" s="102"/>
      <c r="S31" s="60"/>
      <c r="T31" s="60"/>
      <c r="U31" s="60"/>
      <c r="V31" s="67"/>
      <c r="W31" s="102"/>
      <c r="X31" s="102"/>
      <c r="Y31" s="102"/>
      <c r="Z31" s="159"/>
      <c r="AA31" s="102"/>
      <c r="AB31" s="102"/>
      <c r="AC31" s="102"/>
      <c r="AD31" s="102"/>
      <c r="AE31" s="60"/>
      <c r="AF31" s="60"/>
      <c r="AG31" s="60"/>
      <c r="AH31" s="67"/>
      <c r="AI31" s="102"/>
      <c r="AJ31" s="102"/>
      <c r="AK31" s="102"/>
      <c r="AL31" s="159"/>
      <c r="AM31" s="102"/>
      <c r="AN31" s="102"/>
      <c r="AO31" s="102"/>
      <c r="AP31" s="159"/>
      <c r="AQ31" s="102"/>
      <c r="AR31" s="102"/>
      <c r="AS31" s="102"/>
      <c r="AT31" s="159"/>
      <c r="AU31" s="102"/>
      <c r="AV31" s="102"/>
      <c r="AW31" s="102"/>
      <c r="AX31" s="159"/>
      <c r="AY31" s="102"/>
      <c r="AZ31" s="102"/>
      <c r="BA31" s="102"/>
      <c r="BB31" s="159"/>
      <c r="BC31" s="102"/>
      <c r="BD31" s="102"/>
      <c r="BE31" s="102"/>
      <c r="BF31" s="159"/>
      <c r="BG31" s="102"/>
      <c r="BH31" s="102"/>
      <c r="BI31" s="102"/>
      <c r="BJ31" s="159"/>
      <c r="BK31" s="102"/>
      <c r="BL31" s="102"/>
      <c r="BM31" s="102"/>
      <c r="BN31" s="159"/>
      <c r="BO31" s="102"/>
      <c r="BP31" s="102"/>
      <c r="BQ31" s="102"/>
      <c r="BR31" s="159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0" t="str">
        <f>VLOOKUP(G32,市町村データ領域,MATCH($D$4, 市町村データヘッダー, 0),FALSE)</f>
        <v>秩父市</v>
      </c>
      <c r="I32" s="120"/>
      <c r="J32" s="120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0" t="str">
        <f>VLOOKUP(S32,市町村データ領域,MATCH($D$4, 市町村データヘッダー, 0),FALSE)</f>
        <v>横瀬町</v>
      </c>
      <c r="U32" s="120"/>
      <c r="V32" s="121"/>
      <c r="W32" s="60"/>
      <c r="X32" s="60"/>
      <c r="Y32" s="60"/>
      <c r="Z32" s="67"/>
      <c r="AA32" s="64">
        <v>36</v>
      </c>
      <c r="AB32" s="120" t="str">
        <f>VLOOKUP(AA32,市町村データ領域,MATCH($D$4, 市町村データヘッダー, 0),FALSE)</f>
        <v>越生町</v>
      </c>
      <c r="AC32" s="120"/>
      <c r="AD32" s="121"/>
      <c r="AE32" s="64">
        <v>37</v>
      </c>
      <c r="AF32" s="120" t="str">
        <f>VLOOKUP(AE32,市町村データ領域,MATCH($D$4, 市町村データヘッダー, 0),FALSE)</f>
        <v>毛呂山町</v>
      </c>
      <c r="AG32" s="120"/>
      <c r="AH32" s="121"/>
      <c r="AI32" s="64">
        <v>38</v>
      </c>
      <c r="AJ32" s="120" t="str">
        <f>VLOOKUP(AI32,市町村データ領域,MATCH($D$4, 市町村データヘッダー, 0),FALSE)</f>
        <v>鶴ヶ島市</v>
      </c>
      <c r="AK32" s="120"/>
      <c r="AL32" s="121"/>
      <c r="AM32" s="64">
        <v>39</v>
      </c>
      <c r="AN32" s="120" t="str">
        <f>VLOOKUP(AM32,市町村データ領域,MATCH($D$4, 市町村データヘッダー, 0),FALSE)</f>
        <v>川越市</v>
      </c>
      <c r="AO32" s="120"/>
      <c r="AP32" s="120"/>
      <c r="AQ32" s="66"/>
      <c r="AR32" s="66"/>
      <c r="AS32" s="66"/>
      <c r="AT32" s="65"/>
      <c r="AU32" s="64">
        <v>40</v>
      </c>
      <c r="AV32" s="120" t="str">
        <f>VLOOKUP(AU32,市町村データ領域,MATCH($D$4, 市町村データヘッダー, 0),FALSE)</f>
        <v>西区</v>
      </c>
      <c r="AW32" s="120"/>
      <c r="AX32" s="120"/>
      <c r="AY32" s="64">
        <v>41</v>
      </c>
      <c r="AZ32" s="120" t="str">
        <f>VLOOKUP(AY32,市町村データ領域,MATCH($D$4, 市町村データヘッダー, 0),FALSE)</f>
        <v>北区</v>
      </c>
      <c r="BA32" s="120"/>
      <c r="BB32" s="120"/>
      <c r="BC32" s="64">
        <v>42</v>
      </c>
      <c r="BD32" s="120" t="str">
        <f>VLOOKUP(BC32,市町村データ領域,MATCH($D$4, 市町村データヘッダー, 0),FALSE)</f>
        <v>見沼区</v>
      </c>
      <c r="BE32" s="120"/>
      <c r="BF32" s="120"/>
      <c r="BG32" s="64">
        <v>43</v>
      </c>
      <c r="BH32" s="120" t="str">
        <f>VLOOKUP(BG32,市町村データ領域,MATCH($D$4, 市町村データヘッダー, 0),FALSE)</f>
        <v>岩槻区</v>
      </c>
      <c r="BI32" s="120"/>
      <c r="BJ32" s="121"/>
      <c r="BK32" s="64">
        <v>44</v>
      </c>
      <c r="BL32" s="120" t="str">
        <f>VLOOKUP(BK32,市町村データ領域,MATCH($D$4, 市町村データヘッダー, 0),FALSE)</f>
        <v>春日部市</v>
      </c>
      <c r="BM32" s="120"/>
      <c r="BN32" s="120"/>
      <c r="BO32" s="66"/>
      <c r="BP32" s="66"/>
      <c r="BQ32" s="66"/>
      <c r="BR32" s="65"/>
      <c r="BS32" s="64">
        <v>45</v>
      </c>
      <c r="BT32" s="120" t="str">
        <f>VLOOKUP(BS32,市町村データ領域,MATCH($D$4, 市町村データヘッダー, 0),FALSE)</f>
        <v>松伏町</v>
      </c>
      <c r="BU32" s="120"/>
      <c r="BV32" s="121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02" t="str">
        <f>VLOOKUP(G32,市町村データ領域,MATCH($C$5, 市町村データヘッダー, 0),FALSE)</f>
        <v>ちちぶし</v>
      </c>
      <c r="H33" s="102"/>
      <c r="I33" s="102"/>
      <c r="J33" s="102"/>
      <c r="K33" s="60"/>
      <c r="L33" s="60"/>
      <c r="M33" s="60"/>
      <c r="N33" s="60"/>
      <c r="O33" s="60"/>
      <c r="P33" s="60"/>
      <c r="Q33" s="60"/>
      <c r="R33" s="67"/>
      <c r="S33" s="102" t="str">
        <f>VLOOKUP(S32,市町村データ領域,MATCH($C$5, 市町村データヘッダー, 0),FALSE)</f>
        <v>よこぜまち</v>
      </c>
      <c r="T33" s="102"/>
      <c r="U33" s="102"/>
      <c r="V33" s="159"/>
      <c r="W33" s="60"/>
      <c r="X33" s="60"/>
      <c r="Y33" s="60"/>
      <c r="Z33" s="67"/>
      <c r="AA33" s="102" t="str">
        <f>VLOOKUP(AA32,市町村データ領域,MATCH($C$5, 市町村データヘッダー, 0),FALSE)</f>
        <v>おごせまち</v>
      </c>
      <c r="AB33" s="102"/>
      <c r="AC33" s="102"/>
      <c r="AD33" s="159"/>
      <c r="AE33" s="102" t="str">
        <f>VLOOKUP(AE32,市町村データ領域,MATCH($C$5, 市町村データヘッダー, 0),FALSE)</f>
        <v>もろやままち</v>
      </c>
      <c r="AF33" s="102"/>
      <c r="AG33" s="102"/>
      <c r="AH33" s="159"/>
      <c r="AI33" s="102" t="str">
        <f>VLOOKUP(AI32,市町村データ領域,MATCH($C$5, 市町村データヘッダー, 0),FALSE)</f>
        <v>つるがしまし</v>
      </c>
      <c r="AJ33" s="102"/>
      <c r="AK33" s="102"/>
      <c r="AL33" s="159"/>
      <c r="AM33" s="102" t="str">
        <f>VLOOKUP(AM32,市町村データ領域,MATCH($C$5, 市町村データヘッダー, 0),FALSE)</f>
        <v>かわごえし</v>
      </c>
      <c r="AN33" s="102"/>
      <c r="AO33" s="102"/>
      <c r="AP33" s="102"/>
      <c r="AQ33" s="60"/>
      <c r="AR33" s="60"/>
      <c r="AS33" s="60"/>
      <c r="AT33" s="67"/>
      <c r="AU33" s="102" t="str">
        <f>VLOOKUP(AU32,市町村データ領域,MATCH($C$5, 市町村データヘッダー, 0),FALSE)</f>
        <v>にしく</v>
      </c>
      <c r="AV33" s="102"/>
      <c r="AW33" s="102"/>
      <c r="AX33" s="102"/>
      <c r="AY33" s="102" t="str">
        <f>VLOOKUP(AY32,市町村データ領域,MATCH($C$5, 市町村データヘッダー, 0),FALSE)</f>
        <v>きたく</v>
      </c>
      <c r="AZ33" s="102"/>
      <c r="BA33" s="102"/>
      <c r="BB33" s="102"/>
      <c r="BC33" s="102" t="str">
        <f>VLOOKUP(BC32,市町村データ領域,MATCH($C$5, 市町村データヘッダー, 0),FALSE)</f>
        <v>みぬまく</v>
      </c>
      <c r="BD33" s="102"/>
      <c r="BE33" s="102"/>
      <c r="BF33" s="102"/>
      <c r="BG33" s="102" t="str">
        <f>VLOOKUP(BG32,市町村データ領域,MATCH($C$5, 市町村データヘッダー, 0),FALSE)</f>
        <v>いわつきく</v>
      </c>
      <c r="BH33" s="102"/>
      <c r="BI33" s="102"/>
      <c r="BJ33" s="159"/>
      <c r="BK33" s="102" t="str">
        <f>VLOOKUP(BK32,市町村データ領域,MATCH($C$5, 市町村データヘッダー, 0),FALSE)</f>
        <v>かすかべし</v>
      </c>
      <c r="BL33" s="102"/>
      <c r="BM33" s="102"/>
      <c r="BN33" s="102"/>
      <c r="BO33" s="60"/>
      <c r="BP33" s="60"/>
      <c r="BQ33" s="60"/>
      <c r="BR33" s="67"/>
      <c r="BS33" s="102" t="str">
        <f>VLOOKUP(BS32,市町村データ領域,MATCH($C$5, 市町村データヘッダー, 0),FALSE)</f>
        <v>まつぶしまち</v>
      </c>
      <c r="BT33" s="102"/>
      <c r="BU33" s="102"/>
      <c r="BV33" s="159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61"/>
      <c r="H34" s="161"/>
      <c r="I34" s="161"/>
      <c r="J34" s="161"/>
      <c r="K34" s="60"/>
      <c r="L34" s="60"/>
      <c r="M34" s="60"/>
      <c r="N34" s="60"/>
      <c r="O34" s="60"/>
      <c r="P34" s="60"/>
      <c r="Q34" s="60"/>
      <c r="R34" s="67"/>
      <c r="S34" s="161"/>
      <c r="T34" s="161"/>
      <c r="U34" s="161"/>
      <c r="V34" s="162"/>
      <c r="W34" s="60"/>
      <c r="X34" s="60"/>
      <c r="Y34" s="60"/>
      <c r="Z34" s="67"/>
      <c r="AA34" s="161"/>
      <c r="AB34" s="161"/>
      <c r="AC34" s="161"/>
      <c r="AD34" s="162"/>
      <c r="AE34" s="161"/>
      <c r="AF34" s="161"/>
      <c r="AG34" s="161"/>
      <c r="AH34" s="162"/>
      <c r="AI34" s="161"/>
      <c r="AJ34" s="161"/>
      <c r="AK34" s="161"/>
      <c r="AL34" s="162"/>
      <c r="AM34" s="161"/>
      <c r="AN34" s="161"/>
      <c r="AO34" s="161"/>
      <c r="AP34" s="161"/>
      <c r="AQ34" s="60"/>
      <c r="AR34" s="60"/>
      <c r="AS34" s="60"/>
      <c r="AT34" s="67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2"/>
      <c r="BK34" s="161"/>
      <c r="BL34" s="161"/>
      <c r="BM34" s="161"/>
      <c r="BN34" s="161"/>
      <c r="BO34" s="60"/>
      <c r="BP34" s="60"/>
      <c r="BQ34" s="60"/>
      <c r="BR34" s="67"/>
      <c r="BS34" s="161"/>
      <c r="BT34" s="161"/>
      <c r="BU34" s="161"/>
      <c r="BV34" s="162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02"/>
      <c r="H35" s="102"/>
      <c r="I35" s="102"/>
      <c r="J35" s="102"/>
      <c r="K35" s="60"/>
      <c r="L35" s="60"/>
      <c r="M35" s="60"/>
      <c r="N35" s="60"/>
      <c r="O35" s="60"/>
      <c r="P35" s="60"/>
      <c r="Q35" s="60"/>
      <c r="R35" s="67"/>
      <c r="S35" s="102"/>
      <c r="T35" s="102"/>
      <c r="U35" s="102"/>
      <c r="V35" s="159"/>
      <c r="W35" s="60"/>
      <c r="X35" s="60"/>
      <c r="Y35" s="60"/>
      <c r="Z35" s="67"/>
      <c r="AA35" s="102"/>
      <c r="AB35" s="102"/>
      <c r="AC35" s="102"/>
      <c r="AD35" s="159"/>
      <c r="AE35" s="102"/>
      <c r="AF35" s="102"/>
      <c r="AG35" s="102"/>
      <c r="AH35" s="159"/>
      <c r="AI35" s="102"/>
      <c r="AJ35" s="102"/>
      <c r="AK35" s="102"/>
      <c r="AL35" s="159"/>
      <c r="AM35" s="102"/>
      <c r="AN35" s="102"/>
      <c r="AO35" s="102"/>
      <c r="AP35" s="102"/>
      <c r="AQ35" s="60"/>
      <c r="AR35" s="60"/>
      <c r="AS35" s="60"/>
      <c r="AT35" s="67"/>
      <c r="AU35" s="102"/>
      <c r="AV35" s="102"/>
      <c r="AW35" s="102"/>
      <c r="AX35" s="102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59"/>
      <c r="BK35" s="102"/>
      <c r="BL35" s="102"/>
      <c r="BM35" s="102"/>
      <c r="BN35" s="102"/>
      <c r="BO35" s="60"/>
      <c r="BP35" s="60"/>
      <c r="BQ35" s="60"/>
      <c r="BR35" s="67"/>
      <c r="BS35" s="102"/>
      <c r="BT35" s="102"/>
      <c r="BU35" s="102"/>
      <c r="BV35" s="159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0" t="str">
        <f>VLOOKUP(G36,市町村データ領域,MATCH($D$4, 市町村データヘッダー, 0),FALSE)</f>
        <v>小鹿野町</v>
      </c>
      <c r="I36" s="120"/>
      <c r="J36" s="121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0" t="str">
        <f>VLOOKUP(S36,市町村データ領域,MATCH($D$4, 市町村データヘッダー, 0),FALSE)</f>
        <v>飯能市</v>
      </c>
      <c r="U36" s="120"/>
      <c r="V36" s="120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0" t="str">
        <f>VLOOKUP(AI36,市町村データ領域,MATCH($D$4, 市町村データヘッダー, 0),FALSE)</f>
        <v>日高市</v>
      </c>
      <c r="AK36" s="120"/>
      <c r="AL36" s="121"/>
      <c r="AM36" s="64">
        <v>49</v>
      </c>
      <c r="AN36" s="120" t="str">
        <f>VLOOKUP(AM36,市町村データ領域,MATCH($D$4, 市町村データヘッダー, 0),FALSE)</f>
        <v>狭山市</v>
      </c>
      <c r="AO36" s="120"/>
      <c r="AP36" s="121"/>
      <c r="AQ36" s="64">
        <v>50</v>
      </c>
      <c r="AR36" s="120" t="str">
        <f>VLOOKUP(AQ36,市町村データ領域,MATCH($D$4, 市町村データヘッダー, 0),FALSE)</f>
        <v>ふじみ野市</v>
      </c>
      <c r="AS36" s="120"/>
      <c r="AT36" s="121"/>
      <c r="AU36" s="64">
        <v>51</v>
      </c>
      <c r="AV36" s="120" t="str">
        <f>VLOOKUP(AU36,市町村データ領域,MATCH($D$4, 市町村データヘッダー, 0),FALSE)</f>
        <v>富士見市</v>
      </c>
      <c r="AW36" s="120"/>
      <c r="AX36" s="121"/>
      <c r="AY36" s="63">
        <v>52</v>
      </c>
      <c r="AZ36" s="149" t="str">
        <f>VLOOKUP(AY36,市町村データ領域,MATCH($D$4, 市町村データヘッダー, 0),FALSE)</f>
        <v>中央区</v>
      </c>
      <c r="BA36" s="149"/>
      <c r="BB36" s="149"/>
      <c r="BC36" s="63">
        <v>53</v>
      </c>
      <c r="BD36" s="149" t="str">
        <f>VLOOKUP(BC36,市町村データ領域,MATCH($D$4, 市町村データヘッダー, 0),FALSE)</f>
        <v>大宮区</v>
      </c>
      <c r="BE36" s="149"/>
      <c r="BF36" s="149"/>
      <c r="BG36" s="63">
        <v>54</v>
      </c>
      <c r="BH36" s="149" t="str">
        <f>VLOOKUP(BG36,市町村データ領域,MATCH($D$4, 市町村データヘッダー, 0),FALSE)</f>
        <v>浦和区</v>
      </c>
      <c r="BI36" s="149"/>
      <c r="BJ36" s="160"/>
      <c r="BK36" s="64">
        <v>55</v>
      </c>
      <c r="BL36" s="120" t="str">
        <f>VLOOKUP(BK36,市町村データ領域,MATCH($D$4, 市町村データヘッダー, 0),FALSE)</f>
        <v>越谷市</v>
      </c>
      <c r="BM36" s="120"/>
      <c r="BN36" s="120"/>
      <c r="BO36" s="66"/>
      <c r="BP36" s="66"/>
      <c r="BQ36" s="66"/>
      <c r="BR36" s="65"/>
      <c r="BS36" s="64">
        <v>56</v>
      </c>
      <c r="BT36" s="120" t="str">
        <f>VLOOKUP(BS36,市町村データ領域,MATCH($D$4, 市町村データヘッダー, 0),FALSE)</f>
        <v>吉川市</v>
      </c>
      <c r="BU36" s="120"/>
      <c r="BV36" s="121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02" t="str">
        <f>VLOOKUP(G36,市町村データ領域,MATCH($C$5, 市町村データヘッダー, 0),FALSE)</f>
        <v>おがのまち</v>
      </c>
      <c r="H37" s="102"/>
      <c r="I37" s="102"/>
      <c r="J37" s="159"/>
      <c r="K37" s="60"/>
      <c r="L37" s="60"/>
      <c r="M37" s="60"/>
      <c r="N37" s="60"/>
      <c r="O37" s="60"/>
      <c r="P37" s="60"/>
      <c r="Q37" s="60"/>
      <c r="R37" s="67"/>
      <c r="S37" s="102" t="str">
        <f>VLOOKUP(S36,市町村データ領域,MATCH($C$5, 市町村データヘッダー, 0),FALSE)</f>
        <v>はんのうし</v>
      </c>
      <c r="T37" s="102"/>
      <c r="U37" s="102"/>
      <c r="V37" s="102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02" t="str">
        <f>VLOOKUP(AI36,市町村データ領域,MATCH($C$5, 市町村データヘッダー, 0),FALSE)</f>
        <v>ひだかし</v>
      </c>
      <c r="AJ37" s="102"/>
      <c r="AK37" s="102"/>
      <c r="AL37" s="159"/>
      <c r="AM37" s="102" t="str">
        <f>VLOOKUP(AM36,市町村データ領域,MATCH($C$5, 市町村データヘッダー, 0),FALSE)</f>
        <v>さやまし</v>
      </c>
      <c r="AN37" s="102"/>
      <c r="AO37" s="102"/>
      <c r="AP37" s="159"/>
      <c r="AQ37" s="102" t="str">
        <f>VLOOKUP(AQ36,市町村データ領域,MATCH($C$5, 市町村データヘッダー, 0),FALSE)</f>
        <v>ふじみのし</v>
      </c>
      <c r="AR37" s="102"/>
      <c r="AS37" s="102"/>
      <c r="AT37" s="159"/>
      <c r="AU37" s="102" t="str">
        <f>VLOOKUP(AU36,市町村データ領域,MATCH($C$5, 市町村データヘッダー, 0),FALSE)</f>
        <v>ふじみし</v>
      </c>
      <c r="AV37" s="102"/>
      <c r="AW37" s="102"/>
      <c r="AX37" s="159"/>
      <c r="AY37" s="102" t="str">
        <f>VLOOKUP(AY36,市町村データ領域,MATCH($C$5, 市町村データヘッダー, 0),FALSE)</f>
        <v>ちゅうおうく</v>
      </c>
      <c r="AZ37" s="102"/>
      <c r="BA37" s="102"/>
      <c r="BB37" s="102"/>
      <c r="BC37" s="102" t="str">
        <f>VLOOKUP(BC36,市町村データ領域,MATCH($C$5, 市町村データヘッダー, 0),FALSE)</f>
        <v>おおみやく</v>
      </c>
      <c r="BD37" s="102"/>
      <c r="BE37" s="102"/>
      <c r="BF37" s="102"/>
      <c r="BG37" s="102" t="str">
        <f>VLOOKUP(BG36,市町村データ領域,MATCH($C$5, 市町村データヘッダー, 0),FALSE)</f>
        <v>うらわく</v>
      </c>
      <c r="BH37" s="102"/>
      <c r="BI37" s="102"/>
      <c r="BJ37" s="159"/>
      <c r="BK37" s="102" t="str">
        <f>VLOOKUP(BK36,市町村データ領域,MATCH($C$5, 市町村データヘッダー, 0),FALSE)</f>
        <v>こしがやし</v>
      </c>
      <c r="BL37" s="102"/>
      <c r="BM37" s="102"/>
      <c r="BN37" s="102"/>
      <c r="BO37" s="60"/>
      <c r="BP37" s="60"/>
      <c r="BQ37" s="60"/>
      <c r="BR37" s="67"/>
      <c r="BS37" s="102" t="str">
        <f>VLOOKUP(BS36,市町村データ領域,MATCH($C$5, 市町村データヘッダー, 0),FALSE)</f>
        <v>よしかわし</v>
      </c>
      <c r="BT37" s="102"/>
      <c r="BU37" s="102"/>
      <c r="BV37" s="159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61"/>
      <c r="H38" s="161"/>
      <c r="I38" s="161"/>
      <c r="J38" s="162"/>
      <c r="K38" s="60"/>
      <c r="L38" s="60"/>
      <c r="M38" s="60"/>
      <c r="N38" s="60"/>
      <c r="O38" s="60"/>
      <c r="P38" s="60"/>
      <c r="Q38" s="60"/>
      <c r="R38" s="67"/>
      <c r="S38" s="161"/>
      <c r="T38" s="161"/>
      <c r="U38" s="161"/>
      <c r="V38" s="161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61"/>
      <c r="AJ38" s="161"/>
      <c r="AK38" s="161"/>
      <c r="AL38" s="162"/>
      <c r="AM38" s="161"/>
      <c r="AN38" s="161"/>
      <c r="AO38" s="161"/>
      <c r="AP38" s="162"/>
      <c r="AQ38" s="161"/>
      <c r="AR38" s="161"/>
      <c r="AS38" s="161"/>
      <c r="AT38" s="162"/>
      <c r="AU38" s="161"/>
      <c r="AV38" s="161"/>
      <c r="AW38" s="161"/>
      <c r="AX38" s="162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2"/>
      <c r="BK38" s="161"/>
      <c r="BL38" s="161"/>
      <c r="BM38" s="161"/>
      <c r="BN38" s="161"/>
      <c r="BO38" s="60"/>
      <c r="BP38" s="60"/>
      <c r="BQ38" s="60"/>
      <c r="BR38" s="67"/>
      <c r="BS38" s="161"/>
      <c r="BT38" s="161"/>
      <c r="BU38" s="161"/>
      <c r="BV38" s="162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02"/>
      <c r="H39" s="102"/>
      <c r="I39" s="102"/>
      <c r="J39" s="159"/>
      <c r="K39" s="60"/>
      <c r="L39" s="60"/>
      <c r="M39" s="60"/>
      <c r="N39" s="60"/>
      <c r="O39" s="60"/>
      <c r="P39" s="60"/>
      <c r="Q39" s="60"/>
      <c r="R39" s="67"/>
      <c r="S39" s="102"/>
      <c r="T39" s="102"/>
      <c r="U39" s="102"/>
      <c r="V39" s="102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02"/>
      <c r="AJ39" s="102"/>
      <c r="AK39" s="102"/>
      <c r="AL39" s="159"/>
      <c r="AM39" s="102"/>
      <c r="AN39" s="102"/>
      <c r="AO39" s="102"/>
      <c r="AP39" s="159"/>
      <c r="AQ39" s="102"/>
      <c r="AR39" s="102"/>
      <c r="AS39" s="102"/>
      <c r="AT39" s="159"/>
      <c r="AU39" s="102"/>
      <c r="AV39" s="102"/>
      <c r="AW39" s="102"/>
      <c r="AX39" s="159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59"/>
      <c r="BK39" s="102"/>
      <c r="BL39" s="102"/>
      <c r="BM39" s="102"/>
      <c r="BN39" s="102"/>
      <c r="BO39" s="60"/>
      <c r="BP39" s="60"/>
      <c r="BQ39" s="60"/>
      <c r="BR39" s="67"/>
      <c r="BS39" s="102"/>
      <c r="BT39" s="102"/>
      <c r="BU39" s="102"/>
      <c r="BV39" s="159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0" t="str">
        <f>VLOOKUP(AM40,市町村データ領域,MATCH($D$4, 市町村データヘッダー, 0),FALSE)</f>
        <v>入間市</v>
      </c>
      <c r="AO40" s="120"/>
      <c r="AP40" s="121"/>
      <c r="AQ40" s="64">
        <v>58</v>
      </c>
      <c r="AR40" s="120" t="str">
        <f>VLOOKUP(AQ40,市町村データ領域,MATCH($D$4, 市町村データヘッダー, 0),FALSE)</f>
        <v>三芳町</v>
      </c>
      <c r="AS40" s="120"/>
      <c r="AT40" s="121"/>
      <c r="AU40" s="64">
        <v>59</v>
      </c>
      <c r="AV40" s="120" t="str">
        <f>VLOOKUP(AU40,市町村データ領域,MATCH($D$4, 市町村データヘッダー, 0),FALSE)</f>
        <v>志木市</v>
      </c>
      <c r="AW40" s="120"/>
      <c r="AX40" s="121"/>
      <c r="AY40" s="63">
        <v>60</v>
      </c>
      <c r="AZ40" s="149" t="str">
        <f>VLOOKUP(AY40,市町村データ領域,MATCH($D$4, 市町村データヘッダー, 0),FALSE)</f>
        <v>桜区</v>
      </c>
      <c r="BA40" s="149"/>
      <c r="BB40" s="149"/>
      <c r="BC40" s="63">
        <v>61</v>
      </c>
      <c r="BD40" s="149" t="str">
        <f>VLOOKUP(BC40,市町村データ領域,MATCH($D$4, 市町村データヘッダー, 0),FALSE)</f>
        <v>南区</v>
      </c>
      <c r="BE40" s="149"/>
      <c r="BF40" s="149"/>
      <c r="BG40" s="63">
        <v>62</v>
      </c>
      <c r="BH40" s="149" t="str">
        <f>VLOOKUP(BG40,市町村データ領域,MATCH($D$4, 市町村データヘッダー, 0),FALSE)</f>
        <v>緑区</v>
      </c>
      <c r="BI40" s="149"/>
      <c r="BJ40" s="160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0" t="str">
        <f>VLOOKUP(BS40,市町村データ領域,MATCH($D$4, 市町村データヘッダー, 0),FALSE)</f>
        <v>三郷市</v>
      </c>
      <c r="BU40" s="120"/>
      <c r="BV40" s="121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02" t="str">
        <f>VLOOKUP(AM40,市町村データ領域,MATCH($C$5, 市町村データヘッダー, 0),FALSE)</f>
        <v>いるまし</v>
      </c>
      <c r="AN41" s="102"/>
      <c r="AO41" s="102"/>
      <c r="AP41" s="159"/>
      <c r="AQ41" s="102" t="str">
        <f>VLOOKUP(AQ40,市町村データ領域,MATCH($C$5, 市町村データヘッダー, 0),FALSE)</f>
        <v>みよしまち</v>
      </c>
      <c r="AR41" s="102"/>
      <c r="AS41" s="102"/>
      <c r="AT41" s="159"/>
      <c r="AU41" s="102" t="str">
        <f>VLOOKUP(AU40,市町村データ領域,MATCH($C$5, 市町村データヘッダー, 0),FALSE)</f>
        <v>しきし</v>
      </c>
      <c r="AV41" s="102"/>
      <c r="AW41" s="102"/>
      <c r="AX41" s="159"/>
      <c r="AY41" s="102" t="str">
        <f>VLOOKUP(AY40,市町村データ領域,MATCH($C$5, 市町村データヘッダー, 0),FALSE)</f>
        <v>さくらく</v>
      </c>
      <c r="AZ41" s="102"/>
      <c r="BA41" s="102"/>
      <c r="BB41" s="102"/>
      <c r="BC41" s="102" t="str">
        <f>VLOOKUP(BC40,市町村データ領域,MATCH($C$5, 市町村データヘッダー, 0),FALSE)</f>
        <v>みなみく</v>
      </c>
      <c r="BD41" s="102"/>
      <c r="BE41" s="102"/>
      <c r="BF41" s="102"/>
      <c r="BG41" s="102" t="str">
        <f>VLOOKUP(BG40,市町村データ領域,MATCH($C$5, 市町村データヘッダー, 0),FALSE)</f>
        <v>みどりく</v>
      </c>
      <c r="BH41" s="102"/>
      <c r="BI41" s="102"/>
      <c r="BJ41" s="159"/>
      <c r="BK41" s="60"/>
      <c r="BL41" s="60"/>
      <c r="BM41" s="60"/>
      <c r="BN41" s="60"/>
      <c r="BO41" s="60"/>
      <c r="BP41" s="60"/>
      <c r="BQ41" s="60"/>
      <c r="BR41" s="67"/>
      <c r="BS41" s="102" t="str">
        <f>VLOOKUP(BS40,市町村データ領域,MATCH($C$5, 市町村データヘッダー, 0),FALSE)</f>
        <v>みさとし</v>
      </c>
      <c r="BT41" s="102"/>
      <c r="BU41" s="102"/>
      <c r="BV41" s="159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61"/>
      <c r="AN42" s="161"/>
      <c r="AO42" s="161"/>
      <c r="AP42" s="162"/>
      <c r="AQ42" s="161"/>
      <c r="AR42" s="161"/>
      <c r="AS42" s="161"/>
      <c r="AT42" s="162"/>
      <c r="AU42" s="161"/>
      <c r="AV42" s="161"/>
      <c r="AW42" s="161"/>
      <c r="AX42" s="162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2"/>
      <c r="BK42" s="60"/>
      <c r="BL42" s="60"/>
      <c r="BM42" s="60"/>
      <c r="BN42" s="60"/>
      <c r="BO42" s="60"/>
      <c r="BP42" s="60"/>
      <c r="BQ42" s="60"/>
      <c r="BR42" s="67"/>
      <c r="BS42" s="161"/>
      <c r="BT42" s="161"/>
      <c r="BU42" s="161"/>
      <c r="BV42" s="162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02"/>
      <c r="AN43" s="102"/>
      <c r="AO43" s="102"/>
      <c r="AP43" s="159"/>
      <c r="AQ43" s="102"/>
      <c r="AR43" s="102"/>
      <c r="AS43" s="102"/>
      <c r="AT43" s="159"/>
      <c r="AU43" s="102"/>
      <c r="AV43" s="102"/>
      <c r="AW43" s="102"/>
      <c r="AX43" s="159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59"/>
      <c r="BK43" s="60"/>
      <c r="BL43" s="60"/>
      <c r="BM43" s="60"/>
      <c r="BN43" s="60"/>
      <c r="BO43" s="60"/>
      <c r="BP43" s="60"/>
      <c r="BQ43" s="60"/>
      <c r="BR43" s="67"/>
      <c r="BS43" s="102"/>
      <c r="BT43" s="102"/>
      <c r="BU43" s="102"/>
      <c r="BV43" s="159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0" t="str">
        <f>VLOOKUP(AM44,市町村データ領域,MATCH($D$4, 市町村データヘッダー, 0),FALSE)</f>
        <v>所沢市</v>
      </c>
      <c r="AO44" s="120"/>
      <c r="AP44" s="121"/>
      <c r="AQ44" s="64">
        <v>65</v>
      </c>
      <c r="AR44" s="120" t="str">
        <f>VLOOKUP(AQ44,市町村データ領域,MATCH($D$4, 市町村データヘッダー, 0),FALSE)</f>
        <v>新座市</v>
      </c>
      <c r="AS44" s="120"/>
      <c r="AT44" s="121"/>
      <c r="AU44" s="64">
        <v>66</v>
      </c>
      <c r="AV44" s="120" t="str">
        <f>VLOOKUP(AU44,市町村データ領域,MATCH($D$4, 市町村データヘッダー, 0),FALSE)</f>
        <v>朝霞市</v>
      </c>
      <c r="AW44" s="120"/>
      <c r="AX44" s="121"/>
      <c r="AY44" s="64">
        <v>67</v>
      </c>
      <c r="AZ44" s="120" t="str">
        <f>VLOOKUP(AY44,市町村データ領域,MATCH($D$4, 市町村データヘッダー, 0),FALSE)</f>
        <v>和光市</v>
      </c>
      <c r="BA44" s="120"/>
      <c r="BB44" s="121"/>
      <c r="BC44" s="64">
        <v>68</v>
      </c>
      <c r="BD44" s="120" t="str">
        <f>VLOOKUP(BC44,市町村データ領域,MATCH($D$4, 市町村データヘッダー, 0),FALSE)</f>
        <v>戸田市</v>
      </c>
      <c r="BE44" s="120"/>
      <c r="BF44" s="121"/>
      <c r="BG44" s="64">
        <v>69</v>
      </c>
      <c r="BH44" s="120" t="str">
        <f>VLOOKUP(BG44,市町村データ領域,MATCH($D$4, 市町村データヘッダー, 0),FALSE)</f>
        <v>蕨市</v>
      </c>
      <c r="BI44" s="120"/>
      <c r="BJ44" s="121"/>
      <c r="BK44" s="64">
        <v>70</v>
      </c>
      <c r="BL44" s="120" t="str">
        <f>VLOOKUP(BK44,市町村データ領域,MATCH($D$4, 市町村データヘッダー, 0),FALSE)</f>
        <v>川口市</v>
      </c>
      <c r="BM44" s="120"/>
      <c r="BN44" s="121"/>
      <c r="BO44" s="64">
        <v>71</v>
      </c>
      <c r="BP44" s="120" t="str">
        <f>VLOOKUP(BO44,市町村データ領域,MATCH($D$4, 市町村データヘッダー, 0),FALSE)</f>
        <v>草加市</v>
      </c>
      <c r="BQ44" s="120"/>
      <c r="BR44" s="121"/>
      <c r="BS44" s="64">
        <v>72</v>
      </c>
      <c r="BT44" s="120" t="str">
        <f>VLOOKUP(BS44,市町村データ領域,MATCH($D$4, 市町村データヘッダー, 0),FALSE)</f>
        <v>八潮市</v>
      </c>
      <c r="BU44" s="120"/>
      <c r="BV44" s="121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02" t="str">
        <f>VLOOKUP(AM44,市町村データ領域,MATCH($C$5, 市町村データヘッダー, 0),FALSE)</f>
        <v>ところざわし</v>
      </c>
      <c r="AN45" s="102"/>
      <c r="AO45" s="102"/>
      <c r="AP45" s="159"/>
      <c r="AQ45" s="102" t="str">
        <f>VLOOKUP(AQ44,市町村データ領域,MATCH($C$5, 市町村データヘッダー, 0),FALSE)</f>
        <v>にいざし</v>
      </c>
      <c r="AR45" s="102"/>
      <c r="AS45" s="102"/>
      <c r="AT45" s="159"/>
      <c r="AU45" s="102" t="str">
        <f>VLOOKUP(AU44,市町村データ領域,MATCH($C$5, 市町村データヘッダー, 0),FALSE)</f>
        <v>あさかし</v>
      </c>
      <c r="AV45" s="102"/>
      <c r="AW45" s="102"/>
      <c r="AX45" s="159"/>
      <c r="AY45" s="102" t="str">
        <f>VLOOKUP(AY44,市町村データ領域,MATCH($C$5, 市町村データヘッダー, 0),FALSE)</f>
        <v>わこうし</v>
      </c>
      <c r="AZ45" s="102"/>
      <c r="BA45" s="102"/>
      <c r="BB45" s="159"/>
      <c r="BC45" s="102" t="str">
        <f>VLOOKUP(BC44,市町村データ領域,MATCH($C$5, 市町村データヘッダー, 0),FALSE)</f>
        <v>とだし</v>
      </c>
      <c r="BD45" s="102"/>
      <c r="BE45" s="102"/>
      <c r="BF45" s="159"/>
      <c r="BG45" s="102" t="str">
        <f>VLOOKUP(BG44,市町村データ領域,MATCH($C$5, 市町村データヘッダー, 0),FALSE)</f>
        <v>わらびし</v>
      </c>
      <c r="BH45" s="102"/>
      <c r="BI45" s="102"/>
      <c r="BJ45" s="159"/>
      <c r="BK45" s="102" t="str">
        <f>VLOOKUP(BK44,市町村データ領域,MATCH($C$5, 市町村データヘッダー, 0),FALSE)</f>
        <v>かわぐちし</v>
      </c>
      <c r="BL45" s="102"/>
      <c r="BM45" s="102"/>
      <c r="BN45" s="159"/>
      <c r="BO45" s="102" t="str">
        <f>VLOOKUP(BO44,市町村データ領域,MATCH($C$5, 市町村データヘッダー, 0),FALSE)</f>
        <v>そうかし</v>
      </c>
      <c r="BP45" s="102"/>
      <c r="BQ45" s="102"/>
      <c r="BR45" s="159"/>
      <c r="BS45" s="102" t="str">
        <f>VLOOKUP(BS44,市町村データ領域,MATCH($C$5, 市町村データヘッダー, 0),FALSE)</f>
        <v>やしおし</v>
      </c>
      <c r="BT45" s="102"/>
      <c r="BU45" s="102"/>
      <c r="BV45" s="159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283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61"/>
      <c r="AN46" s="161"/>
      <c r="AO46" s="161"/>
      <c r="AP46" s="162"/>
      <c r="AQ46" s="161"/>
      <c r="AR46" s="161"/>
      <c r="AS46" s="161"/>
      <c r="AT46" s="162"/>
      <c r="AU46" s="161"/>
      <c r="AV46" s="161"/>
      <c r="AW46" s="161"/>
      <c r="AX46" s="162"/>
      <c r="AY46" s="161"/>
      <c r="AZ46" s="161"/>
      <c r="BA46" s="161"/>
      <c r="BB46" s="162"/>
      <c r="BC46" s="161"/>
      <c r="BD46" s="161"/>
      <c r="BE46" s="161"/>
      <c r="BF46" s="162"/>
      <c r="BG46" s="161"/>
      <c r="BH46" s="161"/>
      <c r="BI46" s="161"/>
      <c r="BJ46" s="162"/>
      <c r="BK46" s="161"/>
      <c r="BL46" s="161"/>
      <c r="BM46" s="161"/>
      <c r="BN46" s="162"/>
      <c r="BO46" s="161"/>
      <c r="BP46" s="161"/>
      <c r="BQ46" s="161"/>
      <c r="BR46" s="162"/>
      <c r="BS46" s="161"/>
      <c r="BT46" s="161"/>
      <c r="BU46" s="161"/>
      <c r="BV46" s="162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284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02"/>
      <c r="AN47" s="102"/>
      <c r="AO47" s="102"/>
      <c r="AP47" s="159"/>
      <c r="AQ47" s="102"/>
      <c r="AR47" s="102"/>
      <c r="AS47" s="102"/>
      <c r="AT47" s="159"/>
      <c r="AU47" s="102"/>
      <c r="AV47" s="102"/>
      <c r="AW47" s="102"/>
      <c r="AX47" s="159"/>
      <c r="AY47" s="102"/>
      <c r="AZ47" s="102"/>
      <c r="BA47" s="102"/>
      <c r="BB47" s="159"/>
      <c r="BC47" s="102"/>
      <c r="BD47" s="102"/>
      <c r="BE47" s="102"/>
      <c r="BF47" s="159"/>
      <c r="BG47" s="102"/>
      <c r="BH47" s="102"/>
      <c r="BI47" s="102"/>
      <c r="BJ47" s="159"/>
      <c r="BK47" s="102"/>
      <c r="BL47" s="102"/>
      <c r="BM47" s="102"/>
      <c r="BN47" s="159"/>
      <c r="BO47" s="102"/>
      <c r="BP47" s="102"/>
      <c r="BQ47" s="102"/>
      <c r="BR47" s="159"/>
      <c r="BS47" s="102"/>
      <c r="BT47" s="102"/>
      <c r="BU47" s="102"/>
      <c r="BV47" s="159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B1" zoomScaleNormal="100" workbookViewId="0">
      <selection activeCell="AE5" sqref="AE5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0" t="s">
        <v>180</v>
      </c>
      <c r="E4" s="100"/>
      <c r="F4" s="101"/>
    </row>
    <row r="5" spans="1:80" ht="21" customHeight="1" x14ac:dyDescent="0.55000000000000004">
      <c r="C5" s="163" t="s">
        <v>185</v>
      </c>
      <c r="D5" s="103"/>
      <c r="E5" s="103"/>
      <c r="F5" s="164"/>
    </row>
    <row r="6" spans="1:80" ht="21" customHeight="1" x14ac:dyDescent="0.55000000000000004">
      <c r="C6" s="163" t="s">
        <v>186</v>
      </c>
      <c r="D6" s="103"/>
      <c r="E6" s="103"/>
      <c r="F6" s="164"/>
    </row>
    <row r="7" spans="1:80" ht="21" customHeight="1" thickBot="1" x14ac:dyDescent="0.6">
      <c r="C7" s="165" t="s">
        <v>187</v>
      </c>
      <c r="D7" s="166"/>
      <c r="E7" s="166"/>
      <c r="F7" s="167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78"/>
      <c r="D12" s="120" t="s">
        <v>286</v>
      </c>
      <c r="E12" s="120"/>
      <c r="F12" s="121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B13" s="67"/>
      <c r="C13" s="149" t="s">
        <v>185</v>
      </c>
      <c r="D13" s="149"/>
      <c r="E13" s="149"/>
      <c r="F13" s="176"/>
      <c r="CB13" s="5"/>
    </row>
    <row r="14" spans="1:80" ht="21" customHeight="1" x14ac:dyDescent="0.55000000000000004">
      <c r="A14" s="60"/>
      <c r="B14" s="67"/>
      <c r="C14" s="149" t="s">
        <v>186</v>
      </c>
      <c r="D14" s="149"/>
      <c r="E14" s="149"/>
      <c r="F14" s="176"/>
      <c r="CB14" s="5"/>
    </row>
    <row r="15" spans="1:80" ht="21" customHeight="1" thickBot="1" x14ac:dyDescent="0.6">
      <c r="A15" s="60"/>
      <c r="B15" s="67"/>
      <c r="C15" s="149" t="s">
        <v>187</v>
      </c>
      <c r="D15" s="149"/>
      <c r="E15" s="149"/>
      <c r="F15" s="17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0" t="str">
        <f>VLOOKUP(G16,市町村データ領域,MATCH($D$4, 市町村データヘッダー, 0),FALSE)</f>
        <v>上里町</v>
      </c>
      <c r="I16" s="100"/>
      <c r="J16" s="101"/>
      <c r="K16" s="4">
        <v>2</v>
      </c>
      <c r="L16" s="100" t="str">
        <f>VLOOKUP(K16,市町村データ領域,MATCH($D$4, 市町村データヘッダー, 0),FALSE)</f>
        <v>本庄市</v>
      </c>
      <c r="M16" s="100"/>
      <c r="N16" s="101"/>
      <c r="O16" s="4">
        <v>3</v>
      </c>
      <c r="P16" s="100" t="str">
        <f>VLOOKUP(O16,市町村データ領域,MATCH($D$4, 市町村データヘッダー, 0),FALSE)</f>
        <v>深谷市</v>
      </c>
      <c r="Q16" s="100"/>
      <c r="R16" s="100"/>
      <c r="S16" s="6"/>
      <c r="T16" s="6"/>
      <c r="U16" s="6"/>
      <c r="V16" s="6"/>
      <c r="W16" s="4">
        <v>4</v>
      </c>
      <c r="X16" s="100" t="str">
        <f>VLOOKUP(W16,市町村データ領域,MATCH($D$4, 市町村データヘッダー, 0),FALSE)</f>
        <v>熊谷市</v>
      </c>
      <c r="Y16" s="100"/>
      <c r="Z16" s="100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0" t="str">
        <f>VLOOKUP(AQ16,市町村データ領域,MATCH($D$4, 市町村データヘッダー, 0),FALSE)</f>
        <v>行田市</v>
      </c>
      <c r="AS16" s="100"/>
      <c r="AT16" s="101"/>
      <c r="AU16" s="4">
        <v>6</v>
      </c>
      <c r="AV16" s="100" t="str">
        <f>VLOOKUP(AU16,市町村データ領域,MATCH($D$4, 市町村データヘッダー, 0),FALSE)</f>
        <v>羽生市</v>
      </c>
      <c r="AW16" s="100"/>
      <c r="AX16" s="101"/>
      <c r="BO16" s="31"/>
      <c r="BX16" s="81"/>
      <c r="BY16" s="80" t="s">
        <v>288</v>
      </c>
      <c r="BZ16" s="79" t="s">
        <v>287</v>
      </c>
      <c r="CB16" s="5"/>
    </row>
    <row r="17" spans="1:80" ht="21" customHeight="1" x14ac:dyDescent="0.55000000000000004">
      <c r="A17" s="5"/>
      <c r="G17" s="255">
        <f>VLOOKUP(G16,市町村データ領域,MATCH($C$5, 市町村データヘッダー, 0),FALSE)</f>
        <v>1047</v>
      </c>
      <c r="H17" s="153"/>
      <c r="I17" s="153"/>
      <c r="J17" s="154"/>
      <c r="K17" s="183">
        <f>VLOOKUP(K16,市町村データ領域,MATCH($C$5, 市町村データヘッダー, 0),FALSE)</f>
        <v>862</v>
      </c>
      <c r="L17" s="153"/>
      <c r="M17" s="153"/>
      <c r="N17" s="154"/>
      <c r="O17" s="198">
        <f>VLOOKUP(O16,市町村データ領域,MATCH($C$5, 市町村データヘッダー, 0),FALSE)</f>
        <v>1022</v>
      </c>
      <c r="P17" s="194"/>
      <c r="Q17" s="194"/>
      <c r="R17" s="194"/>
      <c r="W17" s="198">
        <f>VLOOKUP(W16,市町村データ領域,MATCH($C$5, 市町村データヘッダー, 0),FALSE)</f>
        <v>1202</v>
      </c>
      <c r="X17" s="194"/>
      <c r="Y17" s="194"/>
      <c r="Z17" s="194"/>
      <c r="AQ17" s="188">
        <f>VLOOKUP(AQ16,市町村データ領域,MATCH($C$5, 市町村データヘッダー, 0),FALSE)</f>
        <v>1162</v>
      </c>
      <c r="AR17" s="194"/>
      <c r="AS17" s="194"/>
      <c r="AT17" s="195"/>
      <c r="AU17" s="173">
        <f>VLOOKUP(AU16,市町村データ領域,MATCH($C$5, 市町村データヘッダー, 0),FALSE)</f>
        <v>918</v>
      </c>
      <c r="AV17" s="153"/>
      <c r="AW17" s="153"/>
      <c r="AX17" s="154"/>
      <c r="BW17" s="67"/>
      <c r="BX17" s="87">
        <v>1</v>
      </c>
      <c r="BY17" s="88">
        <v>14000</v>
      </c>
      <c r="BZ17" s="26"/>
      <c r="CB17" s="5"/>
    </row>
    <row r="18" spans="1:80" ht="21" customHeight="1" x14ac:dyDescent="0.55000000000000004">
      <c r="A18" s="5"/>
      <c r="G18" s="186">
        <f>VLOOKUP(G16,市町村データ領域,MATCH($C$6, 市町村データヘッダー, 0),FALSE)</f>
        <v>30549</v>
      </c>
      <c r="H18" s="194"/>
      <c r="I18" s="194"/>
      <c r="J18" s="195"/>
      <c r="K18" s="184">
        <f>VLOOKUP(K16,市町村データ領域,MATCH($C$6, 市町村データヘッダー, 0),FALSE)</f>
        <v>77285</v>
      </c>
      <c r="L18" s="153"/>
      <c r="M18" s="153"/>
      <c r="N18" s="154"/>
      <c r="O18" s="201">
        <f>VLOOKUP(O16,市町村データ領域,MATCH($C$6, 市町村データヘッダー, 0),FALSE)</f>
        <v>141419</v>
      </c>
      <c r="P18" s="194"/>
      <c r="Q18" s="194"/>
      <c r="R18" s="194"/>
      <c r="W18" s="201">
        <f>VLOOKUP(W16,市町村データ領域,MATCH($C$6, 市町村データヘッダー, 0),FALSE)</f>
        <v>192074</v>
      </c>
      <c r="X18" s="194"/>
      <c r="Y18" s="194"/>
      <c r="Z18" s="194"/>
      <c r="AQ18" s="184">
        <f>VLOOKUP(AQ16,市町村データ領域,MATCH($C$6, 市町村データヘッダー, 0),FALSE)</f>
        <v>78416</v>
      </c>
      <c r="AR18" s="194"/>
      <c r="AS18" s="194"/>
      <c r="AT18" s="195"/>
      <c r="AU18" s="174">
        <f>VLOOKUP(AU16,市町村データ領域,MATCH($C$6, 市町村データヘッダー, 0),FALSE)</f>
        <v>53855</v>
      </c>
      <c r="AV18" s="153"/>
      <c r="AW18" s="153"/>
      <c r="AX18" s="154"/>
      <c r="BW18" s="67"/>
      <c r="BX18" s="87">
        <v>2</v>
      </c>
      <c r="BY18" s="88">
        <v>9000</v>
      </c>
      <c r="BZ18" s="27"/>
      <c r="CB18" s="5"/>
    </row>
    <row r="19" spans="1:80" ht="21" customHeight="1" thickBot="1" x14ac:dyDescent="0.6">
      <c r="A19" s="5"/>
      <c r="G19" s="187">
        <f>VLOOKUP(G16,市町村データ領域,MATCH($C$7, 市町村データヘッダー, 0),FALSE)</f>
        <v>29.2</v>
      </c>
      <c r="H19" s="196"/>
      <c r="I19" s="196"/>
      <c r="J19" s="197"/>
      <c r="K19" s="183">
        <f>VLOOKUP(K16,市町村データ領域,MATCH($C$7, 市町村データヘッダー, 0),FALSE)</f>
        <v>89.7</v>
      </c>
      <c r="L19" s="153"/>
      <c r="M19" s="153"/>
      <c r="N19" s="154"/>
      <c r="O19" s="202">
        <f>VLOOKUP(O16,市町村データ領域,MATCH($C$7, 市町村データヘッダー, 0),FALSE)</f>
        <v>138.4</v>
      </c>
      <c r="P19" s="196"/>
      <c r="Q19" s="196"/>
      <c r="R19" s="196"/>
      <c r="W19" s="254">
        <f>VLOOKUP(W16,市町村データ領域,MATCH($C$7, 市町村データヘッダー, 0),FALSE)</f>
        <v>159.80000000000001</v>
      </c>
      <c r="X19" s="194"/>
      <c r="Y19" s="194"/>
      <c r="Z19" s="194"/>
      <c r="AQ19" s="191">
        <f>VLOOKUP(AQ16,市町村データ領域,MATCH($C$7, 市町村データヘッダー, 0),FALSE)</f>
        <v>67.5</v>
      </c>
      <c r="AR19" s="196"/>
      <c r="AS19" s="196"/>
      <c r="AT19" s="197"/>
      <c r="AU19" s="175">
        <f>VLOOKUP(AU16,市町村データ領域,MATCH($C$7, 市町村データヘッダー, 0),FALSE)</f>
        <v>58.7</v>
      </c>
      <c r="AV19" s="171"/>
      <c r="AW19" s="171"/>
      <c r="AX19" s="172"/>
      <c r="BW19" s="67"/>
      <c r="BX19" s="87">
        <v>3</v>
      </c>
      <c r="BY19" s="88">
        <v>8000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0" t="str">
        <f>VLOOKUP(G20,市町村データ領域,MATCH($D$4, 市町村データヘッダー, 0),FALSE)</f>
        <v>神川町</v>
      </c>
      <c r="I20" s="100"/>
      <c r="J20" s="101"/>
      <c r="O20" s="4">
        <v>8</v>
      </c>
      <c r="P20" s="100" t="str">
        <f>VLOOKUP(O20,市町村データ領域,MATCH($D$4, 市町村データヘッダー, 0),FALSE)</f>
        <v>美里町</v>
      </c>
      <c r="Q20" s="100"/>
      <c r="R20" s="101"/>
      <c r="W20" s="7"/>
      <c r="AQ20" s="4">
        <v>9</v>
      </c>
      <c r="AR20" s="100" t="str">
        <f>VLOOKUP(AQ20,市町村データ領域,MATCH($D$4, 市町村データヘッダー, 0),FALSE)</f>
        <v>鴻巣市</v>
      </c>
      <c r="AS20" s="100"/>
      <c r="AT20" s="101"/>
      <c r="AU20" s="4">
        <v>10</v>
      </c>
      <c r="AV20" s="100" t="str">
        <f>VLOOKUP(AU20,市町村データ領域,MATCH($D$4, 市町村データヘッダー, 0),FALSE)</f>
        <v>加須市</v>
      </c>
      <c r="AW20" s="100"/>
      <c r="AX20" s="100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67"/>
      <c r="BX20" s="87">
        <v>4</v>
      </c>
      <c r="BY20" s="88">
        <v>7000</v>
      </c>
      <c r="BZ20" s="24"/>
      <c r="CB20" s="5"/>
    </row>
    <row r="21" spans="1:80" ht="21" customHeight="1" x14ac:dyDescent="0.55000000000000004">
      <c r="A21" s="5"/>
      <c r="G21" s="168">
        <f>VLOOKUP(G20,市町村データ領域,MATCH($C$5, 市町村データヘッダー, 0),FALSE)</f>
        <v>272</v>
      </c>
      <c r="H21" s="153"/>
      <c r="I21" s="153"/>
      <c r="J21" s="154"/>
      <c r="O21" s="168">
        <f>VLOOKUP(O20,市町村データ領域,MATCH($C$5, 市町村データヘッダー, 0),FALSE)</f>
        <v>324</v>
      </c>
      <c r="P21" s="153"/>
      <c r="Q21" s="153"/>
      <c r="R21" s="154"/>
      <c r="W21" s="7"/>
      <c r="AQ21" s="188">
        <f>VLOOKUP(AQ20,市町村データ領域,MATCH($C$5, 市町村データヘッダー, 0),FALSE)</f>
        <v>1744</v>
      </c>
      <c r="AR21" s="194"/>
      <c r="AS21" s="194"/>
      <c r="AT21" s="195"/>
      <c r="AU21" s="183">
        <f>VLOOKUP(AU20,市町村データ領域,MATCH($C$5, 市町村データヘッダー, 0),FALSE)</f>
        <v>841</v>
      </c>
      <c r="AV21" s="153"/>
      <c r="AW21" s="153"/>
      <c r="AX21" s="153"/>
      <c r="BN21" s="8"/>
      <c r="BW21" s="67"/>
      <c r="BX21" s="87">
        <v>5</v>
      </c>
      <c r="BY21" s="88">
        <v>6000</v>
      </c>
      <c r="BZ21" s="35"/>
      <c r="CB21" s="5"/>
    </row>
    <row r="22" spans="1:80" ht="21" customHeight="1" x14ac:dyDescent="0.55000000000000004">
      <c r="A22" s="5"/>
      <c r="G22" s="169">
        <f>VLOOKUP(G20,市町村データ領域,MATCH($C$6, 市町村データヘッダー, 0),FALSE)</f>
        <v>12888</v>
      </c>
      <c r="H22" s="153"/>
      <c r="I22" s="153"/>
      <c r="J22" s="154"/>
      <c r="O22" s="169">
        <f>VLOOKUP(O20,市町村データ領域,MATCH($C$6, 市町村データヘッダー, 0),FALSE)</f>
        <v>10819</v>
      </c>
      <c r="P22" s="153"/>
      <c r="Q22" s="153"/>
      <c r="R22" s="154"/>
      <c r="W22" s="7"/>
      <c r="AQ22" s="184">
        <f>VLOOKUP(AQ20,市町村データ領域,MATCH($C$6, 市町村データヘッダー, 0),FALSE)</f>
        <v>117582</v>
      </c>
      <c r="AR22" s="194"/>
      <c r="AS22" s="194"/>
      <c r="AT22" s="195"/>
      <c r="AU22" s="184">
        <f>VLOOKUP(AU20,市町村データ領域,MATCH($C$6, 市町村データヘッダー, 0),FALSE)</f>
        <v>112163</v>
      </c>
      <c r="AV22" s="153"/>
      <c r="AW22" s="153"/>
      <c r="AX22" s="153"/>
      <c r="BN22" s="8"/>
      <c r="BW22" s="67"/>
      <c r="BX22" s="87">
        <v>6</v>
      </c>
      <c r="BY22" s="88">
        <v>5000</v>
      </c>
      <c r="BZ22" s="22"/>
      <c r="CB22" s="5"/>
    </row>
    <row r="23" spans="1:80" ht="21" customHeight="1" thickBot="1" x14ac:dyDescent="0.6">
      <c r="A23" s="5"/>
      <c r="G23" s="168">
        <f>VLOOKUP(G20,市町村データ領域,MATCH($C$7, 市町村データヘッダー, 0),FALSE)</f>
        <v>47.4</v>
      </c>
      <c r="H23" s="153"/>
      <c r="I23" s="153"/>
      <c r="J23" s="154"/>
      <c r="O23" s="170">
        <f>VLOOKUP(O20,市町村データ領域,MATCH($C$7, 市町村データヘッダー, 0),FALSE)</f>
        <v>33.4</v>
      </c>
      <c r="P23" s="171"/>
      <c r="Q23" s="171"/>
      <c r="R23" s="172"/>
      <c r="W23" s="7"/>
      <c r="AQ23" s="191">
        <f>VLOOKUP(AQ20,市町村データ領域,MATCH($C$7, 市町村データヘッダー, 0),FALSE)</f>
        <v>67.400000000000006</v>
      </c>
      <c r="AR23" s="196"/>
      <c r="AS23" s="196"/>
      <c r="AT23" s="197"/>
      <c r="AU23" s="191">
        <f>VLOOKUP(AU20,市町村データ領域,MATCH($C$7, 市町村データヘッダー, 0),FALSE)</f>
        <v>133.4</v>
      </c>
      <c r="AV23" s="171"/>
      <c r="AW23" s="171"/>
      <c r="AX23" s="171"/>
      <c r="BN23" s="8"/>
      <c r="BW23" s="67"/>
      <c r="BX23" s="87">
        <v>7</v>
      </c>
      <c r="BY23" s="88">
        <v>4000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0" t="str">
        <f>VLOOKUP(O24,市町村データ領域,MATCH($D$4, 市町村データヘッダー, 0),FALSE)</f>
        <v>長瀞町</v>
      </c>
      <c r="Q24" s="100"/>
      <c r="R24" s="101"/>
      <c r="S24" s="4">
        <v>12</v>
      </c>
      <c r="T24" s="100" t="str">
        <f>VLOOKUP(S24,市町村データ領域,MATCH($D$4, 市町村データヘッダー, 0),FALSE)</f>
        <v>寄居町</v>
      </c>
      <c r="U24" s="100"/>
      <c r="V24" s="101"/>
      <c r="W24" s="4">
        <v>13</v>
      </c>
      <c r="X24" s="100" t="str">
        <f>VLOOKUP(W24,市町村データ領域,MATCH($D$4, 市町村データヘッダー, 0),FALSE)</f>
        <v>小川町</v>
      </c>
      <c r="Y24" s="100"/>
      <c r="Z24" s="101"/>
      <c r="AA24" s="4">
        <v>14</v>
      </c>
      <c r="AB24" s="100" t="str">
        <f>VLOOKUP(AA24,市町村データ領域,MATCH($D$4, 市町村データヘッダー, 0),FALSE)</f>
        <v>嵐山町</v>
      </c>
      <c r="AC24" s="100"/>
      <c r="AD24" s="101"/>
      <c r="AE24" s="4">
        <v>15</v>
      </c>
      <c r="AF24" s="100" t="str">
        <f>VLOOKUP(AE24,市町村データ領域,MATCH($D$4, 市町村データヘッダー, 0),FALSE)</f>
        <v>滑川町</v>
      </c>
      <c r="AG24" s="100"/>
      <c r="AH24" s="101"/>
      <c r="AI24" s="4">
        <v>16</v>
      </c>
      <c r="AJ24" s="100" t="str">
        <f>VLOOKUP(AI24,市町村データ領域,MATCH($D$4, 市町村データヘッダー, 0),FALSE)</f>
        <v>東松山市</v>
      </c>
      <c r="AK24" s="100"/>
      <c r="AL24" s="101"/>
      <c r="AM24" s="4">
        <v>17</v>
      </c>
      <c r="AN24" s="100" t="str">
        <f>VLOOKUP(AM24,市町村データ領域,MATCH($D$4, 市町村データヘッダー, 0),FALSE)</f>
        <v>吉見町</v>
      </c>
      <c r="AO24" s="100"/>
      <c r="AP24" s="101"/>
      <c r="AQ24" s="4">
        <v>18</v>
      </c>
      <c r="AR24" s="100" t="str">
        <f>VLOOKUP(AQ24,市町村データ領域,MATCH($D$4, 市町村データヘッダー, 0),FALSE)</f>
        <v>北本市</v>
      </c>
      <c r="AS24" s="100"/>
      <c r="AT24" s="101"/>
      <c r="AU24" s="4">
        <v>19</v>
      </c>
      <c r="AV24" s="100" t="str">
        <f>VLOOKUP(AU24,市町村データ領域,MATCH($D$4, 市町村データヘッダー, 0),FALSE)</f>
        <v>久喜市</v>
      </c>
      <c r="AW24" s="100"/>
      <c r="AX24" s="100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228" t="str">
        <f>VLOOKUP(BO24,市町村データ領域,MATCH($D$4, 市町村データヘッダー, 0),FALSE)</f>
        <v>幸手市</v>
      </c>
      <c r="BQ24" s="228"/>
      <c r="BR24" s="253"/>
      <c r="BW24" s="67"/>
      <c r="BX24" s="87">
        <v>8</v>
      </c>
      <c r="BY24" s="88">
        <v>3000</v>
      </c>
      <c r="BZ24" s="20"/>
      <c r="CB24" s="5"/>
    </row>
    <row r="25" spans="1:80" ht="21" customHeight="1" x14ac:dyDescent="0.55000000000000004">
      <c r="A25" s="5"/>
      <c r="G25" s="7"/>
      <c r="J25" s="8"/>
      <c r="O25" s="180">
        <f>VLOOKUP(O24,市町村データ領域,MATCH($C$5, 市町村データヘッダー, 0),FALSE)</f>
        <v>214</v>
      </c>
      <c r="P25" s="153"/>
      <c r="Q25" s="153"/>
      <c r="R25" s="154"/>
      <c r="S25" s="173">
        <f>VLOOKUP(S24,市町村データ領域,MATCH($C$5, 市町村データヘッダー, 0),FALSE)</f>
        <v>499</v>
      </c>
      <c r="T25" s="153"/>
      <c r="U25" s="153"/>
      <c r="V25" s="154"/>
      <c r="W25" s="185">
        <f>VLOOKUP(W24,市町村データ領域,MATCH($C$5, 市町村データヘッダー, 0),FALSE)</f>
        <v>462</v>
      </c>
      <c r="X25" s="153"/>
      <c r="Y25" s="153"/>
      <c r="Z25" s="154"/>
      <c r="AA25" s="185">
        <f>VLOOKUP(AA24,市町村データ領域,MATCH($C$5, 市町村データヘッダー, 0),FALSE)</f>
        <v>585</v>
      </c>
      <c r="AB25" s="153"/>
      <c r="AC25" s="153"/>
      <c r="AD25" s="154"/>
      <c r="AE25" s="185">
        <f>VLOOKUP(AE24,市町村データ領域,MATCH($C$5, 市町村データヘッダー, 0),FALSE)</f>
        <v>665</v>
      </c>
      <c r="AF25" s="153"/>
      <c r="AG25" s="153"/>
      <c r="AH25" s="154"/>
      <c r="AI25" s="188">
        <f>VLOOKUP(AI24,市町村データ領域,MATCH($C$5, 市町村データヘッダー, 0),FALSE)</f>
        <v>1394</v>
      </c>
      <c r="AJ25" s="194"/>
      <c r="AK25" s="194"/>
      <c r="AL25" s="195"/>
      <c r="AM25" s="185">
        <f>VLOOKUP(AM24,市町村データ領域,MATCH($C$5, 市町村データヘッダー, 0),FALSE)</f>
        <v>462</v>
      </c>
      <c r="AN25" s="153"/>
      <c r="AO25" s="153"/>
      <c r="AP25" s="154"/>
      <c r="AQ25" s="188">
        <f>VLOOKUP(AQ24,市町村データ領域,MATCH($C$5, 市町村データヘッダー, 0),FALSE)</f>
        <v>3300</v>
      </c>
      <c r="AR25" s="199"/>
      <c r="AS25" s="199"/>
      <c r="AT25" s="200"/>
      <c r="AU25" s="198">
        <f>VLOOKUP(AU24,市町村データ領域,MATCH($C$5, 市町村データヘッダー, 0),FALSE)</f>
        <v>1831</v>
      </c>
      <c r="AV25" s="189"/>
      <c r="AW25" s="189"/>
      <c r="AX25" s="189"/>
      <c r="BO25" s="222">
        <f>VLOOKUP(BO24,市町村データ領域,MATCH($C$5, 市町村データヘッダー, 0),FALSE)</f>
        <v>1446</v>
      </c>
      <c r="BP25" s="223"/>
      <c r="BQ25" s="223"/>
      <c r="BR25" s="131"/>
      <c r="BW25" s="67"/>
      <c r="BX25" s="87">
        <v>9</v>
      </c>
      <c r="BY25" s="88">
        <v>2000</v>
      </c>
      <c r="BZ25" s="21"/>
      <c r="CB25" s="5"/>
    </row>
    <row r="26" spans="1:80" ht="21" customHeight="1" x14ac:dyDescent="0.55000000000000004">
      <c r="A26" s="5"/>
      <c r="G26" s="7"/>
      <c r="J26" s="8"/>
      <c r="O26" s="181">
        <f>VLOOKUP(O24,市町村データ領域,MATCH($C$6, 市町村データヘッダー, 0),FALSE)</f>
        <v>6516</v>
      </c>
      <c r="P26" s="153"/>
      <c r="Q26" s="153"/>
      <c r="R26" s="154"/>
      <c r="S26" s="174">
        <f>VLOOKUP(S24,市町村データ領域,MATCH($C$6, 市町村データヘッダー, 0),FALSE)</f>
        <v>32041</v>
      </c>
      <c r="T26" s="153"/>
      <c r="U26" s="153"/>
      <c r="V26" s="154"/>
      <c r="W26" s="186">
        <f>VLOOKUP(W24,市町村データ領域,MATCH($C$6, 市町村データヘッダー, 0),FALSE)</f>
        <v>27886</v>
      </c>
      <c r="X26" s="153"/>
      <c r="Y26" s="153"/>
      <c r="Z26" s="154"/>
      <c r="AA26" s="186">
        <f>VLOOKUP(AA24,市町村データ領域,MATCH($C$6, 市町村データヘッダー, 0),FALSE)</f>
        <v>17516</v>
      </c>
      <c r="AB26" s="153"/>
      <c r="AC26" s="153"/>
      <c r="AD26" s="154"/>
      <c r="AE26" s="186">
        <f>VLOOKUP(AE24,市町村データ領域,MATCH($C$6, 市町村データヘッダー, 0),FALSE)</f>
        <v>19745</v>
      </c>
      <c r="AF26" s="153"/>
      <c r="AG26" s="153"/>
      <c r="AH26" s="154"/>
      <c r="AI26" s="184">
        <f>VLOOKUP(AI24,市町村データ領域,MATCH($C$6, 市町村データヘッダー, 0),FALSE)</f>
        <v>91094</v>
      </c>
      <c r="AJ26" s="194"/>
      <c r="AK26" s="194"/>
      <c r="AL26" s="195"/>
      <c r="AM26" s="186">
        <f>VLOOKUP(AM24,市町村データ領域,MATCH($C$6, 市町村データヘッダー, 0),FALSE)</f>
        <v>17859</v>
      </c>
      <c r="AN26" s="153"/>
      <c r="AO26" s="153"/>
      <c r="AP26" s="154"/>
      <c r="AQ26" s="184">
        <f>VLOOKUP(AQ24,市町村データ領域,MATCH($C$6, 市町村データヘッダー, 0),FALSE)</f>
        <v>65403</v>
      </c>
      <c r="AR26" s="199"/>
      <c r="AS26" s="199"/>
      <c r="AT26" s="200"/>
      <c r="AU26" s="201">
        <f>VLOOKUP(AU24,市町村データ領域,MATCH($C$6, 市町村データヘッダー, 0),FALSE)</f>
        <v>150913</v>
      </c>
      <c r="AV26" s="189"/>
      <c r="AW26" s="189"/>
      <c r="AX26" s="189"/>
      <c r="BO26" s="224">
        <f>VLOOKUP(BO24,市町村データ領域,MATCH($C$6, 市町村データヘッダー, 0),FALSE)</f>
        <v>49063</v>
      </c>
      <c r="BP26" s="223"/>
      <c r="BQ26" s="223"/>
      <c r="BR26" s="131"/>
      <c r="BW26" s="67"/>
      <c r="BX26" s="89">
        <v>10</v>
      </c>
      <c r="BY26" s="88">
        <v>1000</v>
      </c>
      <c r="BZ26" s="36"/>
      <c r="CB26" s="5"/>
    </row>
    <row r="27" spans="1:80" ht="21" customHeight="1" thickBot="1" x14ac:dyDescent="0.6">
      <c r="A27" s="5"/>
      <c r="G27" s="7"/>
      <c r="J27" s="8"/>
      <c r="O27" s="182">
        <f>VLOOKUP(O24,市町村データ領域,MATCH($C$7, 市町村データヘッダー, 0),FALSE)</f>
        <v>30.4</v>
      </c>
      <c r="P27" s="171"/>
      <c r="Q27" s="171"/>
      <c r="R27" s="172"/>
      <c r="S27" s="175">
        <f>VLOOKUP(S24,市町村データ領域,MATCH($C$7, 市町村データヘッダー, 0),FALSE)</f>
        <v>64.2</v>
      </c>
      <c r="T27" s="171"/>
      <c r="U27" s="171"/>
      <c r="V27" s="172"/>
      <c r="W27" s="187">
        <f>VLOOKUP(W24,市町村データ領域,MATCH($C$7, 市町村データヘッダー, 0),FALSE)</f>
        <v>60.4</v>
      </c>
      <c r="X27" s="171"/>
      <c r="Y27" s="171"/>
      <c r="Z27" s="172"/>
      <c r="AA27" s="187">
        <f>VLOOKUP(AA24,市町村データ領域,MATCH($C$7, 市町村データヘッダー, 0),FALSE)</f>
        <v>29.9</v>
      </c>
      <c r="AB27" s="171"/>
      <c r="AC27" s="171"/>
      <c r="AD27" s="172"/>
      <c r="AE27" s="187">
        <f>VLOOKUP(AE24,市町村データ領域,MATCH($C$7, 市町村データヘッダー, 0),FALSE)</f>
        <v>29.7</v>
      </c>
      <c r="AF27" s="171"/>
      <c r="AG27" s="171"/>
      <c r="AH27" s="172"/>
      <c r="AI27" s="191">
        <f>VLOOKUP(AI24,市町村データ領域,MATCH($C$7, 市町村データヘッダー, 0),FALSE)</f>
        <v>65.3</v>
      </c>
      <c r="AJ27" s="196"/>
      <c r="AK27" s="196"/>
      <c r="AL27" s="197"/>
      <c r="AM27" s="187">
        <f>VLOOKUP(AM24,市町村データ領域,MATCH($C$7, 市町村データヘッダー, 0),FALSE)</f>
        <v>38.700000000000003</v>
      </c>
      <c r="AN27" s="171"/>
      <c r="AO27" s="171"/>
      <c r="AP27" s="172"/>
      <c r="AQ27" s="191">
        <f>VLOOKUP(AQ24,市町村データ領域,MATCH($C$7, 市町村データヘッダー, 0),FALSE)</f>
        <v>19.8</v>
      </c>
      <c r="AR27" s="203"/>
      <c r="AS27" s="203"/>
      <c r="AT27" s="204"/>
      <c r="AU27" s="202">
        <f>VLOOKUP(AU24,市町村データ領域,MATCH($C$7, 市町村データヘッダー, 0),FALSE)</f>
        <v>82.4</v>
      </c>
      <c r="AV27" s="192"/>
      <c r="AW27" s="192"/>
      <c r="AX27" s="192"/>
      <c r="BO27" s="225">
        <f>VLOOKUP(BO24,市町村データ領域,MATCH($C$7, 市町村データヘッダー, 0),FALSE)</f>
        <v>33.9</v>
      </c>
      <c r="BP27" s="226"/>
      <c r="BQ27" s="226"/>
      <c r="BR27" s="131"/>
      <c r="BW27" s="67"/>
      <c r="BX27" s="89">
        <v>11</v>
      </c>
      <c r="BY27" s="88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0" t="str">
        <f>VLOOKUP(K28,市町村データ領域,MATCH($D$4, 市町村データヘッダー, 0),FALSE)</f>
        <v>皆野町</v>
      </c>
      <c r="M28" s="100"/>
      <c r="N28" s="101"/>
      <c r="O28" s="4">
        <v>22</v>
      </c>
      <c r="P28" s="100" t="str">
        <f>VLOOKUP(O28,市町村データ領域,MATCH($D$4, 市町村データヘッダー, 0),FALSE)</f>
        <v>東秩父村</v>
      </c>
      <c r="Q28" s="100"/>
      <c r="R28" s="100"/>
      <c r="S28" s="6"/>
      <c r="T28" s="6"/>
      <c r="U28" s="6"/>
      <c r="V28" s="6"/>
      <c r="W28" s="4">
        <v>23</v>
      </c>
      <c r="X28" s="100" t="str">
        <f>VLOOKUP(W28,市町村データ領域,MATCH($D$4, 市町村データヘッダー, 0),FALSE)</f>
        <v>ときがわ町</v>
      </c>
      <c r="Y28" s="100"/>
      <c r="Z28" s="101"/>
      <c r="AA28" s="4">
        <v>24</v>
      </c>
      <c r="AB28" s="100" t="str">
        <f>VLOOKUP(AA28,市町村データ領域,MATCH($D$4, 市町村データヘッダー, 0),FALSE)</f>
        <v>鳩山町</v>
      </c>
      <c r="AC28" s="100"/>
      <c r="AD28" s="100"/>
      <c r="AE28" s="6"/>
      <c r="AF28" s="6"/>
      <c r="AG28" s="6"/>
      <c r="AH28" s="6"/>
      <c r="AI28" s="4">
        <v>25</v>
      </c>
      <c r="AJ28" s="100" t="str">
        <f>VLOOKUP(AI28,市町村データ領域,MATCH($D$4, 市町村データヘッダー, 0),FALSE)</f>
        <v>坂戸市</v>
      </c>
      <c r="AK28" s="100"/>
      <c r="AL28" s="101"/>
      <c r="AM28" s="4">
        <v>26</v>
      </c>
      <c r="AN28" s="100" t="str">
        <f>VLOOKUP(AM28,市町村データ領域,MATCH($D$4, 市町村データヘッダー, 0),FALSE)</f>
        <v>川島町</v>
      </c>
      <c r="AO28" s="100"/>
      <c r="AP28" s="101"/>
      <c r="AQ28" s="43">
        <v>27</v>
      </c>
      <c r="AR28" s="100" t="str">
        <f>VLOOKUP(AQ28,市町村データ領域,MATCH($D$4, 市町村データヘッダー, 0),FALSE)</f>
        <v>桶川市</v>
      </c>
      <c r="AS28" s="100"/>
      <c r="AT28" s="101"/>
      <c r="AU28" s="4">
        <v>28</v>
      </c>
      <c r="AV28" s="100" t="str">
        <f>VLOOKUP(AU28,市町村データ領域,MATCH($D$4, 市町村データヘッダー, 0),FALSE)</f>
        <v>上尾市</v>
      </c>
      <c r="AW28" s="100"/>
      <c r="AX28" s="101"/>
      <c r="AY28" s="4">
        <v>29</v>
      </c>
      <c r="AZ28" s="100" t="str">
        <f>VLOOKUP(AY28,市町村データ領域,MATCH($D$4, 市町村データヘッダー, 0),FALSE)</f>
        <v>伊奈町</v>
      </c>
      <c r="BA28" s="100"/>
      <c r="BB28" s="101"/>
      <c r="BC28" s="4">
        <v>30</v>
      </c>
      <c r="BD28" s="100" t="str">
        <f>VLOOKUP(BC28,市町村データ領域,MATCH($D$4, 市町村データヘッダー, 0),FALSE)</f>
        <v>蓮田市</v>
      </c>
      <c r="BE28" s="100"/>
      <c r="BF28" s="101"/>
      <c r="BG28" s="4">
        <v>31</v>
      </c>
      <c r="BH28" s="100" t="str">
        <f>VLOOKUP(BG28,市町村データ領域,MATCH($D$4, 市町村データヘッダー, 0),FALSE)</f>
        <v>白岡市</v>
      </c>
      <c r="BI28" s="100"/>
      <c r="BJ28" s="101"/>
      <c r="BK28" s="4">
        <v>32</v>
      </c>
      <c r="BL28" s="100" t="str">
        <f>VLOOKUP(BK28,市町村データ領域,MATCH($D$4, 市町村データヘッダー, 0),FALSE)</f>
        <v>宮代町</v>
      </c>
      <c r="BM28" s="100"/>
      <c r="BN28" s="101"/>
      <c r="BO28" s="4">
        <v>33</v>
      </c>
      <c r="BP28" s="228" t="str">
        <f>VLOOKUP(BO28,市町村データ領域,MATCH($D$4, 市町村データヘッダー, 0),FALSE)</f>
        <v>杉戸町</v>
      </c>
      <c r="BQ28" s="228"/>
      <c r="BR28" s="253"/>
      <c r="BW28" s="67"/>
      <c r="BX28" s="87">
        <v>12</v>
      </c>
      <c r="BY28" s="88">
        <v>0</v>
      </c>
      <c r="BZ28" s="8"/>
      <c r="CB28" s="5"/>
    </row>
    <row r="29" spans="1:80" ht="21" customHeight="1" x14ac:dyDescent="0.55000000000000004">
      <c r="A29" s="5"/>
      <c r="G29" s="7"/>
      <c r="K29" s="168">
        <f>VLOOKUP(K28,市町村データ領域,MATCH($C$5, 市町村データヘッダー, 0),FALSE)</f>
        <v>142</v>
      </c>
      <c r="L29" s="153"/>
      <c r="M29" s="153"/>
      <c r="N29" s="154"/>
      <c r="O29" s="177">
        <f>VLOOKUP(O28,市町村データ領域,MATCH($C$5, 市町村データヘッダー, 0),FALSE)</f>
        <v>67</v>
      </c>
      <c r="P29" s="153"/>
      <c r="Q29" s="153"/>
      <c r="R29" s="153"/>
      <c r="V29" s="8"/>
      <c r="W29" s="168">
        <f>VLOOKUP(W28,市町村データ領域,MATCH($C$5, 市町村データヘッダー, 0),FALSE)</f>
        <v>186</v>
      </c>
      <c r="X29" s="153"/>
      <c r="Y29" s="153"/>
      <c r="Z29" s="154"/>
      <c r="AA29" s="168">
        <f>VLOOKUP(AA28,市町村データ領域,MATCH($C$5, 市町村データヘッダー, 0),FALSE)</f>
        <v>504</v>
      </c>
      <c r="AB29" s="153"/>
      <c r="AC29" s="153"/>
      <c r="AD29" s="153"/>
      <c r="AI29" s="188">
        <f>VLOOKUP(AI28,市町村データ領域,MATCH($C$5, 市町村データヘッダー, 0),FALSE)</f>
        <v>2426</v>
      </c>
      <c r="AJ29" s="189"/>
      <c r="AK29" s="189"/>
      <c r="AL29" s="190"/>
      <c r="AM29" s="185">
        <f>VLOOKUP(AM28,市町村データ領域,MATCH($C$5, 市町村データヘッダー, 0),FALSE)</f>
        <v>453</v>
      </c>
      <c r="AN29" s="153"/>
      <c r="AO29" s="153"/>
      <c r="AP29" s="154"/>
      <c r="AQ29" s="188">
        <f>VLOOKUP(AQ28,市町村データ領域,MATCH($C$5, 市町村データヘッダー, 0),FALSE)</f>
        <v>2937</v>
      </c>
      <c r="AR29" s="189"/>
      <c r="AS29" s="189"/>
      <c r="AT29" s="190"/>
      <c r="AU29" s="198">
        <f>VLOOKUP(AU28,市町村データ領域,MATCH($C$5, 市町村データヘッダー, 0),FALSE)</f>
        <v>5058</v>
      </c>
      <c r="AV29" s="205"/>
      <c r="AW29" s="205"/>
      <c r="AX29" s="206"/>
      <c r="AY29" s="209">
        <f>VLOOKUP(AY28,市町村データ領域,MATCH($C$5, 市町村データヘッダー, 0),FALSE)</f>
        <v>3046</v>
      </c>
      <c r="AZ29" s="199"/>
      <c r="BA29" s="199"/>
      <c r="BB29" s="200"/>
      <c r="BC29" s="209">
        <f>VLOOKUP(BC28,市町村データ領域,MATCH($C$5, 市町村データヘッダー, 0),FALSE)</f>
        <v>2248</v>
      </c>
      <c r="BD29" s="189"/>
      <c r="BE29" s="189"/>
      <c r="BF29" s="190"/>
      <c r="BG29" s="209">
        <f>VLOOKUP(BG28,市町村データ領域,MATCH($C$5, 市町村データヘッダー, 0),FALSE)</f>
        <v>2113</v>
      </c>
      <c r="BH29" s="189"/>
      <c r="BI29" s="189"/>
      <c r="BJ29" s="190"/>
      <c r="BK29" s="209">
        <f>VLOOKUP(BK28,市町村データ領域,MATCH($C$5, 市町村データヘッダー, 0),FALSE)</f>
        <v>2092</v>
      </c>
      <c r="BL29" s="189"/>
      <c r="BM29" s="189"/>
      <c r="BN29" s="190"/>
      <c r="BO29" s="222">
        <f>VLOOKUP(BO28,市町村データ領域,MATCH($C$5, 市町村データヘッダー, 0),FALSE)</f>
        <v>1466</v>
      </c>
      <c r="BP29" s="223"/>
      <c r="BQ29" s="223"/>
      <c r="BR29" s="131"/>
      <c r="BW29" s="67"/>
      <c r="BX29" s="87">
        <v>13</v>
      </c>
      <c r="BY29" s="88">
        <v>0</v>
      </c>
      <c r="BZ29" s="8"/>
      <c r="CB29" s="5"/>
    </row>
    <row r="30" spans="1:80" ht="21" customHeight="1" x14ac:dyDescent="0.55000000000000004">
      <c r="A30" s="5"/>
      <c r="G30" s="7"/>
      <c r="K30" s="169">
        <f>VLOOKUP(K28,市町村データ領域,MATCH($C$6, 市町村データヘッダー, 0),FALSE)</f>
        <v>9050</v>
      </c>
      <c r="L30" s="153"/>
      <c r="M30" s="153"/>
      <c r="N30" s="154"/>
      <c r="O30" s="178">
        <f>VLOOKUP(O28,市町村データ領域,MATCH($C$6, 市町村データヘッダー, 0),FALSE)</f>
        <v>2473</v>
      </c>
      <c r="P30" s="153"/>
      <c r="Q30" s="153"/>
      <c r="R30" s="153"/>
      <c r="V30" s="8"/>
      <c r="W30" s="169">
        <f>VLOOKUP(W28,市町村データ領域,MATCH($C$6, 市町村データヘッダー, 0),FALSE)</f>
        <v>10414</v>
      </c>
      <c r="X30" s="153"/>
      <c r="Y30" s="153"/>
      <c r="Z30" s="154"/>
      <c r="AA30" s="169">
        <f>VLOOKUP(AA28,市町村データ領域,MATCH($C$6, 市町村データヘッダー, 0),FALSE)</f>
        <v>12967</v>
      </c>
      <c r="AB30" s="153"/>
      <c r="AC30" s="153"/>
      <c r="AD30" s="153"/>
      <c r="AI30" s="184">
        <f>VLOOKUP(AI28,市町村データ領域,MATCH($C$6, 市町村データヘッダー, 0),FALSE)</f>
        <v>99527</v>
      </c>
      <c r="AJ30" s="189"/>
      <c r="AK30" s="189"/>
      <c r="AL30" s="190"/>
      <c r="AM30" s="186">
        <f>VLOOKUP(AM28,市町村データ領域,MATCH($C$6, 市町村データヘッダー, 0),FALSE)</f>
        <v>18874</v>
      </c>
      <c r="AN30" s="153"/>
      <c r="AO30" s="153"/>
      <c r="AP30" s="154"/>
      <c r="AQ30" s="184">
        <f>VLOOKUP(AQ28,市町村データ領域,MATCH($C$6, 市町村データヘッダー, 0),FALSE)</f>
        <v>74448</v>
      </c>
      <c r="AR30" s="189"/>
      <c r="AS30" s="189"/>
      <c r="AT30" s="190"/>
      <c r="AU30" s="201">
        <f>VLOOKUP(AU28,市町村データ領域,MATCH($C$6, 市町村データヘッダー, 0),FALSE)</f>
        <v>230167</v>
      </c>
      <c r="AV30" s="205"/>
      <c r="AW30" s="205"/>
      <c r="AX30" s="206"/>
      <c r="AY30" s="174">
        <f>VLOOKUP(AY28,市町村データ領域,MATCH($C$6, 市町村データヘッダー, 0),FALSE)</f>
        <v>45045</v>
      </c>
      <c r="AZ30" s="199"/>
      <c r="BA30" s="199"/>
      <c r="BB30" s="200"/>
      <c r="BC30" s="174">
        <f>VLOOKUP(BC28,市町村データ領域,MATCH($C$6, 市町村データヘッダー, 0),FALSE)</f>
        <v>61337</v>
      </c>
      <c r="BD30" s="189"/>
      <c r="BE30" s="189"/>
      <c r="BF30" s="190"/>
      <c r="BG30" s="174">
        <f>VLOOKUP(BG28,市町村データ領域,MATCH($C$6, 市町村データヘッダー, 0),FALSE)</f>
        <v>52649</v>
      </c>
      <c r="BH30" s="189"/>
      <c r="BI30" s="189"/>
      <c r="BJ30" s="190"/>
      <c r="BK30" s="174">
        <f>VLOOKUP(BK28,市町村データ領域,MATCH($C$6, 市町村データヘッダー, 0),FALSE)</f>
        <v>33371</v>
      </c>
      <c r="BL30" s="189"/>
      <c r="BM30" s="189"/>
      <c r="BN30" s="190"/>
      <c r="BO30" s="224">
        <f>VLOOKUP(BO28,市町村データ領域,MATCH($C$6, 市町村データヘッダー, 0),FALSE)</f>
        <v>44014</v>
      </c>
      <c r="BP30" s="223"/>
      <c r="BQ30" s="223"/>
      <c r="BR30" s="131"/>
      <c r="BW30" s="67"/>
      <c r="BX30" s="87">
        <v>14</v>
      </c>
      <c r="BY30" s="88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70">
        <f>VLOOKUP(K28,市町村データ領域,MATCH($C$7, 市町村データヘッダー, 0),FALSE)</f>
        <v>63.7</v>
      </c>
      <c r="L31" s="171"/>
      <c r="M31" s="171"/>
      <c r="N31" s="172"/>
      <c r="O31" s="179">
        <f>VLOOKUP(O28,市町村データ領域,MATCH($C$7, 市町村データヘッダー, 0),FALSE)</f>
        <v>36.9</v>
      </c>
      <c r="P31" s="171"/>
      <c r="Q31" s="171"/>
      <c r="R31" s="171"/>
      <c r="S31" s="11"/>
      <c r="T31" s="11"/>
      <c r="U31" s="11"/>
      <c r="V31" s="13"/>
      <c r="W31" s="168">
        <f>VLOOKUP(W28,市町村データ領域,MATCH($C$7, 市町村データヘッダー, 0),FALSE)</f>
        <v>56</v>
      </c>
      <c r="X31" s="153"/>
      <c r="Y31" s="153"/>
      <c r="Z31" s="154"/>
      <c r="AA31" s="170">
        <f>VLOOKUP(AA28,市町村データ領域,MATCH($C$7, 市町村データヘッダー, 0),FALSE)</f>
        <v>25.7</v>
      </c>
      <c r="AB31" s="171"/>
      <c r="AC31" s="171"/>
      <c r="AD31" s="171"/>
      <c r="AI31" s="191">
        <f>VLOOKUP(AI28,市町村データ領域,MATCH($C$7, 市町村データヘッダー, 0),FALSE)</f>
        <v>41</v>
      </c>
      <c r="AJ31" s="192"/>
      <c r="AK31" s="192"/>
      <c r="AL31" s="193"/>
      <c r="AM31" s="187">
        <f>VLOOKUP(AM28,市町村データ領域,MATCH($C$7, 市町村データヘッダー, 0),FALSE)</f>
        <v>41.7</v>
      </c>
      <c r="AN31" s="171"/>
      <c r="AO31" s="171"/>
      <c r="AP31" s="172"/>
      <c r="AQ31" s="191">
        <f>VLOOKUP(AQ28,市町村データ領域,MATCH($C$7, 市町村データヘッダー, 0),FALSE)</f>
        <v>25.3</v>
      </c>
      <c r="AR31" s="192"/>
      <c r="AS31" s="192"/>
      <c r="AT31" s="193"/>
      <c r="AU31" s="202">
        <f>VLOOKUP(AU28,市町村データ領域,MATCH($C$7, 市町村データヘッダー, 0),FALSE)</f>
        <v>45.5</v>
      </c>
      <c r="AV31" s="207"/>
      <c r="AW31" s="207"/>
      <c r="AX31" s="208"/>
      <c r="AY31" s="175">
        <f>VLOOKUP(AY28,市町村データ領域,MATCH($C$7, 市町村データヘッダー, 0),FALSE)</f>
        <v>14.8</v>
      </c>
      <c r="AZ31" s="203"/>
      <c r="BA31" s="203"/>
      <c r="BB31" s="204"/>
      <c r="BC31" s="175">
        <f>VLOOKUP(BC28,市町村データ領域,MATCH($C$7, 市町村データヘッダー, 0),FALSE)</f>
        <v>27.3</v>
      </c>
      <c r="BD31" s="192"/>
      <c r="BE31" s="192"/>
      <c r="BF31" s="193"/>
      <c r="BG31" s="175">
        <f>VLOOKUP(BG28,市町村データ領域,MATCH($C$7, 市町村データヘッダー, 0),FALSE)</f>
        <v>24.9</v>
      </c>
      <c r="BH31" s="192"/>
      <c r="BI31" s="192"/>
      <c r="BJ31" s="193"/>
      <c r="BK31" s="175">
        <f>VLOOKUP(BK28,市町村データ領域,MATCH($C$7, 市町村データヘッダー, 0),FALSE)</f>
        <v>16</v>
      </c>
      <c r="BL31" s="192"/>
      <c r="BM31" s="192"/>
      <c r="BN31" s="193"/>
      <c r="BO31" s="225">
        <f>VLOOKUP(BO28,市町村データ領域,MATCH($C$7, 市町村データヘッダー, 0),FALSE)</f>
        <v>30</v>
      </c>
      <c r="BP31" s="226"/>
      <c r="BQ31" s="226"/>
      <c r="BR31" s="131"/>
      <c r="BW31" s="67"/>
      <c r="BX31" s="87">
        <v>15</v>
      </c>
      <c r="BY31" s="88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0" t="str">
        <f>VLOOKUP(G32,市町村データ領域,MATCH($D$4, 市町村データヘッダー, 0),FALSE)</f>
        <v>秩父市</v>
      </c>
      <c r="I32" s="100"/>
      <c r="J32" s="100"/>
      <c r="K32" s="6"/>
      <c r="L32" s="6"/>
      <c r="M32" s="6"/>
      <c r="N32" s="6"/>
      <c r="O32" s="6"/>
      <c r="P32" s="6"/>
      <c r="Q32" s="6"/>
      <c r="R32" s="9"/>
      <c r="S32" s="4">
        <v>35</v>
      </c>
      <c r="T32" s="100" t="str">
        <f>VLOOKUP(S32,市町村データ領域,MATCH($D$4, 市町村データヘッダー, 0),FALSE)</f>
        <v>横瀬町</v>
      </c>
      <c r="U32" s="100"/>
      <c r="V32" s="101"/>
      <c r="AA32" s="4">
        <v>36</v>
      </c>
      <c r="AB32" s="100" t="str">
        <f>VLOOKUP(AA32,市町村データ領域,MATCH($D$4, 市町村データヘッダー, 0),FALSE)</f>
        <v>越生町</v>
      </c>
      <c r="AC32" s="100"/>
      <c r="AD32" s="101"/>
      <c r="AE32" s="4">
        <v>37</v>
      </c>
      <c r="AF32" s="100" t="str">
        <f>VLOOKUP(AE32,市町村データ領域,MATCH($D$4, 市町村データヘッダー, 0),FALSE)</f>
        <v>毛呂山町</v>
      </c>
      <c r="AG32" s="100"/>
      <c r="AH32" s="101"/>
      <c r="AI32" s="4">
        <v>38</v>
      </c>
      <c r="AJ32" s="100" t="str">
        <f>VLOOKUP(AI32,市町村データ領域,MATCH($D$4, 市町村データヘッダー, 0),FALSE)</f>
        <v>鶴ヶ島市</v>
      </c>
      <c r="AK32" s="100"/>
      <c r="AL32" s="101"/>
      <c r="AM32" s="4">
        <v>39</v>
      </c>
      <c r="AN32" s="100" t="str">
        <f>VLOOKUP(AM32,市町村データ領域,MATCH($D$4, 市町村データヘッダー, 0),FALSE)</f>
        <v>川越市</v>
      </c>
      <c r="AO32" s="100"/>
      <c r="AP32" s="100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4">
        <v>44</v>
      </c>
      <c r="BL32" s="100" t="str">
        <f>VLOOKUP(BK32,市町村データ領域,MATCH($D$4, 市町村データヘッダー, 0),FALSE)</f>
        <v>春日部市</v>
      </c>
      <c r="BM32" s="100"/>
      <c r="BN32" s="100"/>
      <c r="BO32" s="6"/>
      <c r="BP32" s="6"/>
      <c r="BQ32" s="6"/>
      <c r="BR32" s="83"/>
      <c r="BS32" s="84">
        <v>16</v>
      </c>
      <c r="BT32" s="227">
        <v>0</v>
      </c>
      <c r="BU32" s="228"/>
      <c r="BV32" s="228"/>
      <c r="BW32" s="67"/>
      <c r="BX32" s="87">
        <v>16</v>
      </c>
      <c r="BY32" s="88">
        <v>0</v>
      </c>
      <c r="BZ32" s="8"/>
      <c r="CB32" s="5"/>
    </row>
    <row r="33" spans="1:80" ht="21" customHeight="1" x14ac:dyDescent="0.55000000000000004">
      <c r="A33" s="5"/>
      <c r="G33" s="173">
        <f>VLOOKUP(G32,市町村データ領域,MATCH($C$5, 市町村データヘッダー, 0),FALSE)</f>
        <v>101</v>
      </c>
      <c r="H33" s="153"/>
      <c r="I33" s="153"/>
      <c r="J33" s="153"/>
      <c r="R33" s="8"/>
      <c r="S33" s="180">
        <f>VLOOKUP(S32,市町村データ領域,MATCH($C$5, 市町村データヘッダー, 0),FALSE)</f>
        <v>157</v>
      </c>
      <c r="T33" s="153"/>
      <c r="U33" s="153"/>
      <c r="V33" s="154"/>
      <c r="W33" s="7"/>
      <c r="Z33" s="8"/>
      <c r="AA33" s="168">
        <f>VLOOKUP(AA32,市町村データ領域,MATCH($C$5, 市町村データヘッダー, 0),FALSE)</f>
        <v>269</v>
      </c>
      <c r="AB33" s="153"/>
      <c r="AC33" s="153"/>
      <c r="AD33" s="154"/>
      <c r="AE33" s="173">
        <f>VLOOKUP(AE32,市町村データ領域,MATCH($C$5, 市町村データヘッダー, 0),FALSE)</f>
        <v>950</v>
      </c>
      <c r="AF33" s="153"/>
      <c r="AG33" s="153"/>
      <c r="AH33" s="154"/>
      <c r="AI33" s="188">
        <f>VLOOKUP(AI32,市町村データ領域,MATCH($C$5, 市町村データヘッダー, 0),FALSE)</f>
        <v>3970</v>
      </c>
      <c r="AJ33" s="199"/>
      <c r="AK33" s="199"/>
      <c r="AL33" s="200"/>
      <c r="AM33" s="229">
        <f>VLOOKUP(AM32,市町村データ領域,MATCH($C$5, 市町村データヘッダー, 0),FALSE)</f>
        <v>3232</v>
      </c>
      <c r="AN33" s="199"/>
      <c r="AO33" s="199"/>
      <c r="AP33" s="199"/>
      <c r="AU33" s="45"/>
      <c r="AY33" s="44"/>
      <c r="BC33" s="44"/>
      <c r="BG33" s="44"/>
      <c r="BK33" s="198">
        <f>VLOOKUP(BK32,市町村データ領域,MATCH($C$5, 市町村データヘッダー, 0),FALSE)</f>
        <v>3495</v>
      </c>
      <c r="BL33" s="199"/>
      <c r="BM33" s="199"/>
      <c r="BN33" s="199"/>
      <c r="BR33" s="67"/>
      <c r="BS33" s="219">
        <v>17</v>
      </c>
      <c r="BT33" s="220"/>
      <c r="BU33" s="194"/>
      <c r="BV33" s="194"/>
      <c r="BW33" s="67"/>
      <c r="BX33" s="87">
        <v>17</v>
      </c>
      <c r="BY33" s="88">
        <v>0</v>
      </c>
      <c r="BZ33" s="8"/>
      <c r="CB33" s="5"/>
    </row>
    <row r="34" spans="1:80" ht="21" customHeight="1" x14ac:dyDescent="0.55000000000000004">
      <c r="A34" s="5"/>
      <c r="G34" s="174">
        <f>VLOOKUP(G32,市町村データ領域,MATCH($C$6, 市町村データヘッダー, 0),FALSE)</f>
        <v>58223</v>
      </c>
      <c r="H34" s="153"/>
      <c r="I34" s="153"/>
      <c r="J34" s="153"/>
      <c r="R34" s="8"/>
      <c r="S34" s="181">
        <f>VLOOKUP(S32,市町村データ領域,MATCH($C$6, 市町村データヘッダー, 0),FALSE)</f>
        <v>7748</v>
      </c>
      <c r="T34" s="153"/>
      <c r="U34" s="153"/>
      <c r="V34" s="154"/>
      <c r="W34" s="7"/>
      <c r="Z34" s="8"/>
      <c r="AA34" s="169">
        <f>VLOOKUP(AA32,市町村データ領域,MATCH($C$6, 市町村データヘッダー, 0),FALSE)</f>
        <v>10863</v>
      </c>
      <c r="AB34" s="153"/>
      <c r="AC34" s="153"/>
      <c r="AD34" s="154"/>
      <c r="AE34" s="174">
        <f>VLOOKUP(AE32,市町村データ領域,MATCH($C$6, 市町村データヘッダー, 0),FALSE)</f>
        <v>32365</v>
      </c>
      <c r="AF34" s="153"/>
      <c r="AG34" s="153"/>
      <c r="AH34" s="154"/>
      <c r="AI34" s="184">
        <f>VLOOKUP(AI32,市町村データ領域,MATCH($C$6, 市町村データヘッダー, 0),FALSE)</f>
        <v>70063</v>
      </c>
      <c r="AJ34" s="199"/>
      <c r="AK34" s="199"/>
      <c r="AL34" s="200"/>
      <c r="AM34" s="232">
        <f>VLOOKUP(AM32,市町村データ領域,MATCH($C$6, 市町村データヘッダー, 0),FALSE)</f>
        <v>352717</v>
      </c>
      <c r="AN34" s="199"/>
      <c r="AO34" s="199"/>
      <c r="AP34" s="199"/>
      <c r="AU34" s="7"/>
      <c r="BK34" s="201">
        <f>VLOOKUP(BK32,市町村データ領域,MATCH($C$6, 市町村データヘッダー, 0),FALSE)</f>
        <v>230687</v>
      </c>
      <c r="BL34" s="199"/>
      <c r="BM34" s="199"/>
      <c r="BN34" s="199"/>
      <c r="BR34" s="67"/>
      <c r="BS34" s="219">
        <v>18</v>
      </c>
      <c r="BT34" s="220"/>
      <c r="BU34" s="194"/>
      <c r="BV34" s="194"/>
      <c r="BW34" s="67"/>
      <c r="BX34" s="87">
        <v>18</v>
      </c>
      <c r="BY34" s="88">
        <v>0</v>
      </c>
      <c r="BZ34" s="8"/>
      <c r="CB34" s="5"/>
    </row>
    <row r="35" spans="1:80" ht="21" customHeight="1" thickBot="1" x14ac:dyDescent="0.6">
      <c r="A35" s="5"/>
      <c r="G35" s="175">
        <f>VLOOKUP(G32,市町村データ領域,MATCH($C$7, 市町村データヘッダー, 0),FALSE)</f>
        <v>576.5</v>
      </c>
      <c r="H35" s="171"/>
      <c r="I35" s="171"/>
      <c r="J35" s="171"/>
      <c r="R35" s="8"/>
      <c r="S35" s="182">
        <f>VLOOKUP(S32,市町村データ領域,MATCH($C$7, 市町村データヘッダー, 0),FALSE)</f>
        <v>49.4</v>
      </c>
      <c r="T35" s="171"/>
      <c r="U35" s="171"/>
      <c r="V35" s="172"/>
      <c r="W35" s="10"/>
      <c r="X35" s="11"/>
      <c r="Y35" s="11"/>
      <c r="Z35" s="13"/>
      <c r="AA35" s="170">
        <f>VLOOKUP(AA32,市町村データ領域,MATCH($C$7, 市町村データヘッダー, 0),FALSE)</f>
        <v>40.4</v>
      </c>
      <c r="AB35" s="171"/>
      <c r="AC35" s="171"/>
      <c r="AD35" s="172"/>
      <c r="AE35" s="175">
        <f>VLOOKUP(AE32,市町村データ領域,MATCH($C$7, 市町村データヘッダー, 0),FALSE)</f>
        <v>34.1</v>
      </c>
      <c r="AF35" s="171"/>
      <c r="AG35" s="171"/>
      <c r="AH35" s="172"/>
      <c r="AI35" s="191">
        <f>VLOOKUP(AI32,市町村データ領域,MATCH($C$7, 市町村データヘッダー, 0),FALSE)</f>
        <v>17.600000000000001</v>
      </c>
      <c r="AJ35" s="203"/>
      <c r="AK35" s="203"/>
      <c r="AL35" s="204"/>
      <c r="AM35" s="218">
        <f>VLOOKUP(AM32,市町村データ領域,MATCH($C$7, 市町村データヘッダー, 0),FALSE)</f>
        <v>109.1</v>
      </c>
      <c r="AN35" s="203"/>
      <c r="AO35" s="203"/>
      <c r="AP35" s="203"/>
      <c r="AU35" s="7"/>
      <c r="BK35" s="202">
        <f>VLOOKUP(BK32,市町村データ領域,MATCH($C$7, 市町村データヘッダー, 0),FALSE)</f>
        <v>66</v>
      </c>
      <c r="BL35" s="203"/>
      <c r="BM35" s="203"/>
      <c r="BN35" s="203"/>
      <c r="BO35" s="11"/>
      <c r="BP35" s="11"/>
      <c r="BQ35" s="11"/>
      <c r="BR35" s="67"/>
      <c r="BS35" s="221">
        <v>19</v>
      </c>
      <c r="BT35" s="220"/>
      <c r="BU35" s="196"/>
      <c r="BV35" s="196"/>
      <c r="BW35" s="67"/>
      <c r="BX35" s="87">
        <v>19</v>
      </c>
      <c r="BY35" s="88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100" t="str">
        <f>VLOOKUP(G36,市町村データ領域,MATCH($D$4, 市町村データヘッダー, 0),FALSE)</f>
        <v>小鹿野町</v>
      </c>
      <c r="I36" s="100"/>
      <c r="J36" s="101"/>
      <c r="R36" s="8"/>
      <c r="S36" s="4">
        <v>47</v>
      </c>
      <c r="T36" s="100" t="str">
        <f>VLOOKUP(S36,市町村データ領域,MATCH($D$4, 市町村データヘッダー, 0),FALSE)</f>
        <v>飯能市</v>
      </c>
      <c r="U36" s="100"/>
      <c r="V36" s="100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0" t="str">
        <f>VLOOKUP(AI36,市町村データ領域,MATCH($D$4, 市町村データヘッダー, 0),FALSE)</f>
        <v>日高市</v>
      </c>
      <c r="AK36" s="100"/>
      <c r="AL36" s="101"/>
      <c r="AM36" s="4">
        <v>49</v>
      </c>
      <c r="AN36" s="100" t="str">
        <f>VLOOKUP(AM36,市町村データ領域,MATCH($D$4, 市町村データヘッダー, 0),FALSE)</f>
        <v>狭山市</v>
      </c>
      <c r="AO36" s="100"/>
      <c r="AP36" s="101"/>
      <c r="AQ36" s="4">
        <v>50</v>
      </c>
      <c r="AR36" s="100" t="str">
        <f>VLOOKUP(AQ36,市町村データ領域,MATCH($D$4, 市町村データヘッダー, 0),FALSE)</f>
        <v>ふじみ野市</v>
      </c>
      <c r="AS36" s="100"/>
      <c r="AT36" s="101"/>
      <c r="AU36" s="4">
        <v>51</v>
      </c>
      <c r="AV36" s="100" t="str">
        <f>VLOOKUP(AU36,市町村データ領域,MATCH($D$4, 市町村データヘッダー, 0),FALSE)</f>
        <v>富士見市</v>
      </c>
      <c r="AW36" s="100"/>
      <c r="AX36" s="101"/>
      <c r="AY36" s="30"/>
      <c r="BC36" s="3" t="s">
        <v>163</v>
      </c>
      <c r="BD36" s="103" t="s">
        <v>79</v>
      </c>
      <c r="BE36" s="103"/>
      <c r="BF36" s="103"/>
      <c r="BG36" s="31"/>
      <c r="BJ36" s="8"/>
      <c r="BK36" s="4">
        <v>55</v>
      </c>
      <c r="BL36" s="100" t="str">
        <f>VLOOKUP(BK36,市町村データ領域,MATCH($D$4, 市町村データヘッダー, 0),FALSE)</f>
        <v>越谷市</v>
      </c>
      <c r="BM36" s="100"/>
      <c r="BN36" s="100"/>
      <c r="BR36" s="83"/>
      <c r="BS36" s="85">
        <v>20</v>
      </c>
      <c r="BT36" s="248">
        <v>0</v>
      </c>
      <c r="BU36" s="228"/>
      <c r="BV36" s="228"/>
      <c r="BW36" s="67"/>
      <c r="BX36" s="82">
        <v>20</v>
      </c>
      <c r="BY36" s="90">
        <v>0</v>
      </c>
      <c r="BZ36" s="13"/>
      <c r="CB36" s="5"/>
    </row>
    <row r="37" spans="1:80" ht="21" customHeight="1" x14ac:dyDescent="0.55000000000000004">
      <c r="A37" s="5"/>
      <c r="G37" s="168">
        <f>VLOOKUP(G36,市町村データ領域,MATCH($C$5, 市町村データヘッダー, 0),FALSE)</f>
        <v>60</v>
      </c>
      <c r="H37" s="153"/>
      <c r="I37" s="153"/>
      <c r="J37" s="154"/>
      <c r="R37" s="8"/>
      <c r="S37" s="183">
        <f>VLOOKUP(S36,市町村データ領域,MATCH($C$5, 市町村データヘッダー, 0),FALSE)</f>
        <v>406</v>
      </c>
      <c r="T37" s="153"/>
      <c r="U37" s="153"/>
      <c r="V37" s="153"/>
      <c r="AI37" s="209">
        <f>VLOOKUP(AI36,市町村データ領域,MATCH($C$5, 市町村データヘッダー, 0),FALSE)</f>
        <v>1146</v>
      </c>
      <c r="AJ37" s="194"/>
      <c r="AK37" s="194"/>
      <c r="AL37" s="195"/>
      <c r="AM37" s="198">
        <f>VLOOKUP(AM36,市町村データ領域,MATCH($C$5, 市町村データヘッダー, 0),FALSE)</f>
        <v>3039</v>
      </c>
      <c r="AN37" s="199"/>
      <c r="AO37" s="199"/>
      <c r="AP37" s="200"/>
      <c r="AQ37" s="188">
        <f>VLOOKUP(AQ36,市町村データ領域,MATCH($C$5, 市町村データヘッダー, 0),FALSE)</f>
        <v>7812</v>
      </c>
      <c r="AR37" s="214"/>
      <c r="AS37" s="214"/>
      <c r="AT37" s="215"/>
      <c r="AU37" s="188">
        <f>VLOOKUP(AU36,市町村データ領域,MATCH($C$5, 市町村データヘッダー, 0),FALSE)</f>
        <v>5723</v>
      </c>
      <c r="AV37" s="205"/>
      <c r="AW37" s="205"/>
      <c r="AX37" s="206"/>
      <c r="AY37" s="44"/>
      <c r="BC37" s="256">
        <f>VLOOKUP(BC36,市町村データ領域,MATCH($C$5, 市町村データヘッダー, 0),FALSE)</f>
        <v>6186</v>
      </c>
      <c r="BD37" s="153"/>
      <c r="BE37" s="153"/>
      <c r="BF37" s="153"/>
      <c r="BG37" s="44"/>
      <c r="BK37" s="229">
        <f>VLOOKUP(BK36,市町村データ領域,MATCH($C$5, 市町村データヘッダー, 0),FALSE)</f>
        <v>5695</v>
      </c>
      <c r="BL37" s="205"/>
      <c r="BM37" s="205"/>
      <c r="BN37" s="205"/>
      <c r="BS37" s="181">
        <f>VLOOKUP(BS36,市町村データ領域,MATCH($C$5, 市町村データヘッダー, 0),FALSE)</f>
        <v>1446</v>
      </c>
      <c r="BT37" s="189"/>
      <c r="BU37" s="189"/>
      <c r="BV37" s="190"/>
      <c r="CB37" s="5"/>
    </row>
    <row r="38" spans="1:80" ht="21" customHeight="1" x14ac:dyDescent="0.55000000000000004">
      <c r="A38" s="5"/>
      <c r="G38" s="169">
        <f>VLOOKUP(G36,市町村データ領域,MATCH($C$6, 市町村データヘッダー, 0),FALSE)</f>
        <v>10316</v>
      </c>
      <c r="H38" s="153"/>
      <c r="I38" s="153"/>
      <c r="J38" s="154"/>
      <c r="R38" s="8"/>
      <c r="S38" s="184">
        <f>VLOOKUP(S36,市町村データ領域,MATCH($C$6, 市町村データヘッダー, 0),FALSE)</f>
        <v>78472</v>
      </c>
      <c r="T38" s="153"/>
      <c r="U38" s="153"/>
      <c r="V38" s="153"/>
      <c r="AI38" s="174">
        <f>VLOOKUP(AI36,市町村データ領域,MATCH($C$6, 市町村データヘッダー, 0),FALSE)</f>
        <v>54396</v>
      </c>
      <c r="AJ38" s="194"/>
      <c r="AK38" s="194"/>
      <c r="AL38" s="195"/>
      <c r="AM38" s="201">
        <f>VLOOKUP(AM36,市町村データ領域,MATCH($C$6, 市町村データヘッダー, 0),FALSE)</f>
        <v>148872</v>
      </c>
      <c r="AN38" s="199"/>
      <c r="AO38" s="199"/>
      <c r="AP38" s="200"/>
      <c r="AQ38" s="184">
        <f>VLOOKUP(AQ36,市町村データ領域,MATCH($C$6, 市町村データヘッダー, 0),FALSE)</f>
        <v>114363</v>
      </c>
      <c r="AR38" s="214"/>
      <c r="AS38" s="214"/>
      <c r="AT38" s="215"/>
      <c r="AU38" s="184">
        <f>VLOOKUP(AU36,市町村データ領域,MATCH($C$6, 市町村データヘッダー, 0),FALSE)</f>
        <v>113145</v>
      </c>
      <c r="AV38" s="205"/>
      <c r="AW38" s="205"/>
      <c r="AX38" s="206"/>
      <c r="BC38" s="250">
        <f>VLOOKUP(BC36,市町村データ領域,MATCH($C$6, 市町村データヘッダー, 0),FALSE)</f>
        <v>1345012</v>
      </c>
      <c r="BD38" s="153"/>
      <c r="BE38" s="153"/>
      <c r="BF38" s="153"/>
      <c r="BK38" s="232">
        <f>VLOOKUP(BK36,市町村データ領域,MATCH($C$6, 市町村データヘッダー, 0),FALSE)</f>
        <v>343062</v>
      </c>
      <c r="BL38" s="205"/>
      <c r="BM38" s="205"/>
      <c r="BN38" s="205"/>
      <c r="BS38" s="251">
        <f>VLOOKUP(BS36,市町村データ領域,MATCH($C$6, 市町村データヘッダー, 0),FALSE)</f>
        <v>49063</v>
      </c>
      <c r="BT38" s="189"/>
      <c r="BU38" s="189"/>
      <c r="BV38" s="190"/>
      <c r="CB38" s="5"/>
    </row>
    <row r="39" spans="1:80" ht="21" customHeight="1" thickBot="1" x14ac:dyDescent="0.6">
      <c r="A39" s="5"/>
      <c r="G39" s="170">
        <f>VLOOKUP(G36,市町村データ領域,MATCH($C$7, 市町村データヘッダー, 0),FALSE)</f>
        <v>171.9</v>
      </c>
      <c r="H39" s="171"/>
      <c r="I39" s="171"/>
      <c r="J39" s="172"/>
      <c r="R39" s="8"/>
      <c r="S39" s="183">
        <f>VLOOKUP(S36,市町村データ領域,MATCH($C$7, 市町村データヘッダー, 0),FALSE)</f>
        <v>193.3</v>
      </c>
      <c r="T39" s="153"/>
      <c r="U39" s="153"/>
      <c r="V39" s="153"/>
      <c r="AI39" s="175">
        <f>VLOOKUP(AI36,市町村データ領域,MATCH($C$7, 市町村データヘッダー, 0),FALSE)</f>
        <v>47.5</v>
      </c>
      <c r="AJ39" s="196"/>
      <c r="AK39" s="196"/>
      <c r="AL39" s="197"/>
      <c r="AM39" s="202">
        <f>VLOOKUP(AM36,市町村データ領域,MATCH($C$7, 市町村データヘッダー, 0),FALSE)</f>
        <v>49</v>
      </c>
      <c r="AN39" s="203"/>
      <c r="AO39" s="203"/>
      <c r="AP39" s="204"/>
      <c r="AQ39" s="191">
        <f>VLOOKUP(AQ36,市町村データ領域,MATCH($C$7, 市町村データヘッダー, 0),FALSE)</f>
        <v>14.6</v>
      </c>
      <c r="AR39" s="216"/>
      <c r="AS39" s="216"/>
      <c r="AT39" s="217"/>
      <c r="AU39" s="191">
        <f>VLOOKUP(AU36,市町村データ領域,MATCH($C$7, 市町村データヘッダー, 0),FALSE)</f>
        <v>19.8</v>
      </c>
      <c r="AV39" s="207"/>
      <c r="AW39" s="207"/>
      <c r="AX39" s="208"/>
      <c r="BC39" s="249">
        <f>VLOOKUP(BC36,市町村データ領域,MATCH($C$7, 市町村データヘッダー, 0),FALSE)</f>
        <v>217.4</v>
      </c>
      <c r="BD39" s="153"/>
      <c r="BE39" s="153"/>
      <c r="BF39" s="153"/>
      <c r="BK39" s="252">
        <f>VLOOKUP(BK36,市町村データ領域,MATCH($C$7, 市町村データヘッダー, 0),FALSE)</f>
        <v>60.2</v>
      </c>
      <c r="BL39" s="205"/>
      <c r="BM39" s="205"/>
      <c r="BN39" s="205"/>
      <c r="BS39" s="182">
        <f>VLOOKUP(BS36,市町村データ領域,MATCH($C$7, 市町村データヘッダー, 0),FALSE)</f>
        <v>33.9</v>
      </c>
      <c r="BT39" s="192"/>
      <c r="BU39" s="192"/>
      <c r="BV39" s="19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0" t="str">
        <f>VLOOKUP(AM40,市町村データ領域,MATCH($D$4, 市町村データヘッダー, 0),FALSE)</f>
        <v>入間市</v>
      </c>
      <c r="AO40" s="100"/>
      <c r="AP40" s="101"/>
      <c r="AQ40" s="4">
        <v>58</v>
      </c>
      <c r="AR40" s="100" t="str">
        <f>VLOOKUP(AQ40,市町村データ領域,MATCH($D$4, 市町村データヘッダー, 0),FALSE)</f>
        <v>三芳町</v>
      </c>
      <c r="AS40" s="100"/>
      <c r="AT40" s="101"/>
      <c r="AU40" s="4">
        <v>59</v>
      </c>
      <c r="AV40" s="100" t="str">
        <f>VLOOKUP(AU40,市町村データ領域,MATCH($D$4, 市町村データヘッダー, 0),FALSE)</f>
        <v>志木市</v>
      </c>
      <c r="AW40" s="100"/>
      <c r="AX40" s="101"/>
      <c r="AY40" s="31"/>
      <c r="BC40" s="31"/>
      <c r="BG40" s="31"/>
      <c r="BJ40" s="8"/>
      <c r="BK40" s="7"/>
      <c r="BS40" s="4">
        <v>63</v>
      </c>
      <c r="BT40" s="100" t="str">
        <f>VLOOKUP(BS40,市町村データ領域,MATCH($D$4, 市町村データヘッダー, 0),FALSE)</f>
        <v>三郷市</v>
      </c>
      <c r="BU40" s="100"/>
      <c r="BV40" s="101"/>
      <c r="CB40" s="5"/>
    </row>
    <row r="41" spans="1:80" ht="21" customHeight="1" x14ac:dyDescent="0.55000000000000004">
      <c r="A41" s="5"/>
      <c r="G41" s="7"/>
      <c r="R41" s="8"/>
      <c r="S41" s="7"/>
      <c r="AM41" s="198">
        <f>VLOOKUP(AM40,市町村データ領域,MATCH($C$5, 市町村データヘッダー, 0),FALSE)</f>
        <v>3238</v>
      </c>
      <c r="AN41" s="199"/>
      <c r="AO41" s="199"/>
      <c r="AP41" s="200"/>
      <c r="AQ41" s="209">
        <f>VLOOKUP(AQ40,市町村データ領域,MATCH($C$5, 市町村データヘッダー, 0),FALSE)</f>
        <v>2443</v>
      </c>
      <c r="AR41" s="189"/>
      <c r="AS41" s="189"/>
      <c r="AT41" s="190"/>
      <c r="AU41" s="188">
        <f>VLOOKUP(AU40,市町村データ領域,MATCH($C$5, 市町村データヘッダー, 0),FALSE)</f>
        <v>8432</v>
      </c>
      <c r="AV41" s="210"/>
      <c r="AW41" s="210"/>
      <c r="AX41" s="211"/>
      <c r="AY41" s="44"/>
      <c r="BC41" s="44"/>
      <c r="BG41" s="44"/>
      <c r="BK41" s="7"/>
      <c r="BS41" s="198">
        <f>VLOOKUP(BS40,市町村データ領域,MATCH($C$5, 市町村データヘッダー, 0),FALSE)</f>
        <v>4711</v>
      </c>
      <c r="BT41" s="242"/>
      <c r="BU41" s="242"/>
      <c r="BV41" s="243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201">
        <f>VLOOKUP(AM40,市町村データ領域,MATCH($C$6, 市町村データヘッダー, 0),FALSE)</f>
        <v>144723</v>
      </c>
      <c r="AN42" s="199"/>
      <c r="AO42" s="199"/>
      <c r="AP42" s="200"/>
      <c r="AQ42" s="174">
        <f>VLOOKUP(AQ40,市町村データ領域,MATCH($C$6, 市町村データヘッダー, 0),FALSE)</f>
        <v>37453</v>
      </c>
      <c r="AR42" s="189"/>
      <c r="AS42" s="189"/>
      <c r="AT42" s="190"/>
      <c r="AU42" s="184">
        <f>VLOOKUP(AU40,市町村データ領域,MATCH($C$6, 市町村データヘッダー, 0),FALSE)</f>
        <v>76312</v>
      </c>
      <c r="AV42" s="210"/>
      <c r="AW42" s="210"/>
      <c r="AX42" s="211"/>
      <c r="BK42" s="7"/>
      <c r="BS42" s="201">
        <f>VLOOKUP(BS40,市町村データ領域,MATCH($C$6, 市町村データヘッダー, 0),FALSE)</f>
        <v>141942</v>
      </c>
      <c r="BT42" s="242"/>
      <c r="BU42" s="242"/>
      <c r="BV42" s="243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202">
        <f>VLOOKUP(AM40,市町村データ領域,MATCH($C$7, 市町村データヘッダー, 0),FALSE)</f>
        <v>44.7</v>
      </c>
      <c r="AN43" s="203"/>
      <c r="AO43" s="203"/>
      <c r="AP43" s="204"/>
      <c r="AQ43" s="175">
        <f>VLOOKUP(AQ40,市町村データ領域,MATCH($C$7, 市町村データヘッダー, 0),FALSE)</f>
        <v>15.3</v>
      </c>
      <c r="AR43" s="192"/>
      <c r="AS43" s="192"/>
      <c r="AT43" s="193"/>
      <c r="AU43" s="191">
        <f>VLOOKUP(AU40,市町村データ領域,MATCH($C$7, 市町村データヘッダー, 0),FALSE)</f>
        <v>9.1</v>
      </c>
      <c r="AV43" s="212"/>
      <c r="AW43" s="212"/>
      <c r="AX43" s="2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202">
        <f>VLOOKUP(BS40,市町村データ領域,MATCH($C$7, 市町村データヘッダー, 0),FALSE)</f>
        <v>30.1</v>
      </c>
      <c r="BT43" s="244"/>
      <c r="BU43" s="244"/>
      <c r="BV43" s="245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0" t="str">
        <f>VLOOKUP(AM44,市町村データ領域,MATCH($D$4, 市町村データヘッダー, 0),FALSE)</f>
        <v>所沢市</v>
      </c>
      <c r="AO44" s="100"/>
      <c r="AP44" s="101"/>
      <c r="AQ44" s="4">
        <v>65</v>
      </c>
      <c r="AR44" s="100" t="str">
        <f>VLOOKUP(AQ44,市町村データ領域,MATCH($D$4, 市町村データヘッダー, 0),FALSE)</f>
        <v>新座市</v>
      </c>
      <c r="AS44" s="100"/>
      <c r="AT44" s="101"/>
      <c r="AU44" s="4">
        <v>66</v>
      </c>
      <c r="AV44" s="100" t="str">
        <f>VLOOKUP(AU44,市町村データ領域,MATCH($D$4, 市町村データヘッダー, 0),FALSE)</f>
        <v>朝霞市</v>
      </c>
      <c r="AW44" s="100"/>
      <c r="AX44" s="101"/>
      <c r="AY44" s="4">
        <v>67</v>
      </c>
      <c r="AZ44" s="100" t="str">
        <f>VLOOKUP(AY44,市町村データ領域,MATCH($D$4, 市町村データヘッダー, 0),FALSE)</f>
        <v>和光市</v>
      </c>
      <c r="BA44" s="100"/>
      <c r="BB44" s="101"/>
      <c r="BC44" s="4">
        <v>68</v>
      </c>
      <c r="BD44" s="100" t="str">
        <f>VLOOKUP(BC44,市町村データ領域,MATCH($D$4, 市町村データヘッダー, 0),FALSE)</f>
        <v>戸田市</v>
      </c>
      <c r="BE44" s="100"/>
      <c r="BF44" s="101"/>
      <c r="BG44" s="4">
        <v>69</v>
      </c>
      <c r="BH44" s="100" t="str">
        <f>VLOOKUP(BG44,市町村データ領域,MATCH($D$4, 市町村データヘッダー, 0),FALSE)</f>
        <v>蕨市</v>
      </c>
      <c r="BI44" s="100"/>
      <c r="BJ44" s="101"/>
      <c r="BK44" s="4">
        <v>70</v>
      </c>
      <c r="BL44" s="100" t="str">
        <f>VLOOKUP(BK44,市町村データ領域,MATCH($D$4, 市町村データヘッダー, 0),FALSE)</f>
        <v>川口市</v>
      </c>
      <c r="BM44" s="100"/>
      <c r="BN44" s="101"/>
      <c r="BO44" s="4">
        <v>71</v>
      </c>
      <c r="BP44" s="100" t="str">
        <f>VLOOKUP(BO44,市町村データ領域,MATCH($D$4, 市町村データヘッダー, 0),FALSE)</f>
        <v>草加市</v>
      </c>
      <c r="BQ44" s="100"/>
      <c r="BR44" s="101"/>
      <c r="BS44" s="4">
        <v>72</v>
      </c>
      <c r="BT44" s="100" t="str">
        <f>VLOOKUP(BS44,市町村データ領域,MATCH($D$4, 市町村データヘッダー, 0),FALSE)</f>
        <v>八潮市</v>
      </c>
      <c r="BU44" s="100"/>
      <c r="BV44" s="101"/>
      <c r="CB44" s="5"/>
    </row>
    <row r="45" spans="1:80" ht="21" customHeight="1" x14ac:dyDescent="0.55000000000000004">
      <c r="A45" s="5"/>
      <c r="AM45" s="229">
        <f>VLOOKUP(AM44,市町村データ領域,MATCH($C$5, 市町村データヘッダー, 0),FALSE)</f>
        <v>4764</v>
      </c>
      <c r="AN45" s="242"/>
      <c r="AO45" s="242"/>
      <c r="AP45" s="243"/>
      <c r="AQ45" s="198">
        <f>VLOOKUP(AQ44,市町村データ領域,MATCH($C$5, 市町村データヘッダー, 0),FALSE)</f>
        <v>7289</v>
      </c>
      <c r="AR45" s="214"/>
      <c r="AS45" s="214"/>
      <c r="AT45" s="215"/>
      <c r="AU45" s="198">
        <f>VLOOKUP(AU44,市町村データ領域,MATCH($C$5, 市町村データヘッダー, 0),FALSE)</f>
        <v>7904</v>
      </c>
      <c r="AV45" s="214"/>
      <c r="AW45" s="214"/>
      <c r="AX45" s="215"/>
      <c r="AY45" s="188">
        <f>VLOOKUP(AY44,市町村データ領域,MATCH($C$5, 市町村データヘッダー, 0),FALSE)</f>
        <v>7675</v>
      </c>
      <c r="AZ45" s="214"/>
      <c r="BA45" s="214"/>
      <c r="BB45" s="215"/>
      <c r="BC45" s="198">
        <f>VLOOKUP(BC44,市町村データ領域,MATCH($C$5, 市町村データヘッダー, 0),FALSE)</f>
        <v>7815</v>
      </c>
      <c r="BD45" s="214"/>
      <c r="BE45" s="214"/>
      <c r="BF45" s="215"/>
      <c r="BG45" s="188">
        <f>VLOOKUP(BG44,市町村データ領域,MATCH($C$5, 市町村データヘッダー, 0),FALSE)</f>
        <v>14804</v>
      </c>
      <c r="BH45" s="240"/>
      <c r="BI45" s="240"/>
      <c r="BJ45" s="241"/>
      <c r="BK45" s="237">
        <f>VLOOKUP(BK44,市町村データ領域,MATCH($C$5, 市町村データヘッダー, 0),FALSE)</f>
        <v>9787</v>
      </c>
      <c r="BL45" s="230"/>
      <c r="BM45" s="230"/>
      <c r="BN45" s="231"/>
      <c r="BO45" s="229">
        <f>VLOOKUP(BO44,市町村データ領域,MATCH($C$5, 市町村データヘッダー, 0),FALSE)</f>
        <v>9149</v>
      </c>
      <c r="BP45" s="230"/>
      <c r="BQ45" s="230"/>
      <c r="BR45" s="231"/>
      <c r="BS45" s="188">
        <f>VLOOKUP(BS44,市町村データ領域,MATCH($C$5, 市町村データヘッダー, 0),FALSE)</f>
        <v>5165</v>
      </c>
      <c r="BT45" s="235"/>
      <c r="BU45" s="235"/>
      <c r="BV45" s="236"/>
      <c r="CB45" s="5"/>
    </row>
    <row r="46" spans="1:80" ht="21" customHeight="1" x14ac:dyDescent="0.55000000000000004">
      <c r="A46" s="5"/>
      <c r="G46" s="2" t="s">
        <v>172</v>
      </c>
      <c r="AM46" s="232">
        <f>VLOOKUP(AM44,市町村データ領域,MATCH($C$6, 市町村データヘッダー, 0),FALSE)</f>
        <v>343529</v>
      </c>
      <c r="AN46" s="242"/>
      <c r="AO46" s="242"/>
      <c r="AP46" s="243"/>
      <c r="AQ46" s="201">
        <f>VLOOKUP(AQ44,市町村データ領域,MATCH($C$6, 市町村データヘッダー, 0),FALSE)</f>
        <v>166036</v>
      </c>
      <c r="AR46" s="214"/>
      <c r="AS46" s="214"/>
      <c r="AT46" s="215"/>
      <c r="AU46" s="201">
        <f>VLOOKUP(AU44,市町村データ領域,MATCH($C$6, 市町村データヘッダー, 0),FALSE)</f>
        <v>144964</v>
      </c>
      <c r="AV46" s="214"/>
      <c r="AW46" s="214"/>
      <c r="AX46" s="215"/>
      <c r="AY46" s="184">
        <f>VLOOKUP(AY44,市町村データ領域,MATCH($C$6, 市町村データヘッダー, 0),FALSE)</f>
        <v>84728</v>
      </c>
      <c r="AZ46" s="214"/>
      <c r="BA46" s="214"/>
      <c r="BB46" s="215"/>
      <c r="BC46" s="201">
        <f>VLOOKUP(BC44,市町村データ領域,MATCH($C$6, 市町村データヘッダー, 0),FALSE)</f>
        <v>142163</v>
      </c>
      <c r="BD46" s="214"/>
      <c r="BE46" s="214"/>
      <c r="BF46" s="215"/>
      <c r="BG46" s="184">
        <f>VLOOKUP(BG44,市町村データ領域,MATCH($C$6, 市町村データヘッダー, 0),FALSE)</f>
        <v>75646</v>
      </c>
      <c r="BH46" s="240"/>
      <c r="BI46" s="240"/>
      <c r="BJ46" s="241"/>
      <c r="BK46" s="238">
        <f>VLOOKUP(BK44,市町村データ領域,MATCH($C$6, 市町村データヘッダー, 0),FALSE)</f>
        <v>606315</v>
      </c>
      <c r="BL46" s="230"/>
      <c r="BM46" s="230"/>
      <c r="BN46" s="231"/>
      <c r="BO46" s="232">
        <f>VLOOKUP(BO44,市町村データ領域,MATCH($C$6, 市町村データヘッダー, 0),FALSE)</f>
        <v>251219</v>
      </c>
      <c r="BP46" s="230"/>
      <c r="BQ46" s="230"/>
      <c r="BR46" s="231"/>
      <c r="BS46" s="184">
        <f>VLOOKUP(BS44,市町村データ領域,MATCH($C$6, 市町村データヘッダー, 0),FALSE)</f>
        <v>93065</v>
      </c>
      <c r="BT46" s="235"/>
      <c r="BU46" s="235"/>
      <c r="BV46" s="236"/>
      <c r="CB46" s="5"/>
    </row>
    <row r="47" spans="1:80" ht="21" customHeight="1" thickBot="1" x14ac:dyDescent="0.6">
      <c r="A47" s="5"/>
      <c r="G47" s="15" t="s">
        <v>171</v>
      </c>
      <c r="AM47" s="218">
        <f>VLOOKUP(AM44,市町村データ領域,MATCH($C$7, 市町村データヘッダー, 0),FALSE)</f>
        <v>72.099999999999994</v>
      </c>
      <c r="AN47" s="244"/>
      <c r="AO47" s="244"/>
      <c r="AP47" s="245"/>
      <c r="AQ47" s="202">
        <f>VLOOKUP(AQ44,市町村データ領域,MATCH($C$7, 市町村データヘッダー, 0),FALSE)</f>
        <v>22.8</v>
      </c>
      <c r="AR47" s="216"/>
      <c r="AS47" s="216"/>
      <c r="AT47" s="217"/>
      <c r="AU47" s="202">
        <f>VLOOKUP(AU44,市町村データ領域,MATCH($C$7, 市町村データヘッダー, 0),FALSE)</f>
        <v>18.3</v>
      </c>
      <c r="AV47" s="216"/>
      <c r="AW47" s="216"/>
      <c r="AX47" s="217"/>
      <c r="AY47" s="191">
        <f>VLOOKUP(AY44,市町村データ領域,MATCH($C$7, 市町村データヘッダー, 0),FALSE)</f>
        <v>11</v>
      </c>
      <c r="AZ47" s="216"/>
      <c r="BA47" s="216"/>
      <c r="BB47" s="217"/>
      <c r="BC47" s="202">
        <f>VLOOKUP(BC44,市町村データ領域,MATCH($C$7, 市町村データヘッダー, 0),FALSE)</f>
        <v>18.2</v>
      </c>
      <c r="BD47" s="216"/>
      <c r="BE47" s="216"/>
      <c r="BF47" s="217"/>
      <c r="BG47" s="191">
        <f>VLOOKUP(BG44,市町村データ領域,MATCH($C$7, 市町村データヘッダー, 0),FALSE)</f>
        <v>5.0999999999999996</v>
      </c>
      <c r="BH47" s="246"/>
      <c r="BI47" s="246"/>
      <c r="BJ47" s="247"/>
      <c r="BK47" s="239">
        <f>VLOOKUP(BK44,市町村データ領域,MATCH($C$7, 市町村データヘッダー, 0),FALSE)</f>
        <v>62</v>
      </c>
      <c r="BL47" s="233"/>
      <c r="BM47" s="233"/>
      <c r="BN47" s="234"/>
      <c r="BO47" s="218">
        <f>VLOOKUP(BO44,市町村データ領域,MATCH($C$7, 市町村データヘッダー, 0),FALSE)</f>
        <v>27.5</v>
      </c>
      <c r="BP47" s="233"/>
      <c r="BQ47" s="233"/>
      <c r="BR47" s="234"/>
      <c r="BS47" s="191">
        <f>VLOOKUP(BS44,市町村データ領域,MATCH($C$7, 市町村データヘッダー, 0),FALSE)</f>
        <v>18</v>
      </c>
      <c r="BT47" s="207"/>
      <c r="BU47" s="207"/>
      <c r="BV47" s="208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60"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  <mergeCell ref="D12:F12"/>
    <mergeCell ref="C13:F13"/>
    <mergeCell ref="C14:F14"/>
    <mergeCell ref="C15:F15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382F9-AAE6-4D23-82AC-E62F2E011CEA}">
  <sheetPr codeName="Sheet9"/>
  <dimension ref="A2:CC49"/>
  <sheetViews>
    <sheetView tabSelected="1" zoomScaleNormal="100" workbookViewId="0">
      <selection activeCell="A8" sqref="A8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8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32"/>
      <c r="D4" s="100" t="s">
        <v>180</v>
      </c>
      <c r="E4" s="100"/>
      <c r="F4" s="101"/>
    </row>
    <row r="5" spans="1:81" ht="21" customHeight="1" x14ac:dyDescent="0.55000000000000004">
      <c r="C5" s="152" t="s">
        <v>185</v>
      </c>
      <c r="D5" s="153"/>
      <c r="E5" s="153"/>
      <c r="F5" s="154"/>
    </row>
    <row r="6" spans="1:81" ht="21" customHeight="1" x14ac:dyDescent="0.55000000000000004">
      <c r="C6" s="257" t="s">
        <v>186</v>
      </c>
      <c r="D6" s="258"/>
      <c r="E6" s="258"/>
      <c r="F6" s="259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260" t="s">
        <v>187</v>
      </c>
      <c r="D7" s="171"/>
      <c r="E7" s="171"/>
      <c r="F7" s="172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279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79"/>
      <c r="AC10" s="279"/>
      <c r="AD10" s="279"/>
      <c r="AE10" s="279"/>
      <c r="AF10" s="279"/>
      <c r="AG10" s="279"/>
      <c r="AH10" s="279"/>
      <c r="AI10" s="279"/>
      <c r="AJ10" s="279"/>
      <c r="AK10" s="279"/>
      <c r="AL10" s="279"/>
      <c r="AM10" s="279"/>
      <c r="AN10" s="279"/>
      <c r="AO10" s="279"/>
      <c r="AP10" s="279"/>
      <c r="AQ10" s="279"/>
      <c r="AR10" s="279"/>
      <c r="AS10" s="279"/>
      <c r="AT10" s="279"/>
      <c r="AU10" s="279"/>
      <c r="AV10" s="279"/>
      <c r="AW10" s="279"/>
      <c r="AX10" s="279"/>
      <c r="AY10" s="279"/>
      <c r="AZ10" s="279"/>
      <c r="BA10" s="279"/>
      <c r="BB10" s="279"/>
      <c r="BC10" s="279"/>
      <c r="BD10" s="279"/>
      <c r="BE10" s="279"/>
      <c r="BF10" s="279"/>
      <c r="BG10" s="279"/>
      <c r="BH10" s="279"/>
      <c r="BI10" s="279"/>
      <c r="BJ10" s="279"/>
      <c r="BK10" s="279"/>
      <c r="BL10" s="279"/>
      <c r="BM10" s="279"/>
      <c r="BN10" s="279"/>
      <c r="BO10" s="279"/>
      <c r="BP10" s="279"/>
      <c r="BQ10" s="279"/>
      <c r="BR10" s="279"/>
      <c r="BS10" s="279"/>
      <c r="BT10" s="279"/>
      <c r="BU10" s="279"/>
      <c r="BV10" s="279"/>
      <c r="BW10" s="279"/>
      <c r="BX10" s="279"/>
      <c r="BY10" s="279"/>
      <c r="BZ10" s="279"/>
      <c r="CA10" s="279"/>
      <c r="CB10" s="279"/>
    </row>
    <row r="11" spans="1:81" ht="21" customHeight="1" x14ac:dyDescent="0.55000000000000004">
      <c r="B11" s="263"/>
      <c r="C11" s="263"/>
      <c r="D11" s="263"/>
      <c r="E11" s="263"/>
      <c r="F11" s="263"/>
      <c r="G11" s="263"/>
      <c r="H11" s="263"/>
      <c r="I11" s="263"/>
      <c r="J11" s="263"/>
      <c r="K11" s="263"/>
      <c r="L11" s="263"/>
      <c r="M11" s="263"/>
      <c r="N11" s="263"/>
      <c r="O11" s="263"/>
      <c r="P11" s="263"/>
      <c r="Q11" s="263"/>
      <c r="R11" s="263"/>
      <c r="S11" s="263"/>
      <c r="T11" s="263"/>
      <c r="U11" s="263"/>
      <c r="V11" s="263"/>
      <c r="W11" s="263"/>
      <c r="X11" s="263"/>
      <c r="Y11" s="263"/>
      <c r="Z11" s="263"/>
      <c r="AA11" s="263"/>
      <c r="AB11" s="263"/>
      <c r="AC11" s="263"/>
      <c r="AD11" s="263"/>
      <c r="AE11" s="263"/>
      <c r="AF11" s="263"/>
      <c r="AG11" s="263"/>
      <c r="AH11" s="263"/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63"/>
      <c r="AX11" s="263"/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63"/>
      <c r="BN11" s="263"/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79"/>
      <c r="CC11" s="263"/>
    </row>
    <row r="12" spans="1:81" ht="21" customHeight="1" x14ac:dyDescent="0.55000000000000004">
      <c r="B12" s="263"/>
      <c r="C12" s="279"/>
      <c r="D12" s="281"/>
      <c r="E12" s="281"/>
      <c r="F12" s="281"/>
      <c r="G12" s="280" t="s">
        <v>307</v>
      </c>
      <c r="H12" s="263"/>
      <c r="I12" s="263"/>
      <c r="J12" s="263"/>
      <c r="K12" s="280" t="s">
        <v>306</v>
      </c>
      <c r="L12" s="263"/>
      <c r="M12" s="263"/>
      <c r="N12" s="263"/>
      <c r="O12" s="280" t="s">
        <v>305</v>
      </c>
      <c r="P12" s="263"/>
      <c r="Q12" s="263"/>
      <c r="R12" s="263"/>
      <c r="S12" s="280" t="s">
        <v>304</v>
      </c>
      <c r="T12" s="263"/>
      <c r="U12" s="263"/>
      <c r="V12" s="263"/>
      <c r="W12" s="280" t="s">
        <v>303</v>
      </c>
      <c r="X12" s="263"/>
      <c r="Y12" s="263"/>
      <c r="Z12" s="263"/>
      <c r="AA12" s="280" t="s">
        <v>302</v>
      </c>
      <c r="AB12" s="263"/>
      <c r="AC12" s="263"/>
      <c r="AD12" s="263"/>
      <c r="AE12" s="280" t="s">
        <v>301</v>
      </c>
      <c r="AF12" s="263"/>
      <c r="AG12" s="263"/>
      <c r="AH12" s="263"/>
      <c r="AI12" s="280" t="s">
        <v>300</v>
      </c>
      <c r="AJ12" s="263"/>
      <c r="AK12" s="263"/>
      <c r="AL12" s="263"/>
      <c r="AM12" s="280" t="s">
        <v>299</v>
      </c>
      <c r="AN12" s="263"/>
      <c r="AO12" s="263"/>
      <c r="AP12" s="263"/>
      <c r="AQ12" s="280" t="s">
        <v>298</v>
      </c>
      <c r="AR12" s="263"/>
      <c r="AS12" s="263"/>
      <c r="AT12" s="263"/>
      <c r="AU12" s="280" t="s">
        <v>297</v>
      </c>
      <c r="AV12" s="263"/>
      <c r="AW12" s="263"/>
      <c r="AX12" s="263"/>
      <c r="AY12" s="280" t="s">
        <v>296</v>
      </c>
      <c r="AZ12" s="263"/>
      <c r="BA12" s="263"/>
      <c r="BB12" s="263"/>
      <c r="BC12" s="280" t="s">
        <v>295</v>
      </c>
      <c r="BD12" s="263"/>
      <c r="BE12" s="263"/>
      <c r="BF12" s="263"/>
      <c r="BG12" s="280" t="s">
        <v>294</v>
      </c>
      <c r="BH12" s="263"/>
      <c r="BI12" s="263"/>
      <c r="BJ12" s="263"/>
      <c r="BK12" s="280" t="s">
        <v>293</v>
      </c>
      <c r="BL12" s="263"/>
      <c r="BM12" s="263"/>
      <c r="BN12" s="263"/>
      <c r="BO12" s="280" t="s">
        <v>292</v>
      </c>
      <c r="BP12" s="263"/>
      <c r="BQ12" s="263"/>
      <c r="BR12" s="263"/>
      <c r="BS12" s="280" t="s">
        <v>291</v>
      </c>
      <c r="BT12" s="263"/>
      <c r="BU12" s="263"/>
      <c r="BV12" s="263"/>
      <c r="BW12" s="263"/>
      <c r="BX12" s="263"/>
      <c r="BY12" s="263"/>
      <c r="BZ12" s="263"/>
      <c r="CA12" s="263"/>
      <c r="CB12" s="279"/>
      <c r="CC12" s="263"/>
    </row>
    <row r="13" spans="1:81" ht="21" customHeight="1" x14ac:dyDescent="0.55000000000000004">
      <c r="B13" s="263"/>
      <c r="C13" s="281"/>
      <c r="D13" s="281"/>
      <c r="E13" s="281"/>
      <c r="F13" s="281"/>
      <c r="G13" s="263"/>
      <c r="H13" s="263"/>
      <c r="I13" s="263"/>
      <c r="J13" s="263"/>
      <c r="K13" s="263"/>
      <c r="L13" s="263"/>
      <c r="M13" s="263"/>
      <c r="N13" s="263"/>
      <c r="O13" s="263"/>
      <c r="P13" s="263"/>
      <c r="Q13" s="263"/>
      <c r="R13" s="263"/>
      <c r="S13" s="263"/>
      <c r="T13" s="263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79"/>
      <c r="CC13" s="263"/>
    </row>
    <row r="14" spans="1:81" ht="21" customHeight="1" x14ac:dyDescent="0.55000000000000004">
      <c r="B14" s="263"/>
      <c r="C14" s="281"/>
      <c r="D14" s="281"/>
      <c r="E14" s="281"/>
      <c r="F14" s="281"/>
      <c r="G14" s="263"/>
      <c r="H14" s="263"/>
      <c r="I14" s="263"/>
      <c r="J14" s="263"/>
      <c r="K14" s="263"/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79"/>
      <c r="CC14" s="263"/>
    </row>
    <row r="15" spans="1:81" ht="21" customHeight="1" thickBot="1" x14ac:dyDescent="0.6">
      <c r="B15" s="263"/>
      <c r="C15" s="281"/>
      <c r="D15" s="281"/>
      <c r="E15" s="281"/>
      <c r="F15" s="281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3"/>
      <c r="T15" s="263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 t="s">
        <v>282</v>
      </c>
      <c r="BY15" s="263"/>
      <c r="BZ15" s="263"/>
      <c r="CA15" s="263"/>
      <c r="CB15" s="279"/>
      <c r="CC15" s="263"/>
    </row>
    <row r="16" spans="1:81" ht="21" customHeight="1" x14ac:dyDescent="0.55000000000000004">
      <c r="B16" s="263"/>
      <c r="C16" s="280" t="s">
        <v>308</v>
      </c>
      <c r="D16" s="263"/>
      <c r="E16" s="263"/>
      <c r="F16" s="275"/>
      <c r="G16" s="64">
        <v>1</v>
      </c>
      <c r="H16" s="283" t="str">
        <f>VLOOKUP(G16,市町村データ領域,MATCH($D$4, 市町村データヘッダー, 0),FALSE)</f>
        <v>上里町</v>
      </c>
      <c r="I16" s="283"/>
      <c r="J16" s="284"/>
      <c r="K16" s="64">
        <v>2</v>
      </c>
      <c r="L16" s="283" t="str">
        <f>VLOOKUP(K16,市町村データ領域,MATCH($D$4, 市町村データヘッダー, 0),FALSE)</f>
        <v>本庄市</v>
      </c>
      <c r="M16" s="283"/>
      <c r="N16" s="284"/>
      <c r="O16" s="64">
        <v>3</v>
      </c>
      <c r="P16" s="283" t="str">
        <f>VLOOKUP(O16,市町村データ領域,MATCH($D$4, 市町村データヘッダー, 0),FALSE)</f>
        <v>深谷市</v>
      </c>
      <c r="Q16" s="283"/>
      <c r="R16" s="283"/>
      <c r="S16" s="286"/>
      <c r="T16" s="286"/>
      <c r="U16" s="286"/>
      <c r="V16" s="285"/>
      <c r="W16" s="64">
        <v>4</v>
      </c>
      <c r="X16" s="283" t="str">
        <f>VLOOKUP(W16,市町村データ領域,MATCH($D$4, 市町村データヘッダー, 0),FALSE)</f>
        <v>熊谷市</v>
      </c>
      <c r="Y16" s="283"/>
      <c r="Z16" s="283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5"/>
      <c r="AQ16" s="64">
        <v>5</v>
      </c>
      <c r="AR16" s="283" t="str">
        <f>VLOOKUP(AQ16,市町村データ領域,MATCH($D$4, 市町村データヘッダー, 0),FALSE)</f>
        <v>行田市</v>
      </c>
      <c r="AS16" s="283"/>
      <c r="AT16" s="284"/>
      <c r="AU16" s="64">
        <v>6</v>
      </c>
      <c r="AV16" s="283" t="str">
        <f>VLOOKUP(AU16,市町村データ領域,MATCH($D$4, 市町村データヘッダー, 0),FALSE)</f>
        <v>羽生市</v>
      </c>
      <c r="AW16" s="283"/>
      <c r="AX16" s="284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82"/>
      <c r="BP16" s="263"/>
      <c r="BQ16" s="263"/>
      <c r="BR16" s="263"/>
      <c r="BS16" s="263"/>
      <c r="BT16" s="263"/>
      <c r="BU16" s="263"/>
      <c r="BV16" s="263"/>
      <c r="BW16" s="263"/>
      <c r="BX16" s="261"/>
      <c r="BY16" s="80" t="s">
        <v>290</v>
      </c>
      <c r="BZ16" s="79" t="s">
        <v>289</v>
      </c>
      <c r="CA16" s="263"/>
      <c r="CB16" s="279"/>
      <c r="CC16" s="263"/>
    </row>
    <row r="17" spans="2:81" ht="21" customHeight="1" x14ac:dyDescent="0.55000000000000004">
      <c r="B17" s="263"/>
      <c r="C17" s="263"/>
      <c r="D17" s="263"/>
      <c r="E17" s="263"/>
      <c r="F17" s="275"/>
      <c r="G17" s="293">
        <f>VLOOKUP(G16,市町村データ領域,MATCH($C$5, 市町村データヘッダー, 0),FALSE)</f>
        <v>1047</v>
      </c>
      <c r="H17" s="294"/>
      <c r="I17" s="294"/>
      <c r="J17" s="295"/>
      <c r="K17" s="293">
        <f>VLOOKUP(K16,市町村データ領域,MATCH($C$5, 市町村データヘッダー, 0),FALSE)</f>
        <v>862</v>
      </c>
      <c r="L17" s="294"/>
      <c r="M17" s="294"/>
      <c r="N17" s="295"/>
      <c r="O17" s="293">
        <f>VLOOKUP(O16,市町村データ領域,MATCH($C$5, 市町村データヘッダー, 0),FALSE)</f>
        <v>1022</v>
      </c>
      <c r="P17" s="294"/>
      <c r="Q17" s="294"/>
      <c r="R17" s="294"/>
      <c r="S17" s="263"/>
      <c r="T17" s="263"/>
      <c r="U17" s="263"/>
      <c r="V17" s="275"/>
      <c r="W17" s="293">
        <f>VLOOKUP(W16,市町村データ領域,MATCH($C$5, 市町村データヘッダー, 0),FALSE)</f>
        <v>1202</v>
      </c>
      <c r="X17" s="294"/>
      <c r="Y17" s="294"/>
      <c r="Z17" s="294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75"/>
      <c r="AQ17" s="293">
        <f>VLOOKUP(AQ16,市町村データ領域,MATCH($C$5, 市町村データヘッダー, 0),FALSE)</f>
        <v>1162</v>
      </c>
      <c r="AR17" s="294"/>
      <c r="AS17" s="294"/>
      <c r="AT17" s="295"/>
      <c r="AU17" s="293">
        <f>VLOOKUP(AU16,市町村データ領域,MATCH($C$5, 市町村データヘッダー, 0),FALSE)</f>
        <v>918</v>
      </c>
      <c r="AV17" s="294"/>
      <c r="AW17" s="294"/>
      <c r="AX17" s="295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87"/>
      <c r="BX17" s="264">
        <v>1</v>
      </c>
      <c r="BY17" s="263">
        <v>1000000</v>
      </c>
      <c r="BZ17" s="262"/>
      <c r="CA17" s="263"/>
      <c r="CB17" s="279"/>
      <c r="CC17" s="263"/>
    </row>
    <row r="18" spans="2:81" ht="21" customHeight="1" x14ac:dyDescent="0.55000000000000004">
      <c r="B18" s="263"/>
      <c r="C18" s="263"/>
      <c r="D18" s="263"/>
      <c r="E18" s="263"/>
      <c r="F18" s="275"/>
      <c r="G18" s="296">
        <f>VLOOKUP(G16,市町村データ領域,MATCH($C$6, 市町村データヘッダー, 0),FALSE)</f>
        <v>30549</v>
      </c>
      <c r="H18" s="297"/>
      <c r="I18" s="297"/>
      <c r="J18" s="298"/>
      <c r="K18" s="296">
        <f>VLOOKUP(K16,市町村データ領域,MATCH($C$6, 市町村データヘッダー, 0),FALSE)</f>
        <v>77285</v>
      </c>
      <c r="L18" s="297"/>
      <c r="M18" s="297"/>
      <c r="N18" s="298"/>
      <c r="O18" s="296">
        <f>VLOOKUP(O16,市町村データ領域,MATCH($C$6, 市町村データヘッダー, 0),FALSE)</f>
        <v>141419</v>
      </c>
      <c r="P18" s="297"/>
      <c r="Q18" s="297"/>
      <c r="R18" s="297"/>
      <c r="S18" s="263"/>
      <c r="T18" s="263"/>
      <c r="U18" s="263"/>
      <c r="V18" s="275"/>
      <c r="W18" s="296">
        <f>VLOOKUP(W16,市町村データ領域,MATCH($C$6, 市町村データヘッダー, 0),FALSE)</f>
        <v>192074</v>
      </c>
      <c r="X18" s="297"/>
      <c r="Y18" s="297"/>
      <c r="Z18" s="297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75"/>
      <c r="AQ18" s="296">
        <f>VLOOKUP(AQ16,市町村データ領域,MATCH($C$6, 市町村データヘッダー, 0),FALSE)</f>
        <v>78416</v>
      </c>
      <c r="AR18" s="297"/>
      <c r="AS18" s="297"/>
      <c r="AT18" s="298"/>
      <c r="AU18" s="296">
        <f>VLOOKUP(AU16,市町村データ領域,MATCH($C$6, 市町村データヘッダー, 0),FALSE)</f>
        <v>53855</v>
      </c>
      <c r="AV18" s="297"/>
      <c r="AW18" s="297"/>
      <c r="AX18" s="298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87"/>
      <c r="BX18" s="264">
        <v>2</v>
      </c>
      <c r="BY18" s="263">
        <v>500000</v>
      </c>
      <c r="BZ18" s="265"/>
      <c r="CA18" s="263"/>
      <c r="CB18" s="279"/>
      <c r="CC18" s="263"/>
    </row>
    <row r="19" spans="2:81" ht="21" customHeight="1" thickBot="1" x14ac:dyDescent="0.6">
      <c r="B19" s="263"/>
      <c r="C19" s="263"/>
      <c r="D19" s="263"/>
      <c r="E19" s="263"/>
      <c r="F19" s="275"/>
      <c r="G19" s="299">
        <f>VLOOKUP(G16,市町村データ領域,MATCH($C$7, 市町村データヘッダー, 0),FALSE)</f>
        <v>29.2</v>
      </c>
      <c r="H19" s="300"/>
      <c r="I19" s="300"/>
      <c r="J19" s="301"/>
      <c r="K19" s="293">
        <f>VLOOKUP(K16,市町村データ領域,MATCH($C$7, 市町村データヘッダー, 0),FALSE)</f>
        <v>89.7</v>
      </c>
      <c r="L19" s="294"/>
      <c r="M19" s="294"/>
      <c r="N19" s="295"/>
      <c r="O19" s="299">
        <f>VLOOKUP(O16,市町村データ領域,MATCH($C$7, 市町村データヘッダー, 0),FALSE)</f>
        <v>138.4</v>
      </c>
      <c r="P19" s="300"/>
      <c r="Q19" s="300"/>
      <c r="R19" s="300"/>
      <c r="S19" s="263"/>
      <c r="T19" s="263"/>
      <c r="U19" s="263"/>
      <c r="V19" s="275"/>
      <c r="W19" s="293">
        <f>VLOOKUP(W16,市町村データ領域,MATCH($C$7, 市町村データヘッダー, 0),FALSE)</f>
        <v>159.80000000000001</v>
      </c>
      <c r="X19" s="294"/>
      <c r="Y19" s="294"/>
      <c r="Z19" s="294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75"/>
      <c r="AQ19" s="299">
        <f>VLOOKUP(AQ16,市町村データ領域,MATCH($C$7, 市町村データヘッダー, 0),FALSE)</f>
        <v>67.5</v>
      </c>
      <c r="AR19" s="300"/>
      <c r="AS19" s="300"/>
      <c r="AT19" s="301"/>
      <c r="AU19" s="299">
        <f>VLOOKUP(AU16,市町村データ領域,MATCH($C$7, 市町村データヘッダー, 0),FALSE)</f>
        <v>58.7</v>
      </c>
      <c r="AV19" s="300"/>
      <c r="AW19" s="300"/>
      <c r="AX19" s="301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87"/>
      <c r="BX19" s="264">
        <v>3</v>
      </c>
      <c r="BY19" s="263">
        <v>250000</v>
      </c>
      <c r="BZ19" s="266"/>
      <c r="CA19" s="263"/>
      <c r="CB19" s="279"/>
      <c r="CC19" s="263"/>
    </row>
    <row r="20" spans="2:81" ht="21" customHeight="1" x14ac:dyDescent="0.55000000000000004">
      <c r="B20" s="263"/>
      <c r="C20" s="280" t="s">
        <v>309</v>
      </c>
      <c r="D20" s="263"/>
      <c r="E20" s="263"/>
      <c r="F20" s="275"/>
      <c r="G20" s="64">
        <v>7</v>
      </c>
      <c r="H20" s="283" t="str">
        <f>VLOOKUP(G20,市町村データ領域,MATCH($D$4, 市町村データヘッダー, 0),FALSE)</f>
        <v>神川町</v>
      </c>
      <c r="I20" s="283"/>
      <c r="J20" s="284"/>
      <c r="K20" s="263"/>
      <c r="L20" s="263"/>
      <c r="M20" s="263"/>
      <c r="N20" s="275"/>
      <c r="O20" s="64">
        <v>8</v>
      </c>
      <c r="P20" s="283" t="str">
        <f>VLOOKUP(O20,市町村データ領域,MATCH($D$4, 市町村データヘッダー, 0),FALSE)</f>
        <v>美里町</v>
      </c>
      <c r="Q20" s="283"/>
      <c r="R20" s="284"/>
      <c r="S20" s="263"/>
      <c r="T20" s="263"/>
      <c r="U20" s="263"/>
      <c r="V20" s="275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75"/>
      <c r="AQ20" s="64">
        <v>9</v>
      </c>
      <c r="AR20" s="283" t="str">
        <f>VLOOKUP(AQ20,市町村データ領域,MATCH($D$4, 市町村データヘッダー, 0),FALSE)</f>
        <v>鴻巣市</v>
      </c>
      <c r="AS20" s="283"/>
      <c r="AT20" s="284"/>
      <c r="AU20" s="64">
        <v>10</v>
      </c>
      <c r="AV20" s="283" t="str">
        <f>VLOOKUP(AU20,市町村データ領域,MATCH($D$4, 市町村データヘッダー, 0),FALSE)</f>
        <v>加須市</v>
      </c>
      <c r="AW20" s="283"/>
      <c r="AX20" s="283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5"/>
      <c r="BO20" s="263"/>
      <c r="BP20" s="263"/>
      <c r="BQ20" s="263"/>
      <c r="BR20" s="263"/>
      <c r="BS20" s="263"/>
      <c r="BT20" s="263"/>
      <c r="BU20" s="263"/>
      <c r="BV20" s="263"/>
      <c r="BW20" s="287"/>
      <c r="BX20" s="264">
        <v>4</v>
      </c>
      <c r="BY20" s="263">
        <v>125000</v>
      </c>
      <c r="BZ20" s="267"/>
      <c r="CA20" s="263"/>
      <c r="CB20" s="279"/>
      <c r="CC20" s="263"/>
    </row>
    <row r="21" spans="2:81" ht="21" customHeight="1" x14ac:dyDescent="0.55000000000000004">
      <c r="B21" s="263"/>
      <c r="C21" s="263"/>
      <c r="D21" s="263"/>
      <c r="E21" s="263"/>
      <c r="F21" s="275"/>
      <c r="G21" s="293">
        <f>VLOOKUP(G20,市町村データ領域,MATCH($C$5, 市町村データヘッダー, 0),FALSE)</f>
        <v>272</v>
      </c>
      <c r="H21" s="294"/>
      <c r="I21" s="294"/>
      <c r="J21" s="295"/>
      <c r="K21" s="263"/>
      <c r="L21" s="263"/>
      <c r="M21" s="263"/>
      <c r="N21" s="275"/>
      <c r="O21" s="293">
        <f>VLOOKUP(O20,市町村データ領域,MATCH($C$5, 市町村データヘッダー, 0),FALSE)</f>
        <v>324</v>
      </c>
      <c r="P21" s="294"/>
      <c r="Q21" s="294"/>
      <c r="R21" s="295"/>
      <c r="S21" s="263"/>
      <c r="T21" s="263"/>
      <c r="U21" s="263"/>
      <c r="V21" s="275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75"/>
      <c r="AQ21" s="293">
        <f>VLOOKUP(AQ20,市町村データ領域,MATCH($C$5, 市町村データヘッダー, 0),FALSE)</f>
        <v>1744</v>
      </c>
      <c r="AR21" s="294"/>
      <c r="AS21" s="294"/>
      <c r="AT21" s="295"/>
      <c r="AU21" s="293">
        <f>VLOOKUP(AU20,市町村データ領域,MATCH($C$5, 市町村データヘッダー, 0),FALSE)</f>
        <v>841</v>
      </c>
      <c r="AV21" s="294"/>
      <c r="AW21" s="294"/>
      <c r="AX21" s="294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75"/>
      <c r="BO21" s="263"/>
      <c r="BP21" s="263"/>
      <c r="BQ21" s="263"/>
      <c r="BR21" s="263"/>
      <c r="BS21" s="263"/>
      <c r="BT21" s="263"/>
      <c r="BU21" s="263"/>
      <c r="BV21" s="263"/>
      <c r="BW21" s="287"/>
      <c r="BX21" s="264">
        <v>5</v>
      </c>
      <c r="BY21" s="263">
        <v>62500</v>
      </c>
      <c r="BZ21" s="268"/>
      <c r="CA21" s="263"/>
      <c r="CB21" s="279"/>
      <c r="CC21" s="263"/>
    </row>
    <row r="22" spans="2:81" ht="21" customHeight="1" x14ac:dyDescent="0.55000000000000004">
      <c r="B22" s="263"/>
      <c r="C22" s="263"/>
      <c r="D22" s="263"/>
      <c r="E22" s="263"/>
      <c r="F22" s="275"/>
      <c r="G22" s="296">
        <f>VLOOKUP(G20,市町村データ領域,MATCH($C$6, 市町村データヘッダー, 0),FALSE)</f>
        <v>12888</v>
      </c>
      <c r="H22" s="297"/>
      <c r="I22" s="297"/>
      <c r="J22" s="298"/>
      <c r="K22" s="263"/>
      <c r="L22" s="263"/>
      <c r="M22" s="263"/>
      <c r="N22" s="275"/>
      <c r="O22" s="296">
        <f>VLOOKUP(O20,市町村データ領域,MATCH($C$6, 市町村データヘッダー, 0),FALSE)</f>
        <v>10819</v>
      </c>
      <c r="P22" s="297"/>
      <c r="Q22" s="297"/>
      <c r="R22" s="298"/>
      <c r="S22" s="263"/>
      <c r="T22" s="263"/>
      <c r="U22" s="263"/>
      <c r="V22" s="275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75"/>
      <c r="AQ22" s="296">
        <f>VLOOKUP(AQ20,市町村データ領域,MATCH($C$6, 市町村データヘッダー, 0),FALSE)</f>
        <v>117582</v>
      </c>
      <c r="AR22" s="297"/>
      <c r="AS22" s="297"/>
      <c r="AT22" s="298"/>
      <c r="AU22" s="296">
        <f>VLOOKUP(AU20,市町村データ領域,MATCH($C$6, 市町村データヘッダー, 0),FALSE)</f>
        <v>112163</v>
      </c>
      <c r="AV22" s="297"/>
      <c r="AW22" s="297"/>
      <c r="AX22" s="297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75"/>
      <c r="BO22" s="263"/>
      <c r="BP22" s="263"/>
      <c r="BQ22" s="263"/>
      <c r="BR22" s="263"/>
      <c r="BS22" s="263"/>
      <c r="BT22" s="263"/>
      <c r="BU22" s="263"/>
      <c r="BV22" s="263"/>
      <c r="BW22" s="287"/>
      <c r="BX22" s="264">
        <v>6</v>
      </c>
      <c r="BY22" s="263">
        <v>31250</v>
      </c>
      <c r="BZ22" s="269"/>
      <c r="CA22" s="263"/>
      <c r="CB22" s="279"/>
      <c r="CC22" s="263"/>
    </row>
    <row r="23" spans="2:81" ht="21" customHeight="1" thickBot="1" x14ac:dyDescent="0.6">
      <c r="B23" s="263"/>
      <c r="C23" s="263"/>
      <c r="D23" s="263"/>
      <c r="E23" s="263"/>
      <c r="F23" s="275"/>
      <c r="G23" s="293">
        <f>VLOOKUP(G20,市町村データ領域,MATCH($C$7, 市町村データヘッダー, 0),FALSE)</f>
        <v>47.4</v>
      </c>
      <c r="H23" s="294"/>
      <c r="I23" s="294"/>
      <c r="J23" s="295"/>
      <c r="K23" s="263"/>
      <c r="L23" s="263"/>
      <c r="M23" s="263"/>
      <c r="N23" s="275"/>
      <c r="O23" s="299">
        <f>VLOOKUP(O20,市町村データ領域,MATCH($C$7, 市町村データヘッダー, 0),FALSE)</f>
        <v>33.4</v>
      </c>
      <c r="P23" s="300"/>
      <c r="Q23" s="300"/>
      <c r="R23" s="301"/>
      <c r="S23" s="263"/>
      <c r="T23" s="263"/>
      <c r="U23" s="263"/>
      <c r="V23" s="275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75"/>
      <c r="AQ23" s="299">
        <f>VLOOKUP(AQ20,市町村データ領域,MATCH($C$7, 市町村データヘッダー, 0),FALSE)</f>
        <v>67.400000000000006</v>
      </c>
      <c r="AR23" s="300"/>
      <c r="AS23" s="300"/>
      <c r="AT23" s="301"/>
      <c r="AU23" s="299">
        <f>VLOOKUP(AU20,市町村データ領域,MATCH($C$7, 市町村データヘッダー, 0),FALSE)</f>
        <v>133.4</v>
      </c>
      <c r="AV23" s="300"/>
      <c r="AW23" s="300"/>
      <c r="AX23" s="300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75"/>
      <c r="BO23" s="263"/>
      <c r="BP23" s="263"/>
      <c r="BQ23" s="263"/>
      <c r="BR23" s="263"/>
      <c r="BS23" s="263"/>
      <c r="BT23" s="263"/>
      <c r="BU23" s="263"/>
      <c r="BV23" s="263"/>
      <c r="BW23" s="287"/>
      <c r="BX23" s="264">
        <v>7</v>
      </c>
      <c r="BY23" s="263">
        <v>15625</v>
      </c>
      <c r="BZ23" s="270"/>
      <c r="CA23" s="263"/>
      <c r="CB23" s="279"/>
      <c r="CC23" s="263"/>
    </row>
    <row r="24" spans="2:81" ht="21" customHeight="1" x14ac:dyDescent="0.55000000000000004">
      <c r="B24" s="263"/>
      <c r="C24" s="280" t="s">
        <v>310</v>
      </c>
      <c r="D24" s="263"/>
      <c r="E24" s="263"/>
      <c r="F24" s="275"/>
      <c r="G24" s="263"/>
      <c r="H24" s="263"/>
      <c r="I24" s="263"/>
      <c r="J24" s="275"/>
      <c r="K24" s="263"/>
      <c r="L24" s="263"/>
      <c r="M24" s="263"/>
      <c r="N24" s="275"/>
      <c r="O24" s="64">
        <v>11</v>
      </c>
      <c r="P24" s="283" t="str">
        <f>VLOOKUP(O24,市町村データ領域,MATCH($D$4, 市町村データヘッダー, 0),FALSE)</f>
        <v>長瀞町</v>
      </c>
      <c r="Q24" s="283"/>
      <c r="R24" s="284"/>
      <c r="S24" s="64">
        <v>12</v>
      </c>
      <c r="T24" s="283" t="str">
        <f>VLOOKUP(S24,市町村データ領域,MATCH($D$4, 市町村データヘッダー, 0),FALSE)</f>
        <v>寄居町</v>
      </c>
      <c r="U24" s="283"/>
      <c r="V24" s="284"/>
      <c r="W24" s="64">
        <v>13</v>
      </c>
      <c r="X24" s="283" t="str">
        <f>VLOOKUP(W24,市町村データ領域,MATCH($D$4, 市町村データヘッダー, 0),FALSE)</f>
        <v>小川町</v>
      </c>
      <c r="Y24" s="283"/>
      <c r="Z24" s="284"/>
      <c r="AA24" s="64">
        <v>14</v>
      </c>
      <c r="AB24" s="283" t="str">
        <f>VLOOKUP(AA24,市町村データ領域,MATCH($D$4, 市町村データヘッダー, 0),FALSE)</f>
        <v>嵐山町</v>
      </c>
      <c r="AC24" s="283"/>
      <c r="AD24" s="284"/>
      <c r="AE24" s="64">
        <v>15</v>
      </c>
      <c r="AF24" s="283" t="str">
        <f>VLOOKUP(AE24,市町村データ領域,MATCH($D$4, 市町村データヘッダー, 0),FALSE)</f>
        <v>滑川町</v>
      </c>
      <c r="AG24" s="283"/>
      <c r="AH24" s="284"/>
      <c r="AI24" s="64">
        <v>16</v>
      </c>
      <c r="AJ24" s="283" t="str">
        <f>VLOOKUP(AI24,市町村データ領域,MATCH($D$4, 市町村データヘッダー, 0),FALSE)</f>
        <v>東松山市</v>
      </c>
      <c r="AK24" s="283"/>
      <c r="AL24" s="284"/>
      <c r="AM24" s="64">
        <v>17</v>
      </c>
      <c r="AN24" s="283" t="str">
        <f>VLOOKUP(AM24,市町村データ領域,MATCH($D$4, 市町村データヘッダー, 0),FALSE)</f>
        <v>吉見町</v>
      </c>
      <c r="AO24" s="283"/>
      <c r="AP24" s="284"/>
      <c r="AQ24" s="64">
        <v>18</v>
      </c>
      <c r="AR24" s="283" t="str">
        <f>VLOOKUP(AQ24,市町村データ領域,MATCH($D$4, 市町村データヘッダー, 0),FALSE)</f>
        <v>北本市</v>
      </c>
      <c r="AS24" s="283"/>
      <c r="AT24" s="284"/>
      <c r="AU24" s="64">
        <v>19</v>
      </c>
      <c r="AV24" s="283" t="str">
        <f>VLOOKUP(AU24,市町村データ領域,MATCH($D$4, 市町村データヘッダー, 0),FALSE)</f>
        <v>久喜市</v>
      </c>
      <c r="AW24" s="283"/>
      <c r="AX24" s="283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5"/>
      <c r="BO24" s="64">
        <v>20</v>
      </c>
      <c r="BP24" s="283" t="str">
        <f>VLOOKUP(BO24,市町村データ領域,MATCH($D$4, 市町村データヘッダー, 0),FALSE)</f>
        <v>幸手市</v>
      </c>
      <c r="BQ24" s="283"/>
      <c r="BR24" s="284"/>
      <c r="BS24" s="263"/>
      <c r="BT24" s="263"/>
      <c r="BU24" s="263"/>
      <c r="BV24" s="263"/>
      <c r="BW24" s="287"/>
      <c r="BX24" s="264">
        <v>8</v>
      </c>
      <c r="BY24" s="263">
        <v>7812</v>
      </c>
      <c r="BZ24" s="271"/>
      <c r="CA24" s="263"/>
      <c r="CB24" s="279"/>
      <c r="CC24" s="263"/>
    </row>
    <row r="25" spans="2:81" ht="21" customHeight="1" x14ac:dyDescent="0.55000000000000004">
      <c r="B25" s="263"/>
      <c r="C25" s="263"/>
      <c r="D25" s="263"/>
      <c r="E25" s="263"/>
      <c r="F25" s="275"/>
      <c r="G25" s="263"/>
      <c r="H25" s="263"/>
      <c r="I25" s="263"/>
      <c r="J25" s="275"/>
      <c r="K25" s="263"/>
      <c r="L25" s="263"/>
      <c r="M25" s="263"/>
      <c r="N25" s="275"/>
      <c r="O25" s="293">
        <f>VLOOKUP(O24,市町村データ領域,MATCH($C$5, 市町村データヘッダー, 0),FALSE)</f>
        <v>214</v>
      </c>
      <c r="P25" s="294"/>
      <c r="Q25" s="294"/>
      <c r="R25" s="295"/>
      <c r="S25" s="293">
        <f>VLOOKUP(S24,市町村データ領域,MATCH($C$5, 市町村データヘッダー, 0),FALSE)</f>
        <v>499</v>
      </c>
      <c r="T25" s="294"/>
      <c r="U25" s="294"/>
      <c r="V25" s="295"/>
      <c r="W25" s="293">
        <f>VLOOKUP(W24,市町村データ領域,MATCH($C$5, 市町村データヘッダー, 0),FALSE)</f>
        <v>462</v>
      </c>
      <c r="X25" s="294"/>
      <c r="Y25" s="294"/>
      <c r="Z25" s="295"/>
      <c r="AA25" s="293">
        <f>VLOOKUP(AA24,市町村データ領域,MATCH($C$5, 市町村データヘッダー, 0),FALSE)</f>
        <v>585</v>
      </c>
      <c r="AB25" s="294"/>
      <c r="AC25" s="294"/>
      <c r="AD25" s="295"/>
      <c r="AE25" s="293">
        <f>VLOOKUP(AE24,市町村データ領域,MATCH($C$5, 市町村データヘッダー, 0),FALSE)</f>
        <v>665</v>
      </c>
      <c r="AF25" s="294"/>
      <c r="AG25" s="294"/>
      <c r="AH25" s="295"/>
      <c r="AI25" s="293">
        <f>VLOOKUP(AI24,市町村データ領域,MATCH($C$5, 市町村データヘッダー, 0),FALSE)</f>
        <v>1394</v>
      </c>
      <c r="AJ25" s="294"/>
      <c r="AK25" s="294"/>
      <c r="AL25" s="295"/>
      <c r="AM25" s="293">
        <f>VLOOKUP(AM24,市町村データ領域,MATCH($C$5, 市町村データヘッダー, 0),FALSE)</f>
        <v>462</v>
      </c>
      <c r="AN25" s="294"/>
      <c r="AO25" s="294"/>
      <c r="AP25" s="295"/>
      <c r="AQ25" s="293">
        <f>VLOOKUP(AQ24,市町村データ領域,MATCH($C$5, 市町村データヘッダー, 0),FALSE)</f>
        <v>3300</v>
      </c>
      <c r="AR25" s="294"/>
      <c r="AS25" s="294"/>
      <c r="AT25" s="295"/>
      <c r="AU25" s="293">
        <f>VLOOKUP(AU24,市町村データ領域,MATCH($C$5, 市町村データヘッダー, 0),FALSE)</f>
        <v>1831</v>
      </c>
      <c r="AV25" s="294"/>
      <c r="AW25" s="294"/>
      <c r="AX25" s="294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75"/>
      <c r="BO25" s="293">
        <f>VLOOKUP(BO24,市町村データ領域,MATCH($C$5, 市町村データヘッダー, 0),FALSE)</f>
        <v>1446</v>
      </c>
      <c r="BP25" s="294"/>
      <c r="BQ25" s="294"/>
      <c r="BR25" s="295"/>
      <c r="BS25" s="263"/>
      <c r="BT25" s="263"/>
      <c r="BU25" s="263"/>
      <c r="BV25" s="263"/>
      <c r="BW25" s="287"/>
      <c r="BX25" s="264">
        <v>9</v>
      </c>
      <c r="BY25" s="263">
        <v>3906</v>
      </c>
      <c r="BZ25" s="272"/>
      <c r="CA25" s="263"/>
      <c r="CB25" s="279"/>
      <c r="CC25" s="263"/>
    </row>
    <row r="26" spans="2:81" ht="21" customHeight="1" x14ac:dyDescent="0.55000000000000004">
      <c r="B26" s="263"/>
      <c r="C26" s="263"/>
      <c r="D26" s="263"/>
      <c r="E26" s="263"/>
      <c r="F26" s="275"/>
      <c r="G26" s="263"/>
      <c r="H26" s="263"/>
      <c r="I26" s="263"/>
      <c r="J26" s="275"/>
      <c r="K26" s="263"/>
      <c r="L26" s="263"/>
      <c r="M26" s="263"/>
      <c r="N26" s="275"/>
      <c r="O26" s="296">
        <f>VLOOKUP(O24,市町村データ領域,MATCH($C$6, 市町村データヘッダー, 0),FALSE)</f>
        <v>6516</v>
      </c>
      <c r="P26" s="297"/>
      <c r="Q26" s="297"/>
      <c r="R26" s="298"/>
      <c r="S26" s="296">
        <f>VLOOKUP(S24,市町村データ領域,MATCH($C$6, 市町村データヘッダー, 0),FALSE)</f>
        <v>32041</v>
      </c>
      <c r="T26" s="297"/>
      <c r="U26" s="297"/>
      <c r="V26" s="298"/>
      <c r="W26" s="296">
        <f>VLOOKUP(W24,市町村データ領域,MATCH($C$6, 市町村データヘッダー, 0),FALSE)</f>
        <v>27886</v>
      </c>
      <c r="X26" s="297"/>
      <c r="Y26" s="297"/>
      <c r="Z26" s="298"/>
      <c r="AA26" s="296">
        <f>VLOOKUP(AA24,市町村データ領域,MATCH($C$6, 市町村データヘッダー, 0),FALSE)</f>
        <v>17516</v>
      </c>
      <c r="AB26" s="297"/>
      <c r="AC26" s="297"/>
      <c r="AD26" s="298"/>
      <c r="AE26" s="296">
        <f>VLOOKUP(AE24,市町村データ領域,MATCH($C$6, 市町村データヘッダー, 0),FALSE)</f>
        <v>19745</v>
      </c>
      <c r="AF26" s="297"/>
      <c r="AG26" s="297"/>
      <c r="AH26" s="298"/>
      <c r="AI26" s="296">
        <f>VLOOKUP(AI24,市町村データ領域,MATCH($C$6, 市町村データヘッダー, 0),FALSE)</f>
        <v>91094</v>
      </c>
      <c r="AJ26" s="297"/>
      <c r="AK26" s="297"/>
      <c r="AL26" s="298"/>
      <c r="AM26" s="296">
        <f>VLOOKUP(AM24,市町村データ領域,MATCH($C$6, 市町村データヘッダー, 0),FALSE)</f>
        <v>17859</v>
      </c>
      <c r="AN26" s="297"/>
      <c r="AO26" s="297"/>
      <c r="AP26" s="298"/>
      <c r="AQ26" s="296">
        <f>VLOOKUP(AQ24,市町村データ領域,MATCH($C$6, 市町村データヘッダー, 0),FALSE)</f>
        <v>65403</v>
      </c>
      <c r="AR26" s="297"/>
      <c r="AS26" s="297"/>
      <c r="AT26" s="298"/>
      <c r="AU26" s="296">
        <f>VLOOKUP(AU24,市町村データ領域,MATCH($C$6, 市町村データヘッダー, 0),FALSE)</f>
        <v>150913</v>
      </c>
      <c r="AV26" s="297"/>
      <c r="AW26" s="297"/>
      <c r="AX26" s="297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75"/>
      <c r="BO26" s="296">
        <f>VLOOKUP(BO24,市町村データ領域,MATCH($C$6, 市町村データヘッダー, 0),FALSE)</f>
        <v>49063</v>
      </c>
      <c r="BP26" s="297"/>
      <c r="BQ26" s="297"/>
      <c r="BR26" s="298"/>
      <c r="BS26" s="263"/>
      <c r="BT26" s="263"/>
      <c r="BU26" s="263"/>
      <c r="BV26" s="263"/>
      <c r="BW26" s="263"/>
      <c r="BX26" s="274">
        <v>10</v>
      </c>
      <c r="BY26" s="263">
        <v>1953</v>
      </c>
      <c r="BZ26" s="273"/>
      <c r="CA26" s="263"/>
      <c r="CB26" s="279"/>
      <c r="CC26" s="263"/>
    </row>
    <row r="27" spans="2:81" ht="21" customHeight="1" thickBot="1" x14ac:dyDescent="0.6">
      <c r="B27" s="263"/>
      <c r="C27" s="263"/>
      <c r="D27" s="263"/>
      <c r="E27" s="263"/>
      <c r="F27" s="275"/>
      <c r="G27" s="263"/>
      <c r="H27" s="263"/>
      <c r="I27" s="263"/>
      <c r="J27" s="275"/>
      <c r="K27" s="263"/>
      <c r="L27" s="263"/>
      <c r="M27" s="263"/>
      <c r="N27" s="275"/>
      <c r="O27" s="299">
        <f>VLOOKUP(O24,市町村データ領域,MATCH($C$7, 市町村データヘッダー, 0),FALSE)</f>
        <v>30.4</v>
      </c>
      <c r="P27" s="300"/>
      <c r="Q27" s="300"/>
      <c r="R27" s="301"/>
      <c r="S27" s="299">
        <f>VLOOKUP(S24,市町村データ領域,MATCH($C$7, 市町村データヘッダー, 0),FALSE)</f>
        <v>64.2</v>
      </c>
      <c r="T27" s="300"/>
      <c r="U27" s="300"/>
      <c r="V27" s="301"/>
      <c r="W27" s="299">
        <f>VLOOKUP(W24,市町村データ領域,MATCH($C$7, 市町村データヘッダー, 0),FALSE)</f>
        <v>60.4</v>
      </c>
      <c r="X27" s="300"/>
      <c r="Y27" s="300"/>
      <c r="Z27" s="301"/>
      <c r="AA27" s="299">
        <f>VLOOKUP(AA24,市町村データ領域,MATCH($C$7, 市町村データヘッダー, 0),FALSE)</f>
        <v>29.9</v>
      </c>
      <c r="AB27" s="300"/>
      <c r="AC27" s="300"/>
      <c r="AD27" s="301"/>
      <c r="AE27" s="299">
        <f>VLOOKUP(AE24,市町村データ領域,MATCH($C$7, 市町村データヘッダー, 0),FALSE)</f>
        <v>29.7</v>
      </c>
      <c r="AF27" s="300"/>
      <c r="AG27" s="300"/>
      <c r="AH27" s="301"/>
      <c r="AI27" s="299">
        <f>VLOOKUP(AI24,市町村データ領域,MATCH($C$7, 市町村データヘッダー, 0),FALSE)</f>
        <v>65.3</v>
      </c>
      <c r="AJ27" s="300"/>
      <c r="AK27" s="300"/>
      <c r="AL27" s="301"/>
      <c r="AM27" s="299">
        <f>VLOOKUP(AM24,市町村データ領域,MATCH($C$7, 市町村データヘッダー, 0),FALSE)</f>
        <v>38.700000000000003</v>
      </c>
      <c r="AN27" s="300"/>
      <c r="AO27" s="300"/>
      <c r="AP27" s="301"/>
      <c r="AQ27" s="299">
        <f>VLOOKUP(AQ24,市町村データ領域,MATCH($C$7, 市町村データヘッダー, 0),FALSE)</f>
        <v>19.8</v>
      </c>
      <c r="AR27" s="300"/>
      <c r="AS27" s="300"/>
      <c r="AT27" s="301"/>
      <c r="AU27" s="299">
        <f>VLOOKUP(AU24,市町村データ領域,MATCH($C$7, 市町村データヘッダー, 0),FALSE)</f>
        <v>82.4</v>
      </c>
      <c r="AV27" s="300"/>
      <c r="AW27" s="300"/>
      <c r="AX27" s="300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75"/>
      <c r="BO27" s="299">
        <f>VLOOKUP(BO24,市町村データ領域,MATCH($C$7, 市町村データヘッダー, 0),FALSE)</f>
        <v>33.9</v>
      </c>
      <c r="BP27" s="300"/>
      <c r="BQ27" s="300"/>
      <c r="BR27" s="301"/>
      <c r="BS27" s="263"/>
      <c r="BT27" s="263"/>
      <c r="BU27" s="263"/>
      <c r="BV27" s="263"/>
      <c r="BW27" s="263"/>
      <c r="BX27" s="274">
        <v>11</v>
      </c>
      <c r="BY27" s="263">
        <v>0</v>
      </c>
      <c r="BZ27" s="275"/>
      <c r="CA27" s="263"/>
      <c r="CB27" s="279"/>
      <c r="CC27" s="263"/>
    </row>
    <row r="28" spans="2:81" ht="21" customHeight="1" x14ac:dyDescent="0.55000000000000004">
      <c r="B28" s="263"/>
      <c r="C28" s="280" t="s">
        <v>311</v>
      </c>
      <c r="D28" s="263"/>
      <c r="E28" s="263"/>
      <c r="F28" s="275"/>
      <c r="G28" s="263"/>
      <c r="H28" s="263"/>
      <c r="I28" s="263"/>
      <c r="J28" s="275"/>
      <c r="K28" s="64">
        <v>21</v>
      </c>
      <c r="L28" s="283" t="str">
        <f>VLOOKUP(K28,市町村データ領域,MATCH($D$4, 市町村データヘッダー, 0),FALSE)</f>
        <v>皆野町</v>
      </c>
      <c r="M28" s="283"/>
      <c r="N28" s="284"/>
      <c r="O28" s="64">
        <v>22</v>
      </c>
      <c r="P28" s="283" t="str">
        <f>VLOOKUP(O28,市町村データ領域,MATCH($D$4, 市町村データヘッダー, 0),FALSE)</f>
        <v>東秩父村</v>
      </c>
      <c r="Q28" s="283"/>
      <c r="R28" s="283"/>
      <c r="S28" s="286"/>
      <c r="T28" s="286"/>
      <c r="U28" s="286"/>
      <c r="V28" s="285"/>
      <c r="W28" s="64">
        <v>23</v>
      </c>
      <c r="X28" s="283" t="str">
        <f>VLOOKUP(W28,市町村データ領域,MATCH($D$4, 市町村データヘッダー, 0),FALSE)</f>
        <v>ときがわ町</v>
      </c>
      <c r="Y28" s="283"/>
      <c r="Z28" s="284"/>
      <c r="AA28" s="64">
        <v>24</v>
      </c>
      <c r="AB28" s="283" t="str">
        <f>VLOOKUP(AA28,市町村データ領域,MATCH($D$4, 市町村データヘッダー, 0),FALSE)</f>
        <v>鳩山町</v>
      </c>
      <c r="AC28" s="283"/>
      <c r="AD28" s="283"/>
      <c r="AE28" s="286"/>
      <c r="AF28" s="286"/>
      <c r="AG28" s="286"/>
      <c r="AH28" s="285"/>
      <c r="AI28" s="64">
        <v>25</v>
      </c>
      <c r="AJ28" s="283" t="str">
        <f>VLOOKUP(AI28,市町村データ領域,MATCH($D$4, 市町村データヘッダー, 0),FALSE)</f>
        <v>坂戸市</v>
      </c>
      <c r="AK28" s="283"/>
      <c r="AL28" s="284"/>
      <c r="AM28" s="64">
        <v>26</v>
      </c>
      <c r="AN28" s="283" t="str">
        <f>VLOOKUP(AM28,市町村データ領域,MATCH($D$4, 市町村データヘッダー, 0),FALSE)</f>
        <v>川島町</v>
      </c>
      <c r="AO28" s="283"/>
      <c r="AP28" s="284"/>
      <c r="AQ28" s="64">
        <v>27</v>
      </c>
      <c r="AR28" s="283" t="str">
        <f>VLOOKUP(AQ28,市町村データ領域,MATCH($D$4, 市町村データヘッダー, 0),FALSE)</f>
        <v>桶川市</v>
      </c>
      <c r="AS28" s="283"/>
      <c r="AT28" s="284"/>
      <c r="AU28" s="64">
        <v>28</v>
      </c>
      <c r="AV28" s="283" t="str">
        <f>VLOOKUP(AU28,市町村データ領域,MATCH($D$4, 市町村データヘッダー, 0),FALSE)</f>
        <v>上尾市</v>
      </c>
      <c r="AW28" s="283"/>
      <c r="AX28" s="284"/>
      <c r="AY28" s="64">
        <v>29</v>
      </c>
      <c r="AZ28" s="283" t="str">
        <f>VLOOKUP(AY28,市町村データ領域,MATCH($D$4, 市町村データヘッダー, 0),FALSE)</f>
        <v>伊奈町</v>
      </c>
      <c r="BA28" s="283"/>
      <c r="BB28" s="284"/>
      <c r="BC28" s="64">
        <v>30</v>
      </c>
      <c r="BD28" s="283" t="str">
        <f>VLOOKUP(BC28,市町村データ領域,MATCH($D$4, 市町村データヘッダー, 0),FALSE)</f>
        <v>蓮田市</v>
      </c>
      <c r="BE28" s="283"/>
      <c r="BF28" s="284"/>
      <c r="BG28" s="64">
        <v>31</v>
      </c>
      <c r="BH28" s="283" t="str">
        <f>VLOOKUP(BG28,市町村データ領域,MATCH($D$4, 市町村データヘッダー, 0),FALSE)</f>
        <v>白岡市</v>
      </c>
      <c r="BI28" s="283"/>
      <c r="BJ28" s="284"/>
      <c r="BK28" s="64">
        <v>32</v>
      </c>
      <c r="BL28" s="283" t="str">
        <f>VLOOKUP(BK28,市町村データ領域,MATCH($D$4, 市町村データヘッダー, 0),FALSE)</f>
        <v>宮代町</v>
      </c>
      <c r="BM28" s="283"/>
      <c r="BN28" s="284"/>
      <c r="BO28" s="64">
        <v>33</v>
      </c>
      <c r="BP28" s="283" t="str">
        <f>VLOOKUP(BO28,市町村データ領域,MATCH($D$4, 市町村データヘッダー, 0),FALSE)</f>
        <v>杉戸町</v>
      </c>
      <c r="BQ28" s="283"/>
      <c r="BR28" s="284"/>
      <c r="BS28" s="263"/>
      <c r="BT28" s="263"/>
      <c r="BU28" s="263"/>
      <c r="BV28" s="263"/>
      <c r="BW28" s="263"/>
      <c r="BX28" s="264">
        <v>12</v>
      </c>
      <c r="BY28" s="263">
        <v>0</v>
      </c>
      <c r="BZ28" s="275"/>
      <c r="CA28" s="263"/>
      <c r="CB28" s="279"/>
      <c r="CC28" s="263"/>
    </row>
    <row r="29" spans="2:81" ht="21" customHeight="1" x14ac:dyDescent="0.55000000000000004">
      <c r="B29" s="263"/>
      <c r="C29" s="263"/>
      <c r="D29" s="263"/>
      <c r="E29" s="263"/>
      <c r="F29" s="275"/>
      <c r="G29" s="263"/>
      <c r="H29" s="263"/>
      <c r="I29" s="263"/>
      <c r="J29" s="275"/>
      <c r="K29" s="293">
        <f>VLOOKUP(K28,市町村データ領域,MATCH($C$5, 市町村データヘッダー, 0),FALSE)</f>
        <v>142</v>
      </c>
      <c r="L29" s="294"/>
      <c r="M29" s="294"/>
      <c r="N29" s="295"/>
      <c r="O29" s="293">
        <f>VLOOKUP(O28,市町村データ領域,MATCH($C$5, 市町村データヘッダー, 0),FALSE)</f>
        <v>67</v>
      </c>
      <c r="P29" s="294"/>
      <c r="Q29" s="294"/>
      <c r="R29" s="294"/>
      <c r="S29" s="263"/>
      <c r="T29" s="263"/>
      <c r="U29" s="263"/>
      <c r="V29" s="275"/>
      <c r="W29" s="293">
        <f>VLOOKUP(W28,市町村データ領域,MATCH($C$5, 市町村データヘッダー, 0),FALSE)</f>
        <v>186</v>
      </c>
      <c r="X29" s="294"/>
      <c r="Y29" s="294"/>
      <c r="Z29" s="295"/>
      <c r="AA29" s="293">
        <f>VLOOKUP(AA28,市町村データ領域,MATCH($C$5, 市町村データヘッダー, 0),FALSE)</f>
        <v>504</v>
      </c>
      <c r="AB29" s="294"/>
      <c r="AC29" s="294"/>
      <c r="AD29" s="294"/>
      <c r="AE29" s="263"/>
      <c r="AF29" s="263"/>
      <c r="AG29" s="263"/>
      <c r="AH29" s="275"/>
      <c r="AI29" s="293">
        <f>VLOOKUP(AI28,市町村データ領域,MATCH($C$5, 市町村データヘッダー, 0),FALSE)</f>
        <v>2426</v>
      </c>
      <c r="AJ29" s="294"/>
      <c r="AK29" s="294"/>
      <c r="AL29" s="295"/>
      <c r="AM29" s="293">
        <f>VLOOKUP(AM28,市町村データ領域,MATCH($C$5, 市町村データヘッダー, 0),FALSE)</f>
        <v>453</v>
      </c>
      <c r="AN29" s="294"/>
      <c r="AO29" s="294"/>
      <c r="AP29" s="295"/>
      <c r="AQ29" s="293">
        <f>VLOOKUP(AQ28,市町村データ領域,MATCH($C$5, 市町村データヘッダー, 0),FALSE)</f>
        <v>2937</v>
      </c>
      <c r="AR29" s="294"/>
      <c r="AS29" s="294"/>
      <c r="AT29" s="295"/>
      <c r="AU29" s="293">
        <f>VLOOKUP(AU28,市町村データ領域,MATCH($C$5, 市町村データヘッダー, 0),FALSE)</f>
        <v>5058</v>
      </c>
      <c r="AV29" s="294"/>
      <c r="AW29" s="294"/>
      <c r="AX29" s="295"/>
      <c r="AY29" s="293">
        <f>VLOOKUP(AY28,市町村データ領域,MATCH($C$5, 市町村データヘッダー, 0),FALSE)</f>
        <v>3046</v>
      </c>
      <c r="AZ29" s="294"/>
      <c r="BA29" s="294"/>
      <c r="BB29" s="295"/>
      <c r="BC29" s="293">
        <f>VLOOKUP(BC28,市町村データ領域,MATCH($C$5, 市町村データヘッダー, 0),FALSE)</f>
        <v>2248</v>
      </c>
      <c r="BD29" s="294"/>
      <c r="BE29" s="294"/>
      <c r="BF29" s="295"/>
      <c r="BG29" s="293">
        <f>VLOOKUP(BG28,市町村データ領域,MATCH($C$5, 市町村データヘッダー, 0),FALSE)</f>
        <v>2113</v>
      </c>
      <c r="BH29" s="294"/>
      <c r="BI29" s="294"/>
      <c r="BJ29" s="295"/>
      <c r="BK29" s="293">
        <f>VLOOKUP(BK28,市町村データ領域,MATCH($C$5, 市町村データヘッダー, 0),FALSE)</f>
        <v>2092</v>
      </c>
      <c r="BL29" s="294"/>
      <c r="BM29" s="294"/>
      <c r="BN29" s="295"/>
      <c r="BO29" s="293">
        <f>VLOOKUP(BO28,市町村データ領域,MATCH($C$5, 市町村データヘッダー, 0),FALSE)</f>
        <v>1466</v>
      </c>
      <c r="BP29" s="294"/>
      <c r="BQ29" s="294"/>
      <c r="BR29" s="295"/>
      <c r="BS29" s="263"/>
      <c r="BT29" s="263"/>
      <c r="BU29" s="263"/>
      <c r="BV29" s="263"/>
      <c r="BW29" s="263"/>
      <c r="BX29" s="264">
        <v>13</v>
      </c>
      <c r="BY29" s="263">
        <v>0</v>
      </c>
      <c r="BZ29" s="275"/>
      <c r="CA29" s="263"/>
      <c r="CB29" s="279"/>
      <c r="CC29" s="263"/>
    </row>
    <row r="30" spans="2:81" ht="21" customHeight="1" x14ac:dyDescent="0.55000000000000004">
      <c r="B30" s="263"/>
      <c r="C30" s="263"/>
      <c r="D30" s="263"/>
      <c r="E30" s="263"/>
      <c r="F30" s="275"/>
      <c r="G30" s="263"/>
      <c r="H30" s="263"/>
      <c r="I30" s="263"/>
      <c r="J30" s="275"/>
      <c r="K30" s="296">
        <f>VLOOKUP(K28,市町村データ領域,MATCH($C$6, 市町村データヘッダー, 0),FALSE)</f>
        <v>9050</v>
      </c>
      <c r="L30" s="297"/>
      <c r="M30" s="297"/>
      <c r="N30" s="298"/>
      <c r="O30" s="296">
        <f>VLOOKUP(O28,市町村データ領域,MATCH($C$6, 市町村データヘッダー, 0),FALSE)</f>
        <v>2473</v>
      </c>
      <c r="P30" s="297"/>
      <c r="Q30" s="297"/>
      <c r="R30" s="297"/>
      <c r="S30" s="263"/>
      <c r="T30" s="263"/>
      <c r="U30" s="263"/>
      <c r="V30" s="275"/>
      <c r="W30" s="296">
        <f>VLOOKUP(W28,市町村データ領域,MATCH($C$6, 市町村データヘッダー, 0),FALSE)</f>
        <v>10414</v>
      </c>
      <c r="X30" s="297"/>
      <c r="Y30" s="297"/>
      <c r="Z30" s="298"/>
      <c r="AA30" s="296">
        <f>VLOOKUP(AA28,市町村データ領域,MATCH($C$6, 市町村データヘッダー, 0),FALSE)</f>
        <v>12967</v>
      </c>
      <c r="AB30" s="297"/>
      <c r="AC30" s="297"/>
      <c r="AD30" s="297"/>
      <c r="AE30" s="263"/>
      <c r="AF30" s="263"/>
      <c r="AG30" s="263"/>
      <c r="AH30" s="275"/>
      <c r="AI30" s="296">
        <f>VLOOKUP(AI28,市町村データ領域,MATCH($C$6, 市町村データヘッダー, 0),FALSE)</f>
        <v>99527</v>
      </c>
      <c r="AJ30" s="297"/>
      <c r="AK30" s="297"/>
      <c r="AL30" s="298"/>
      <c r="AM30" s="296">
        <f>VLOOKUP(AM28,市町村データ領域,MATCH($C$6, 市町村データヘッダー, 0),FALSE)</f>
        <v>18874</v>
      </c>
      <c r="AN30" s="297"/>
      <c r="AO30" s="297"/>
      <c r="AP30" s="298"/>
      <c r="AQ30" s="296">
        <f>VLOOKUP(AQ28,市町村データ領域,MATCH($C$6, 市町村データヘッダー, 0),FALSE)</f>
        <v>74448</v>
      </c>
      <c r="AR30" s="297"/>
      <c r="AS30" s="297"/>
      <c r="AT30" s="298"/>
      <c r="AU30" s="296">
        <f>VLOOKUP(AU28,市町村データ領域,MATCH($C$6, 市町村データヘッダー, 0),FALSE)</f>
        <v>230167</v>
      </c>
      <c r="AV30" s="297"/>
      <c r="AW30" s="297"/>
      <c r="AX30" s="298"/>
      <c r="AY30" s="296">
        <f>VLOOKUP(AY28,市町村データ領域,MATCH($C$6, 市町村データヘッダー, 0),FALSE)</f>
        <v>45045</v>
      </c>
      <c r="AZ30" s="297"/>
      <c r="BA30" s="297"/>
      <c r="BB30" s="298"/>
      <c r="BC30" s="296">
        <f>VLOOKUP(BC28,市町村データ領域,MATCH($C$6, 市町村データヘッダー, 0),FALSE)</f>
        <v>61337</v>
      </c>
      <c r="BD30" s="297"/>
      <c r="BE30" s="297"/>
      <c r="BF30" s="298"/>
      <c r="BG30" s="296">
        <f>VLOOKUP(BG28,市町村データ領域,MATCH($C$6, 市町村データヘッダー, 0),FALSE)</f>
        <v>52649</v>
      </c>
      <c r="BH30" s="297"/>
      <c r="BI30" s="297"/>
      <c r="BJ30" s="298"/>
      <c r="BK30" s="296">
        <f>VLOOKUP(BK28,市町村データ領域,MATCH($C$6, 市町村データヘッダー, 0),FALSE)</f>
        <v>33371</v>
      </c>
      <c r="BL30" s="297"/>
      <c r="BM30" s="297"/>
      <c r="BN30" s="298"/>
      <c r="BO30" s="296">
        <f>VLOOKUP(BO28,市町村データ領域,MATCH($C$6, 市町村データヘッダー, 0),FALSE)</f>
        <v>44014</v>
      </c>
      <c r="BP30" s="297"/>
      <c r="BQ30" s="297"/>
      <c r="BR30" s="298"/>
      <c r="BS30" s="263"/>
      <c r="BT30" s="263"/>
      <c r="BU30" s="263"/>
      <c r="BV30" s="263"/>
      <c r="BW30" s="263"/>
      <c r="BX30" s="264">
        <v>14</v>
      </c>
      <c r="BY30" s="263">
        <v>0</v>
      </c>
      <c r="BZ30" s="275"/>
      <c r="CA30" s="263"/>
      <c r="CB30" s="279"/>
      <c r="CC30" s="263"/>
    </row>
    <row r="31" spans="2:81" ht="21" customHeight="1" thickBot="1" x14ac:dyDescent="0.6">
      <c r="B31" s="263"/>
      <c r="C31" s="263"/>
      <c r="D31" s="263"/>
      <c r="E31" s="263"/>
      <c r="F31" s="275"/>
      <c r="G31" s="263"/>
      <c r="H31" s="263"/>
      <c r="I31" s="263"/>
      <c r="J31" s="275"/>
      <c r="K31" s="299">
        <f>VLOOKUP(K28,市町村データ領域,MATCH($C$7, 市町村データヘッダー, 0),FALSE)</f>
        <v>63.7</v>
      </c>
      <c r="L31" s="300"/>
      <c r="M31" s="300"/>
      <c r="N31" s="301"/>
      <c r="O31" s="299">
        <f>VLOOKUP(O28,市町村データ領域,MATCH($C$7, 市町村データヘッダー, 0),FALSE)</f>
        <v>36.9</v>
      </c>
      <c r="P31" s="300"/>
      <c r="Q31" s="300"/>
      <c r="R31" s="300"/>
      <c r="S31" s="263"/>
      <c r="T31" s="263"/>
      <c r="U31" s="263"/>
      <c r="V31" s="275"/>
      <c r="W31" s="293">
        <f>VLOOKUP(W28,市町村データ領域,MATCH($C$7, 市町村データヘッダー, 0),FALSE)</f>
        <v>56</v>
      </c>
      <c r="X31" s="294"/>
      <c r="Y31" s="294"/>
      <c r="Z31" s="295"/>
      <c r="AA31" s="299">
        <f>VLOOKUP(AA28,市町村データ領域,MATCH($C$7, 市町村データヘッダー, 0),FALSE)</f>
        <v>25.7</v>
      </c>
      <c r="AB31" s="300"/>
      <c r="AC31" s="300"/>
      <c r="AD31" s="300"/>
      <c r="AE31" s="263"/>
      <c r="AF31" s="263"/>
      <c r="AG31" s="263"/>
      <c r="AH31" s="275"/>
      <c r="AI31" s="299">
        <f>VLOOKUP(AI28,市町村データ領域,MATCH($C$7, 市町村データヘッダー, 0),FALSE)</f>
        <v>41</v>
      </c>
      <c r="AJ31" s="300"/>
      <c r="AK31" s="300"/>
      <c r="AL31" s="301"/>
      <c r="AM31" s="299">
        <f>VLOOKUP(AM28,市町村データ領域,MATCH($C$7, 市町村データヘッダー, 0),FALSE)</f>
        <v>41.7</v>
      </c>
      <c r="AN31" s="300"/>
      <c r="AO31" s="300"/>
      <c r="AP31" s="301"/>
      <c r="AQ31" s="299">
        <f>VLOOKUP(AQ28,市町村データ領域,MATCH($C$7, 市町村データヘッダー, 0),FALSE)</f>
        <v>25.3</v>
      </c>
      <c r="AR31" s="300"/>
      <c r="AS31" s="300"/>
      <c r="AT31" s="301"/>
      <c r="AU31" s="299">
        <f>VLOOKUP(AU28,市町村データ領域,MATCH($C$7, 市町村データヘッダー, 0),FALSE)</f>
        <v>45.5</v>
      </c>
      <c r="AV31" s="300"/>
      <c r="AW31" s="300"/>
      <c r="AX31" s="301"/>
      <c r="AY31" s="299">
        <f>VLOOKUP(AY28,市町村データ領域,MATCH($C$7, 市町村データヘッダー, 0),FALSE)</f>
        <v>14.8</v>
      </c>
      <c r="AZ31" s="300"/>
      <c r="BA31" s="300"/>
      <c r="BB31" s="301"/>
      <c r="BC31" s="299">
        <f>VLOOKUP(BC28,市町村データ領域,MATCH($C$7, 市町村データヘッダー, 0),FALSE)</f>
        <v>27.3</v>
      </c>
      <c r="BD31" s="300"/>
      <c r="BE31" s="300"/>
      <c r="BF31" s="301"/>
      <c r="BG31" s="299">
        <f>VLOOKUP(BG28,市町村データ領域,MATCH($C$7, 市町村データヘッダー, 0),FALSE)</f>
        <v>24.9</v>
      </c>
      <c r="BH31" s="300"/>
      <c r="BI31" s="300"/>
      <c r="BJ31" s="301"/>
      <c r="BK31" s="299">
        <f>VLOOKUP(BK28,市町村データ領域,MATCH($C$7, 市町村データヘッダー, 0),FALSE)</f>
        <v>16</v>
      </c>
      <c r="BL31" s="300"/>
      <c r="BM31" s="300"/>
      <c r="BN31" s="301"/>
      <c r="BO31" s="299">
        <f>VLOOKUP(BO28,市町村データ領域,MATCH($C$7, 市町村データヘッダー, 0),FALSE)</f>
        <v>30</v>
      </c>
      <c r="BP31" s="300"/>
      <c r="BQ31" s="300"/>
      <c r="BR31" s="301"/>
      <c r="BS31" s="263"/>
      <c r="BT31" s="263"/>
      <c r="BU31" s="263"/>
      <c r="BV31" s="263"/>
      <c r="BW31" s="263"/>
      <c r="BX31" s="264">
        <v>15</v>
      </c>
      <c r="BY31" s="263">
        <v>0</v>
      </c>
      <c r="BZ31" s="275"/>
      <c r="CA31" s="263"/>
      <c r="CB31" s="279"/>
      <c r="CC31" s="263"/>
    </row>
    <row r="32" spans="2:81" ht="21" customHeight="1" x14ac:dyDescent="0.55000000000000004">
      <c r="B32" s="263"/>
      <c r="C32" s="280" t="s">
        <v>312</v>
      </c>
      <c r="D32" s="263"/>
      <c r="E32" s="263"/>
      <c r="F32" s="275"/>
      <c r="G32" s="64">
        <v>34</v>
      </c>
      <c r="H32" s="283" t="str">
        <f>VLOOKUP(G32,市町村データ領域,MATCH($D$4, 市町村データヘッダー, 0),FALSE)</f>
        <v>秩父市</v>
      </c>
      <c r="I32" s="283"/>
      <c r="J32" s="283"/>
      <c r="K32" s="286"/>
      <c r="L32" s="286"/>
      <c r="M32" s="286"/>
      <c r="N32" s="286"/>
      <c r="O32" s="286"/>
      <c r="P32" s="286"/>
      <c r="Q32" s="286"/>
      <c r="R32" s="285"/>
      <c r="S32" s="64">
        <v>35</v>
      </c>
      <c r="T32" s="283" t="str">
        <f>VLOOKUP(S32,市町村データ領域,MATCH($D$4, 市町村データヘッダー, 0),FALSE)</f>
        <v>横瀬町</v>
      </c>
      <c r="U32" s="283"/>
      <c r="V32" s="284"/>
      <c r="W32" s="263"/>
      <c r="X32" s="263"/>
      <c r="Y32" s="263"/>
      <c r="Z32" s="275"/>
      <c r="AA32" s="64">
        <v>36</v>
      </c>
      <c r="AB32" s="283" t="str">
        <f>VLOOKUP(AA32,市町村データ領域,MATCH($D$4, 市町村データヘッダー, 0),FALSE)</f>
        <v>越生町</v>
      </c>
      <c r="AC32" s="283"/>
      <c r="AD32" s="284"/>
      <c r="AE32" s="64">
        <v>37</v>
      </c>
      <c r="AF32" s="283" t="str">
        <f>VLOOKUP(AE32,市町村データ領域,MATCH($D$4, 市町村データヘッダー, 0),FALSE)</f>
        <v>毛呂山町</v>
      </c>
      <c r="AG32" s="283"/>
      <c r="AH32" s="284"/>
      <c r="AI32" s="64">
        <v>38</v>
      </c>
      <c r="AJ32" s="283" t="str">
        <f>VLOOKUP(AI32,市町村データ領域,MATCH($D$4, 市町村データヘッダー, 0),FALSE)</f>
        <v>鶴ヶ島市</v>
      </c>
      <c r="AK32" s="283"/>
      <c r="AL32" s="284"/>
      <c r="AM32" s="64">
        <v>39</v>
      </c>
      <c r="AN32" s="283" t="str">
        <f>VLOOKUP(AM32,市町村データ領域,MATCH($D$4, 市町村データヘッダー, 0),FALSE)</f>
        <v>川越市</v>
      </c>
      <c r="AO32" s="283"/>
      <c r="AP32" s="283"/>
      <c r="AQ32" s="286"/>
      <c r="AR32" s="286"/>
      <c r="AS32" s="286"/>
      <c r="AT32" s="285"/>
      <c r="AU32" s="288"/>
      <c r="AV32" s="286"/>
      <c r="AW32" s="286"/>
      <c r="AX32" s="286"/>
      <c r="AY32" s="288"/>
      <c r="AZ32" s="286"/>
      <c r="BA32" s="286"/>
      <c r="BB32" s="286"/>
      <c r="BC32" s="288"/>
      <c r="BD32" s="286"/>
      <c r="BE32" s="286"/>
      <c r="BF32" s="286"/>
      <c r="BG32" s="288"/>
      <c r="BH32" s="286"/>
      <c r="BI32" s="286"/>
      <c r="BJ32" s="285"/>
      <c r="BK32" s="64">
        <v>44</v>
      </c>
      <c r="BL32" s="283" t="str">
        <f>VLOOKUP(BK32,市町村データ領域,MATCH($D$4, 市町村データヘッダー, 0),FALSE)</f>
        <v>春日部市</v>
      </c>
      <c r="BM32" s="283"/>
      <c r="BN32" s="283"/>
      <c r="BO32" s="286"/>
      <c r="BP32" s="286"/>
      <c r="BQ32" s="286"/>
      <c r="BR32" s="285"/>
      <c r="BS32" s="64">
        <v>45</v>
      </c>
      <c r="BT32" s="283" t="str">
        <f>VLOOKUP(BS32,市町村データ領域,MATCH($D$4, 市町村データヘッダー, 0),FALSE)</f>
        <v>松伏町</v>
      </c>
      <c r="BU32" s="283"/>
      <c r="BV32" s="284"/>
      <c r="BW32" s="263"/>
      <c r="BX32" s="264">
        <v>16</v>
      </c>
      <c r="BY32" s="263">
        <v>0</v>
      </c>
      <c r="BZ32" s="275"/>
      <c r="CA32" s="263"/>
      <c r="CB32" s="279"/>
      <c r="CC32" s="263"/>
    </row>
    <row r="33" spans="2:81" ht="21" customHeight="1" x14ac:dyDescent="0.55000000000000004">
      <c r="B33" s="263"/>
      <c r="C33" s="263"/>
      <c r="D33" s="263"/>
      <c r="E33" s="263"/>
      <c r="F33" s="275"/>
      <c r="G33" s="293">
        <f>VLOOKUP(G32,市町村データ領域,MATCH($C$5, 市町村データヘッダー, 0),FALSE)</f>
        <v>101</v>
      </c>
      <c r="H33" s="294"/>
      <c r="I33" s="294"/>
      <c r="J33" s="294"/>
      <c r="K33" s="263"/>
      <c r="L33" s="263"/>
      <c r="M33" s="263"/>
      <c r="N33" s="263"/>
      <c r="O33" s="263"/>
      <c r="P33" s="263"/>
      <c r="Q33" s="263"/>
      <c r="R33" s="275"/>
      <c r="S33" s="293">
        <f>VLOOKUP(S32,市町村データ領域,MATCH($C$5, 市町村データヘッダー, 0),FALSE)</f>
        <v>157</v>
      </c>
      <c r="T33" s="294"/>
      <c r="U33" s="294"/>
      <c r="V33" s="295"/>
      <c r="W33" s="263"/>
      <c r="X33" s="263"/>
      <c r="Y33" s="263"/>
      <c r="Z33" s="275"/>
      <c r="AA33" s="293">
        <f>VLOOKUP(AA32,市町村データ領域,MATCH($C$5, 市町村データヘッダー, 0),FALSE)</f>
        <v>269</v>
      </c>
      <c r="AB33" s="294"/>
      <c r="AC33" s="294"/>
      <c r="AD33" s="295"/>
      <c r="AE33" s="293">
        <f>VLOOKUP(AE32,市町村データ領域,MATCH($C$5, 市町村データヘッダー, 0),FALSE)</f>
        <v>950</v>
      </c>
      <c r="AF33" s="294"/>
      <c r="AG33" s="294"/>
      <c r="AH33" s="295"/>
      <c r="AI33" s="293">
        <f>VLOOKUP(AI32,市町村データ領域,MATCH($C$5, 市町村データヘッダー, 0),FALSE)</f>
        <v>3970</v>
      </c>
      <c r="AJ33" s="294"/>
      <c r="AK33" s="294"/>
      <c r="AL33" s="295"/>
      <c r="AM33" s="293">
        <f>VLOOKUP(AM32,市町村データ領域,MATCH($C$5, 市町村データヘッダー, 0),FALSE)</f>
        <v>3232</v>
      </c>
      <c r="AN33" s="294"/>
      <c r="AO33" s="294"/>
      <c r="AP33" s="294"/>
      <c r="AQ33" s="263"/>
      <c r="AR33" s="263"/>
      <c r="AS33" s="263"/>
      <c r="AT33" s="275"/>
      <c r="AU33" s="289"/>
      <c r="AV33" s="263"/>
      <c r="AW33" s="263"/>
      <c r="AX33" s="263"/>
      <c r="AY33" s="289"/>
      <c r="AZ33" s="263"/>
      <c r="BA33" s="263"/>
      <c r="BB33" s="263"/>
      <c r="BC33" s="289"/>
      <c r="BD33" s="263"/>
      <c r="BE33" s="263"/>
      <c r="BF33" s="263"/>
      <c r="BG33" s="289"/>
      <c r="BH33" s="263"/>
      <c r="BI33" s="263"/>
      <c r="BJ33" s="275"/>
      <c r="BK33" s="293">
        <f>VLOOKUP(BK32,市町村データ領域,MATCH($C$5, 市町村データヘッダー, 0),FALSE)</f>
        <v>3495</v>
      </c>
      <c r="BL33" s="294"/>
      <c r="BM33" s="294"/>
      <c r="BN33" s="294"/>
      <c r="BO33" s="263"/>
      <c r="BP33" s="263"/>
      <c r="BQ33" s="263"/>
      <c r="BR33" s="275"/>
      <c r="BS33" s="293">
        <f>VLOOKUP(BS32,市町村データ領域,MATCH($C$5, 市町村データヘッダー, 0),FALSE)</f>
        <v>1737</v>
      </c>
      <c r="BT33" s="294"/>
      <c r="BU33" s="294"/>
      <c r="BV33" s="295"/>
      <c r="BW33" s="263"/>
      <c r="BX33" s="264">
        <v>17</v>
      </c>
      <c r="BY33" s="263">
        <v>0</v>
      </c>
      <c r="BZ33" s="275"/>
      <c r="CA33" s="263"/>
      <c r="CB33" s="279"/>
      <c r="CC33" s="263"/>
    </row>
    <row r="34" spans="2:81" ht="21" customHeight="1" x14ac:dyDescent="0.55000000000000004">
      <c r="B34" s="263"/>
      <c r="C34" s="263"/>
      <c r="D34" s="263"/>
      <c r="E34" s="263"/>
      <c r="F34" s="275"/>
      <c r="G34" s="296">
        <f>VLOOKUP(G32,市町村データ領域,MATCH($C$6, 市町村データヘッダー, 0),FALSE)</f>
        <v>58223</v>
      </c>
      <c r="H34" s="297"/>
      <c r="I34" s="297"/>
      <c r="J34" s="297"/>
      <c r="K34" s="263"/>
      <c r="L34" s="263"/>
      <c r="M34" s="263"/>
      <c r="N34" s="263"/>
      <c r="O34" s="263"/>
      <c r="P34" s="263"/>
      <c r="Q34" s="263"/>
      <c r="R34" s="275"/>
      <c r="S34" s="296">
        <f>VLOOKUP(S32,市町村データ領域,MATCH($C$6, 市町村データヘッダー, 0),FALSE)</f>
        <v>7748</v>
      </c>
      <c r="T34" s="297"/>
      <c r="U34" s="297"/>
      <c r="V34" s="298"/>
      <c r="W34" s="263"/>
      <c r="X34" s="263"/>
      <c r="Y34" s="263"/>
      <c r="Z34" s="275"/>
      <c r="AA34" s="296">
        <f>VLOOKUP(AA32,市町村データ領域,MATCH($C$6, 市町村データヘッダー, 0),FALSE)</f>
        <v>10863</v>
      </c>
      <c r="AB34" s="297"/>
      <c r="AC34" s="297"/>
      <c r="AD34" s="298"/>
      <c r="AE34" s="296">
        <f>VLOOKUP(AE32,市町村データ領域,MATCH($C$6, 市町村データヘッダー, 0),FALSE)</f>
        <v>32365</v>
      </c>
      <c r="AF34" s="297"/>
      <c r="AG34" s="297"/>
      <c r="AH34" s="298"/>
      <c r="AI34" s="296">
        <f>VLOOKUP(AI32,市町村データ領域,MATCH($C$6, 市町村データヘッダー, 0),FALSE)</f>
        <v>70063</v>
      </c>
      <c r="AJ34" s="297"/>
      <c r="AK34" s="297"/>
      <c r="AL34" s="298"/>
      <c r="AM34" s="296">
        <f>VLOOKUP(AM32,市町村データ領域,MATCH($C$6, 市町村データヘッダー, 0),FALSE)</f>
        <v>352717</v>
      </c>
      <c r="AN34" s="297"/>
      <c r="AO34" s="297"/>
      <c r="AP34" s="297"/>
      <c r="AQ34" s="263"/>
      <c r="AR34" s="263"/>
      <c r="AS34" s="263"/>
      <c r="AT34" s="275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75"/>
      <c r="BK34" s="296">
        <f>VLOOKUP(BK32,市町村データ領域,MATCH($C$6, 市町村データヘッダー, 0),FALSE)</f>
        <v>230687</v>
      </c>
      <c r="BL34" s="297"/>
      <c r="BM34" s="297"/>
      <c r="BN34" s="297"/>
      <c r="BO34" s="263"/>
      <c r="BP34" s="263"/>
      <c r="BQ34" s="263"/>
      <c r="BR34" s="275"/>
      <c r="BS34" s="296">
        <f>VLOOKUP(BS32,市町村データ領域,MATCH($C$6, 市町村データヘッダー, 0),FALSE)</f>
        <v>28140</v>
      </c>
      <c r="BT34" s="297"/>
      <c r="BU34" s="297"/>
      <c r="BV34" s="298"/>
      <c r="BW34" s="263"/>
      <c r="BX34" s="264">
        <v>18</v>
      </c>
      <c r="BY34" s="263">
        <v>0</v>
      </c>
      <c r="BZ34" s="275"/>
      <c r="CA34" s="263"/>
      <c r="CB34" s="279"/>
      <c r="CC34" s="263"/>
    </row>
    <row r="35" spans="2:81" ht="21" customHeight="1" thickBot="1" x14ac:dyDescent="0.6">
      <c r="B35" s="263"/>
      <c r="C35" s="263"/>
      <c r="D35" s="263"/>
      <c r="E35" s="263"/>
      <c r="F35" s="275"/>
      <c r="G35" s="299">
        <f>VLOOKUP(G32,市町村データ領域,MATCH($C$7, 市町村データヘッダー, 0),FALSE)</f>
        <v>576.5</v>
      </c>
      <c r="H35" s="300"/>
      <c r="I35" s="300"/>
      <c r="J35" s="300"/>
      <c r="K35" s="263"/>
      <c r="L35" s="263"/>
      <c r="M35" s="263"/>
      <c r="N35" s="263"/>
      <c r="O35" s="263"/>
      <c r="P35" s="263"/>
      <c r="Q35" s="263"/>
      <c r="R35" s="275"/>
      <c r="S35" s="299">
        <f>VLOOKUP(S32,市町村データ領域,MATCH($C$7, 市町村データヘッダー, 0),FALSE)</f>
        <v>49.4</v>
      </c>
      <c r="T35" s="300"/>
      <c r="U35" s="300"/>
      <c r="V35" s="301"/>
      <c r="W35" s="263"/>
      <c r="X35" s="263"/>
      <c r="Y35" s="263"/>
      <c r="Z35" s="275"/>
      <c r="AA35" s="299">
        <f>VLOOKUP(AA32,市町村データ領域,MATCH($C$7, 市町村データヘッダー, 0),FALSE)</f>
        <v>40.4</v>
      </c>
      <c r="AB35" s="300"/>
      <c r="AC35" s="300"/>
      <c r="AD35" s="301"/>
      <c r="AE35" s="299">
        <f>VLOOKUP(AE32,市町村データ領域,MATCH($C$7, 市町村データヘッダー, 0),FALSE)</f>
        <v>34.1</v>
      </c>
      <c r="AF35" s="300"/>
      <c r="AG35" s="300"/>
      <c r="AH35" s="301"/>
      <c r="AI35" s="299">
        <f>VLOOKUP(AI32,市町村データ領域,MATCH($C$7, 市町村データヘッダー, 0),FALSE)</f>
        <v>17.600000000000001</v>
      </c>
      <c r="AJ35" s="300"/>
      <c r="AK35" s="300"/>
      <c r="AL35" s="301"/>
      <c r="AM35" s="299">
        <f>VLOOKUP(AM32,市町村データ領域,MATCH($C$7, 市町村データヘッダー, 0),FALSE)</f>
        <v>109.1</v>
      </c>
      <c r="AN35" s="300"/>
      <c r="AO35" s="300"/>
      <c r="AP35" s="300"/>
      <c r="AQ35" s="263"/>
      <c r="AR35" s="263"/>
      <c r="AS35" s="263"/>
      <c r="AT35" s="275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75"/>
      <c r="BK35" s="299">
        <f>VLOOKUP(BK32,市町村データ領域,MATCH($C$7, 市町村データヘッダー, 0),FALSE)</f>
        <v>66</v>
      </c>
      <c r="BL35" s="300"/>
      <c r="BM35" s="300"/>
      <c r="BN35" s="300"/>
      <c r="BO35" s="263"/>
      <c r="BP35" s="263"/>
      <c r="BQ35" s="263"/>
      <c r="BR35" s="275"/>
      <c r="BS35" s="299">
        <f>VLOOKUP(BS32,市町村データ領域,MATCH($C$7, 市町村データヘッダー, 0),FALSE)</f>
        <v>16.2</v>
      </c>
      <c r="BT35" s="300"/>
      <c r="BU35" s="300"/>
      <c r="BV35" s="301"/>
      <c r="BW35" s="263"/>
      <c r="BX35" s="264">
        <v>19</v>
      </c>
      <c r="BY35" s="263">
        <v>0</v>
      </c>
      <c r="BZ35" s="275"/>
      <c r="CA35" s="263"/>
      <c r="CB35" s="279"/>
      <c r="CC35" s="263"/>
    </row>
    <row r="36" spans="2:81" ht="21" customHeight="1" thickBot="1" x14ac:dyDescent="0.6">
      <c r="B36" s="263"/>
      <c r="C36" s="280" t="s">
        <v>313</v>
      </c>
      <c r="D36" s="263"/>
      <c r="E36" s="263"/>
      <c r="F36" s="275"/>
      <c r="G36" s="64">
        <v>46</v>
      </c>
      <c r="H36" s="283" t="str">
        <f>VLOOKUP(G36,市町村データ領域,MATCH($D$4, 市町村データヘッダー, 0),FALSE)</f>
        <v>小鹿野町</v>
      </c>
      <c r="I36" s="283"/>
      <c r="J36" s="284"/>
      <c r="K36" s="263"/>
      <c r="L36" s="263"/>
      <c r="M36" s="263"/>
      <c r="N36" s="263"/>
      <c r="O36" s="263"/>
      <c r="P36" s="263"/>
      <c r="Q36" s="263"/>
      <c r="R36" s="275"/>
      <c r="S36" s="64">
        <v>47</v>
      </c>
      <c r="T36" s="283" t="str">
        <f>VLOOKUP(S36,市町村データ領域,MATCH($D$4, 市町村データヘッダー, 0),FALSE)</f>
        <v>飯能市</v>
      </c>
      <c r="U36" s="283"/>
      <c r="V36" s="283"/>
      <c r="W36" s="286"/>
      <c r="X36" s="286"/>
      <c r="Y36" s="286"/>
      <c r="Z36" s="286"/>
      <c r="AA36" s="286"/>
      <c r="AB36" s="286"/>
      <c r="AC36" s="286"/>
      <c r="AD36" s="286"/>
      <c r="AE36" s="286"/>
      <c r="AF36" s="286"/>
      <c r="AG36" s="286"/>
      <c r="AH36" s="285"/>
      <c r="AI36" s="64">
        <v>48</v>
      </c>
      <c r="AJ36" s="283" t="str">
        <f>VLOOKUP(AI36,市町村データ領域,MATCH($D$4, 市町村データヘッダー, 0),FALSE)</f>
        <v>日高市</v>
      </c>
      <c r="AK36" s="283"/>
      <c r="AL36" s="284"/>
      <c r="AM36" s="64">
        <v>49</v>
      </c>
      <c r="AN36" s="283" t="str">
        <f>VLOOKUP(AM36,市町村データ領域,MATCH($D$4, 市町村データヘッダー, 0),FALSE)</f>
        <v>狭山市</v>
      </c>
      <c r="AO36" s="283"/>
      <c r="AP36" s="284"/>
      <c r="AQ36" s="64">
        <v>50</v>
      </c>
      <c r="AR36" s="283" t="str">
        <f>VLOOKUP(AQ36,市町村データ領域,MATCH($D$4, 市町村データヘッダー, 0),FALSE)</f>
        <v>ふじみ野市</v>
      </c>
      <c r="AS36" s="283"/>
      <c r="AT36" s="284"/>
      <c r="AU36" s="64">
        <v>51</v>
      </c>
      <c r="AV36" s="283" t="str">
        <f>VLOOKUP(AU36,市町村データ領域,MATCH($D$4, 市町村データヘッダー, 0),FALSE)</f>
        <v>富士見市</v>
      </c>
      <c r="AW36" s="283"/>
      <c r="AX36" s="284"/>
      <c r="AY36" s="282"/>
      <c r="AZ36" s="263"/>
      <c r="BA36" s="263"/>
      <c r="BB36" s="263"/>
      <c r="BC36" s="291" t="s">
        <v>308</v>
      </c>
      <c r="BD36" s="290" t="str">
        <f>VLOOKUP(BC36,市町村データ領域,MATCH($D$4, 市町村データヘッダー, 0),FALSE)</f>
        <v>さいたま市</v>
      </c>
      <c r="BE36" s="290"/>
      <c r="BF36" s="290"/>
      <c r="BG36" s="282"/>
      <c r="BH36" s="263"/>
      <c r="BI36" s="263"/>
      <c r="BJ36" s="275"/>
      <c r="BK36" s="64">
        <v>55</v>
      </c>
      <c r="BL36" s="283" t="str">
        <f>VLOOKUP(BK36,市町村データ領域,MATCH($D$4, 市町村データヘッダー, 0),FALSE)</f>
        <v>越谷市</v>
      </c>
      <c r="BM36" s="283"/>
      <c r="BN36" s="283"/>
      <c r="BO36" s="286"/>
      <c r="BP36" s="286"/>
      <c r="BQ36" s="286"/>
      <c r="BR36" s="285"/>
      <c r="BS36" s="64">
        <v>56</v>
      </c>
      <c r="BT36" s="283" t="str">
        <f>VLOOKUP(BS36,市町村データ領域,MATCH($D$4, 市町村データヘッダー, 0),FALSE)</f>
        <v>吉川市</v>
      </c>
      <c r="BU36" s="283"/>
      <c r="BV36" s="284"/>
      <c r="BW36" s="263"/>
      <c r="BX36" s="278">
        <v>20</v>
      </c>
      <c r="BY36" s="277">
        <v>0</v>
      </c>
      <c r="BZ36" s="276"/>
      <c r="CA36" s="263"/>
      <c r="CB36" s="279"/>
      <c r="CC36" s="263"/>
    </row>
    <row r="37" spans="2:81" ht="21" customHeight="1" x14ac:dyDescent="0.55000000000000004">
      <c r="B37" s="263"/>
      <c r="C37" s="263"/>
      <c r="D37" s="263"/>
      <c r="E37" s="263"/>
      <c r="F37" s="275"/>
      <c r="G37" s="293">
        <f>VLOOKUP(G36,市町村データ領域,MATCH($C$5, 市町村データヘッダー, 0),FALSE)</f>
        <v>60</v>
      </c>
      <c r="H37" s="294"/>
      <c r="I37" s="294"/>
      <c r="J37" s="295"/>
      <c r="K37" s="263"/>
      <c r="L37" s="263"/>
      <c r="M37" s="263"/>
      <c r="N37" s="263"/>
      <c r="O37" s="263"/>
      <c r="P37" s="263"/>
      <c r="Q37" s="263"/>
      <c r="R37" s="275"/>
      <c r="S37" s="293">
        <f>VLOOKUP(S36,市町村データ領域,MATCH($C$5, 市町村データヘッダー, 0),FALSE)</f>
        <v>406</v>
      </c>
      <c r="T37" s="294"/>
      <c r="U37" s="294"/>
      <c r="V37" s="294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75"/>
      <c r="AI37" s="293">
        <f>VLOOKUP(AI36,市町村データ領域,MATCH($C$5, 市町村データヘッダー, 0),FALSE)</f>
        <v>1146</v>
      </c>
      <c r="AJ37" s="294"/>
      <c r="AK37" s="294"/>
      <c r="AL37" s="295"/>
      <c r="AM37" s="293">
        <f>VLOOKUP(AM36,市町村データ領域,MATCH($C$5, 市町村データヘッダー, 0),FALSE)</f>
        <v>3039</v>
      </c>
      <c r="AN37" s="294"/>
      <c r="AO37" s="294"/>
      <c r="AP37" s="295"/>
      <c r="AQ37" s="293">
        <f>VLOOKUP(AQ36,市町村データ領域,MATCH($C$5, 市町村データヘッダー, 0),FALSE)</f>
        <v>7812</v>
      </c>
      <c r="AR37" s="294"/>
      <c r="AS37" s="294"/>
      <c r="AT37" s="295"/>
      <c r="AU37" s="293">
        <f>VLOOKUP(AU36,市町村データ領域,MATCH($C$5, 市町村データヘッダー, 0),FALSE)</f>
        <v>5723</v>
      </c>
      <c r="AV37" s="294"/>
      <c r="AW37" s="294"/>
      <c r="AX37" s="295"/>
      <c r="AY37" s="289"/>
      <c r="AZ37" s="263"/>
      <c r="BA37" s="263"/>
      <c r="BB37" s="263"/>
      <c r="BC37" s="294">
        <f>VLOOKUP(BC36,市町村データ領域,MATCH($C$5, 市町村データヘッダー, 0),FALSE)</f>
        <v>6186</v>
      </c>
      <c r="BD37" s="294"/>
      <c r="BE37" s="294"/>
      <c r="BF37" s="294"/>
      <c r="BG37" s="289"/>
      <c r="BH37" s="263"/>
      <c r="BI37" s="263"/>
      <c r="BJ37" s="275"/>
      <c r="BK37" s="293">
        <f>VLOOKUP(BK36,市町村データ領域,MATCH($C$5, 市町村データヘッダー, 0),FALSE)</f>
        <v>5695</v>
      </c>
      <c r="BL37" s="294"/>
      <c r="BM37" s="294"/>
      <c r="BN37" s="294"/>
      <c r="BO37" s="263"/>
      <c r="BP37" s="263"/>
      <c r="BQ37" s="263"/>
      <c r="BR37" s="275"/>
      <c r="BS37" s="293">
        <f>VLOOKUP(BS36,市町村データ領域,MATCH($C$5, 市町村データヘッダー, 0),FALSE)</f>
        <v>2296</v>
      </c>
      <c r="BT37" s="294"/>
      <c r="BU37" s="294"/>
      <c r="BV37" s="295"/>
      <c r="BW37" s="263"/>
      <c r="BX37" s="263"/>
      <c r="BY37" s="263"/>
      <c r="BZ37" s="263"/>
      <c r="CA37" s="263"/>
      <c r="CB37" s="279"/>
      <c r="CC37" s="263"/>
    </row>
    <row r="38" spans="2:81" ht="21" customHeight="1" x14ac:dyDescent="0.55000000000000004">
      <c r="B38" s="263"/>
      <c r="C38" s="263"/>
      <c r="D38" s="263"/>
      <c r="E38" s="263"/>
      <c r="F38" s="275"/>
      <c r="G38" s="296">
        <f>VLOOKUP(G36,市町村データ領域,MATCH($C$6, 市町村データヘッダー, 0),FALSE)</f>
        <v>10316</v>
      </c>
      <c r="H38" s="297"/>
      <c r="I38" s="297"/>
      <c r="J38" s="298"/>
      <c r="K38" s="263"/>
      <c r="L38" s="263"/>
      <c r="M38" s="263"/>
      <c r="N38" s="263"/>
      <c r="O38" s="263"/>
      <c r="P38" s="263"/>
      <c r="Q38" s="263"/>
      <c r="R38" s="275"/>
      <c r="S38" s="296">
        <f>VLOOKUP(S36,市町村データ領域,MATCH($C$6, 市町村データヘッダー, 0),FALSE)</f>
        <v>78472</v>
      </c>
      <c r="T38" s="297"/>
      <c r="U38" s="297"/>
      <c r="V38" s="297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75"/>
      <c r="AI38" s="296">
        <f>VLOOKUP(AI36,市町村データ領域,MATCH($C$6, 市町村データヘッダー, 0),FALSE)</f>
        <v>54396</v>
      </c>
      <c r="AJ38" s="297"/>
      <c r="AK38" s="297"/>
      <c r="AL38" s="298"/>
      <c r="AM38" s="296">
        <f>VLOOKUP(AM36,市町村データ領域,MATCH($C$6, 市町村データヘッダー, 0),FALSE)</f>
        <v>148872</v>
      </c>
      <c r="AN38" s="297"/>
      <c r="AO38" s="297"/>
      <c r="AP38" s="298"/>
      <c r="AQ38" s="296">
        <f>VLOOKUP(AQ36,市町村データ領域,MATCH($C$6, 市町村データヘッダー, 0),FALSE)</f>
        <v>114363</v>
      </c>
      <c r="AR38" s="297"/>
      <c r="AS38" s="297"/>
      <c r="AT38" s="298"/>
      <c r="AU38" s="296">
        <f>VLOOKUP(AU36,市町村データ領域,MATCH($C$6, 市町村データヘッダー, 0),FALSE)</f>
        <v>113145</v>
      </c>
      <c r="AV38" s="297"/>
      <c r="AW38" s="297"/>
      <c r="AX38" s="298"/>
      <c r="AY38" s="263"/>
      <c r="AZ38" s="263"/>
      <c r="BA38" s="263"/>
      <c r="BB38" s="263"/>
      <c r="BC38" s="297">
        <f>VLOOKUP(BC36,市町村データ領域,MATCH($C$6, 市町村データヘッダー, 0),FALSE)</f>
        <v>1345012</v>
      </c>
      <c r="BD38" s="297"/>
      <c r="BE38" s="297"/>
      <c r="BF38" s="297"/>
      <c r="BG38" s="263"/>
      <c r="BH38" s="263"/>
      <c r="BI38" s="263"/>
      <c r="BJ38" s="275"/>
      <c r="BK38" s="296">
        <f>VLOOKUP(BK36,市町村データ領域,MATCH($C$6, 市町村データヘッダー, 0),FALSE)</f>
        <v>343062</v>
      </c>
      <c r="BL38" s="297"/>
      <c r="BM38" s="297"/>
      <c r="BN38" s="297"/>
      <c r="BO38" s="263"/>
      <c r="BP38" s="263"/>
      <c r="BQ38" s="263"/>
      <c r="BR38" s="275"/>
      <c r="BS38" s="296">
        <f>VLOOKUP(BS36,市町村データ領域,MATCH($C$6, 市町村データヘッダー, 0),FALSE)</f>
        <v>72678</v>
      </c>
      <c r="BT38" s="297"/>
      <c r="BU38" s="297"/>
      <c r="BV38" s="298"/>
      <c r="BW38" s="263"/>
      <c r="BX38" s="263"/>
      <c r="BY38" s="263"/>
      <c r="BZ38" s="263"/>
      <c r="CA38" s="263"/>
      <c r="CB38" s="279"/>
      <c r="CC38" s="263"/>
    </row>
    <row r="39" spans="2:81" ht="21" customHeight="1" thickBot="1" x14ac:dyDescent="0.6">
      <c r="B39" s="263"/>
      <c r="C39" s="263"/>
      <c r="D39" s="263"/>
      <c r="E39" s="263"/>
      <c r="F39" s="275"/>
      <c r="G39" s="299">
        <f>VLOOKUP(G36,市町村データ領域,MATCH($C$7, 市町村データヘッダー, 0),FALSE)</f>
        <v>171.9</v>
      </c>
      <c r="H39" s="300"/>
      <c r="I39" s="300"/>
      <c r="J39" s="301"/>
      <c r="K39" s="263"/>
      <c r="L39" s="263"/>
      <c r="M39" s="263"/>
      <c r="N39" s="263"/>
      <c r="O39" s="263"/>
      <c r="P39" s="263"/>
      <c r="Q39" s="263"/>
      <c r="R39" s="275"/>
      <c r="S39" s="293">
        <f>VLOOKUP(S36,市町村データ領域,MATCH($C$7, 市町村データヘッダー, 0),FALSE)</f>
        <v>193.3</v>
      </c>
      <c r="T39" s="294"/>
      <c r="U39" s="294"/>
      <c r="V39" s="294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75"/>
      <c r="AI39" s="299">
        <f>VLOOKUP(AI36,市町村データ領域,MATCH($C$7, 市町村データヘッダー, 0),FALSE)</f>
        <v>47.5</v>
      </c>
      <c r="AJ39" s="300"/>
      <c r="AK39" s="300"/>
      <c r="AL39" s="301"/>
      <c r="AM39" s="299">
        <f>VLOOKUP(AM36,市町村データ領域,MATCH($C$7, 市町村データヘッダー, 0),FALSE)</f>
        <v>49</v>
      </c>
      <c r="AN39" s="300"/>
      <c r="AO39" s="300"/>
      <c r="AP39" s="301"/>
      <c r="AQ39" s="299">
        <f>VLOOKUP(AQ36,市町村データ領域,MATCH($C$7, 市町村データヘッダー, 0),FALSE)</f>
        <v>14.6</v>
      </c>
      <c r="AR39" s="300"/>
      <c r="AS39" s="300"/>
      <c r="AT39" s="301"/>
      <c r="AU39" s="299">
        <f>VLOOKUP(AU36,市町村データ領域,MATCH($C$7, 市町村データヘッダー, 0),FALSE)</f>
        <v>19.8</v>
      </c>
      <c r="AV39" s="300"/>
      <c r="AW39" s="300"/>
      <c r="AX39" s="301"/>
      <c r="AY39" s="263"/>
      <c r="AZ39" s="263"/>
      <c r="BA39" s="263"/>
      <c r="BB39" s="263"/>
      <c r="BC39" s="294">
        <f>VLOOKUP(BC36,市町村データ領域,MATCH($C$7, 市町村データヘッダー, 0),FALSE)</f>
        <v>217.4</v>
      </c>
      <c r="BD39" s="294"/>
      <c r="BE39" s="294"/>
      <c r="BF39" s="294"/>
      <c r="BG39" s="263"/>
      <c r="BH39" s="263"/>
      <c r="BI39" s="263"/>
      <c r="BJ39" s="275"/>
      <c r="BK39" s="293">
        <f>VLOOKUP(BK36,市町村データ領域,MATCH($C$7, 市町村データヘッダー, 0),FALSE)</f>
        <v>60.2</v>
      </c>
      <c r="BL39" s="294"/>
      <c r="BM39" s="294"/>
      <c r="BN39" s="294"/>
      <c r="BO39" s="263"/>
      <c r="BP39" s="263"/>
      <c r="BQ39" s="263"/>
      <c r="BR39" s="275"/>
      <c r="BS39" s="299">
        <f>VLOOKUP(BS36,市町村データ領域,MATCH($C$7, 市町村データヘッダー, 0),FALSE)</f>
        <v>31.7</v>
      </c>
      <c r="BT39" s="300"/>
      <c r="BU39" s="300"/>
      <c r="BV39" s="301"/>
      <c r="BW39" s="263"/>
      <c r="BX39" s="263"/>
      <c r="BY39" s="263"/>
      <c r="BZ39" s="263"/>
      <c r="CA39" s="263"/>
      <c r="CB39" s="279"/>
      <c r="CC39" s="263"/>
    </row>
    <row r="40" spans="2:81" ht="21" customHeight="1" x14ac:dyDescent="0.55000000000000004">
      <c r="B40" s="263"/>
      <c r="C40" s="280" t="s">
        <v>314</v>
      </c>
      <c r="D40" s="263"/>
      <c r="E40" s="263"/>
      <c r="F40" s="275"/>
      <c r="G40" s="286"/>
      <c r="H40" s="286"/>
      <c r="I40" s="286"/>
      <c r="J40" s="286"/>
      <c r="K40" s="263"/>
      <c r="L40" s="263"/>
      <c r="M40" s="263"/>
      <c r="N40" s="263"/>
      <c r="O40" s="263"/>
      <c r="P40" s="263"/>
      <c r="Q40" s="263"/>
      <c r="R40" s="275"/>
      <c r="S40" s="263"/>
      <c r="T40" s="263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86"/>
      <c r="AJ40" s="286"/>
      <c r="AK40" s="286"/>
      <c r="AL40" s="285"/>
      <c r="AM40" s="64">
        <v>57</v>
      </c>
      <c r="AN40" s="283" t="str">
        <f>VLOOKUP(AM40,市町村データ領域,MATCH($D$4, 市町村データヘッダー, 0),FALSE)</f>
        <v>入間市</v>
      </c>
      <c r="AO40" s="283"/>
      <c r="AP40" s="284"/>
      <c r="AQ40" s="64">
        <v>58</v>
      </c>
      <c r="AR40" s="283" t="str">
        <f>VLOOKUP(AQ40,市町村データ領域,MATCH($D$4, 市町村データヘッダー, 0),FALSE)</f>
        <v>三芳町</v>
      </c>
      <c r="AS40" s="283"/>
      <c r="AT40" s="284"/>
      <c r="AU40" s="64">
        <v>59</v>
      </c>
      <c r="AV40" s="283" t="str">
        <f>VLOOKUP(AU40,市町村データ領域,MATCH($D$4, 市町村データヘッダー, 0),FALSE)</f>
        <v>志木市</v>
      </c>
      <c r="AW40" s="283"/>
      <c r="AX40" s="284"/>
      <c r="AY40" s="282"/>
      <c r="AZ40" s="263"/>
      <c r="BA40" s="263"/>
      <c r="BB40" s="263"/>
      <c r="BC40" s="282"/>
      <c r="BD40" s="263"/>
      <c r="BE40" s="263"/>
      <c r="BF40" s="263"/>
      <c r="BG40" s="282"/>
      <c r="BH40" s="263"/>
      <c r="BI40" s="263"/>
      <c r="BJ40" s="275"/>
      <c r="BK40" s="263"/>
      <c r="BL40" s="263"/>
      <c r="BM40" s="263"/>
      <c r="BN40" s="263"/>
      <c r="BO40" s="263"/>
      <c r="BP40" s="263"/>
      <c r="BQ40" s="263"/>
      <c r="BR40" s="275"/>
      <c r="BS40" s="64">
        <v>63</v>
      </c>
      <c r="BT40" s="283" t="str">
        <f>VLOOKUP(BS40,市町村データ領域,MATCH($D$4, 市町村データヘッダー, 0),FALSE)</f>
        <v>三郷市</v>
      </c>
      <c r="BU40" s="283"/>
      <c r="BV40" s="284"/>
      <c r="BW40" s="263"/>
      <c r="BX40" s="263"/>
      <c r="BY40" s="263"/>
      <c r="BZ40" s="263"/>
      <c r="CA40" s="263"/>
      <c r="CB40" s="279"/>
      <c r="CC40" s="263"/>
    </row>
    <row r="41" spans="2:81" ht="21" customHeight="1" x14ac:dyDescent="0.55000000000000004">
      <c r="B41" s="263"/>
      <c r="C41" s="263"/>
      <c r="D41" s="263"/>
      <c r="E41" s="263"/>
      <c r="F41" s="275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75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75"/>
      <c r="AM41" s="293">
        <f>VLOOKUP(AM40,市町村データ領域,MATCH($C$5, 市町村データヘッダー, 0),FALSE)</f>
        <v>3238</v>
      </c>
      <c r="AN41" s="294"/>
      <c r="AO41" s="294"/>
      <c r="AP41" s="295"/>
      <c r="AQ41" s="293">
        <f>VLOOKUP(AQ40,市町村データ領域,MATCH($C$5, 市町村データヘッダー, 0),FALSE)</f>
        <v>2443</v>
      </c>
      <c r="AR41" s="294"/>
      <c r="AS41" s="294"/>
      <c r="AT41" s="295"/>
      <c r="AU41" s="293">
        <f>VLOOKUP(AU40,市町村データ領域,MATCH($C$5, 市町村データヘッダー, 0),FALSE)</f>
        <v>8432</v>
      </c>
      <c r="AV41" s="294"/>
      <c r="AW41" s="294"/>
      <c r="AX41" s="295"/>
      <c r="AY41" s="289"/>
      <c r="AZ41" s="263"/>
      <c r="BA41" s="263"/>
      <c r="BB41" s="263"/>
      <c r="BC41" s="289"/>
      <c r="BD41" s="263"/>
      <c r="BE41" s="263"/>
      <c r="BF41" s="263"/>
      <c r="BG41" s="289"/>
      <c r="BH41" s="263"/>
      <c r="BI41" s="263"/>
      <c r="BJ41" s="275"/>
      <c r="BK41" s="263"/>
      <c r="BL41" s="263"/>
      <c r="BM41" s="263"/>
      <c r="BN41" s="263"/>
      <c r="BO41" s="263"/>
      <c r="BP41" s="263"/>
      <c r="BQ41" s="263"/>
      <c r="BR41" s="275"/>
      <c r="BS41" s="293">
        <f>VLOOKUP(BS40,市町村データ領域,MATCH($C$5, 市町村データヘッダー, 0),FALSE)</f>
        <v>4711</v>
      </c>
      <c r="BT41" s="294"/>
      <c r="BU41" s="294"/>
      <c r="BV41" s="295"/>
      <c r="BW41" s="263"/>
      <c r="BX41" s="263"/>
      <c r="BY41" s="263"/>
      <c r="BZ41" s="263"/>
      <c r="CA41" s="263"/>
      <c r="CB41" s="279"/>
      <c r="CC41" s="263"/>
    </row>
    <row r="42" spans="2:81" ht="21" customHeight="1" x14ac:dyDescent="0.55000000000000004">
      <c r="B42" s="263"/>
      <c r="C42" s="263"/>
      <c r="D42" s="263"/>
      <c r="E42" s="263"/>
      <c r="F42" s="275"/>
      <c r="G42" s="263"/>
      <c r="H42" s="263"/>
      <c r="I42" s="263"/>
      <c r="J42" s="263"/>
      <c r="K42" s="263"/>
      <c r="L42" s="263"/>
      <c r="M42" s="263"/>
      <c r="N42" s="263"/>
      <c r="O42" s="263"/>
      <c r="P42" s="263"/>
      <c r="Q42" s="263"/>
      <c r="R42" s="275"/>
      <c r="S42" s="263"/>
      <c r="T42" s="263"/>
      <c r="U42" s="263"/>
      <c r="V42" s="263"/>
      <c r="W42" s="263"/>
      <c r="X42" s="263"/>
      <c r="Y42" s="263"/>
      <c r="Z42" s="263"/>
      <c r="AA42" s="263"/>
      <c r="AB42" s="263"/>
      <c r="AC42" s="263"/>
      <c r="AD42" s="263"/>
      <c r="AE42" s="263"/>
      <c r="AF42" s="263"/>
      <c r="AG42" s="263"/>
      <c r="AH42" s="263"/>
      <c r="AI42" s="289"/>
      <c r="AJ42" s="263"/>
      <c r="AK42" s="263"/>
      <c r="AL42" s="275"/>
      <c r="AM42" s="296">
        <f>VLOOKUP(AM40,市町村データ領域,MATCH($C$6, 市町村データヘッダー, 0),FALSE)</f>
        <v>144723</v>
      </c>
      <c r="AN42" s="297"/>
      <c r="AO42" s="297"/>
      <c r="AP42" s="298"/>
      <c r="AQ42" s="296">
        <f>VLOOKUP(AQ40,市町村データ領域,MATCH($C$6, 市町村データヘッダー, 0),FALSE)</f>
        <v>37453</v>
      </c>
      <c r="AR42" s="297"/>
      <c r="AS42" s="297"/>
      <c r="AT42" s="298"/>
      <c r="AU42" s="296">
        <f>VLOOKUP(AU40,市町村データ領域,MATCH($C$6, 市町村データヘッダー, 0),FALSE)</f>
        <v>76312</v>
      </c>
      <c r="AV42" s="297"/>
      <c r="AW42" s="297"/>
      <c r="AX42" s="298"/>
      <c r="AY42" s="263"/>
      <c r="AZ42" s="263"/>
      <c r="BA42" s="263"/>
      <c r="BB42" s="263"/>
      <c r="BC42" s="263"/>
      <c r="BD42" s="263"/>
      <c r="BE42" s="263"/>
      <c r="BF42" s="263"/>
      <c r="BG42" s="263"/>
      <c r="BH42" s="263"/>
      <c r="BI42" s="263"/>
      <c r="BJ42" s="275"/>
      <c r="BK42" s="263"/>
      <c r="BL42" s="263"/>
      <c r="BM42" s="263"/>
      <c r="BN42" s="263"/>
      <c r="BO42" s="263"/>
      <c r="BP42" s="263"/>
      <c r="BQ42" s="263"/>
      <c r="BR42" s="275"/>
      <c r="BS42" s="296">
        <f>VLOOKUP(BS40,市町村データ領域,MATCH($C$6, 市町村データヘッダー, 0),FALSE)</f>
        <v>141942</v>
      </c>
      <c r="BT42" s="297"/>
      <c r="BU42" s="297"/>
      <c r="BV42" s="298"/>
      <c r="BW42" s="263"/>
      <c r="BX42" s="263"/>
      <c r="BY42" s="263"/>
      <c r="BZ42" s="263"/>
      <c r="CA42" s="263"/>
      <c r="CB42" s="279"/>
      <c r="CC42" s="263"/>
    </row>
    <row r="43" spans="2:81" ht="21" customHeight="1" thickBot="1" x14ac:dyDescent="0.6">
      <c r="B43" s="263"/>
      <c r="C43" s="263"/>
      <c r="D43" s="263"/>
      <c r="E43" s="263"/>
      <c r="F43" s="275"/>
      <c r="G43" s="263"/>
      <c r="H43" s="263"/>
      <c r="I43" s="263"/>
      <c r="J43" s="263"/>
      <c r="K43" s="263"/>
      <c r="L43" s="263"/>
      <c r="M43" s="263"/>
      <c r="N43" s="263"/>
      <c r="O43" s="263"/>
      <c r="P43" s="263"/>
      <c r="Q43" s="263"/>
      <c r="R43" s="275"/>
      <c r="S43" s="263"/>
      <c r="T43" s="263"/>
      <c r="U43" s="263"/>
      <c r="V43" s="263"/>
      <c r="W43" s="263"/>
      <c r="X43" s="263"/>
      <c r="Y43" s="263"/>
      <c r="Z43" s="263"/>
      <c r="AA43" s="263"/>
      <c r="AB43" s="263"/>
      <c r="AC43" s="263"/>
      <c r="AD43" s="263"/>
      <c r="AE43" s="263"/>
      <c r="AF43" s="263"/>
      <c r="AG43" s="263"/>
      <c r="AH43" s="263"/>
      <c r="AI43" s="263"/>
      <c r="AJ43" s="263"/>
      <c r="AK43" s="263"/>
      <c r="AL43" s="275"/>
      <c r="AM43" s="299">
        <f>VLOOKUP(AM40,市町村データ領域,MATCH($C$7, 市町村データヘッダー, 0),FALSE)</f>
        <v>44.7</v>
      </c>
      <c r="AN43" s="300"/>
      <c r="AO43" s="300"/>
      <c r="AP43" s="301"/>
      <c r="AQ43" s="299">
        <f>VLOOKUP(AQ40,市町村データ領域,MATCH($C$7, 市町村データヘッダー, 0),FALSE)</f>
        <v>15.3</v>
      </c>
      <c r="AR43" s="300"/>
      <c r="AS43" s="300"/>
      <c r="AT43" s="301"/>
      <c r="AU43" s="299">
        <f>VLOOKUP(AU40,市町村データ領域,MATCH($C$7, 市町村データヘッダー, 0),FALSE)</f>
        <v>9.1</v>
      </c>
      <c r="AV43" s="300"/>
      <c r="AW43" s="300"/>
      <c r="AX43" s="301"/>
      <c r="AY43" s="263"/>
      <c r="AZ43" s="263"/>
      <c r="BA43" s="263"/>
      <c r="BB43" s="263"/>
      <c r="BC43" s="263"/>
      <c r="BD43" s="263"/>
      <c r="BE43" s="263"/>
      <c r="BF43" s="263"/>
      <c r="BG43" s="263"/>
      <c r="BH43" s="263"/>
      <c r="BI43" s="263"/>
      <c r="BJ43" s="275"/>
      <c r="BK43" s="263"/>
      <c r="BL43" s="263"/>
      <c r="BM43" s="263"/>
      <c r="BN43" s="263"/>
      <c r="BO43" s="263"/>
      <c r="BP43" s="263"/>
      <c r="BQ43" s="263"/>
      <c r="BR43" s="275"/>
      <c r="BS43" s="299">
        <f>VLOOKUP(BS40,市町村データ領域,MATCH($C$7, 市町村データヘッダー, 0),FALSE)</f>
        <v>30.1</v>
      </c>
      <c r="BT43" s="300"/>
      <c r="BU43" s="300"/>
      <c r="BV43" s="301"/>
      <c r="BW43" s="263"/>
      <c r="BX43" s="263"/>
      <c r="BY43" s="263"/>
      <c r="BZ43" s="263"/>
      <c r="CA43" s="263"/>
      <c r="CB43" s="279"/>
      <c r="CC43" s="263"/>
    </row>
    <row r="44" spans="2:81" ht="21" customHeight="1" x14ac:dyDescent="0.55000000000000004">
      <c r="B44" s="263"/>
      <c r="C44" s="280" t="s">
        <v>315</v>
      </c>
      <c r="D44" s="263"/>
      <c r="E44" s="263"/>
      <c r="F44" s="263"/>
      <c r="G44" s="286"/>
      <c r="H44" s="286"/>
      <c r="I44" s="286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5"/>
      <c r="AM44" s="64">
        <v>64</v>
      </c>
      <c r="AN44" s="283" t="str">
        <f>VLOOKUP(AM44,市町村データ領域,MATCH($D$4, 市町村データヘッダー, 0),FALSE)</f>
        <v>所沢市</v>
      </c>
      <c r="AO44" s="283"/>
      <c r="AP44" s="284"/>
      <c r="AQ44" s="64">
        <v>65</v>
      </c>
      <c r="AR44" s="283" t="str">
        <f>VLOOKUP(AQ44,市町村データ領域,MATCH($D$4, 市町村データヘッダー, 0),FALSE)</f>
        <v>新座市</v>
      </c>
      <c r="AS44" s="283"/>
      <c r="AT44" s="284"/>
      <c r="AU44" s="64">
        <v>66</v>
      </c>
      <c r="AV44" s="283" t="str">
        <f>VLOOKUP(AU44,市町村データ領域,MATCH($D$4, 市町村データヘッダー, 0),FALSE)</f>
        <v>朝霞市</v>
      </c>
      <c r="AW44" s="283"/>
      <c r="AX44" s="284"/>
      <c r="AY44" s="64">
        <v>67</v>
      </c>
      <c r="AZ44" s="283" t="str">
        <f>VLOOKUP(AY44,市町村データ領域,MATCH($D$4, 市町村データヘッダー, 0),FALSE)</f>
        <v>和光市</v>
      </c>
      <c r="BA44" s="283"/>
      <c r="BB44" s="284"/>
      <c r="BC44" s="64">
        <v>68</v>
      </c>
      <c r="BD44" s="283" t="str">
        <f>VLOOKUP(BC44,市町村データ領域,MATCH($D$4, 市町村データヘッダー, 0),FALSE)</f>
        <v>戸田市</v>
      </c>
      <c r="BE44" s="283"/>
      <c r="BF44" s="284"/>
      <c r="BG44" s="64">
        <v>69</v>
      </c>
      <c r="BH44" s="283" t="str">
        <f>VLOOKUP(BG44,市町村データ領域,MATCH($D$4, 市町村データヘッダー, 0),FALSE)</f>
        <v>蕨市</v>
      </c>
      <c r="BI44" s="283"/>
      <c r="BJ44" s="284"/>
      <c r="BK44" s="64">
        <v>70</v>
      </c>
      <c r="BL44" s="283" t="str">
        <f>VLOOKUP(BK44,市町村データ領域,MATCH($D$4, 市町村データヘッダー, 0),FALSE)</f>
        <v>川口市</v>
      </c>
      <c r="BM44" s="283"/>
      <c r="BN44" s="284"/>
      <c r="BO44" s="64">
        <v>71</v>
      </c>
      <c r="BP44" s="283" t="str">
        <f>VLOOKUP(BO44,市町村データ領域,MATCH($D$4, 市町村データヘッダー, 0),FALSE)</f>
        <v>草加市</v>
      </c>
      <c r="BQ44" s="283"/>
      <c r="BR44" s="284"/>
      <c r="BS44" s="64">
        <v>72</v>
      </c>
      <c r="BT44" s="283" t="str">
        <f>VLOOKUP(BS44,市町村データ領域,MATCH($D$4, 市町村データヘッダー, 0),FALSE)</f>
        <v>八潮市</v>
      </c>
      <c r="BU44" s="283"/>
      <c r="BV44" s="284"/>
      <c r="BW44" s="263"/>
      <c r="BX44" s="263"/>
      <c r="BY44" s="263"/>
      <c r="BZ44" s="263"/>
      <c r="CA44" s="263"/>
      <c r="CB44" s="279"/>
      <c r="CC44" s="263"/>
    </row>
    <row r="45" spans="2:81" ht="21" customHeight="1" x14ac:dyDescent="0.55000000000000004">
      <c r="B45" s="263"/>
      <c r="C45" s="263"/>
      <c r="D45" s="263"/>
      <c r="E45" s="263"/>
      <c r="F45" s="263"/>
      <c r="G45" s="263"/>
      <c r="H45" s="263"/>
      <c r="I45" s="263"/>
      <c r="J45" s="263"/>
      <c r="K45" s="263"/>
      <c r="L45" s="263"/>
      <c r="M45" s="263"/>
      <c r="N45" s="263"/>
      <c r="O45" s="263"/>
      <c r="P45" s="263"/>
      <c r="Q45" s="263"/>
      <c r="R45" s="263"/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75"/>
      <c r="AM45" s="293">
        <f>VLOOKUP(AM44,市町村データ領域,MATCH($C$5, 市町村データヘッダー, 0),FALSE)</f>
        <v>4764</v>
      </c>
      <c r="AN45" s="294"/>
      <c r="AO45" s="294"/>
      <c r="AP45" s="295"/>
      <c r="AQ45" s="293">
        <f>VLOOKUP(AQ44,市町村データ領域,MATCH($C$5, 市町村データヘッダー, 0),FALSE)</f>
        <v>7289</v>
      </c>
      <c r="AR45" s="294"/>
      <c r="AS45" s="294"/>
      <c r="AT45" s="295"/>
      <c r="AU45" s="293">
        <f>VLOOKUP(AU44,市町村データ領域,MATCH($C$5, 市町村データヘッダー, 0),FALSE)</f>
        <v>7904</v>
      </c>
      <c r="AV45" s="294"/>
      <c r="AW45" s="294"/>
      <c r="AX45" s="295"/>
      <c r="AY45" s="293">
        <f>VLOOKUP(AY44,市町村データ領域,MATCH($C$5, 市町村データヘッダー, 0),FALSE)</f>
        <v>7675</v>
      </c>
      <c r="AZ45" s="294"/>
      <c r="BA45" s="294"/>
      <c r="BB45" s="295"/>
      <c r="BC45" s="293">
        <f>VLOOKUP(BC44,市町村データ領域,MATCH($C$5, 市町村データヘッダー, 0),FALSE)</f>
        <v>7815</v>
      </c>
      <c r="BD45" s="294"/>
      <c r="BE45" s="294"/>
      <c r="BF45" s="295"/>
      <c r="BG45" s="293">
        <f>VLOOKUP(BG44,市町村データ領域,MATCH($C$5, 市町村データヘッダー, 0),FALSE)</f>
        <v>14804</v>
      </c>
      <c r="BH45" s="294"/>
      <c r="BI45" s="294"/>
      <c r="BJ45" s="295"/>
      <c r="BK45" s="293">
        <f>VLOOKUP(BK44,市町村データ領域,MATCH($C$5, 市町村データヘッダー, 0),FALSE)</f>
        <v>9787</v>
      </c>
      <c r="BL45" s="294"/>
      <c r="BM45" s="294"/>
      <c r="BN45" s="295"/>
      <c r="BO45" s="293">
        <f>VLOOKUP(BO44,市町村データ領域,MATCH($C$5, 市町村データヘッダー, 0),FALSE)</f>
        <v>9149</v>
      </c>
      <c r="BP45" s="294"/>
      <c r="BQ45" s="294"/>
      <c r="BR45" s="295"/>
      <c r="BS45" s="293">
        <f>VLOOKUP(BS44,市町村データ領域,MATCH($C$5, 市町村データヘッダー, 0),FALSE)</f>
        <v>5165</v>
      </c>
      <c r="BT45" s="294"/>
      <c r="BU45" s="294"/>
      <c r="BV45" s="295"/>
      <c r="BW45" s="263"/>
      <c r="BX45" s="263"/>
      <c r="BY45" s="263"/>
      <c r="BZ45" s="263"/>
      <c r="CA45" s="263"/>
      <c r="CB45" s="279"/>
      <c r="CC45" s="263"/>
    </row>
    <row r="46" spans="2:81" ht="21" customHeight="1" x14ac:dyDescent="0.55000000000000004">
      <c r="B46" s="263"/>
      <c r="C46" s="263"/>
      <c r="D46" s="263"/>
      <c r="E46" s="263"/>
      <c r="F46" s="263"/>
      <c r="G46" s="263" t="s">
        <v>283</v>
      </c>
      <c r="H46" s="263"/>
      <c r="I46" s="263"/>
      <c r="J46" s="263"/>
      <c r="K46" s="263"/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75"/>
      <c r="AM46" s="296">
        <f>VLOOKUP(AM44,市町村データ領域,MATCH($C$6, 市町村データヘッダー, 0),FALSE)</f>
        <v>343529</v>
      </c>
      <c r="AN46" s="297"/>
      <c r="AO46" s="297"/>
      <c r="AP46" s="298"/>
      <c r="AQ46" s="296">
        <f>VLOOKUP(AQ44,市町村データ領域,MATCH($C$6, 市町村データヘッダー, 0),FALSE)</f>
        <v>166036</v>
      </c>
      <c r="AR46" s="297"/>
      <c r="AS46" s="297"/>
      <c r="AT46" s="298"/>
      <c r="AU46" s="296">
        <f>VLOOKUP(AU44,市町村データ領域,MATCH($C$6, 市町村データヘッダー, 0),FALSE)</f>
        <v>144964</v>
      </c>
      <c r="AV46" s="297"/>
      <c r="AW46" s="297"/>
      <c r="AX46" s="298"/>
      <c r="AY46" s="296">
        <f>VLOOKUP(AY44,市町村データ領域,MATCH($C$6, 市町村データヘッダー, 0),FALSE)</f>
        <v>84728</v>
      </c>
      <c r="AZ46" s="297"/>
      <c r="BA46" s="297"/>
      <c r="BB46" s="298"/>
      <c r="BC46" s="296">
        <f>VLOOKUP(BC44,市町村データ領域,MATCH($C$6, 市町村データヘッダー, 0),FALSE)</f>
        <v>142163</v>
      </c>
      <c r="BD46" s="297"/>
      <c r="BE46" s="297"/>
      <c r="BF46" s="298"/>
      <c r="BG46" s="296">
        <f>VLOOKUP(BG44,市町村データ領域,MATCH($C$6, 市町村データヘッダー, 0),FALSE)</f>
        <v>75646</v>
      </c>
      <c r="BH46" s="297"/>
      <c r="BI46" s="297"/>
      <c r="BJ46" s="298"/>
      <c r="BK46" s="296">
        <f>VLOOKUP(BK44,市町村データ領域,MATCH($C$6, 市町村データヘッダー, 0),FALSE)</f>
        <v>606315</v>
      </c>
      <c r="BL46" s="297"/>
      <c r="BM46" s="297"/>
      <c r="BN46" s="298"/>
      <c r="BO46" s="296">
        <f>VLOOKUP(BO44,市町村データ領域,MATCH($C$6, 市町村データヘッダー, 0),FALSE)</f>
        <v>251219</v>
      </c>
      <c r="BP46" s="297"/>
      <c r="BQ46" s="297"/>
      <c r="BR46" s="298"/>
      <c r="BS46" s="296">
        <f>VLOOKUP(BS44,市町村データ領域,MATCH($C$6, 市町村データヘッダー, 0),FALSE)</f>
        <v>93065</v>
      </c>
      <c r="BT46" s="297"/>
      <c r="BU46" s="297"/>
      <c r="BV46" s="298"/>
      <c r="BW46" s="263"/>
      <c r="BX46" s="263"/>
      <c r="BY46" s="263"/>
      <c r="BZ46" s="263"/>
      <c r="CA46" s="263"/>
      <c r="CB46" s="279"/>
      <c r="CC46" s="263"/>
    </row>
    <row r="47" spans="2:81" ht="21" customHeight="1" thickBot="1" x14ac:dyDescent="0.6">
      <c r="B47" s="263"/>
      <c r="C47" s="263"/>
      <c r="D47" s="263"/>
      <c r="E47" s="263"/>
      <c r="F47" s="263"/>
      <c r="G47" s="292" t="s">
        <v>284</v>
      </c>
      <c r="H47" s="263"/>
      <c r="I47" s="263"/>
      <c r="J47" s="263"/>
      <c r="K47" s="263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75"/>
      <c r="AM47" s="299">
        <f>VLOOKUP(AM44,市町村データ領域,MATCH($C$7, 市町村データヘッダー, 0),FALSE)</f>
        <v>72.099999999999994</v>
      </c>
      <c r="AN47" s="300"/>
      <c r="AO47" s="300"/>
      <c r="AP47" s="301"/>
      <c r="AQ47" s="299">
        <f>VLOOKUP(AQ44,市町村データ領域,MATCH($C$7, 市町村データヘッダー, 0),FALSE)</f>
        <v>22.8</v>
      </c>
      <c r="AR47" s="300"/>
      <c r="AS47" s="300"/>
      <c r="AT47" s="301"/>
      <c r="AU47" s="299">
        <f>VLOOKUP(AU44,市町村データ領域,MATCH($C$7, 市町村データヘッダー, 0),FALSE)</f>
        <v>18.3</v>
      </c>
      <c r="AV47" s="300"/>
      <c r="AW47" s="300"/>
      <c r="AX47" s="301"/>
      <c r="AY47" s="299">
        <f>VLOOKUP(AY44,市町村データ領域,MATCH($C$7, 市町村データヘッダー, 0),FALSE)</f>
        <v>11</v>
      </c>
      <c r="AZ47" s="300"/>
      <c r="BA47" s="300"/>
      <c r="BB47" s="301"/>
      <c r="BC47" s="299">
        <f>VLOOKUP(BC44,市町村データ領域,MATCH($C$7, 市町村データヘッダー, 0),FALSE)</f>
        <v>18.2</v>
      </c>
      <c r="BD47" s="300"/>
      <c r="BE47" s="300"/>
      <c r="BF47" s="301"/>
      <c r="BG47" s="299">
        <f>VLOOKUP(BG44,市町村データ領域,MATCH($C$7, 市町村データヘッダー, 0),FALSE)</f>
        <v>5.0999999999999996</v>
      </c>
      <c r="BH47" s="300"/>
      <c r="BI47" s="300"/>
      <c r="BJ47" s="301"/>
      <c r="BK47" s="299">
        <f>VLOOKUP(BK44,市町村データ領域,MATCH($C$7, 市町村データヘッダー, 0),FALSE)</f>
        <v>62</v>
      </c>
      <c r="BL47" s="300"/>
      <c r="BM47" s="300"/>
      <c r="BN47" s="301"/>
      <c r="BO47" s="299">
        <f>VLOOKUP(BO44,市町村データ領域,MATCH($C$7, 市町村データヘッダー, 0),FALSE)</f>
        <v>27.5</v>
      </c>
      <c r="BP47" s="300"/>
      <c r="BQ47" s="300"/>
      <c r="BR47" s="301"/>
      <c r="BS47" s="299">
        <f>VLOOKUP(BS44,市町村データ領域,MATCH($C$7, 市町村データヘッダー, 0),FALSE)</f>
        <v>18</v>
      </c>
      <c r="BT47" s="300"/>
      <c r="BU47" s="300"/>
      <c r="BV47" s="301"/>
      <c r="BW47" s="263"/>
      <c r="BX47" s="263"/>
      <c r="BY47" s="263"/>
      <c r="BZ47" s="263"/>
      <c r="CA47" s="263"/>
      <c r="CB47" s="279"/>
      <c r="CC47" s="263"/>
    </row>
    <row r="48" spans="2:81" ht="21" customHeight="1" x14ac:dyDescent="0.55000000000000004">
      <c r="B48" s="263"/>
      <c r="C48" s="263"/>
      <c r="D48" s="263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86"/>
      <c r="AN48" s="286"/>
      <c r="AO48" s="286"/>
      <c r="AP48" s="286"/>
      <c r="AQ48" s="286"/>
      <c r="AR48" s="286"/>
      <c r="AS48" s="286"/>
      <c r="AT48" s="286"/>
      <c r="AU48" s="286"/>
      <c r="AV48" s="286"/>
      <c r="AW48" s="286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63"/>
      <c r="BX48" s="263"/>
      <c r="BY48" s="263"/>
      <c r="BZ48" s="263"/>
      <c r="CA48" s="263"/>
      <c r="CB48" s="279"/>
      <c r="CC48" s="263"/>
    </row>
    <row r="49" spans="2:81" ht="21" customHeight="1" x14ac:dyDescent="0.55000000000000004"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9"/>
      <c r="AR49" s="279"/>
      <c r="AS49" s="279"/>
      <c r="AT49" s="279"/>
      <c r="AU49" s="279"/>
      <c r="AV49" s="279"/>
      <c r="AW49" s="279"/>
      <c r="AX49" s="279"/>
      <c r="AY49" s="279"/>
      <c r="AZ49" s="279"/>
      <c r="BA49" s="279"/>
      <c r="BB49" s="279"/>
      <c r="BC49" s="279"/>
      <c r="BD49" s="279"/>
      <c r="BE49" s="279"/>
      <c r="BF49" s="279"/>
      <c r="BG49" s="279"/>
      <c r="BH49" s="279"/>
      <c r="BI49" s="279"/>
      <c r="BJ49" s="279"/>
      <c r="BK49" s="279"/>
      <c r="BL49" s="279"/>
      <c r="BM49" s="279"/>
      <c r="BN49" s="279"/>
      <c r="BO49" s="279"/>
      <c r="BP49" s="279"/>
      <c r="BQ49" s="279"/>
      <c r="BR49" s="279"/>
      <c r="BS49" s="279"/>
      <c r="BT49" s="279"/>
      <c r="BU49" s="279"/>
      <c r="BV49" s="279"/>
      <c r="BW49" s="279"/>
      <c r="BX49" s="279"/>
      <c r="BY49" s="279"/>
      <c r="BZ49" s="279"/>
      <c r="CA49" s="279"/>
      <c r="CB49" s="279"/>
      <c r="CC49" s="263"/>
    </row>
  </sheetData>
  <mergeCells count="256">
    <mergeCell ref="D4:F4"/>
    <mergeCell ref="C5:F5"/>
    <mergeCell ref="C6:F6"/>
    <mergeCell ref="C7:F7"/>
    <mergeCell ref="H16:J16"/>
    <mergeCell ref="L16:N16"/>
    <mergeCell ref="P16:R16"/>
    <mergeCell ref="X16:Z16"/>
    <mergeCell ref="AR16:AT16"/>
    <mergeCell ref="AV16:AX16"/>
    <mergeCell ref="G17:J17"/>
    <mergeCell ref="K17:N17"/>
    <mergeCell ref="O17:R17"/>
    <mergeCell ref="W17:Z17"/>
    <mergeCell ref="AQ17:AT17"/>
    <mergeCell ref="AU17:AX17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H32:J32"/>
    <mergeCell ref="T32:V32"/>
    <mergeCell ref="AB32:AD32"/>
    <mergeCell ref="AF32:AH32"/>
    <mergeCell ref="AJ32:AL32"/>
    <mergeCell ref="AN32:AP32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BL32:BN32"/>
    <mergeCell ref="BT32:BV32"/>
    <mergeCell ref="BC31:BF31"/>
    <mergeCell ref="BG31:BJ31"/>
    <mergeCell ref="BK31:BN31"/>
    <mergeCell ref="BO31:BR31"/>
    <mergeCell ref="BK33:BN33"/>
    <mergeCell ref="BS33:BV33"/>
    <mergeCell ref="G33:J33"/>
    <mergeCell ref="S33:V33"/>
    <mergeCell ref="AA33:AD33"/>
    <mergeCell ref="AE33:AH33"/>
    <mergeCell ref="AI33:AL33"/>
    <mergeCell ref="AM33:AP33"/>
    <mergeCell ref="BK34:BN34"/>
    <mergeCell ref="BS34:BV34"/>
    <mergeCell ref="G34:J34"/>
    <mergeCell ref="S34:V34"/>
    <mergeCell ref="AA34:AD34"/>
    <mergeCell ref="AE34:AH34"/>
    <mergeCell ref="AI34:AL34"/>
    <mergeCell ref="AM34:AP34"/>
    <mergeCell ref="BK35:BN35"/>
    <mergeCell ref="BS35:BV35"/>
    <mergeCell ref="G35:J35"/>
    <mergeCell ref="S35:V35"/>
    <mergeCell ref="AA35:AD35"/>
    <mergeCell ref="AE35:AH35"/>
    <mergeCell ref="AI35:AL35"/>
    <mergeCell ref="AM35:AP35"/>
    <mergeCell ref="G37:J37"/>
    <mergeCell ref="S37:V37"/>
    <mergeCell ref="AI37:AL37"/>
    <mergeCell ref="AM37:AP37"/>
    <mergeCell ref="AQ37:AT37"/>
    <mergeCell ref="H36:J36"/>
    <mergeCell ref="T36:V36"/>
    <mergeCell ref="AJ36:AL36"/>
    <mergeCell ref="AN36:AP36"/>
    <mergeCell ref="AR36:AT36"/>
    <mergeCell ref="AU37:AX37"/>
    <mergeCell ref="BC37:BF37"/>
    <mergeCell ref="BK37:BN37"/>
    <mergeCell ref="BS37:BV37"/>
    <mergeCell ref="BD36:BF36"/>
    <mergeCell ref="BL36:BN36"/>
    <mergeCell ref="BT36:BV36"/>
    <mergeCell ref="AV36:AX36"/>
    <mergeCell ref="G39:J39"/>
    <mergeCell ref="S39:V39"/>
    <mergeCell ref="AI39:AL39"/>
    <mergeCell ref="AM39:AP39"/>
    <mergeCell ref="AQ39:AT39"/>
    <mergeCell ref="G38:J38"/>
    <mergeCell ref="S38:V38"/>
    <mergeCell ref="AI38:AL38"/>
    <mergeCell ref="AM38:AP38"/>
    <mergeCell ref="AQ38:AT38"/>
    <mergeCell ref="AU39:AX39"/>
    <mergeCell ref="BC39:BF39"/>
    <mergeCell ref="BK39:BN39"/>
    <mergeCell ref="BS39:BV39"/>
    <mergeCell ref="BC38:BF38"/>
    <mergeCell ref="BK38:BN38"/>
    <mergeCell ref="BS38:BV38"/>
    <mergeCell ref="AU38:AX38"/>
    <mergeCell ref="BT40:BV40"/>
    <mergeCell ref="AM41:AP41"/>
    <mergeCell ref="AQ41:AT41"/>
    <mergeCell ref="AU41:AX41"/>
    <mergeCell ref="BS41:BV41"/>
    <mergeCell ref="AN40:AP40"/>
    <mergeCell ref="AR40:AT40"/>
    <mergeCell ref="AV40:AX40"/>
    <mergeCell ref="BS42:BV42"/>
    <mergeCell ref="AM43:AP43"/>
    <mergeCell ref="AQ43:AT43"/>
    <mergeCell ref="AU43:AX43"/>
    <mergeCell ref="BS43:BV43"/>
    <mergeCell ref="AM42:AP42"/>
    <mergeCell ref="AQ42:AT42"/>
    <mergeCell ref="AU42:AX42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人口_ボタン2_Click">
                <anchor moveWithCells="1" sizeWithCells="1">
                  <from>
                    <xdr:col>11</xdr:col>
                    <xdr:colOff>88900</xdr:colOff>
                    <xdr:row>3</xdr:row>
                    <xdr:rowOff>82550</xdr:rowOff>
                  </from>
                  <to>
                    <xdr:col>22</xdr:col>
                    <xdr:colOff>127000</xdr:colOff>
                    <xdr:row>6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L2" sqref="L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8"/>
      <c r="C3" s="39" t="s">
        <v>191</v>
      </c>
      <c r="D3" s="49" t="s">
        <v>190</v>
      </c>
      <c r="E3" s="52" t="s">
        <v>271</v>
      </c>
      <c r="G3" s="38"/>
      <c r="H3" s="39" t="s">
        <v>191</v>
      </c>
      <c r="I3" s="49" t="s">
        <v>190</v>
      </c>
      <c r="J3" s="52" t="s">
        <v>271</v>
      </c>
    </row>
    <row r="4" spans="1:10" ht="21" customHeight="1" x14ac:dyDescent="0.55000000000000004">
      <c r="B4" s="46">
        <v>1</v>
      </c>
      <c r="C4" s="37">
        <v>14000</v>
      </c>
      <c r="D4" s="23"/>
      <c r="E4" s="50"/>
      <c r="G4" s="46">
        <v>1</v>
      </c>
      <c r="H4" s="37">
        <v>1000000</v>
      </c>
      <c r="I4" s="23"/>
      <c r="J4" s="50"/>
    </row>
    <row r="5" spans="1:10" ht="21" customHeight="1" x14ac:dyDescent="0.55000000000000004">
      <c r="B5" s="46">
        <v>2</v>
      </c>
      <c r="C5" s="37">
        <v>9000</v>
      </c>
      <c r="D5" s="76"/>
      <c r="E5" s="50"/>
      <c r="G5" s="46">
        <v>2</v>
      </c>
      <c r="H5" s="37">
        <v>500000</v>
      </c>
      <c r="I5" s="76"/>
      <c r="J5" s="50"/>
    </row>
    <row r="6" spans="1:10" ht="21" customHeight="1" x14ac:dyDescent="0.55000000000000004">
      <c r="B6" s="46">
        <v>3</v>
      </c>
      <c r="C6" s="37">
        <v>8000</v>
      </c>
      <c r="D6" s="75"/>
      <c r="E6" s="50"/>
      <c r="G6" s="46">
        <v>3</v>
      </c>
      <c r="H6" s="37">
        <v>250000</v>
      </c>
      <c r="I6" s="75"/>
      <c r="J6" s="50"/>
    </row>
    <row r="7" spans="1:10" ht="21" customHeight="1" x14ac:dyDescent="0.55000000000000004">
      <c r="B7" s="46">
        <v>4</v>
      </c>
      <c r="C7" s="37">
        <v>7000</v>
      </c>
      <c r="D7" s="24"/>
      <c r="E7" s="51"/>
      <c r="G7" s="46">
        <v>4</v>
      </c>
      <c r="H7" s="37">
        <v>125000</v>
      </c>
      <c r="I7" s="24"/>
      <c r="J7" s="51"/>
    </row>
    <row r="8" spans="1:10" ht="21" customHeight="1" x14ac:dyDescent="0.55000000000000004">
      <c r="B8" s="46">
        <v>5</v>
      </c>
      <c r="C8" s="37">
        <v>6000</v>
      </c>
      <c r="D8" s="35"/>
      <c r="E8" s="51"/>
      <c r="G8" s="46">
        <v>5</v>
      </c>
      <c r="H8" s="37">
        <v>62500</v>
      </c>
      <c r="I8" s="35"/>
      <c r="J8" s="51"/>
    </row>
    <row r="9" spans="1:10" ht="21" customHeight="1" x14ac:dyDescent="0.55000000000000004">
      <c r="B9" s="46">
        <v>6</v>
      </c>
      <c r="C9" s="37">
        <v>5000</v>
      </c>
      <c r="D9" s="22"/>
      <c r="E9" s="51"/>
      <c r="G9" s="46">
        <v>6</v>
      </c>
      <c r="H9" s="37">
        <v>31250</v>
      </c>
      <c r="I9" s="22"/>
      <c r="J9" s="51"/>
    </row>
    <row r="10" spans="1:10" ht="21" customHeight="1" x14ac:dyDescent="0.55000000000000004">
      <c r="B10" s="46">
        <v>7</v>
      </c>
      <c r="C10" s="37">
        <v>4000</v>
      </c>
      <c r="D10" s="77"/>
      <c r="E10" s="51"/>
      <c r="G10" s="46">
        <v>7</v>
      </c>
      <c r="H10" s="37">
        <v>15625</v>
      </c>
      <c r="I10" s="77"/>
      <c r="J10" s="51"/>
    </row>
    <row r="11" spans="1:10" ht="21" customHeight="1" x14ac:dyDescent="0.55000000000000004">
      <c r="B11" s="46">
        <v>8</v>
      </c>
      <c r="C11" s="37">
        <v>3000</v>
      </c>
      <c r="D11" s="72"/>
      <c r="E11" s="51"/>
      <c r="G11" s="46">
        <v>8</v>
      </c>
      <c r="H11" s="37">
        <v>7812</v>
      </c>
      <c r="I11" s="72"/>
      <c r="J11" s="51"/>
    </row>
    <row r="12" spans="1:10" ht="21" customHeight="1" x14ac:dyDescent="0.55000000000000004">
      <c r="B12" s="46">
        <v>9</v>
      </c>
      <c r="C12" s="37">
        <v>2000</v>
      </c>
      <c r="D12" s="73"/>
      <c r="E12" s="51"/>
      <c r="G12" s="46">
        <v>9</v>
      </c>
      <c r="H12" s="37">
        <v>3906</v>
      </c>
      <c r="I12" s="73"/>
      <c r="J12" s="51"/>
    </row>
    <row r="13" spans="1:10" ht="21" customHeight="1" x14ac:dyDescent="0.55000000000000004">
      <c r="B13" s="47">
        <v>10</v>
      </c>
      <c r="C13" s="37">
        <v>1000</v>
      </c>
      <c r="D13" s="74"/>
      <c r="E13" s="51"/>
      <c r="G13" s="47">
        <v>10</v>
      </c>
      <c r="H13" s="37">
        <v>1953</v>
      </c>
      <c r="I13" s="74"/>
      <c r="J13" s="51"/>
    </row>
    <row r="14" spans="1:10" ht="21" customHeight="1" x14ac:dyDescent="0.55000000000000004">
      <c r="B14" s="47">
        <v>11</v>
      </c>
      <c r="C14" s="37">
        <v>0</v>
      </c>
      <c r="D14" s="8"/>
      <c r="E14" s="51"/>
      <c r="G14" s="47">
        <v>11</v>
      </c>
      <c r="H14" s="37">
        <v>0</v>
      </c>
      <c r="I14" s="8"/>
      <c r="J14" s="51"/>
    </row>
    <row r="15" spans="1:10" ht="21" customHeight="1" x14ac:dyDescent="0.55000000000000004">
      <c r="B15" s="46">
        <v>12</v>
      </c>
      <c r="C15" s="37">
        <v>0</v>
      </c>
      <c r="D15" s="8"/>
      <c r="E15" s="51"/>
      <c r="G15" s="46">
        <v>12</v>
      </c>
      <c r="H15" s="37">
        <v>0</v>
      </c>
      <c r="I15" s="8"/>
      <c r="J15" s="51"/>
    </row>
    <row r="16" spans="1:10" ht="21" customHeight="1" x14ac:dyDescent="0.55000000000000004">
      <c r="B16" s="46">
        <v>13</v>
      </c>
      <c r="C16" s="37">
        <v>0</v>
      </c>
      <c r="D16" s="8"/>
      <c r="E16" s="51"/>
      <c r="G16" s="46">
        <v>13</v>
      </c>
      <c r="H16" s="37">
        <v>0</v>
      </c>
      <c r="I16" s="8"/>
      <c r="J16" s="51"/>
    </row>
    <row r="17" spans="2:10" ht="21" customHeight="1" x14ac:dyDescent="0.55000000000000004">
      <c r="B17" s="46">
        <v>14</v>
      </c>
      <c r="C17" s="37">
        <v>0</v>
      </c>
      <c r="D17" s="8"/>
      <c r="E17" s="51"/>
      <c r="G17" s="46">
        <v>14</v>
      </c>
      <c r="H17" s="37">
        <v>0</v>
      </c>
      <c r="I17" s="8"/>
      <c r="J17" s="51"/>
    </row>
    <row r="18" spans="2:10" ht="21" customHeight="1" x14ac:dyDescent="0.55000000000000004">
      <c r="B18" s="46">
        <v>15</v>
      </c>
      <c r="C18" s="37">
        <v>0</v>
      </c>
      <c r="D18" s="8"/>
      <c r="E18" s="51"/>
      <c r="G18" s="46">
        <v>15</v>
      </c>
      <c r="H18" s="37">
        <v>0</v>
      </c>
      <c r="I18" s="8"/>
      <c r="J18" s="51"/>
    </row>
    <row r="19" spans="2:10" ht="21" customHeight="1" x14ac:dyDescent="0.55000000000000004">
      <c r="B19" s="46">
        <v>16</v>
      </c>
      <c r="C19" s="37">
        <v>0</v>
      </c>
      <c r="D19" s="8"/>
      <c r="E19" s="51"/>
      <c r="G19" s="46">
        <v>16</v>
      </c>
      <c r="H19" s="37">
        <v>0</v>
      </c>
      <c r="I19" s="8"/>
      <c r="J19" s="51"/>
    </row>
    <row r="20" spans="2:10" ht="21" customHeight="1" x14ac:dyDescent="0.55000000000000004">
      <c r="B20" s="46">
        <v>17</v>
      </c>
      <c r="C20" s="37">
        <v>0</v>
      </c>
      <c r="D20" s="8"/>
      <c r="E20" s="51"/>
      <c r="G20" s="46">
        <v>17</v>
      </c>
      <c r="H20" s="37">
        <v>0</v>
      </c>
      <c r="I20" s="8"/>
      <c r="J20" s="51"/>
    </row>
    <row r="21" spans="2:10" ht="21" customHeight="1" x14ac:dyDescent="0.55000000000000004">
      <c r="B21" s="46">
        <v>18</v>
      </c>
      <c r="C21" s="37">
        <v>0</v>
      </c>
      <c r="D21" s="8"/>
      <c r="E21" s="51"/>
      <c r="G21" s="46">
        <v>18</v>
      </c>
      <c r="H21" s="37">
        <v>0</v>
      </c>
      <c r="I21" s="8"/>
      <c r="J21" s="51"/>
    </row>
    <row r="22" spans="2:10" ht="21" customHeight="1" x14ac:dyDescent="0.55000000000000004">
      <c r="B22" s="46">
        <v>19</v>
      </c>
      <c r="C22" s="37">
        <v>0</v>
      </c>
      <c r="D22" s="8"/>
      <c r="E22" s="51"/>
      <c r="G22" s="46">
        <v>19</v>
      </c>
      <c r="H22" s="37">
        <v>0</v>
      </c>
      <c r="I22" s="8"/>
      <c r="J22" s="51"/>
    </row>
    <row r="23" spans="2:10" ht="21" customHeight="1" thickBot="1" x14ac:dyDescent="0.6">
      <c r="B23" s="48">
        <v>20</v>
      </c>
      <c r="C23" s="40">
        <v>0</v>
      </c>
      <c r="D23" s="13"/>
      <c r="E23" s="51"/>
      <c r="G23" s="48">
        <v>20</v>
      </c>
      <c r="H23" s="40">
        <v>0</v>
      </c>
      <c r="I23" s="13"/>
      <c r="J23" s="5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1" customFormat="1" x14ac:dyDescent="0.55000000000000004">
      <c r="A1" s="5" t="s">
        <v>172</v>
      </c>
      <c r="B1" s="5"/>
    </row>
    <row r="2" spans="1:7" s="41" customFormat="1" x14ac:dyDescent="0.55000000000000004">
      <c r="A2" s="42" t="s">
        <v>171</v>
      </c>
      <c r="B2" s="42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33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33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33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33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33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33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33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33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33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33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33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33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33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33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33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33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33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33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33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33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33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33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33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33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33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33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33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33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33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33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33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33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33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33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33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33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33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33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33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33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33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33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33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33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33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33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33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33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33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33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33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33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33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33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33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33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33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33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33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33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33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33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33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33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33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33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33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33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33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33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33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33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33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2025-06-06T04:34:46Z</dcterms:modified>
</cp:coreProperties>
</file>