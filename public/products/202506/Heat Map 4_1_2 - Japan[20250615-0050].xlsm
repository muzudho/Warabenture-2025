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4D25A03C-F727-46FB-A984-09F206467543}" xr6:coauthVersionLast="47" xr6:coauthVersionMax="47" xr10:uidLastSave="{00000000-0000-0000-0000-000000000000}"/>
  <bookViews>
    <workbookView xWindow="3720" yWindow="1180" windowWidth="34760" windowHeight="19630" tabRatio="674" xr2:uid="{F917344C-C780-48F4-9CB5-33E5B2D23EE5}"/>
  </bookViews>
  <sheets>
    <sheet name="手順書_はじめに" sheetId="179" r:id="rId1"/>
    <sheet name="自動生成_地図データ" sheetId="376" r:id="rId2"/>
    <sheet name="CHANGELOG" sheetId="276" r:id="rId3"/>
    <sheet name="地図テンプレート_全国" sheetId="374" r:id="rId4"/>
    <sheet name="市町村データ" sheetId="375" r:id="rId5"/>
    <sheet name="手順書_1_市町村なまえ" sheetId="116" r:id="rId6"/>
    <sheet name="自動生成_全国_市町村なまえ" sheetId="377" r:id="rId7"/>
    <sheet name="手順書_全国_人口" sheetId="369" r:id="rId8"/>
    <sheet name="自動生成_全国_人口" sheetId="379" r:id="rId9"/>
    <sheet name="手順書_全国_人口密度" sheetId="372" r:id="rId10"/>
    <sheet name="自動生成_全国_人口密度" sheetId="380" r:id="rId11"/>
  </sheets>
  <functionGroups builtInGroupCount="19"/>
  <definedNames>
    <definedName name="_xlnm._FilterDatabase" localSheetId="4" hidden="1">市町村データ!$A$1:$AX$1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4" i="380" l="1"/>
  <c r="G33" i="380"/>
  <c r="G32" i="380"/>
  <c r="H31" i="380"/>
  <c r="K34" i="380"/>
  <c r="K33" i="380"/>
  <c r="K32" i="380"/>
  <c r="L31" i="380"/>
  <c r="K30" i="380"/>
  <c r="K29" i="380"/>
  <c r="K28" i="380"/>
  <c r="L27" i="380"/>
  <c r="K26" i="380"/>
  <c r="K25" i="380"/>
  <c r="K24" i="380"/>
  <c r="L23" i="380"/>
  <c r="G30" i="380"/>
  <c r="G29" i="380"/>
  <c r="G28" i="380"/>
  <c r="H27" i="380"/>
  <c r="G26" i="380"/>
  <c r="G25" i="380"/>
  <c r="G24" i="380"/>
  <c r="H23" i="380"/>
  <c r="G22" i="380"/>
  <c r="G21" i="380"/>
  <c r="G20" i="380"/>
  <c r="H19" i="380"/>
  <c r="K22" i="380"/>
  <c r="K21" i="380"/>
  <c r="K20" i="380"/>
  <c r="L19" i="380"/>
  <c r="S30" i="380"/>
  <c r="S29" i="380"/>
  <c r="S28" i="380"/>
  <c r="T27" i="380"/>
  <c r="S26" i="380"/>
  <c r="S25" i="380"/>
  <c r="S24" i="380"/>
  <c r="T23" i="380"/>
  <c r="W26" i="380"/>
  <c r="W25" i="380"/>
  <c r="W24" i="380"/>
  <c r="X23" i="380"/>
  <c r="W30" i="380"/>
  <c r="W29" i="380"/>
  <c r="W28" i="380"/>
  <c r="X27" i="380"/>
  <c r="O22" i="380"/>
  <c r="O21" i="380"/>
  <c r="O20" i="380"/>
  <c r="P19" i="380"/>
  <c r="S22" i="380"/>
  <c r="S21" i="380"/>
  <c r="S20" i="380"/>
  <c r="T19" i="380"/>
  <c r="W22" i="380"/>
  <c r="W21" i="380"/>
  <c r="W20" i="380"/>
  <c r="X19" i="380"/>
  <c r="S18" i="380"/>
  <c r="S17" i="380"/>
  <c r="S16" i="380"/>
  <c r="T15" i="380"/>
  <c r="W18" i="380"/>
  <c r="W17" i="380"/>
  <c r="W16" i="380"/>
  <c r="X15" i="380"/>
  <c r="AE26" i="380"/>
  <c r="AE25" i="380"/>
  <c r="AE24" i="380"/>
  <c r="AF23" i="380"/>
  <c r="AI22" i="380"/>
  <c r="AI21" i="380"/>
  <c r="AI20" i="380"/>
  <c r="AJ19" i="380"/>
  <c r="AA22" i="380"/>
  <c r="AA21" i="380"/>
  <c r="AA20" i="380"/>
  <c r="AB19" i="380"/>
  <c r="AE22" i="380"/>
  <c r="AE21" i="380"/>
  <c r="AE20" i="380"/>
  <c r="AF19" i="380"/>
  <c r="AE18" i="380"/>
  <c r="AE17" i="380"/>
  <c r="AE16" i="380"/>
  <c r="AF15" i="380"/>
  <c r="AM22" i="380"/>
  <c r="AM21" i="380"/>
  <c r="AM20" i="380"/>
  <c r="AN19" i="380"/>
  <c r="AM26" i="380"/>
  <c r="AM25" i="380"/>
  <c r="AM24" i="380"/>
  <c r="AN23" i="380"/>
  <c r="AQ26" i="380"/>
  <c r="AQ25" i="380"/>
  <c r="AQ24" i="380"/>
  <c r="AR23" i="380"/>
  <c r="AU26" i="380"/>
  <c r="AU25" i="380"/>
  <c r="AU24" i="380"/>
  <c r="AV23" i="380"/>
  <c r="AQ22" i="380"/>
  <c r="AQ21" i="380"/>
  <c r="AQ20" i="380"/>
  <c r="AR19" i="380"/>
  <c r="AU22" i="380"/>
  <c r="AU21" i="380"/>
  <c r="AU20" i="380"/>
  <c r="AV19" i="380"/>
  <c r="AY22" i="380"/>
  <c r="AY21" i="380"/>
  <c r="AY20" i="380"/>
  <c r="AZ19" i="380"/>
  <c r="AI18" i="380"/>
  <c r="AI17" i="380"/>
  <c r="AI16" i="380"/>
  <c r="AJ15" i="380"/>
  <c r="AM18" i="380"/>
  <c r="AM17" i="380"/>
  <c r="AM16" i="380"/>
  <c r="AN15" i="380"/>
  <c r="AQ18" i="380"/>
  <c r="AQ17" i="380"/>
  <c r="AQ16" i="380"/>
  <c r="AR15" i="380"/>
  <c r="BC14" i="380"/>
  <c r="BC13" i="380"/>
  <c r="BC12" i="380"/>
  <c r="BD11" i="380"/>
  <c r="AY26" i="380"/>
  <c r="AY25" i="380"/>
  <c r="AY24" i="380"/>
  <c r="AZ23" i="380"/>
  <c r="BC26" i="380"/>
  <c r="BC25" i="380"/>
  <c r="BC24" i="380"/>
  <c r="BD23" i="380"/>
  <c r="BG26" i="380"/>
  <c r="BG25" i="380"/>
  <c r="BG24" i="380"/>
  <c r="BH23" i="380"/>
  <c r="BC22" i="380"/>
  <c r="BC21" i="380"/>
  <c r="BC20" i="380"/>
  <c r="BD19" i="380"/>
  <c r="BC18" i="380"/>
  <c r="BC17" i="380"/>
  <c r="BC16" i="380"/>
  <c r="BD15" i="380"/>
  <c r="BG22" i="380"/>
  <c r="BG21" i="380"/>
  <c r="BG20" i="380"/>
  <c r="BH19" i="380"/>
  <c r="BK22" i="380"/>
  <c r="BK21" i="380"/>
  <c r="BK20" i="380"/>
  <c r="BL19" i="380"/>
  <c r="BG18" i="380"/>
  <c r="BG17" i="380"/>
  <c r="BG16" i="380"/>
  <c r="BH15" i="380"/>
  <c r="BG14" i="380"/>
  <c r="BG13" i="380"/>
  <c r="BG12" i="380"/>
  <c r="BH11" i="380"/>
  <c r="BK14" i="380"/>
  <c r="BK13" i="380"/>
  <c r="BK12" i="380"/>
  <c r="BL11" i="380"/>
  <c r="BK18" i="380"/>
  <c r="BK17" i="380"/>
  <c r="BK16" i="380"/>
  <c r="BL15" i="380"/>
  <c r="BO18" i="380"/>
  <c r="BO17" i="380"/>
  <c r="BO16" i="380"/>
  <c r="BP15" i="380"/>
  <c r="BO14" i="380"/>
  <c r="BO13" i="380"/>
  <c r="BO12" i="380"/>
  <c r="BP11" i="380"/>
  <c r="BO10" i="380"/>
  <c r="BO9" i="380"/>
  <c r="BO8" i="380"/>
  <c r="BP7" i="380"/>
  <c r="G34" i="379"/>
  <c r="G33" i="379"/>
  <c r="G32" i="379"/>
  <c r="H31" i="379"/>
  <c r="K34" i="379"/>
  <c r="K33" i="379"/>
  <c r="K32" i="379"/>
  <c r="L31" i="379"/>
  <c r="K30" i="379"/>
  <c r="K29" i="379"/>
  <c r="K28" i="379"/>
  <c r="L27" i="379"/>
  <c r="K26" i="379"/>
  <c r="K25" i="379"/>
  <c r="K24" i="379"/>
  <c r="L23" i="379"/>
  <c r="G30" i="379"/>
  <c r="G29" i="379"/>
  <c r="G28" i="379"/>
  <c r="H27" i="379"/>
  <c r="G26" i="379"/>
  <c r="G25" i="379"/>
  <c r="G24" i="379"/>
  <c r="H23" i="379"/>
  <c r="G22" i="379"/>
  <c r="G21" i="379"/>
  <c r="G20" i="379"/>
  <c r="H19" i="379"/>
  <c r="K22" i="379"/>
  <c r="K21" i="379"/>
  <c r="K20" i="379"/>
  <c r="L19" i="379"/>
  <c r="S30" i="379"/>
  <c r="S29" i="379"/>
  <c r="S28" i="379"/>
  <c r="T27" i="379"/>
  <c r="S26" i="379"/>
  <c r="S25" i="379"/>
  <c r="S24" i="379"/>
  <c r="T23" i="379"/>
  <c r="W26" i="379"/>
  <c r="W25" i="379"/>
  <c r="W24" i="379"/>
  <c r="X23" i="379"/>
  <c r="W30" i="379"/>
  <c r="W29" i="379"/>
  <c r="W28" i="379"/>
  <c r="X27" i="379"/>
  <c r="O22" i="379"/>
  <c r="O21" i="379"/>
  <c r="O20" i="379"/>
  <c r="P19" i="379"/>
  <c r="S22" i="379"/>
  <c r="S21" i="379"/>
  <c r="S20" i="379"/>
  <c r="T19" i="379"/>
  <c r="W22" i="379"/>
  <c r="W21" i="379"/>
  <c r="W20" i="379"/>
  <c r="X19" i="379"/>
  <c r="S18" i="379"/>
  <c r="S17" i="379"/>
  <c r="S16" i="379"/>
  <c r="T15" i="379"/>
  <c r="W18" i="379"/>
  <c r="W17" i="379"/>
  <c r="W16" i="379"/>
  <c r="X15" i="379"/>
  <c r="AE26" i="379"/>
  <c r="AE25" i="379"/>
  <c r="AE24" i="379"/>
  <c r="AF23" i="379"/>
  <c r="AI22" i="379"/>
  <c r="AI21" i="379"/>
  <c r="AI20" i="379"/>
  <c r="AJ19" i="379"/>
  <c r="AA22" i="379"/>
  <c r="AA21" i="379"/>
  <c r="AA20" i="379"/>
  <c r="AB19" i="379"/>
  <c r="AE22" i="379"/>
  <c r="AE21" i="379"/>
  <c r="AE20" i="379"/>
  <c r="AF19" i="379"/>
  <c r="AE18" i="379"/>
  <c r="AE17" i="379"/>
  <c r="AE16" i="379"/>
  <c r="AF15" i="379"/>
  <c r="AM22" i="379"/>
  <c r="AM21" i="379"/>
  <c r="AM20" i="379"/>
  <c r="AN19" i="379"/>
  <c r="AM26" i="379"/>
  <c r="AM25" i="379"/>
  <c r="AM24" i="379"/>
  <c r="AN23" i="379"/>
  <c r="AQ26" i="379"/>
  <c r="AQ25" i="379"/>
  <c r="AQ24" i="379"/>
  <c r="AR23" i="379"/>
  <c r="AU26" i="379"/>
  <c r="AU25" i="379"/>
  <c r="AU24" i="379"/>
  <c r="AV23" i="379"/>
  <c r="AQ22" i="379"/>
  <c r="AQ21" i="379"/>
  <c r="AQ20" i="379"/>
  <c r="AR19" i="379"/>
  <c r="AU22" i="379"/>
  <c r="AU21" i="379"/>
  <c r="AU20" i="379"/>
  <c r="AV19" i="379"/>
  <c r="AY22" i="379"/>
  <c r="AY21" i="379"/>
  <c r="AY20" i="379"/>
  <c r="AZ19" i="379"/>
  <c r="AI18" i="379"/>
  <c r="AI17" i="379"/>
  <c r="AI16" i="379"/>
  <c r="AJ15" i="379"/>
  <c r="AM18" i="379"/>
  <c r="AM17" i="379"/>
  <c r="AM16" i="379"/>
  <c r="AN15" i="379"/>
  <c r="AQ18" i="379"/>
  <c r="AQ17" i="379"/>
  <c r="AQ16" i="379"/>
  <c r="AR15" i="379"/>
  <c r="BC14" i="379"/>
  <c r="BC13" i="379"/>
  <c r="BC12" i="379"/>
  <c r="BD11" i="379"/>
  <c r="AY26" i="379"/>
  <c r="AY25" i="379"/>
  <c r="AY24" i="379"/>
  <c r="AZ23" i="379"/>
  <c r="BC26" i="379"/>
  <c r="BC25" i="379"/>
  <c r="BC24" i="379"/>
  <c r="BD23" i="379"/>
  <c r="BG26" i="379"/>
  <c r="BG25" i="379"/>
  <c r="BG24" i="379"/>
  <c r="BH23" i="379"/>
  <c r="BC22" i="379"/>
  <c r="BC21" i="379"/>
  <c r="BC20" i="379"/>
  <c r="BD19" i="379"/>
  <c r="BC18" i="379"/>
  <c r="BC17" i="379"/>
  <c r="BC16" i="379"/>
  <c r="BD15" i="379"/>
  <c r="BG22" i="379"/>
  <c r="BG21" i="379"/>
  <c r="BG20" i="379"/>
  <c r="BH19" i="379"/>
  <c r="BK22" i="379"/>
  <c r="BK21" i="379"/>
  <c r="BK20" i="379"/>
  <c r="BL19" i="379"/>
  <c r="BG18" i="379"/>
  <c r="BG17" i="379"/>
  <c r="BG16" i="379"/>
  <c r="BH15" i="379"/>
  <c r="BG14" i="379"/>
  <c r="BG13" i="379"/>
  <c r="BG12" i="379"/>
  <c r="BH11" i="379"/>
  <c r="BK14" i="379"/>
  <c r="BK13" i="379"/>
  <c r="BK12" i="379"/>
  <c r="BL11" i="379"/>
  <c r="BK18" i="379"/>
  <c r="BK17" i="379"/>
  <c r="BK16" i="379"/>
  <c r="BL15" i="379"/>
  <c r="BO18" i="379"/>
  <c r="BO17" i="379"/>
  <c r="BO16" i="379"/>
  <c r="BP15" i="379"/>
  <c r="BO14" i="379"/>
  <c r="BO13" i="379"/>
  <c r="BO12" i="379"/>
  <c r="BP11" i="379"/>
  <c r="BO10" i="379"/>
  <c r="BO9" i="379"/>
  <c r="BO8" i="379"/>
  <c r="BP7" i="379"/>
  <c r="G32" i="377"/>
  <c r="H31" i="377"/>
  <c r="K32" i="377"/>
  <c r="L31" i="377"/>
  <c r="K28" i="377"/>
  <c r="L27" i="377"/>
  <c r="K24" i="377"/>
  <c r="L23" i="377"/>
  <c r="G28" i="377"/>
  <c r="H27" i="377"/>
  <c r="G24" i="377"/>
  <c r="H23" i="377"/>
  <c r="G20" i="377"/>
  <c r="H19" i="377"/>
  <c r="K20" i="377"/>
  <c r="L19" i="377"/>
  <c r="S28" i="377"/>
  <c r="T27" i="377"/>
  <c r="S24" i="377"/>
  <c r="T23" i="377"/>
  <c r="W24" i="377"/>
  <c r="X23" i="377"/>
  <c r="W28" i="377"/>
  <c r="X27" i="377"/>
  <c r="O20" i="377"/>
  <c r="P19" i="377"/>
  <c r="S20" i="377"/>
  <c r="T19" i="377"/>
  <c r="W20" i="377"/>
  <c r="X19" i="377"/>
  <c r="S16" i="377"/>
  <c r="T15" i="377"/>
  <c r="W16" i="377"/>
  <c r="X15" i="377"/>
  <c r="AE24" i="377"/>
  <c r="AF23" i="377"/>
  <c r="AI20" i="377"/>
  <c r="AJ19" i="377"/>
  <c r="AA20" i="377"/>
  <c r="AB19" i="377"/>
  <c r="AE20" i="377"/>
  <c r="AF19" i="377"/>
  <c r="AE16" i="377"/>
  <c r="AF15" i="377"/>
  <c r="AM20" i="377"/>
  <c r="AN19" i="377"/>
  <c r="AM24" i="377"/>
  <c r="AN23" i="377"/>
  <c r="AQ24" i="377"/>
  <c r="AR23" i="377"/>
  <c r="AU24" i="377"/>
  <c r="AV23" i="377"/>
  <c r="AQ20" i="377"/>
  <c r="AR19" i="377"/>
  <c r="AU20" i="377"/>
  <c r="AV19" i="377"/>
  <c r="AY20" i="377"/>
  <c r="AZ19" i="377"/>
  <c r="AI16" i="377"/>
  <c r="AJ15" i="377"/>
  <c r="AM16" i="377"/>
  <c r="AN15" i="377"/>
  <c r="AQ16" i="377"/>
  <c r="AR15" i="377"/>
  <c r="BC12" i="377"/>
  <c r="BD11" i="377"/>
  <c r="AY24" i="377"/>
  <c r="AZ23" i="377"/>
  <c r="BC24" i="377"/>
  <c r="BD23" i="377"/>
  <c r="BG24" i="377"/>
  <c r="BH23" i="377"/>
  <c r="BC20" i="377"/>
  <c r="BD19" i="377"/>
  <c r="BC16" i="377"/>
  <c r="BD15" i="377"/>
  <c r="BG20" i="377"/>
  <c r="BH19" i="377"/>
  <c r="BK20" i="377"/>
  <c r="BL19" i="377"/>
  <c r="BG16" i="377"/>
  <c r="BH15" i="377"/>
  <c r="BG12" i="377"/>
  <c r="BH11" i="377"/>
  <c r="BK12" i="377"/>
  <c r="BL11" i="377"/>
  <c r="BK16" i="377"/>
  <c r="BL15" i="377"/>
  <c r="BO16" i="377"/>
  <c r="BP15" i="377"/>
  <c r="BO12" i="377"/>
  <c r="BP11" i="377"/>
  <c r="BO8" i="377"/>
  <c r="BP7" i="377"/>
</calcChain>
</file>

<file path=xl/sharedStrings.xml><?xml version="1.0" encoding="utf-8"?>
<sst xmlns="http://schemas.openxmlformats.org/spreadsheetml/2006/main" count="805" uniqueCount="501">
  <si>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</si>
  <si>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</si>
  <si>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</si>
  <si>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</si>
  <si>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</si>
  <si>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</si>
  <si>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</si>
  <si>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</si>
  <si>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</si>
  <si>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</si>
  <si>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</si>
  <si>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</si>
  <si>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</si>
  <si>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</si>
  <si>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</si>
  <si>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</si>
  <si>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A</t>
    <phoneticPr fontId="1"/>
  </si>
  <si>
    <t>B</t>
    <phoneticPr fontId="1"/>
  </si>
  <si>
    <t>C</t>
    <phoneticPr fontId="1"/>
  </si>
  <si>
    <t>D</t>
    <phoneticPr fontId="1"/>
  </si>
  <si>
    <t>E</t>
    <phoneticPr fontId="1"/>
  </si>
  <si>
    <t>F</t>
    <phoneticPr fontId="1"/>
  </si>
  <si>
    <t>G</t>
    <phoneticPr fontId="1"/>
  </si>
  <si>
    <t>H</t>
    <phoneticPr fontId="1"/>
  </si>
  <si>
    <t>名前</t>
    <rPh sb="0" eb="2">
      <t>ナマエ</t>
    </rPh>
    <phoneticPr fontId="1"/>
  </si>
  <si>
    <t>なまえ</t>
    <phoneticPr fontId="1"/>
  </si>
  <si>
    <t>人口（人）</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</si>
  <si>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</si>
  <si>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</si>
  <si>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</si>
  <si>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</si>
  <si>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</si>
  <si>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</si>
  <si>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</si>
  <si>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手順３</t>
    <rPh sb="0" eb="2">
      <t>テジュン</t>
    </rPh>
    <phoneticPr fontId="1"/>
  </si>
  <si>
    <t>手順４</t>
    <rPh sb="0" eb="2">
      <t>テジュン</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</si>
  <si>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</si>
  <si>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</si>
  <si>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</si>
  <si>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</si>
  <si>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</si>
  <si>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</si>
  <si>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</si>
  <si>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</si>
  <si>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</si>
  <si>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</si>
  <si>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</si>
  <si>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た</t>
  </si>
  <si>
    <t>そ</t>
  </si>
  <si>
    <t>せ</t>
  </si>
  <si>
    <t>す</t>
  </si>
  <si>
    <t>し</t>
  </si>
  <si>
    <t>さ</t>
  </si>
  <si>
    <t>こ</t>
  </si>
  <si>
    <t>け</t>
  </si>
  <si>
    <t>く</t>
  </si>
  <si>
    <t>き</t>
  </si>
  <si>
    <t>か</t>
  </si>
  <si>
    <t>お</t>
  </si>
  <si>
    <t>え</t>
  </si>
  <si>
    <t>う</t>
  </si>
  <si>
    <t>い</t>
  </si>
  <si>
    <t>あ</t>
  </si>
  <si>
    <t>B</t>
  </si>
  <si>
    <t>D</t>
  </si>
  <si>
    <t>E</t>
  </si>
  <si>
    <t>F</t>
  </si>
  <si>
    <t>G</t>
  </si>
  <si>
    <t>H</t>
  </si>
  <si>
    <t>名前</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</si>
  <si>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</si>
  <si>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</si>
  <si>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</si>
  <si>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</si>
  <si>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</si>
  <si>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</si>
  <si>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</si>
  <si>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</si>
  <si>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</si>
  <si>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</si>
  <si>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</si>
  <si>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</si>
  <si>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</si>
  <si>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</si>
  <si>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</si>
  <si>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</si>
  <si>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</si>
  <si>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</si>
  <si>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</si>
  <si>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</si>
  <si>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</si>
  <si>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S15</t>
  </si>
  <si>
    <t>W15</t>
  </si>
  <si>
    <t>AE15</t>
  </si>
  <si>
    <t>AI15</t>
  </si>
  <si>
    <t>AM15</t>
  </si>
  <si>
    <t>O19</t>
  </si>
  <si>
    <t>W19</t>
  </si>
  <si>
    <t>AA19</t>
  </si>
  <si>
    <t>AI19</t>
  </si>
  <si>
    <t>AM19</t>
  </si>
  <si>
    <t>AQ19</t>
  </si>
  <si>
    <t>S23</t>
  </si>
  <si>
    <t>AE23</t>
  </si>
  <si>
    <t>AM23</t>
  </si>
  <si>
    <t>AU23</t>
  </si>
  <si>
    <t>AY23</t>
  </si>
  <si>
    <t>S27</t>
  </si>
  <si>
    <t>A1</t>
    <phoneticPr fontId="1"/>
  </si>
  <si>
    <t>EOF</t>
    <phoneticPr fontId="1"/>
  </si>
  <si>
    <t>C</t>
  </si>
  <si>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</si>
  <si>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</si>
  <si>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</si>
  <si>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</si>
  <si>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</si>
  <si>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</si>
  <si>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</si>
  <si>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</si>
  <si>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</si>
  <si>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</si>
  <si>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ワークシートの列名を、</t>
    <phoneticPr fontId="1"/>
  </si>
  <si>
    <t>ヒートマップの色の凡例です。</t>
    <rPh sb="7" eb="8">
      <t>イロ</t>
    </rPh>
    <rPh sb="9" eb="11">
      <t>ハンレイ</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</si>
  <si>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</si>
  <si>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</si>
  <si>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</si>
  <si>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</si>
  <si>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</si>
  <si>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</si>
  <si>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</si>
  <si>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</si>
  <si>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</si>
  <si>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</si>
  <si>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</si>
  <si>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</si>
  <si>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</si>
  <si>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</si>
  <si>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</si>
  <si>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</si>
  <si>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</si>
  <si>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</si>
  <si>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</si>
  <si>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</si>
  <si>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</si>
  <si>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</si>
  <si>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</si>
  <si>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</si>
  <si>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</si>
  <si>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</si>
  <si>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B1:F12</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</si>
  <si>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</si>
  <si>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</si>
  <si>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</si>
  <si>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</si>
  <si>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</si>
  <si>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</si>
  <si>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</si>
  <si>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</si>
  <si>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</si>
  <si>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</si>
  <si>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以下の黄色い枠内に、［以上］列の数値と、［背景色］を設定してください。</t>
    <rPh sb="0" eb="2">
      <t>イカ</t>
    </rPh>
    <rPh sb="3" eb="5">
      <t>キイロ</t>
    </rPh>
    <rPh sb="6" eb="8">
      <t>ワクナイ</t>
    </rPh>
    <rPh sb="11" eb="13">
      <t>イジョウ</t>
    </rPh>
    <rPh sb="14" eb="15">
      <t>レツ</t>
    </rPh>
    <rPh sb="16" eb="18">
      <t>スウチ</t>
    </rPh>
    <rPh sb="21" eb="24">
      <t>ハイケイショク</t>
    </rPh>
    <phoneticPr fontId="1"/>
  </si>
  <si>
    <t>R4.0.9.0</t>
    <phoneticPr fontId="1"/>
  </si>
  <si>
    <t>使っていないのでこのまま。</t>
    <rPh sb="0" eb="1">
      <t>ツカ</t>
    </rPh>
    <phoneticPr fontId="1"/>
  </si>
  <si>
    <t>上の黄色い枠に書かれている番地を使ってください。</t>
    <rPh sb="0" eb="1">
      <t>ウエ</t>
    </rPh>
    <rPh sb="2" eb="4">
      <t>キイロ</t>
    </rPh>
    <rPh sb="5" eb="6">
      <t>ワク</t>
    </rPh>
    <rPh sb="7" eb="8">
      <t>カ</t>
    </rPh>
    <rPh sb="13" eb="15">
      <t>バンチ</t>
    </rPh>
    <rPh sb="16" eb="17">
      <t>ツカ</t>
    </rPh>
    <phoneticPr fontId="1"/>
  </si>
  <si>
    <t>R4.4.0</t>
    <phoneticPr fontId="1"/>
  </si>
  <si>
    <t>今回は使っていないので、このままにして、次の手順へ進んでください。</t>
    <rPh sb="0" eb="2">
      <t>コンカイ</t>
    </rPh>
    <rPh sb="3" eb="4">
      <t>ツカ</t>
    </rPh>
    <rPh sb="20" eb="21">
      <t>ツギ</t>
    </rPh>
    <rPh sb="22" eb="24">
      <t>テジュン</t>
    </rPh>
    <rPh sb="25" eb="26">
      <t>スス</t>
    </rPh>
    <phoneticPr fontId="1"/>
  </si>
  <si>
    <t>R4.3.5.0</t>
    <phoneticPr fontId="1"/>
  </si>
  <si>
    <t>凡例の元データのテーブルの右下隅のセル</t>
    <rPh sb="0" eb="2">
      <t>ハンレイ</t>
    </rPh>
    <rPh sb="3" eb="4">
      <t>モト</t>
    </rPh>
    <rPh sb="13" eb="15">
      <t>ミギシタ</t>
    </rPh>
    <rPh sb="15" eb="16">
      <t>スミ</t>
    </rPh>
    <phoneticPr fontId="1"/>
  </si>
  <si>
    <t>H12</t>
    <phoneticPr fontId="1"/>
  </si>
  <si>
    <t>H2</t>
    <phoneticPr fontId="1"/>
  </si>
  <si>
    <t>R3.0.5.0</t>
    <phoneticPr fontId="1"/>
  </si>
  <si>
    <t>D4</t>
    <phoneticPr fontId="1"/>
  </si>
  <si>
    <t>R3.3.0</t>
    <phoneticPr fontId="1"/>
  </si>
  <si>
    <t>ここに入力できます。</t>
    <rPh sb="3" eb="5">
      <t>ニュウリョク</t>
    </rPh>
    <phoneticPr fontId="1"/>
  </si>
  <si>
    <t>4.0.0</t>
    <phoneticPr fontId="1"/>
  </si>
  <si>
    <t>手順書には画像を挿入するなど、テキストボックス等コントロールの番地がよく変わることから、これによりコントロールが使えなくなることがないよう、
固定セル番地にするのではなく、１行目とA列目にラベルを置くようにし、コントロールの位置にタグ付けする運用に変更するよう作り直した。
また、黄色い枠にはサブ番地を置き、サブ番地による範囲指定を行うように仕様変更した。</t>
    <rPh sb="0" eb="3">
      <t>テジュンショ</t>
    </rPh>
    <rPh sb="5" eb="7">
      <t>ガゾウ</t>
    </rPh>
    <rPh sb="8" eb="10">
      <t>ソウニュウ</t>
    </rPh>
    <rPh sb="23" eb="24">
      <t>トウ</t>
    </rPh>
    <rPh sb="31" eb="33">
      <t>バンチ</t>
    </rPh>
    <rPh sb="36" eb="37">
      <t>カ</t>
    </rPh>
    <rPh sb="56" eb="57">
      <t>ツカ</t>
    </rPh>
    <rPh sb="71" eb="73">
      <t>コテイ</t>
    </rPh>
    <rPh sb="75" eb="77">
      <t>バンチ</t>
    </rPh>
    <rPh sb="87" eb="89">
      <t>ギョウメ</t>
    </rPh>
    <rPh sb="91" eb="93">
      <t>レツメ</t>
    </rPh>
    <rPh sb="98" eb="99">
      <t>オ</t>
    </rPh>
    <rPh sb="112" eb="114">
      <t>イチ</t>
    </rPh>
    <rPh sb="117" eb="118">
      <t>ツ</t>
    </rPh>
    <rPh sb="121" eb="123">
      <t>ウンヨウ</t>
    </rPh>
    <rPh sb="124" eb="126">
      <t>ヘンコウ</t>
    </rPh>
    <rPh sb="130" eb="131">
      <t>ツク</t>
    </rPh>
    <rPh sb="132" eb="133">
      <t>ナオ</t>
    </rPh>
    <rPh sb="140" eb="142">
      <t>キイロ</t>
    </rPh>
    <rPh sb="143" eb="144">
      <t>ワク</t>
    </rPh>
    <rPh sb="148" eb="150">
      <t>バンチ</t>
    </rPh>
    <rPh sb="151" eb="152">
      <t>オ</t>
    </rPh>
    <rPh sb="156" eb="158">
      <t>バンチ</t>
    </rPh>
    <rPh sb="161" eb="165">
      <t>ハンイシテイ</t>
    </rPh>
    <rPh sb="166" eb="167">
      <t>オコナ</t>
    </rPh>
    <rPh sb="171" eb="175">
      <t>シヨウヘンコウ</t>
    </rPh>
    <phoneticPr fontId="1"/>
  </si>
  <si>
    <t>ヒートマップの着色で、文字色が反映されていなかったのを修正。</t>
    <rPh sb="7" eb="9">
      <t>チャクショク</t>
    </rPh>
    <rPh sb="11" eb="14">
      <t>モジショク</t>
    </rPh>
    <rPh sb="15" eb="17">
      <t>ハンエイ</t>
    </rPh>
    <rPh sb="27" eb="29">
      <t>シュウセイ</t>
    </rPh>
    <phoneticPr fontId="1"/>
  </si>
  <si>
    <t>4.1.0</t>
    <phoneticPr fontId="1"/>
  </si>
  <si>
    <t>4.1.1</t>
    <phoneticPr fontId="1"/>
  </si>
  <si>
    <t>交通アクセスのデータとマップを追加。</t>
    <rPh sb="0" eb="2">
      <t>コウツウ</t>
    </rPh>
    <rPh sb="15" eb="17">
      <t>ツイカ</t>
    </rPh>
    <phoneticPr fontId="1"/>
  </si>
  <si>
    <t>ち</t>
    <phoneticPr fontId="1"/>
  </si>
  <si>
    <t>Saitama-ken</t>
  </si>
  <si>
    <t>（再掲）3世代世帯（世帯）</t>
    <rPh sb="10" eb="12">
      <t>セタイ</t>
    </rPh>
    <phoneticPr fontId="35"/>
  </si>
  <si>
    <t>（再掲）夫65歳以上，妻60歳以上の夫婦のみの世帯（世帯）</t>
    <rPh sb="26" eb="28">
      <t>セタイ</t>
    </rPh>
    <phoneticPr fontId="35"/>
  </si>
  <si>
    <t>うち65歳以上の単独世帯（世帯）</t>
    <rPh sb="13" eb="15">
      <t>セタイ</t>
    </rPh>
    <phoneticPr fontId="35"/>
  </si>
  <si>
    <t>うち単独世帯（世帯）</t>
    <rPh sb="7" eb="9">
      <t>セタイ</t>
    </rPh>
    <phoneticPr fontId="35"/>
  </si>
  <si>
    <t>女親と子供から成る世帯（世帯）</t>
    <rPh sb="12" eb="14">
      <t>セタイ</t>
    </rPh>
    <phoneticPr fontId="35"/>
  </si>
  <si>
    <t>男親と子供から成る世帯（世帯）</t>
    <rPh sb="12" eb="14">
      <t>セタイ</t>
    </rPh>
    <phoneticPr fontId="35"/>
  </si>
  <si>
    <t>夫婦と子供から成る世帯（世帯）</t>
    <rPh sb="12" eb="14">
      <t>セタイ</t>
    </rPh>
    <phoneticPr fontId="35"/>
  </si>
  <si>
    <t>夫婦のみの世帯（世帯）</t>
    <rPh sb="8" eb="10">
      <t>セタイ</t>
    </rPh>
    <phoneticPr fontId="35"/>
  </si>
  <si>
    <t>うち核家族世帯（世帯）</t>
    <rPh sb="8" eb="10">
      <t>セタイ</t>
    </rPh>
    <phoneticPr fontId="35"/>
  </si>
  <si>
    <t>一般世帯（世帯）</t>
    <rPh sb="5" eb="7">
      <t>セタイ</t>
    </rPh>
    <phoneticPr fontId="35"/>
  </si>
  <si>
    <t>2015年（平成27年）の世帯数（組替）（世帯）</t>
    <rPh sb="21" eb="23">
      <t>セタイ</t>
    </rPh>
    <phoneticPr fontId="35"/>
  </si>
  <si>
    <t>施設等の世帯（世帯）</t>
    <rPh sb="7" eb="9">
      <t>セタイ</t>
    </rPh>
    <phoneticPr fontId="35"/>
  </si>
  <si>
    <t>総世帯（世帯）</t>
    <rPh sb="4" eb="6">
      <t>セタイ</t>
    </rPh>
    <phoneticPr fontId="35"/>
  </si>
  <si>
    <t>外国人（人）</t>
    <rPh sb="4" eb="5">
      <t>ヒト</t>
    </rPh>
    <phoneticPr fontId="35"/>
  </si>
  <si>
    <t>日本人（人）</t>
    <rPh sb="4" eb="5">
      <t>ヒト</t>
    </rPh>
    <phoneticPr fontId="35"/>
  </si>
  <si>
    <t>人口性比</t>
    <phoneticPr fontId="1"/>
  </si>
  <si>
    <t>65歳以上（％）</t>
    <phoneticPr fontId="35"/>
  </si>
  <si>
    <t>15～64歳（％）</t>
    <phoneticPr fontId="35"/>
  </si>
  <si>
    <t>15歳未満（％）</t>
    <phoneticPr fontId="35"/>
  </si>
  <si>
    <t>65歳以上（人）</t>
    <rPh sb="6" eb="7">
      <t>ヒト</t>
    </rPh>
    <phoneticPr fontId="35"/>
  </si>
  <si>
    <t>15～64歳（人）</t>
    <rPh sb="7" eb="8">
      <t>ヒト</t>
    </rPh>
    <phoneticPr fontId="35"/>
  </si>
  <si>
    <t>15歳未満（人）</t>
    <rPh sb="6" eb="7">
      <t>ヒト</t>
    </rPh>
    <phoneticPr fontId="35"/>
  </si>
  <si>
    <t>年齢中位数（歳）</t>
    <rPh sb="6" eb="7">
      <t>サイ</t>
    </rPh>
    <phoneticPr fontId="35"/>
  </si>
  <si>
    <t>平均年齢（歳）</t>
    <rPh sb="5" eb="6">
      <t>サイ</t>
    </rPh>
    <phoneticPr fontId="35"/>
  </si>
  <si>
    <t>人口密度（人/km2）</t>
    <rPh sb="5" eb="6">
      <t>ニン</t>
    </rPh>
    <phoneticPr fontId="35"/>
  </si>
  <si>
    <t>面積（km2）</t>
    <phoneticPr fontId="1"/>
  </si>
  <si>
    <t>5年間の人口増減率（％）</t>
    <phoneticPr fontId="35"/>
  </si>
  <si>
    <t>5年間の人口増減数（人）</t>
    <rPh sb="10" eb="11">
      <t>ヒト</t>
    </rPh>
    <phoneticPr fontId="35"/>
  </si>
  <si>
    <t>2015年（平成27年）の人口（組替）（人）</t>
    <rPh sb="20" eb="21">
      <t>ヒト</t>
    </rPh>
    <phoneticPr fontId="35"/>
  </si>
  <si>
    <t>女（人）</t>
    <rPh sb="2" eb="3">
      <t>ヒト</t>
    </rPh>
    <phoneticPr fontId="35"/>
  </si>
  <si>
    <t>男（人）</t>
    <rPh sb="2" eb="3">
      <t>ヒト</t>
    </rPh>
    <phoneticPr fontId="35"/>
  </si>
  <si>
    <t>都道府県・市区町村名（英語）</t>
    <rPh sb="0" eb="4">
      <t>トドウフケン</t>
    </rPh>
    <rPh sb="5" eb="7">
      <t>シク</t>
    </rPh>
    <rPh sb="7" eb="9">
      <t>チョウソン</t>
    </rPh>
    <rPh sb="9" eb="10">
      <t>メイ</t>
    </rPh>
    <rPh sb="11" eb="13">
      <t>エイゴ</t>
    </rPh>
    <phoneticPr fontId="37"/>
  </si>
  <si>
    <t>都道府県・市区町村名</t>
    <rPh sb="0" eb="4">
      <t>トドウフケン</t>
    </rPh>
    <rPh sb="5" eb="7">
      <t>シク</t>
    </rPh>
    <rPh sb="7" eb="9">
      <t>チョウソン</t>
    </rPh>
    <rPh sb="9" eb="10">
      <t>メイ</t>
    </rPh>
    <phoneticPr fontId="1"/>
  </si>
  <si>
    <t>A1:CB40</t>
    <phoneticPr fontId="1"/>
  </si>
  <si>
    <t>ち</t>
  </si>
  <si>
    <t>なまえ</t>
  </si>
  <si>
    <t>AQ15</t>
  </si>
  <si>
    <t>BO15</t>
  </si>
  <si>
    <t>K19</t>
  </si>
  <si>
    <t>AU19</t>
  </si>
  <si>
    <t>AY19</t>
  </si>
  <si>
    <t>BC19</t>
  </si>
  <si>
    <t>BG19</t>
  </si>
  <si>
    <t>BK19</t>
  </si>
  <si>
    <t>G23</t>
  </si>
  <si>
    <t>BC23</t>
  </si>
  <si>
    <t>BG23</t>
  </si>
  <si>
    <t>G27</t>
  </si>
  <si>
    <t>BU9</t>
    <phoneticPr fontId="1"/>
  </si>
  <si>
    <t>BU4</t>
    <phoneticPr fontId="1"/>
  </si>
  <si>
    <t>色の凡例で、［以上］のところを［より上］と判定していたので修正。</t>
    <rPh sb="0" eb="1">
      <t>イロ</t>
    </rPh>
    <rPh sb="2" eb="4">
      <t>ハンレイ</t>
    </rPh>
    <rPh sb="7" eb="9">
      <t>イジョウ</t>
    </rPh>
    <rPh sb="18" eb="19">
      <t>ウエ</t>
    </rPh>
    <rPh sb="21" eb="23">
      <t>ハンテイ</t>
    </rPh>
    <rPh sb="29" eb="31">
      <t>シュウセイ</t>
    </rPh>
    <phoneticPr fontId="1"/>
  </si>
  <si>
    <t>手順書　＞　個別ヒートマップ</t>
    <rPh sb="0" eb="3">
      <t>テジュンショ</t>
    </rPh>
    <rPh sb="6" eb="8">
      <t>コベツ</t>
    </rPh>
    <phoneticPr fontId="1"/>
  </si>
  <si>
    <t>人口密度（人/km2）</t>
  </si>
  <si>
    <t>人口密度（人/km2）</t>
    <phoneticPr fontId="1"/>
  </si>
  <si>
    <t>人口（人）</t>
  </si>
  <si>
    <t>人口（人）</t>
    <rPh sb="0" eb="2">
      <t>ジンコウ</t>
    </rPh>
    <rPh sb="3" eb="4">
      <t>ヒト</t>
    </rPh>
    <phoneticPr fontId="1"/>
  </si>
  <si>
    <t>面積（km2）</t>
  </si>
  <si>
    <t>［手順書_はじめに］</t>
    <phoneticPr fontId="1"/>
  </si>
  <si>
    <t>を読んでから、このページの続きを読んでください。</t>
    <rPh sb="1" eb="2">
      <t>ヨ</t>
    </rPh>
    <rPh sb="13" eb="14">
      <t>ツヅ</t>
    </rPh>
    <rPh sb="16" eb="17">
      <t>ヨ</t>
    </rPh>
    <phoneticPr fontId="1"/>
  </si>
  <si>
    <t>［地図テンプレート_XXXX］</t>
    <rPh sb="1" eb="3">
      <t>チズ</t>
    </rPh>
    <phoneticPr fontId="1"/>
  </si>
  <si>
    <t>［地図テンプレート_XXXX］</t>
    <phoneticPr fontId="1"/>
  </si>
  <si>
    <t>4.1.2</t>
    <phoneticPr fontId="1"/>
  </si>
  <si>
    <t>ヒートマップ 4.1.2　＞　手順書</t>
    <rPh sb="15" eb="18">
      <t>テジュンショ</t>
    </rPh>
    <phoneticPr fontId="1"/>
  </si>
  <si>
    <t>北海道</t>
    <rPh sb="0" eb="3">
      <t>ホッカイドウ</t>
    </rPh>
    <phoneticPr fontId="1"/>
  </si>
  <si>
    <t>新潟</t>
    <rPh sb="0" eb="2">
      <t>ニイガタ</t>
    </rPh>
    <phoneticPr fontId="1"/>
  </si>
  <si>
    <t>山形</t>
    <rPh sb="0" eb="2">
      <t>ヤマガタ</t>
    </rPh>
    <phoneticPr fontId="1"/>
  </si>
  <si>
    <t>秋田</t>
    <rPh sb="0" eb="2">
      <t>アキタ</t>
    </rPh>
    <phoneticPr fontId="1"/>
  </si>
  <si>
    <t>青森</t>
    <rPh sb="0" eb="2">
      <t>アオモリ</t>
    </rPh>
    <phoneticPr fontId="1"/>
  </si>
  <si>
    <t>島根</t>
    <rPh sb="0" eb="2">
      <t>シマネ</t>
    </rPh>
    <phoneticPr fontId="1"/>
  </si>
  <si>
    <t>鳥取</t>
    <rPh sb="0" eb="2">
      <t>トットリ</t>
    </rPh>
    <phoneticPr fontId="1"/>
  </si>
  <si>
    <t>京都</t>
    <rPh sb="0" eb="2">
      <t>キョウト</t>
    </rPh>
    <phoneticPr fontId="1"/>
  </si>
  <si>
    <t>福井</t>
    <rPh sb="0" eb="2">
      <t>フクイ</t>
    </rPh>
    <phoneticPr fontId="1"/>
  </si>
  <si>
    <t>石川</t>
    <rPh sb="0" eb="2">
      <t>イシカワ</t>
    </rPh>
    <phoneticPr fontId="1"/>
  </si>
  <si>
    <t>富山</t>
    <rPh sb="0" eb="2">
      <t>トヤマ</t>
    </rPh>
    <phoneticPr fontId="1"/>
  </si>
  <si>
    <t>群馬</t>
    <rPh sb="0" eb="2">
      <t>グンマ</t>
    </rPh>
    <phoneticPr fontId="1"/>
  </si>
  <si>
    <t>福島</t>
    <rPh sb="0" eb="2">
      <t>フクシマ</t>
    </rPh>
    <phoneticPr fontId="1"/>
  </si>
  <si>
    <t>宮城</t>
    <rPh sb="0" eb="2">
      <t>ミヤギ</t>
    </rPh>
    <phoneticPr fontId="1"/>
  </si>
  <si>
    <t>岩手</t>
    <rPh sb="0" eb="2">
      <t>イワテ</t>
    </rPh>
    <phoneticPr fontId="1"/>
  </si>
  <si>
    <t>佐賀</t>
    <rPh sb="0" eb="2">
      <t>サガ</t>
    </rPh>
    <phoneticPr fontId="1"/>
  </si>
  <si>
    <t>福岡</t>
    <rPh sb="0" eb="2">
      <t>フクオカ</t>
    </rPh>
    <phoneticPr fontId="1"/>
  </si>
  <si>
    <t>山口</t>
    <rPh sb="0" eb="2">
      <t>ヤマグチ</t>
    </rPh>
    <phoneticPr fontId="1"/>
  </si>
  <si>
    <t>広島</t>
    <rPh sb="0" eb="2">
      <t>ヒロシマ</t>
    </rPh>
    <phoneticPr fontId="1"/>
  </si>
  <si>
    <t>岡山</t>
    <rPh sb="0" eb="2">
      <t>オカヤマ</t>
    </rPh>
    <phoneticPr fontId="1"/>
  </si>
  <si>
    <t>兵庫</t>
    <rPh sb="0" eb="2">
      <t>ヒョウゴ</t>
    </rPh>
    <phoneticPr fontId="1"/>
  </si>
  <si>
    <t>大阪</t>
    <rPh sb="0" eb="2">
      <t>オオサカ</t>
    </rPh>
    <phoneticPr fontId="1"/>
  </si>
  <si>
    <t>奈良</t>
    <rPh sb="0" eb="2">
      <t>ナラ</t>
    </rPh>
    <phoneticPr fontId="1"/>
  </si>
  <si>
    <t>滋賀</t>
    <rPh sb="0" eb="2">
      <t>シガ</t>
    </rPh>
    <phoneticPr fontId="1"/>
  </si>
  <si>
    <t>岐阜</t>
    <rPh sb="0" eb="2">
      <t>ギフ</t>
    </rPh>
    <phoneticPr fontId="1"/>
  </si>
  <si>
    <t>長野</t>
    <rPh sb="0" eb="2">
      <t>ナガノ</t>
    </rPh>
    <phoneticPr fontId="1"/>
  </si>
  <si>
    <t>山梨</t>
    <rPh sb="0" eb="2">
      <t>ヤマナシ</t>
    </rPh>
    <phoneticPr fontId="1"/>
  </si>
  <si>
    <t>埼玉</t>
    <rPh sb="0" eb="2">
      <t>サイタマ</t>
    </rPh>
    <phoneticPr fontId="1"/>
  </si>
  <si>
    <t>栃木</t>
    <rPh sb="0" eb="2">
      <t>トチギ</t>
    </rPh>
    <phoneticPr fontId="1"/>
  </si>
  <si>
    <t>茨城</t>
    <rPh sb="0" eb="2">
      <t>イバラキ</t>
    </rPh>
    <phoneticPr fontId="1"/>
  </si>
  <si>
    <t>長崎</t>
    <rPh sb="0" eb="2">
      <t>ナガサキ</t>
    </rPh>
    <phoneticPr fontId="1"/>
  </si>
  <si>
    <t>大分</t>
    <rPh sb="0" eb="2">
      <t>オオイタ</t>
    </rPh>
    <phoneticPr fontId="1"/>
  </si>
  <si>
    <t>愛媛</t>
    <rPh sb="0" eb="2">
      <t>エヒメ</t>
    </rPh>
    <phoneticPr fontId="1"/>
  </si>
  <si>
    <t>香川</t>
    <rPh sb="0" eb="2">
      <t>カガワ</t>
    </rPh>
    <phoneticPr fontId="1"/>
  </si>
  <si>
    <t>和歌山</t>
    <rPh sb="0" eb="3">
      <t>ワカヤマ</t>
    </rPh>
    <phoneticPr fontId="1"/>
  </si>
  <si>
    <t>三重</t>
    <rPh sb="0" eb="2">
      <t>ミエ</t>
    </rPh>
    <phoneticPr fontId="1"/>
  </si>
  <si>
    <t>愛知</t>
    <rPh sb="0" eb="2">
      <t>アイチ</t>
    </rPh>
    <phoneticPr fontId="1"/>
  </si>
  <si>
    <t>静岡</t>
    <rPh sb="0" eb="2">
      <t>シズオカ</t>
    </rPh>
    <phoneticPr fontId="1"/>
  </si>
  <si>
    <t>神奈川</t>
    <rPh sb="0" eb="3">
      <t>カナガワ</t>
    </rPh>
    <phoneticPr fontId="1"/>
  </si>
  <si>
    <t>東京</t>
    <rPh sb="0" eb="2">
      <t>トウキョウ</t>
    </rPh>
    <phoneticPr fontId="1"/>
  </si>
  <si>
    <t>千葉</t>
    <rPh sb="0" eb="2">
      <t>チバ</t>
    </rPh>
    <phoneticPr fontId="1"/>
  </si>
  <si>
    <t>熊本</t>
    <rPh sb="0" eb="2">
      <t>クマモト</t>
    </rPh>
    <phoneticPr fontId="1"/>
  </si>
  <si>
    <t>宮崎</t>
    <rPh sb="0" eb="2">
      <t>ミヤザキ</t>
    </rPh>
    <phoneticPr fontId="1"/>
  </si>
  <si>
    <t>高知</t>
    <rPh sb="0" eb="2">
      <t>コウチ</t>
    </rPh>
    <phoneticPr fontId="1"/>
  </si>
  <si>
    <t>徳島</t>
    <rPh sb="0" eb="2">
      <t>トクシマ</t>
    </rPh>
    <phoneticPr fontId="1"/>
  </si>
  <si>
    <t>沖縄</t>
    <rPh sb="0" eb="2">
      <t>オキナワ</t>
    </rPh>
    <phoneticPr fontId="1"/>
  </si>
  <si>
    <t>鹿児島</t>
    <rPh sb="0" eb="3">
      <t>カゴシマ</t>
    </rPh>
    <phoneticPr fontId="1"/>
  </si>
  <si>
    <t>01000_北海道</t>
  </si>
  <si>
    <t>北海道</t>
    <phoneticPr fontId="1"/>
  </si>
  <si>
    <t>ほっかいどう</t>
    <phoneticPr fontId="1"/>
  </si>
  <si>
    <t>Hokkaido</t>
  </si>
  <si>
    <t>02000_青森県</t>
  </si>
  <si>
    <t>青森</t>
    <phoneticPr fontId="1"/>
  </si>
  <si>
    <t>あおもり</t>
    <phoneticPr fontId="1"/>
  </si>
  <si>
    <t>Aomori-ken</t>
  </si>
  <si>
    <t>03000_岩手県</t>
  </si>
  <si>
    <t>岩手</t>
    <phoneticPr fontId="1"/>
  </si>
  <si>
    <t>いわて</t>
    <phoneticPr fontId="1"/>
  </si>
  <si>
    <t>Iwate-ken</t>
  </si>
  <si>
    <t>04000_宮城県</t>
  </si>
  <si>
    <t>宮城</t>
    <phoneticPr fontId="1"/>
  </si>
  <si>
    <t>みやぎ</t>
    <phoneticPr fontId="1"/>
  </si>
  <si>
    <t>Miyagi-ken</t>
  </si>
  <si>
    <t>05000_秋田県</t>
  </si>
  <si>
    <t>秋田</t>
    <phoneticPr fontId="1"/>
  </si>
  <si>
    <t>あきた</t>
    <phoneticPr fontId="1"/>
  </si>
  <si>
    <t>Akita-ken</t>
  </si>
  <si>
    <t>06000_山形県</t>
  </si>
  <si>
    <t>山形</t>
    <phoneticPr fontId="1"/>
  </si>
  <si>
    <t>やまがた</t>
    <phoneticPr fontId="1"/>
  </si>
  <si>
    <t>Yamagata-ken</t>
  </si>
  <si>
    <t>07000_福島県</t>
  </si>
  <si>
    <t>福島</t>
    <phoneticPr fontId="1"/>
  </si>
  <si>
    <t>ふくしま</t>
    <phoneticPr fontId="1"/>
  </si>
  <si>
    <t>Fukushima-ken</t>
  </si>
  <si>
    <t>08000_茨城県</t>
  </si>
  <si>
    <t>茨城</t>
    <phoneticPr fontId="1"/>
  </si>
  <si>
    <t>いばらぎ</t>
    <phoneticPr fontId="1"/>
  </si>
  <si>
    <t>Ibaraki-ken</t>
  </si>
  <si>
    <t>09000_栃木県</t>
  </si>
  <si>
    <t>栃木</t>
    <phoneticPr fontId="1"/>
  </si>
  <si>
    <t>とちぎ</t>
    <phoneticPr fontId="1"/>
  </si>
  <si>
    <t>Tochigi-ken</t>
  </si>
  <si>
    <t>10000_群馬県</t>
  </si>
  <si>
    <t>群馬</t>
    <phoneticPr fontId="1"/>
  </si>
  <si>
    <t>ぐんま</t>
    <phoneticPr fontId="1"/>
  </si>
  <si>
    <t>Gumma-ken</t>
  </si>
  <si>
    <t>11000_埼玉県</t>
  </si>
  <si>
    <t>埼玉</t>
    <phoneticPr fontId="1"/>
  </si>
  <si>
    <t>さいたま</t>
    <phoneticPr fontId="1"/>
  </si>
  <si>
    <t>12000_千葉県</t>
  </si>
  <si>
    <t>千葉</t>
    <phoneticPr fontId="1"/>
  </si>
  <si>
    <t>ちば</t>
    <phoneticPr fontId="1"/>
  </si>
  <si>
    <t>Chiba-ken</t>
  </si>
  <si>
    <t>13000_東京都</t>
  </si>
  <si>
    <t>東京</t>
    <phoneticPr fontId="1"/>
  </si>
  <si>
    <t>とうきょう</t>
    <phoneticPr fontId="1"/>
  </si>
  <si>
    <t>Tokyo-to</t>
  </si>
  <si>
    <t>14000_神奈川県</t>
  </si>
  <si>
    <t>神奈川</t>
    <phoneticPr fontId="1"/>
  </si>
  <si>
    <t>かながわ</t>
    <phoneticPr fontId="1"/>
  </si>
  <si>
    <t>Kanagawa-ken</t>
  </si>
  <si>
    <t>15000_新潟県</t>
  </si>
  <si>
    <t>新潟</t>
    <phoneticPr fontId="1"/>
  </si>
  <si>
    <t>にいがた</t>
    <phoneticPr fontId="1"/>
  </si>
  <si>
    <t>Niigata-ken</t>
  </si>
  <si>
    <t>16000_富山県</t>
  </si>
  <si>
    <t>富山</t>
    <phoneticPr fontId="1"/>
  </si>
  <si>
    <t>とやま</t>
    <phoneticPr fontId="1"/>
  </si>
  <si>
    <t>Toyama-ken</t>
  </si>
  <si>
    <t>17000_石川県</t>
  </si>
  <si>
    <t>石川</t>
    <phoneticPr fontId="1"/>
  </si>
  <si>
    <t>いしかわ</t>
    <phoneticPr fontId="1"/>
  </si>
  <si>
    <t>Ishikawa-ken</t>
  </si>
  <si>
    <t>18000_福井県</t>
  </si>
  <si>
    <t>福井</t>
    <phoneticPr fontId="1"/>
  </si>
  <si>
    <t>ふくい</t>
    <phoneticPr fontId="1"/>
  </si>
  <si>
    <t>Fukui-ken</t>
  </si>
  <si>
    <t>19000_山梨県</t>
  </si>
  <si>
    <t>山梨</t>
    <phoneticPr fontId="1"/>
  </si>
  <si>
    <t>やまなし</t>
    <phoneticPr fontId="1"/>
  </si>
  <si>
    <t>Yamanashi-ken</t>
  </si>
  <si>
    <t>20000_長野県</t>
  </si>
  <si>
    <t>長野</t>
    <phoneticPr fontId="1"/>
  </si>
  <si>
    <t>ながの</t>
    <phoneticPr fontId="1"/>
  </si>
  <si>
    <t>Nagano-ken</t>
  </si>
  <si>
    <t>21000_岐阜県</t>
  </si>
  <si>
    <t>岐阜</t>
    <phoneticPr fontId="1"/>
  </si>
  <si>
    <t>ぎふ</t>
    <phoneticPr fontId="1"/>
  </si>
  <si>
    <t>Gifu-ken</t>
  </si>
  <si>
    <t>22000_静岡県</t>
  </si>
  <si>
    <t>静岡</t>
    <phoneticPr fontId="1"/>
  </si>
  <si>
    <t>しずおか</t>
    <phoneticPr fontId="1"/>
  </si>
  <si>
    <t>Shizuoka-ken</t>
  </si>
  <si>
    <t>23000_愛知県</t>
  </si>
  <si>
    <t>愛知</t>
    <phoneticPr fontId="1"/>
  </si>
  <si>
    <t>あいち</t>
    <phoneticPr fontId="1"/>
  </si>
  <si>
    <t>Aichi-ken</t>
  </si>
  <si>
    <t>24000_三重県</t>
  </si>
  <si>
    <t>三重</t>
    <phoneticPr fontId="1"/>
  </si>
  <si>
    <t>みえ</t>
    <phoneticPr fontId="1"/>
  </si>
  <si>
    <t>Mie-ken</t>
  </si>
  <si>
    <t>25000_滋賀県</t>
  </si>
  <si>
    <t>滋賀</t>
    <phoneticPr fontId="1"/>
  </si>
  <si>
    <t>しが</t>
    <phoneticPr fontId="1"/>
  </si>
  <si>
    <t>Shiga-ken</t>
  </si>
  <si>
    <t>26000_京都府</t>
  </si>
  <si>
    <t>京都</t>
    <phoneticPr fontId="1"/>
  </si>
  <si>
    <t>きょうと</t>
    <phoneticPr fontId="1"/>
  </si>
  <si>
    <t>Kyoto-fu</t>
  </si>
  <si>
    <t>27000_大阪府</t>
  </si>
  <si>
    <t>大阪</t>
    <phoneticPr fontId="1"/>
  </si>
  <si>
    <t>おおさか</t>
    <phoneticPr fontId="1"/>
  </si>
  <si>
    <t>Osaka-fu</t>
  </si>
  <si>
    <t>28000_兵庫県</t>
  </si>
  <si>
    <t>兵庫</t>
    <phoneticPr fontId="1"/>
  </si>
  <si>
    <t>ひょうご</t>
    <phoneticPr fontId="1"/>
  </si>
  <si>
    <t>Hyogo-ken</t>
  </si>
  <si>
    <t>29000_奈良県</t>
  </si>
  <si>
    <t>奈良</t>
    <phoneticPr fontId="1"/>
  </si>
  <si>
    <t>なら</t>
    <phoneticPr fontId="1"/>
  </si>
  <si>
    <t>Nara-ken</t>
  </si>
  <si>
    <t>30000_和歌山県</t>
  </si>
  <si>
    <t>和歌山</t>
    <phoneticPr fontId="1"/>
  </si>
  <si>
    <t>わかやま</t>
    <phoneticPr fontId="1"/>
  </si>
  <si>
    <t>Wakayama-ken</t>
  </si>
  <si>
    <t>31000_鳥取県</t>
  </si>
  <si>
    <t>鳥取</t>
    <phoneticPr fontId="1"/>
  </si>
  <si>
    <t>とっとり</t>
    <phoneticPr fontId="1"/>
  </si>
  <si>
    <t>Tottori-ken</t>
  </si>
  <si>
    <t>32000_島根県</t>
  </si>
  <si>
    <t>島根</t>
    <phoneticPr fontId="1"/>
  </si>
  <si>
    <t>しまね</t>
    <phoneticPr fontId="1"/>
  </si>
  <si>
    <t>Shimane-ken</t>
  </si>
  <si>
    <t>33000_岡山県</t>
  </si>
  <si>
    <t>岡山</t>
    <phoneticPr fontId="1"/>
  </si>
  <si>
    <t>おかやま</t>
    <phoneticPr fontId="1"/>
  </si>
  <si>
    <t>Okayama-ken</t>
  </si>
  <si>
    <t>34000_広島県</t>
  </si>
  <si>
    <t>広島</t>
    <phoneticPr fontId="1"/>
  </si>
  <si>
    <t>ひろしま</t>
    <phoneticPr fontId="1"/>
  </si>
  <si>
    <t>Hiroshima-ken</t>
  </si>
  <si>
    <t>35000_山口県</t>
  </si>
  <si>
    <t>山口</t>
    <phoneticPr fontId="1"/>
  </si>
  <si>
    <t>やまぐち</t>
    <phoneticPr fontId="1"/>
  </si>
  <si>
    <t>Yamaguchi-ken</t>
  </si>
  <si>
    <t>36000_徳島県</t>
  </si>
  <si>
    <t>徳島</t>
    <phoneticPr fontId="1"/>
  </si>
  <si>
    <t>とくしま</t>
    <phoneticPr fontId="1"/>
  </si>
  <si>
    <t>Tokushima-ken</t>
  </si>
  <si>
    <t>37000_香川県</t>
  </si>
  <si>
    <t>香川</t>
    <phoneticPr fontId="1"/>
  </si>
  <si>
    <t>かがわ</t>
    <phoneticPr fontId="1"/>
  </si>
  <si>
    <t>Kagawa-ken</t>
  </si>
  <si>
    <t>38000_愛媛県</t>
  </si>
  <si>
    <t>愛媛</t>
    <phoneticPr fontId="1"/>
  </si>
  <si>
    <t>えひめ</t>
    <phoneticPr fontId="1"/>
  </si>
  <si>
    <t>Ehime-ken</t>
  </si>
  <si>
    <t>39000_高知県</t>
  </si>
  <si>
    <t>高知</t>
    <phoneticPr fontId="1"/>
  </si>
  <si>
    <t>こうち</t>
    <phoneticPr fontId="1"/>
  </si>
  <si>
    <t>Kochi-ken</t>
  </si>
  <si>
    <t>40000_福岡県</t>
  </si>
  <si>
    <t>福岡</t>
    <phoneticPr fontId="1"/>
  </si>
  <si>
    <t>ふくおか</t>
    <phoneticPr fontId="1"/>
  </si>
  <si>
    <t>Fukuoka-ken</t>
  </si>
  <si>
    <t>41000_佐賀県</t>
  </si>
  <si>
    <t>佐賀</t>
    <phoneticPr fontId="1"/>
  </si>
  <si>
    <t>さが</t>
    <phoneticPr fontId="1"/>
  </si>
  <si>
    <t>Saga-ken</t>
  </si>
  <si>
    <t>42000_長崎県</t>
  </si>
  <si>
    <t>長崎</t>
    <phoneticPr fontId="1"/>
  </si>
  <si>
    <t>ながさき</t>
    <phoneticPr fontId="1"/>
  </si>
  <si>
    <t>Nagasaki-ken</t>
  </si>
  <si>
    <t>43000_熊本県</t>
  </si>
  <si>
    <t>熊本</t>
    <phoneticPr fontId="1"/>
  </si>
  <si>
    <t>くまもと</t>
    <phoneticPr fontId="1"/>
  </si>
  <si>
    <t>Kumamoto-ken</t>
  </si>
  <si>
    <t>44000_大分県</t>
  </si>
  <si>
    <t>大分</t>
    <phoneticPr fontId="1"/>
  </si>
  <si>
    <t>おおいた</t>
    <phoneticPr fontId="1"/>
  </si>
  <si>
    <t>Oita-ken</t>
  </si>
  <si>
    <t>45000_宮崎県</t>
  </si>
  <si>
    <t>宮崎</t>
    <phoneticPr fontId="1"/>
  </si>
  <si>
    <t>みやざき</t>
    <phoneticPr fontId="1"/>
  </si>
  <si>
    <t>Miyazaki-ken</t>
  </si>
  <si>
    <t>46000_鹿児島県</t>
  </si>
  <si>
    <t>鹿児島</t>
    <phoneticPr fontId="1"/>
  </si>
  <si>
    <t>かごしま</t>
    <phoneticPr fontId="1"/>
  </si>
  <si>
    <t>Kagoshima-ken</t>
  </si>
  <si>
    <t>47000_沖縄県</t>
  </si>
  <si>
    <t>沖縄</t>
    <phoneticPr fontId="1"/>
  </si>
  <si>
    <t>おきなわ</t>
    <phoneticPr fontId="1"/>
  </si>
  <si>
    <t>Okinawa-ken</t>
  </si>
  <si>
    <t>地図テンプレート_全国</t>
    <rPh sb="0" eb="2">
      <t>チズ</t>
    </rPh>
    <rPh sb="9" eb="11">
      <t>ゼンコク</t>
    </rPh>
    <phoneticPr fontId="1"/>
  </si>
  <si>
    <t>BO7</t>
  </si>
  <si>
    <t>BC11</t>
  </si>
  <si>
    <t>BG11</t>
  </si>
  <si>
    <t>BK11</t>
  </si>
  <si>
    <t>BO11</t>
  </si>
  <si>
    <t>BC15</t>
  </si>
  <si>
    <t>BG15</t>
  </si>
  <si>
    <t>BK15</t>
  </si>
  <si>
    <t>G19</t>
  </si>
  <si>
    <t>S19</t>
  </si>
  <si>
    <t>AE19</t>
  </si>
  <si>
    <t>K23</t>
  </si>
  <si>
    <t>W23</t>
  </si>
  <si>
    <t>AQ23</t>
  </si>
  <si>
    <t>K27</t>
  </si>
  <si>
    <t>W27</t>
  </si>
  <si>
    <t>G31</t>
  </si>
  <si>
    <t>K31</t>
  </si>
  <si>
    <t>自動生成_全国_市町村なまえ</t>
    <rPh sb="0" eb="4">
      <t>ジドウセイセイ</t>
    </rPh>
    <rPh sb="5" eb="7">
      <t>ゼンコク</t>
    </rPh>
    <rPh sb="8" eb="11">
      <t>シチョウソン</t>
    </rPh>
    <phoneticPr fontId="1"/>
  </si>
  <si>
    <t>自動生成_全国_人口密度</t>
    <rPh sb="0" eb="4">
      <t>ジドウセイセイ</t>
    </rPh>
    <rPh sb="5" eb="7">
      <t>ゼンコク</t>
    </rPh>
    <rPh sb="8" eb="10">
      <t>ジンコウ</t>
    </rPh>
    <rPh sb="10" eb="12">
      <t>ミツド</t>
    </rPh>
    <phoneticPr fontId="1"/>
  </si>
  <si>
    <t>自動生成_全国_人口</t>
    <rPh sb="0" eb="4">
      <t>ジドウセイセイ</t>
    </rPh>
    <rPh sb="5" eb="7">
      <t>ゼンコク</t>
    </rPh>
    <rPh sb="8" eb="10">
      <t>ジンコウ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</si>
</sst>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_ "/>
    <numFmt numFmtId="179" formatCode="#,##0.0;[Red]\-#,##0.0"/>
    <numFmt numFmtId="180" formatCode="#,##0.0"/>
    <numFmt numFmtId="181" formatCode="0.0_ "/>
    <numFmt numFmtId="182" formatCode="00000"/>
  </numFmts>
  <fonts count="38"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9"/>
      <color theme="0"/>
      <name val="ＭＳ ゴシック"/>
      <family val="3"/>
      <charset val="128"/>
    </font>
    <font>
      <sz val="6"/>
      <name val="ＭＳ 明朝"/>
      <family val="1"/>
      <charset val="128"/>
    </font>
    <font>
      <sz val="8"/>
      <name val="ＭＳ ゴシック"/>
      <family val="3"/>
      <charset val="128"/>
    </font>
    <font>
      <sz val="6"/>
      <name val="ＭＳ Ｐゴシック"/>
      <family val="3"/>
      <charset val="128"/>
    </font>
  </fonts>
  <fills count="35">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FC000"/>
        <bgColor rgb="FF000000"/>
      </patternFill>
    </fill>
    <fill>
      <patternFill patternType="solid">
        <fgColor rgb="FFFFFF0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D5E3F6"/>
        <bgColor indexed="64"/>
      </patternFill>
    </fill>
    <fill>
      <patternFill patternType="solid">
        <fgColor rgb="FF084BA2"/>
        <bgColor indexed="64"/>
      </patternFill>
    </fill>
    <fill>
      <patternFill patternType="solid">
        <fgColor rgb="FFFC9A99"/>
        <bgColor rgb="FF000000"/>
      </patternFill>
    </fill>
    <fill>
      <patternFill patternType="solid">
        <fgColor rgb="FF92D050"/>
        <bgColor rgb="FF000000"/>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hair">
        <color indexed="64"/>
      </left>
      <right style="hair">
        <color indexed="64"/>
      </right>
      <top/>
      <bottom/>
      <diagonal/>
    </border>
    <border>
      <left style="thin">
        <color indexed="64"/>
      </left>
      <right/>
      <top/>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6" fillId="0" borderId="0"/>
  </cellStyleXfs>
  <cellXfs count="231">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6" fillId="0" borderId="0" xfId="1" applyFont="1" applyBorder="1">
      <alignment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0" fontId="19" fillId="5" borderId="0" xfId="0" applyFont="1" applyFill="1" applyAlignment="1"/>
    <xf numFmtId="0" fontId="0" fillId="4" borderId="0" xfId="0" applyFill="1">
      <alignment vertical="center"/>
    </xf>
    <xf numFmtId="0" fontId="22" fillId="4" borderId="0" xfId="0" applyFont="1" applyFill="1">
      <alignment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0" fontId="21" fillId="4" borderId="0" xfId="0" applyFont="1" applyFill="1" applyAlignment="1">
      <alignment horizontal="right" vertical="center"/>
    </xf>
    <xf numFmtId="0" fontId="8" fillId="4" borderId="0" xfId="0" applyFont="1" applyFill="1">
      <alignment vertical="center"/>
    </xf>
    <xf numFmtId="0" fontId="5" fillId="2" borderId="0" xfId="0" applyFont="1" applyFill="1" applyAlignment="1">
      <alignment horizontal="right"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176" fontId="10" fillId="11" borderId="0" xfId="0" applyNumberFormat="1" applyFont="1" applyFill="1" applyAlignment="1">
      <alignment horizontal="center" vertical="center"/>
    </xf>
    <xf numFmtId="176" fontId="10" fillId="0" borderId="0" xfId="0" applyNumberFormat="1" applyFont="1">
      <alignment vertical="center"/>
    </xf>
    <xf numFmtId="0" fontId="5" fillId="0" borderId="0" xfId="0" applyFont="1" applyAlignment="1">
      <alignment horizontal="center" vertical="center"/>
    </xf>
    <xf numFmtId="38" fontId="33" fillId="0" borderId="0" xfId="2" applyFont="1" applyFill="1" applyBorder="1" applyAlignment="1">
      <alignment horizontal="right" vertical="center"/>
    </xf>
    <xf numFmtId="178" fontId="33" fillId="0" borderId="0" xfId="0" applyNumberFormat="1" applyFont="1" applyAlignment="1">
      <alignment horizontal="right" vertical="center"/>
    </xf>
    <xf numFmtId="179"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0"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49" fontId="33" fillId="31" borderId="0" xfId="0" applyNumberFormat="1" applyFont="1" applyFill="1">
      <alignment vertical="center"/>
    </xf>
    <xf numFmtId="38" fontId="34" fillId="32" borderId="0" xfId="2" applyFont="1" applyFill="1" applyBorder="1" applyAlignment="1">
      <alignment horizontal="center" vertical="center"/>
    </xf>
    <xf numFmtId="178" fontId="34" fillId="32" borderId="0" xfId="0" applyNumberFormat="1" applyFont="1" applyFill="1" applyAlignment="1">
      <alignment horizontal="center" vertical="center"/>
    </xf>
    <xf numFmtId="179" fontId="34" fillId="32" borderId="0" xfId="2" applyNumberFormat="1" applyFont="1" applyFill="1" applyBorder="1" applyAlignment="1">
      <alignment horizontal="center" vertical="center"/>
    </xf>
    <xf numFmtId="40" fontId="34" fillId="32" borderId="0" xfId="2" applyNumberFormat="1" applyFont="1" applyFill="1" applyBorder="1" applyAlignment="1">
      <alignment horizontal="center" vertical="center"/>
    </xf>
    <xf numFmtId="181" fontId="34" fillId="32" borderId="0" xfId="0" applyNumberFormat="1" applyFont="1" applyFill="1" applyAlignment="1">
      <alignment horizontal="center" vertical="center"/>
    </xf>
    <xf numFmtId="0" fontId="34" fillId="32" borderId="0" xfId="0" applyFont="1" applyFill="1" applyAlignment="1">
      <alignment horizontal="center" vertical="center"/>
    </xf>
    <xf numFmtId="182" fontId="34" fillId="32" borderId="0" xfId="3" applyNumberFormat="1" applyFont="1" applyFill="1" applyAlignment="1">
      <alignment horizontal="center" vertical="center" wrapText="1"/>
    </xf>
    <xf numFmtId="0" fontId="21" fillId="32" borderId="0" xfId="0" applyFont="1" applyFill="1" applyAlignment="1">
      <alignment horizontal="right"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0" fontId="12" fillId="0" borderId="0" xfId="0" applyFont="1" applyAlignment="1">
      <alignment horizontal="left" vertical="center"/>
    </xf>
    <xf numFmtId="0" fontId="12" fillId="0" borderId="4" xfId="0" applyFont="1" applyBorder="1" applyAlignment="1">
      <alignment horizontal="left" vertical="center"/>
    </xf>
    <xf numFmtId="0" fontId="12" fillId="0" borderId="5" xfId="0" applyFont="1" applyBorder="1" applyAlignment="1">
      <alignment horizontal="lef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0" fontId="0" fillId="0" borderId="17" xfId="0" applyBorder="1" applyAlignment="1">
      <alignment horizontal="left" vertical="center"/>
    </xf>
    <xf numFmtId="0" fontId="0" fillId="0" borderId="12" xfId="0" applyBorder="1" applyAlignment="1">
      <alignment horizontal="right" vertical="center"/>
    </xf>
    <xf numFmtId="0" fontId="0" fillId="0" borderId="19" xfId="0" applyBorder="1" applyAlignment="1">
      <alignment horizontal="righ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7" xfId="0" applyBorder="1" applyAlignment="1">
      <alignment horizontal="right" vertical="center"/>
    </xf>
    <xf numFmtId="176" fontId="10" fillId="0" borderId="4" xfId="0" applyNumberFormat="1" applyFont="1" applyBorder="1" applyAlignment="1">
      <alignment horizontal="right"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176" fontId="10" fillId="11" borderId="0" xfId="0" applyNumberFormat="1" applyFont="1" applyFill="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3" fontId="13" fillId="14"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21" fillId="16"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28" fillId="16" borderId="13" xfId="0" applyNumberFormat="1"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3" fontId="28" fillId="6"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3" fontId="21" fillId="6"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176" fontId="10" fillId="11" borderId="4" xfId="0" applyNumberFormat="1" applyFont="1" applyFill="1" applyBorder="1" applyAlignment="1">
      <alignment horizontal="center" vertical="center"/>
    </xf>
    <xf numFmtId="3" fontId="12" fillId="7" borderId="13" xfId="0" applyNumberFormat="1" applyFont="1" applyFill="1" applyBorder="1" applyAlignment="1">
      <alignment horizontal="right" vertical="center"/>
    </xf>
    <xf numFmtId="3" fontId="13" fillId="15"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2" fillId="9"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xf numFmtId="3" fontId="12" fillId="0" borderId="0" xfId="0" applyNumberFormat="1" applyFont="1">
      <alignment vertical="center"/>
    </xf>
    <xf numFmtId="3" fontId="13" fillId="0" borderId="0" xfId="0" applyNumberFormat="1" applyFont="1">
      <alignment vertical="center"/>
    </xf>
    <xf numFmtId="0" fontId="12" fillId="0" borderId="0" xfId="0" applyFont="1">
      <alignment vertical="center"/>
    </xf>
    <xf numFmtId="49" fontId="33" fillId="0" borderId="20" xfId="0" applyNumberFormat="1" applyFont="1" applyBorder="1">
      <alignment vertical="center"/>
    </xf>
    <xf numFmtId="38" fontId="33" fillId="0" borderId="21" xfId="2" applyFont="1" applyFill="1" applyBorder="1" applyAlignment="1">
      <alignment horizontal="right" vertical="center"/>
    </xf>
    <xf numFmtId="0" fontId="24" fillId="19" borderId="0" xfId="0" applyNumberFormat="1" applyFont="1" applyFill="1" applyBorder="1" applyAlignment="1">
      <alignment vertical="center"/>
    </xf>
    <xf numFmtId="0" fontId="24" fillId="0" borderId="0" xfId="0" applyNumberFormat="1" applyFont="1" applyFill="1" applyBorder="1" applyAlignment="1">
      <alignment vertical="center"/>
    </xf>
    <xf numFmtId="0" fontId="25" fillId="20" borderId="0" xfId="0" applyNumberFormat="1" applyFont="1" applyFill="1" applyBorder="1" applyAlignment="1">
      <alignment horizontal="center" vertical="center"/>
    </xf>
    <xf numFmtId="0" fontId="5" fillId="21" borderId="16" xfId="0" applyNumberFormat="1" applyFont="1" applyFill="1" applyBorder="1" applyAlignment="1">
      <alignment horizontal="center" vertical="center"/>
    </xf>
    <xf numFmtId="0" fontId="24" fillId="0" borderId="14" xfId="0" applyNumberFormat="1" applyFont="1" applyFill="1" applyBorder="1" applyAlignment="1">
      <alignment horizontal="left" vertical="center"/>
    </xf>
    <xf numFmtId="0" fontId="24" fillId="0" borderId="13" xfId="0" applyNumberFormat="1" applyFont="1" applyFill="1" applyBorder="1" applyAlignment="1">
      <alignment vertical="center"/>
    </xf>
    <xf numFmtId="3" fontId="12" fillId="0" borderId="13" xfId="0" applyNumberFormat="1" applyFont="1" applyFill="1" applyBorder="1" applyAlignment="1">
      <alignment horizontal="left" vertical="center"/>
    </xf>
    <xf numFmtId="0" fontId="0" fillId="0" borderId="0" xfId="0" applyBorder="1" applyAlignment="1">
      <alignment horizontal="left" vertical="center"/>
    </xf>
    <xf numFmtId="0" fontId="24" fillId="0" borderId="0" xfId="0" applyNumberFormat="1" applyFont="1" applyFill="1" applyBorder="1" applyAlignment="1">
      <alignment horizontal="right" vertical="center"/>
    </xf>
    <xf numFmtId="38" fontId="24" fillId="0" borderId="0" xfId="0" applyNumberFormat="1" applyFont="1" applyFill="1" applyBorder="1" applyAlignment="1">
      <alignment vertical="center"/>
    </xf>
    <xf numFmtId="0" fontId="24" fillId="0" borderId="16" xfId="0" applyNumberFormat="1" applyFont="1" applyFill="1" applyBorder="1" applyAlignment="1">
      <alignment vertical="center"/>
    </xf>
    <xf numFmtId="0" fontId="24" fillId="0" borderId="14" xfId="0" applyNumberFormat="1" applyFont="1" applyFill="1" applyBorder="1" applyAlignment="1">
      <alignment vertical="center"/>
    </xf>
    <xf numFmtId="0" fontId="5" fillId="0" borderId="0" xfId="0" applyNumberFormat="1" applyFont="1" applyFill="1" applyBorder="1" applyAlignment="1">
      <alignment horizontal="center" vertical="center"/>
    </xf>
    <xf numFmtId="3" fontId="12" fillId="0" borderId="0" xfId="0" applyNumberFormat="1" applyFont="1" applyFill="1" applyBorder="1" applyAlignment="1">
      <alignment vertical="center"/>
    </xf>
    <xf numFmtId="3" fontId="13" fillId="0" borderId="0" xfId="0" applyNumberFormat="1" applyFont="1" applyFill="1" applyBorder="1" applyAlignment="1">
      <alignment vertical="center"/>
    </xf>
    <xf numFmtId="0" fontId="27" fillId="0" borderId="0" xfId="0" applyNumberFormat="1" applyFont="1" applyFill="1" applyBorder="1" applyAlignment="1">
      <alignment vertical="center"/>
    </xf>
    <xf numFmtId="0" fontId="12" fillId="0" borderId="0" xfId="0" applyNumberFormat="1" applyFont="1" applyFill="1" applyBorder="1" applyAlignment="1">
      <alignment vertical="center"/>
    </xf>
    <xf numFmtId="0" fontId="24" fillId="19" borderId="16" xfId="0" applyNumberFormat="1" applyFont="1" applyFill="1" applyBorder="1" applyAlignment="1">
      <alignment vertical="center"/>
    </xf>
    <xf numFmtId="0" fontId="24" fillId="0" borderId="0" xfId="0" applyNumberFormat="1" applyFont="1" applyFill="1" applyBorder="1" applyAlignment="1">
      <alignment vertical="center"/>
    </xf>
    <xf numFmtId="0" fontId="24" fillId="0" borderId="15" xfId="0" applyNumberFormat="1" applyFont="1" applyFill="1" applyBorder="1" applyAlignment="1">
      <alignment horizontal="left" vertical="center"/>
    </xf>
    <xf numFmtId="0" fontId="24" fillId="0" borderId="0" xfId="0" applyNumberFormat="1" applyFont="1" applyFill="1" applyBorder="1" applyAlignment="1">
      <alignment horizontal="right" vertical="center"/>
    </xf>
    <xf numFmtId="0" fontId="24" fillId="0" borderId="17" xfId="0" applyNumberFormat="1" applyFont="1" applyFill="1" applyBorder="1" applyAlignment="1">
      <alignment horizontal="right" vertical="center"/>
    </xf>
    <xf numFmtId="177" fontId="24" fillId="0" borderId="13" xfId="0" applyNumberFormat="1" applyFont="1" applyFill="1" applyBorder="1" applyAlignment="1">
      <alignment horizontal="right" vertical="center"/>
    </xf>
    <xf numFmtId="177" fontId="24" fillId="0" borderId="13" xfId="0" applyNumberFormat="1" applyFont="1" applyFill="1" applyBorder="1" applyAlignment="1">
      <alignment horizontal="left" vertical="center"/>
    </xf>
    <xf numFmtId="0" fontId="24" fillId="0" borderId="0" xfId="0" applyNumberFormat="1" applyFont="1" applyFill="1" applyBorder="1" applyAlignment="1">
      <alignment horizontal="left" vertical="center"/>
    </xf>
    <xf numFmtId="0" fontId="24" fillId="0" borderId="17" xfId="0" applyNumberFormat="1" applyFont="1" applyFill="1" applyBorder="1" applyAlignment="1">
      <alignment horizontal="left" vertical="center"/>
    </xf>
    <xf numFmtId="0" fontId="24" fillId="0" borderId="12" xfId="0" applyNumberFormat="1" applyFont="1" applyFill="1" applyBorder="1" applyAlignment="1">
      <alignment horizontal="right" vertical="center"/>
    </xf>
    <xf numFmtId="0" fontId="24" fillId="0" borderId="19" xfId="0" applyNumberFormat="1" applyFont="1" applyFill="1" applyBorder="1" applyAlignment="1">
      <alignment horizontal="right" vertical="center"/>
    </xf>
    <xf numFmtId="177" fontId="24" fillId="0" borderId="18" xfId="0" applyNumberFormat="1" applyFont="1" applyFill="1" applyBorder="1" applyAlignment="1">
      <alignment horizontal="right" vertical="center"/>
    </xf>
    <xf numFmtId="0" fontId="12" fillId="0" borderId="18" xfId="0" applyNumberFormat="1" applyFont="1" applyFill="1" applyBorder="1" applyAlignment="1">
      <alignment horizontal="right" vertical="center"/>
    </xf>
    <xf numFmtId="177" fontId="26" fillId="0" borderId="13" xfId="0" applyNumberFormat="1" applyFont="1" applyFill="1" applyBorder="1" applyAlignment="1">
      <alignment horizontal="right" vertical="center"/>
    </xf>
    <xf numFmtId="0" fontId="0" fillId="0" borderId="0" xfId="0" applyBorder="1" applyAlignment="1">
      <alignment horizontal="right" vertical="center"/>
    </xf>
    <xf numFmtId="0" fontId="21" fillId="22" borderId="16" xfId="0" applyNumberFormat="1" applyFont="1" applyFill="1" applyBorder="1" applyAlignment="1">
      <alignment horizontal="right" vertical="center"/>
    </xf>
    <xf numFmtId="0" fontId="24" fillId="0" borderId="14" xfId="0" applyNumberFormat="1" applyFont="1" applyFill="1" applyBorder="1" applyAlignment="1">
      <alignment horizontal="right" vertical="center"/>
    </xf>
    <xf numFmtId="0" fontId="21" fillId="22" borderId="14" xfId="0" applyNumberFormat="1" applyFont="1" applyFill="1" applyBorder="1" applyAlignment="1">
      <alignment horizontal="center" vertical="center"/>
    </xf>
    <xf numFmtId="0" fontId="24" fillId="0" borderId="15" xfId="0" applyNumberFormat="1" applyFont="1" applyFill="1" applyBorder="1" applyAlignment="1">
      <alignment horizontal="center" vertical="center"/>
    </xf>
    <xf numFmtId="38" fontId="24" fillId="0" borderId="13" xfId="0" applyNumberFormat="1" applyFont="1" applyFill="1" applyBorder="1" applyAlignment="1">
      <alignment vertical="center"/>
    </xf>
    <xf numFmtId="38" fontId="24" fillId="0" borderId="13" xfId="0" applyNumberFormat="1" applyFont="1" applyFill="1" applyBorder="1" applyAlignment="1">
      <alignment horizontal="right" vertical="center"/>
    </xf>
    <xf numFmtId="0" fontId="28" fillId="23" borderId="0" xfId="0" applyNumberFormat="1" applyFont="1" applyFill="1" applyBorder="1" applyAlignment="1">
      <alignment horizontal="center" vertical="center"/>
    </xf>
    <xf numFmtId="0" fontId="24" fillId="0" borderId="17" xfId="0" applyNumberFormat="1" applyFont="1" applyFill="1" applyBorder="1" applyAlignment="1">
      <alignment horizontal="center" vertical="center"/>
    </xf>
    <xf numFmtId="0" fontId="28" fillId="24" borderId="0" xfId="0" applyNumberFormat="1" applyFont="1" applyFill="1" applyBorder="1" applyAlignment="1">
      <alignment horizontal="center" vertical="center"/>
    </xf>
    <xf numFmtId="0" fontId="28" fillId="33" borderId="0" xfId="0" applyNumberFormat="1" applyFont="1" applyFill="1" applyBorder="1" applyAlignment="1">
      <alignment horizontal="center" vertical="center"/>
    </xf>
    <xf numFmtId="0" fontId="24" fillId="25" borderId="0" xfId="0" applyNumberFormat="1" applyFont="1" applyFill="1" applyBorder="1" applyAlignment="1">
      <alignment horizontal="center" vertical="center"/>
    </xf>
    <xf numFmtId="0" fontId="24" fillId="26" borderId="0" xfId="0" applyNumberFormat="1" applyFont="1" applyFill="1" applyBorder="1" applyAlignment="1">
      <alignment horizontal="center" vertical="center"/>
    </xf>
    <xf numFmtId="0" fontId="24" fillId="34" borderId="0" xfId="0" applyNumberFormat="1" applyFont="1" applyFill="1" applyBorder="1" applyAlignment="1">
      <alignment horizontal="center" vertical="center"/>
    </xf>
    <xf numFmtId="0" fontId="24" fillId="27" borderId="0" xfId="0" applyNumberFormat="1" applyFont="1" applyFill="1" applyBorder="1" applyAlignment="1">
      <alignment horizontal="center" vertical="center"/>
    </xf>
    <xf numFmtId="0" fontId="24" fillId="28" borderId="0" xfId="0" applyNumberFormat="1" applyFont="1" applyFill="1" applyBorder="1" applyAlignment="1">
      <alignment horizontal="center" vertical="center"/>
    </xf>
    <xf numFmtId="0" fontId="24" fillId="29" borderId="0" xfId="0" applyNumberFormat="1" applyFont="1" applyFill="1" applyBorder="1" applyAlignment="1">
      <alignment horizontal="center" vertical="center"/>
    </xf>
    <xf numFmtId="0" fontId="24" fillId="30" borderId="0" xfId="0" applyNumberFormat="1" applyFont="1" applyFill="1" applyBorder="1" applyAlignment="1">
      <alignment horizontal="center" vertical="center"/>
    </xf>
    <xf numFmtId="38" fontId="24" fillId="0" borderId="18" xfId="0" applyNumberFormat="1" applyFont="1" applyFill="1" applyBorder="1" applyAlignment="1">
      <alignment horizontal="right" vertical="center"/>
    </xf>
    <xf numFmtId="0" fontId="24" fillId="0" borderId="12" xfId="0" applyNumberFormat="1" applyFont="1" applyFill="1" applyBorder="1" applyAlignment="1">
      <alignment horizontal="center" vertical="center"/>
    </xf>
    <xf numFmtId="0" fontId="24" fillId="0" borderId="19" xfId="0" applyNumberFormat="1" applyFont="1" applyFill="1" applyBorder="1" applyAlignment="1">
      <alignment horizontal="center" vertical="center"/>
    </xf>
    <xf numFmtId="0" fontId="12" fillId="14" borderId="18" xfId="0" applyNumberFormat="1" applyFont="1" applyFill="1" applyBorder="1" applyAlignment="1">
      <alignment horizontal="right" vertical="center"/>
    </xf>
    <xf numFmtId="0" fontId="12" fillId="12" borderId="18" xfId="0" applyNumberFormat="1" applyFont="1" applyFill="1" applyBorder="1" applyAlignment="1">
      <alignment horizontal="right" vertical="center"/>
    </xf>
    <xf numFmtId="0" fontId="12" fillId="17" borderId="18" xfId="0" applyNumberFormat="1" applyFont="1" applyFill="1" applyBorder="1" applyAlignment="1">
      <alignment horizontal="right" vertical="center"/>
    </xf>
    <xf numFmtId="0" fontId="12" fillId="13" borderId="18" xfId="0" applyNumberFormat="1" applyFont="1" applyFill="1" applyBorder="1" applyAlignment="1">
      <alignment horizontal="right" vertical="center"/>
    </xf>
    <xf numFmtId="0" fontId="12" fillId="15" borderId="18" xfId="0" applyNumberFormat="1" applyFont="1" applyFill="1" applyBorder="1" applyAlignment="1">
      <alignment horizontal="right" vertical="center"/>
    </xf>
    <xf numFmtId="0" fontId="12" fillId="7" borderId="18" xfId="0" applyNumberFormat="1" applyFont="1" applyFill="1" applyBorder="1" applyAlignment="1">
      <alignment horizontal="right" vertical="center"/>
    </xf>
    <xf numFmtId="0" fontId="28" fillId="6" borderId="18" xfId="0" applyNumberFormat="1" applyFont="1" applyFill="1" applyBorder="1" applyAlignment="1">
      <alignment horizontal="right" vertical="center"/>
    </xf>
    <xf numFmtId="0" fontId="28" fillId="16" borderId="18" xfId="0" applyNumberFormat="1" applyFont="1" applyFill="1" applyBorder="1" applyAlignment="1">
      <alignment horizontal="right" vertical="center"/>
    </xf>
    <xf numFmtId="0" fontId="12" fillId="9" borderId="18" xfId="0" applyNumberFormat="1" applyFont="1" applyFill="1" applyBorder="1" applyAlignment="1">
      <alignment horizontal="right" vertical="center"/>
    </xf>
    <xf numFmtId="0" fontId="4" fillId="0" borderId="0" xfId="0" applyFont="1" applyFill="1">
      <alignment vertical="center"/>
    </xf>
    <xf numFmtId="0" fontId="4" fillId="0" borderId="0" xfId="0" applyFont="1" applyFill="1" applyAlignment="1">
      <alignment horizontal="left" vertical="center"/>
    </xf>
    <xf numFmtId="0" fontId="24" fillId="0" borderId="0" xfId="0" applyNumberFormat="1" applyFont="1" applyFill="1" applyBorder="1" applyAlignment="1">
      <alignment horizontal="left" vertical="center"/>
    </xf>
    <xf numFmtId="0" fontId="12" fillId="8" borderId="18" xfId="0" applyNumberFormat="1" applyFont="1" applyFill="1" applyBorder="1" applyAlignment="1">
      <alignment horizontal="right" vertical="center"/>
    </xf>
  </cellXfs>
  <cellStyles count="4">
    <cellStyle name="ハイパーリンク" xfId="1" builtinId="8"/>
    <cellStyle name="桁区切り" xfId="2" builtinId="6"/>
    <cellStyle name="標準" xfId="0" builtinId="0"/>
    <cellStyle name="標準_SSDS_ShiTemp" xfId="3" xr:uid="{5DD59F87-ADE5-4F63-8768-90E4312A2A58}"/>
  </cellStyles>
  <dxfs count="0"/>
  <tableStyles count="0" defaultTableStyle="TableStyleMedium2" defaultPivotStyle="PivotStyleLight16"/>
  <colors>
    <mruColors>
      <color rgb="FFBBFFFF"/>
      <color rgb="FF99EEEE"/>
      <color rgb="FFDDAA00"/>
      <color rgb="FFFFDD66"/>
      <color rgb="FFFFCC99"/>
      <color rgb="FFFFFF99"/>
      <color rgb="FFCCCC00"/>
      <color rgb="FFFFFFAA"/>
      <color rgb="FFFFFFCC"/>
      <color rgb="FFFFFF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82</xdr:row>
      <xdr:rowOff>0</xdr:rowOff>
    </xdr:from>
    <xdr:to>
      <xdr:col>44</xdr:col>
      <xdr:colOff>218700</xdr:colOff>
      <xdr:row>93</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110</xdr:row>
      <xdr:rowOff>0</xdr:rowOff>
    </xdr:from>
    <xdr:to>
      <xdr:col>13</xdr:col>
      <xdr:colOff>235623</xdr:colOff>
      <xdr:row>123</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105</xdr:row>
          <xdr:rowOff>241300</xdr:rowOff>
        </xdr:from>
        <xdr:to>
          <xdr:col>12</xdr:col>
          <xdr:colOff>254000</xdr:colOff>
          <xdr:row>108</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121</xdr:row>
      <xdr:rowOff>160545</xdr:rowOff>
    </xdr:from>
    <xdr:to>
      <xdr:col>14</xdr:col>
      <xdr:colOff>24848</xdr:colOff>
      <xdr:row>122</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124</xdr:row>
      <xdr:rowOff>198782</xdr:rowOff>
    </xdr:from>
    <xdr:to>
      <xdr:col>35</xdr:col>
      <xdr:colOff>240194</xdr:colOff>
      <xdr:row>126</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122</xdr:row>
      <xdr:rowOff>201957</xdr:rowOff>
    </xdr:from>
    <xdr:to>
      <xdr:col>21</xdr:col>
      <xdr:colOff>88554</xdr:colOff>
      <xdr:row>124</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92</xdr:row>
      <xdr:rowOff>57288</xdr:rowOff>
    </xdr:from>
    <xdr:to>
      <xdr:col>24</xdr:col>
      <xdr:colOff>36445</xdr:colOff>
      <xdr:row>93</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94</xdr:row>
      <xdr:rowOff>187325</xdr:rowOff>
    </xdr:from>
    <xdr:to>
      <xdr:col>32</xdr:col>
      <xdr:colOff>198783</xdr:colOff>
      <xdr:row>96</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93</xdr:row>
      <xdr:rowOff>95527</xdr:rowOff>
    </xdr:from>
    <xdr:to>
      <xdr:col>22</xdr:col>
      <xdr:colOff>183807</xdr:colOff>
      <xdr:row>94</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844550</xdr:colOff>
      <xdr:row>3</xdr:row>
      <xdr:rowOff>228599</xdr:rowOff>
    </xdr:from>
    <xdr:to>
      <xdr:col>10</xdr:col>
      <xdr:colOff>66675</xdr:colOff>
      <xdr:row>9</xdr:row>
      <xdr:rowOff>69848</xdr:rowOff>
    </xdr:to>
    <xdr:sp macro="" textlink="">
      <xdr:nvSpPr>
        <xdr:cNvPr id="2" name="テキスト ボックス 1">
          <a:extLst>
            <a:ext uri="{FF2B5EF4-FFF2-40B4-BE49-F238E27FC236}">
              <a16:creationId xmlns:a16="http://schemas.microsoft.com/office/drawing/2014/main" id="{34625E24-C4A7-416F-A2C6-09C2D7626171}"/>
            </a:ext>
          </a:extLst>
        </xdr:cNvPr>
        <xdr:cNvSpPr txBox="1"/>
      </xdr:nvSpPr>
      <xdr:spPr>
        <a:xfrm>
          <a:off x="4375150" y="914399"/>
          <a:ext cx="9363075" cy="1212849"/>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［国勢調査］＞［令和２年国勢調査（総務省統計局）　都道府県・市区町村別の主な結果］</a:t>
          </a:r>
          <a:endParaRPr kumimoji="1" lang="en-US" altLang="ja-JP" sz="1100"/>
        </a:p>
        <a:p>
          <a:r>
            <a:rPr kumimoji="1" lang="en-US" altLang="ja-JP" sz="1100"/>
            <a:t>https://www.e-stat.go.jp/stat-search/files?page=1&amp;layout=datalist&amp;toukei=00200521&amp;tstat=000001049104&amp;cycle=0&amp;tclass1=000001049105&amp;tclass2val=0</a:t>
          </a:r>
          <a:br>
            <a:rPr kumimoji="1" lang="en-US" altLang="ja-JP" sz="1100"/>
          </a:br>
          <a:endParaRPr kumimoji="1" lang="en-US" altLang="ja-JP" sz="1100"/>
        </a:p>
        <a:p>
          <a:r>
            <a:rPr kumimoji="1" lang="en-US" altLang="ja-JP" sz="1100"/>
            <a:t>※</a:t>
          </a:r>
          <a:r>
            <a:rPr kumimoji="1" lang="ja-JP" altLang="en-US" sz="1100"/>
            <a:t>ヘッダーは［国勢調査］から貼り付けた後、利用する列は、［元の名前］を欄外に残しつつ、</a:t>
          </a:r>
          <a:endParaRPr kumimoji="1" lang="en-US" altLang="ja-JP" sz="1100"/>
        </a:p>
        <a:p>
          <a:r>
            <a:rPr kumimoji="1" lang="ja-JP" altLang="en-US" sz="1100"/>
            <a:t>［分かりやすく短い名前］で１行になるよう手調整してください。</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15876</xdr:colOff>
      <xdr:row>44</xdr:row>
      <xdr:rowOff>9525</xdr:rowOff>
    </xdr:from>
    <xdr:to>
      <xdr:col>13</xdr:col>
      <xdr:colOff>257231</xdr:colOff>
      <xdr:row>52</xdr:row>
      <xdr:rowOff>219075</xdr:rowOff>
    </xdr:to>
    <xdr:pic>
      <xdr:nvPicPr>
        <xdr:cNvPr id="45" name="図 44">
          <a:extLst>
            <a:ext uri="{FF2B5EF4-FFF2-40B4-BE49-F238E27FC236}">
              <a16:creationId xmlns:a16="http://schemas.microsoft.com/office/drawing/2014/main" id="{B58FC016-09E1-15E8-B0E7-7E49DA61BD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102</xdr:row>
      <xdr:rowOff>0</xdr:rowOff>
    </xdr:from>
    <xdr:to>
      <xdr:col>34</xdr:col>
      <xdr:colOff>126267</xdr:colOff>
      <xdr:row>117</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29</xdr:row>
      <xdr:rowOff>0</xdr:rowOff>
    </xdr:from>
    <xdr:to>
      <xdr:col>34</xdr:col>
      <xdr:colOff>123092</xdr:colOff>
      <xdr:row>33</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97</xdr:row>
          <xdr:rowOff>184150</xdr:rowOff>
        </xdr:from>
        <xdr:to>
          <xdr:col>12</xdr:col>
          <xdr:colOff>139700</xdr:colOff>
          <xdr:row>100</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102572</xdr:colOff>
      <xdr:row>18</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16</xdr:row>
      <xdr:rowOff>117229</xdr:rowOff>
    </xdr:from>
    <xdr:to>
      <xdr:col>23</xdr:col>
      <xdr:colOff>36634</xdr:colOff>
      <xdr:row>17</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20</xdr:row>
      <xdr:rowOff>10501</xdr:rowOff>
    </xdr:from>
    <xdr:to>
      <xdr:col>20</xdr:col>
      <xdr:colOff>102577</xdr:colOff>
      <xdr:row>22</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17</xdr:row>
      <xdr:rowOff>164366</xdr:rowOff>
    </xdr:from>
    <xdr:to>
      <xdr:col>20</xdr:col>
      <xdr:colOff>175356</xdr:colOff>
      <xdr:row>20</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31</xdr:row>
      <xdr:rowOff>259618</xdr:rowOff>
    </xdr:from>
    <xdr:to>
      <xdr:col>16</xdr:col>
      <xdr:colOff>109904</xdr:colOff>
      <xdr:row>32</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34</xdr:row>
      <xdr:rowOff>10501</xdr:rowOff>
    </xdr:from>
    <xdr:to>
      <xdr:col>11</xdr:col>
      <xdr:colOff>212480</xdr:colOff>
      <xdr:row>36</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32</xdr:row>
      <xdr:rowOff>240812</xdr:rowOff>
    </xdr:from>
    <xdr:to>
      <xdr:col>14</xdr:col>
      <xdr:colOff>126145</xdr:colOff>
      <xdr:row>34</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45</xdr:row>
      <xdr:rowOff>152400</xdr:rowOff>
    </xdr:from>
    <xdr:to>
      <xdr:col>9</xdr:col>
      <xdr:colOff>104775</xdr:colOff>
      <xdr:row>48</xdr:row>
      <xdr:rowOff>66675</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53</xdr:row>
      <xdr:rowOff>216633</xdr:rowOff>
    </xdr:from>
    <xdr:to>
      <xdr:col>14</xdr:col>
      <xdr:colOff>7327</xdr:colOff>
      <xdr:row>55</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48</xdr:row>
      <xdr:rowOff>66675</xdr:rowOff>
    </xdr:from>
    <xdr:to>
      <xdr:col>9</xdr:col>
      <xdr:colOff>125657</xdr:colOff>
      <xdr:row>53</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44</xdr:row>
      <xdr:rowOff>208085</xdr:rowOff>
    </xdr:from>
    <xdr:to>
      <xdr:col>43</xdr:col>
      <xdr:colOff>247651</xdr:colOff>
      <xdr:row>45</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219075</xdr:rowOff>
    </xdr:from>
    <xdr:to>
      <xdr:col>30</xdr:col>
      <xdr:colOff>106119</xdr:colOff>
      <xdr:row>54</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116</xdr:row>
      <xdr:rowOff>179022</xdr:rowOff>
    </xdr:from>
    <xdr:to>
      <xdr:col>18</xdr:col>
      <xdr:colOff>131885</xdr:colOff>
      <xdr:row>117</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119</xdr:row>
      <xdr:rowOff>11479</xdr:rowOff>
    </xdr:from>
    <xdr:to>
      <xdr:col>16</xdr:col>
      <xdr:colOff>153865</xdr:colOff>
      <xdr:row>119</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117</xdr:row>
      <xdr:rowOff>117230</xdr:rowOff>
    </xdr:from>
    <xdr:to>
      <xdr:col>17</xdr:col>
      <xdr:colOff>24057</xdr:colOff>
      <xdr:row>119</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171450</xdr:colOff>
      <xdr:row>86</xdr:row>
      <xdr:rowOff>50800</xdr:rowOff>
    </xdr:from>
    <xdr:to>
      <xdr:col>25</xdr:col>
      <xdr:colOff>95250</xdr:colOff>
      <xdr:row>88</xdr:row>
      <xdr:rowOff>222250</xdr:rowOff>
    </xdr:to>
    <xdr:sp macro="" textlink="">
      <xdr:nvSpPr>
        <xdr:cNvPr id="8" name="正方形/長方形 7">
          <a:extLst>
            <a:ext uri="{FF2B5EF4-FFF2-40B4-BE49-F238E27FC236}">
              <a16:creationId xmlns:a16="http://schemas.microsoft.com/office/drawing/2014/main" id="{253C2D75-BCA9-42F5-8553-63AF841D7A26}"/>
            </a:ext>
          </a:extLst>
        </xdr:cNvPr>
        <xdr:cNvSpPr/>
      </xdr:nvSpPr>
      <xdr:spPr>
        <a:xfrm>
          <a:off x="4171950" y="237871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83</xdr:row>
      <xdr:rowOff>254000</xdr:rowOff>
    </xdr:from>
    <xdr:to>
      <xdr:col>20</xdr:col>
      <xdr:colOff>133350</xdr:colOff>
      <xdr:row>86</xdr:row>
      <xdr:rowOff>50800</xdr:rowOff>
    </xdr:to>
    <xdr:cxnSp macro="">
      <xdr:nvCxnSpPr>
        <xdr:cNvPr id="10" name="直線コネクタ 9">
          <a:extLst>
            <a:ext uri="{FF2B5EF4-FFF2-40B4-BE49-F238E27FC236}">
              <a16:creationId xmlns:a16="http://schemas.microsoft.com/office/drawing/2014/main" id="{9589C061-3EFA-44B9-8074-2D04FA30E5BF}"/>
            </a:ext>
          </a:extLst>
        </xdr:cNvPr>
        <xdr:cNvCxnSpPr>
          <a:stCxn id="42" idx="2"/>
          <a:endCxn id="8" idx="0"/>
        </xdr:cNvCxnSpPr>
      </xdr:nvCxnSpPr>
      <xdr:spPr>
        <a:xfrm>
          <a:off x="3308350" y="18122900"/>
          <a:ext cx="2159000" cy="56642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81</xdr:row>
      <xdr:rowOff>254000</xdr:rowOff>
    </xdr:from>
    <xdr:to>
      <xdr:col>11</xdr:col>
      <xdr:colOff>31750</xdr:colOff>
      <xdr:row>83</xdr:row>
      <xdr:rowOff>44450</xdr:rowOff>
    </xdr:to>
    <xdr:sp macro="" textlink="">
      <xdr:nvSpPr>
        <xdr:cNvPr id="23" name="正方形/長方形 22">
          <a:extLst>
            <a:ext uri="{FF2B5EF4-FFF2-40B4-BE49-F238E27FC236}">
              <a16:creationId xmlns:a16="http://schemas.microsoft.com/office/drawing/2014/main" id="{5CDBA704-4188-4129-A13E-33DA30B97286}"/>
            </a:ext>
          </a:extLst>
        </xdr:cNvPr>
        <xdr:cNvSpPr/>
      </xdr:nvSpPr>
      <xdr:spPr>
        <a:xfrm>
          <a:off x="1568450" y="175895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89</xdr:row>
      <xdr:rowOff>69850</xdr:rowOff>
    </xdr:from>
    <xdr:to>
      <xdr:col>14</xdr:col>
      <xdr:colOff>120650</xdr:colOff>
      <xdr:row>91</xdr:row>
      <xdr:rowOff>228600</xdr:rowOff>
    </xdr:to>
    <xdr:sp macro="" textlink="">
      <xdr:nvSpPr>
        <xdr:cNvPr id="29" name="正方形/長方形 28">
          <a:extLst>
            <a:ext uri="{FF2B5EF4-FFF2-40B4-BE49-F238E27FC236}">
              <a16:creationId xmlns:a16="http://schemas.microsoft.com/office/drawing/2014/main" id="{643B4137-2133-4B88-A09B-DEF898A048AF}"/>
            </a:ext>
          </a:extLst>
        </xdr:cNvPr>
        <xdr:cNvSpPr/>
      </xdr:nvSpPr>
      <xdr:spPr>
        <a:xfrm>
          <a:off x="1257300" y="246062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83</xdr:row>
      <xdr:rowOff>44450</xdr:rowOff>
    </xdr:from>
    <xdr:to>
      <xdr:col>9</xdr:col>
      <xdr:colOff>155575</xdr:colOff>
      <xdr:row>89</xdr:row>
      <xdr:rowOff>69850</xdr:rowOff>
    </xdr:to>
    <xdr:cxnSp macro="">
      <xdr:nvCxnSpPr>
        <xdr:cNvPr id="30" name="直線コネクタ 29">
          <a:extLst>
            <a:ext uri="{FF2B5EF4-FFF2-40B4-BE49-F238E27FC236}">
              <a16:creationId xmlns:a16="http://schemas.microsoft.com/office/drawing/2014/main" id="{0C7E4A00-01F1-4A5D-A97A-EED27652E8F6}"/>
            </a:ext>
          </a:extLst>
        </xdr:cNvPr>
        <xdr:cNvCxnSpPr>
          <a:stCxn id="23" idx="2"/>
          <a:endCxn id="29" idx="0"/>
        </xdr:cNvCxnSpPr>
      </xdr:nvCxnSpPr>
      <xdr:spPr>
        <a:xfrm>
          <a:off x="2266950" y="17913350"/>
          <a:ext cx="288925" cy="6692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82</xdr:row>
      <xdr:rowOff>260350</xdr:rowOff>
    </xdr:from>
    <xdr:to>
      <xdr:col>12</xdr:col>
      <xdr:colOff>209550</xdr:colOff>
      <xdr:row>83</xdr:row>
      <xdr:rowOff>254000</xdr:rowOff>
    </xdr:to>
    <xdr:sp macro="" textlink="">
      <xdr:nvSpPr>
        <xdr:cNvPr id="42" name="正方形/長方形 41">
          <a:extLst>
            <a:ext uri="{FF2B5EF4-FFF2-40B4-BE49-F238E27FC236}">
              <a16:creationId xmlns:a16="http://schemas.microsoft.com/office/drawing/2014/main" id="{46B30187-ECE8-4626-B26E-DE6F1FFFF209}"/>
            </a:ext>
          </a:extLst>
        </xdr:cNvPr>
        <xdr:cNvSpPr/>
      </xdr:nvSpPr>
      <xdr:spPr>
        <a:xfrm>
          <a:off x="3206750" y="178625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61</xdr:row>
      <xdr:rowOff>219074</xdr:rowOff>
    </xdr:from>
    <xdr:to>
      <xdr:col>9</xdr:col>
      <xdr:colOff>38101</xdr:colOff>
      <xdr:row>66</xdr:row>
      <xdr:rowOff>50799</xdr:rowOff>
    </xdr:to>
    <xdr:sp macro="" textlink="">
      <xdr:nvSpPr>
        <xdr:cNvPr id="48" name="正方形/長方形 47">
          <a:extLst>
            <a:ext uri="{FF2B5EF4-FFF2-40B4-BE49-F238E27FC236}">
              <a16:creationId xmlns:a16="http://schemas.microsoft.com/office/drawing/2014/main" id="{0F92682C-9F83-4791-AB2A-71A13A0DD721}"/>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55</xdr:row>
      <xdr:rowOff>26132</xdr:rowOff>
    </xdr:from>
    <xdr:to>
      <xdr:col>9</xdr:col>
      <xdr:colOff>125657</xdr:colOff>
      <xdr:row>61</xdr:row>
      <xdr:rowOff>219074</xdr:rowOff>
    </xdr:to>
    <xdr:cxnSp macro="">
      <xdr:nvCxnSpPr>
        <xdr:cNvPr id="49" name="直線コネクタ 48">
          <a:extLst>
            <a:ext uri="{FF2B5EF4-FFF2-40B4-BE49-F238E27FC236}">
              <a16:creationId xmlns:a16="http://schemas.microsoft.com/office/drawing/2014/main" id="{A0D7E6E9-5067-4B1A-BAD2-481A2A908D08}"/>
            </a:ext>
          </a:extLst>
        </xdr:cNvPr>
        <xdr:cNvCxnSpPr>
          <a:stCxn id="20" idx="2"/>
          <a:endCxn id="4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56</xdr:row>
      <xdr:rowOff>259617</xdr:rowOff>
    </xdr:from>
    <xdr:to>
      <xdr:col>19</xdr:col>
      <xdr:colOff>251070</xdr:colOff>
      <xdr:row>61</xdr:row>
      <xdr:rowOff>219074</xdr:rowOff>
    </xdr:to>
    <xdr:cxnSp macro="">
      <xdr:nvCxnSpPr>
        <xdr:cNvPr id="52" name="直線コネクタ 51">
          <a:extLst>
            <a:ext uri="{FF2B5EF4-FFF2-40B4-BE49-F238E27FC236}">
              <a16:creationId xmlns:a16="http://schemas.microsoft.com/office/drawing/2014/main" id="{82824431-101F-4841-860A-AC4F5D7EDE78}"/>
            </a:ext>
          </a:extLst>
        </xdr:cNvPr>
        <xdr:cNvCxnSpPr>
          <a:stCxn id="27" idx="2"/>
          <a:endCxn id="4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76200</xdr:rowOff>
    </xdr:from>
    <xdr:to>
      <xdr:col>18</xdr:col>
      <xdr:colOff>85725</xdr:colOff>
      <xdr:row>60</xdr:row>
      <xdr:rowOff>85725</xdr:rowOff>
    </xdr:to>
    <xdr:sp macro="" textlink="">
      <xdr:nvSpPr>
        <xdr:cNvPr id="55" name="正方形/長方形 54">
          <a:extLst>
            <a:ext uri="{FF2B5EF4-FFF2-40B4-BE49-F238E27FC236}">
              <a16:creationId xmlns:a16="http://schemas.microsoft.com/office/drawing/2014/main" id="{4A117C88-4D80-474C-9802-16703F3EB6E1}"/>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190500</xdr:rowOff>
    </xdr:from>
    <xdr:to>
      <xdr:col>7</xdr:col>
      <xdr:colOff>158750</xdr:colOff>
      <xdr:row>46</xdr:row>
      <xdr:rowOff>133350</xdr:rowOff>
    </xdr:to>
    <xdr:sp macro="" textlink="">
      <xdr:nvSpPr>
        <xdr:cNvPr id="56" name="正方形/長方形 55">
          <a:extLst>
            <a:ext uri="{FF2B5EF4-FFF2-40B4-BE49-F238E27FC236}">
              <a16:creationId xmlns:a16="http://schemas.microsoft.com/office/drawing/2014/main" id="{2133C83B-D815-456A-B428-AFB2D088957D}"/>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133350</xdr:rowOff>
    </xdr:from>
    <xdr:to>
      <xdr:col>17</xdr:col>
      <xdr:colOff>12700</xdr:colOff>
      <xdr:row>58</xdr:row>
      <xdr:rowOff>76200</xdr:rowOff>
    </xdr:to>
    <xdr:cxnSp macro="">
      <xdr:nvCxnSpPr>
        <xdr:cNvPr id="57" name="直線コネクタ 56">
          <a:extLst>
            <a:ext uri="{FF2B5EF4-FFF2-40B4-BE49-F238E27FC236}">
              <a16:creationId xmlns:a16="http://schemas.microsoft.com/office/drawing/2014/main" id="{5EE0E719-89DD-4818-8976-5694DD322280}"/>
            </a:ext>
          </a:extLst>
        </xdr:cNvPr>
        <xdr:cNvCxnSpPr>
          <a:stCxn id="56" idx="2"/>
          <a:endCxn id="55"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67</xdr:row>
      <xdr:rowOff>57150</xdr:rowOff>
    </xdr:from>
    <xdr:to>
      <xdr:col>25</xdr:col>
      <xdr:colOff>120650</xdr:colOff>
      <xdr:row>69</xdr:row>
      <xdr:rowOff>196850</xdr:rowOff>
    </xdr:to>
    <xdr:sp macro="" textlink="">
      <xdr:nvSpPr>
        <xdr:cNvPr id="60" name="正方形/長方形 59">
          <a:extLst>
            <a:ext uri="{FF2B5EF4-FFF2-40B4-BE49-F238E27FC236}">
              <a16:creationId xmlns:a16="http://schemas.microsoft.com/office/drawing/2014/main" id="{94835A38-D18E-4A09-9282-B4B7B5DC3A6A}"/>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57150</xdr:rowOff>
    </xdr:from>
    <xdr:to>
      <xdr:col>8</xdr:col>
      <xdr:colOff>228599</xdr:colOff>
      <xdr:row>65</xdr:row>
      <xdr:rowOff>228600</xdr:rowOff>
    </xdr:to>
    <xdr:sp macro="" textlink="">
      <xdr:nvSpPr>
        <xdr:cNvPr id="61" name="正方形/長方形 60">
          <a:extLst>
            <a:ext uri="{FF2B5EF4-FFF2-40B4-BE49-F238E27FC236}">
              <a16:creationId xmlns:a16="http://schemas.microsoft.com/office/drawing/2014/main" id="{949D336F-3D7A-4D22-80C8-1CB369FD9863}"/>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228600</xdr:rowOff>
    </xdr:from>
    <xdr:to>
      <xdr:col>20</xdr:col>
      <xdr:colOff>166688</xdr:colOff>
      <xdr:row>67</xdr:row>
      <xdr:rowOff>57150</xdr:rowOff>
    </xdr:to>
    <xdr:cxnSp macro="">
      <xdr:nvCxnSpPr>
        <xdr:cNvPr id="62" name="直線コネクタ 61">
          <a:extLst>
            <a:ext uri="{FF2B5EF4-FFF2-40B4-BE49-F238E27FC236}">
              <a16:creationId xmlns:a16="http://schemas.microsoft.com/office/drawing/2014/main" id="{E1DDB9BE-D534-436D-BEAF-2176AB27E48E}"/>
            </a:ext>
          </a:extLst>
        </xdr:cNvPr>
        <xdr:cNvCxnSpPr>
          <a:stCxn id="61" idx="2"/>
          <a:endCxn id="60"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0</xdr:colOff>
      <xdr:row>3</xdr:row>
      <xdr:rowOff>0</xdr:rowOff>
    </xdr:from>
    <xdr:to>
      <xdr:col>37</xdr:col>
      <xdr:colOff>96540</xdr:colOff>
      <xdr:row>7</xdr:row>
      <xdr:rowOff>165100</xdr:rowOff>
    </xdr:to>
    <xdr:pic>
      <xdr:nvPicPr>
        <xdr:cNvPr id="11" name="図 10">
          <a:extLst>
            <a:ext uri="{FF2B5EF4-FFF2-40B4-BE49-F238E27FC236}">
              <a16:creationId xmlns:a16="http://schemas.microsoft.com/office/drawing/2014/main" id="{116F0E4B-E91A-06B0-7007-E0416F3FADF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6</xdr:col>
      <xdr:colOff>38100</xdr:colOff>
      <xdr:row>5</xdr:row>
      <xdr:rowOff>241300</xdr:rowOff>
    </xdr:from>
    <xdr:to>
      <xdr:col>10</xdr:col>
      <xdr:colOff>12700</xdr:colOff>
      <xdr:row>7</xdr:row>
      <xdr:rowOff>19050</xdr:rowOff>
    </xdr:to>
    <xdr:sp macro="" textlink="">
      <xdr:nvSpPr>
        <xdr:cNvPr id="15" name="正方形/長方形 14">
          <a:extLst>
            <a:ext uri="{FF2B5EF4-FFF2-40B4-BE49-F238E27FC236}">
              <a16:creationId xmlns:a16="http://schemas.microsoft.com/office/drawing/2014/main" id="{32F18A9F-0FAD-4A78-B024-A42FD8BAE4E4}"/>
            </a:ext>
          </a:extLst>
        </xdr:cNvPr>
        <xdr:cNvSpPr/>
      </xdr:nvSpPr>
      <xdr:spPr>
        <a:xfrm>
          <a:off x="163830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209550</xdr:colOff>
      <xdr:row>8</xdr:row>
      <xdr:rowOff>222250</xdr:rowOff>
    </xdr:from>
    <xdr:to>
      <xdr:col>23</xdr:col>
      <xdr:colOff>133350</xdr:colOff>
      <xdr:row>10</xdr:row>
      <xdr:rowOff>38100</xdr:rowOff>
    </xdr:to>
    <xdr:sp macro="" textlink="">
      <xdr:nvSpPr>
        <xdr:cNvPr id="16" name="正方形/長方形 15">
          <a:extLst>
            <a:ext uri="{FF2B5EF4-FFF2-40B4-BE49-F238E27FC236}">
              <a16:creationId xmlns:a16="http://schemas.microsoft.com/office/drawing/2014/main" id="{370FCEB4-22B6-4FE4-B71B-38E70C7A7248}"/>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25400</xdr:colOff>
      <xdr:row>7</xdr:row>
      <xdr:rowOff>19050</xdr:rowOff>
    </xdr:from>
    <xdr:to>
      <xdr:col>14</xdr:col>
      <xdr:colOff>171450</xdr:colOff>
      <xdr:row>8</xdr:row>
      <xdr:rowOff>222250</xdr:rowOff>
    </xdr:to>
    <xdr:cxnSp macro="">
      <xdr:nvCxnSpPr>
        <xdr:cNvPr id="17" name="直線コネクタ 16">
          <a:extLst>
            <a:ext uri="{FF2B5EF4-FFF2-40B4-BE49-F238E27FC236}">
              <a16:creationId xmlns:a16="http://schemas.microsoft.com/office/drawing/2014/main" id="{B727AC62-D4C9-408A-8B83-E81B5F7615A2}"/>
            </a:ext>
          </a:extLst>
        </xdr:cNvPr>
        <xdr:cNvCxnSpPr>
          <a:stCxn id="15" idx="2"/>
          <a:endCxn id="16" idx="0"/>
        </xdr:cNvCxnSpPr>
      </xdr:nvCxnSpPr>
      <xdr:spPr>
        <a:xfrm>
          <a:off x="2159000" y="1885950"/>
          <a:ext cx="174625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5CBFB483-0309-4C34-A9D6-893013658C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E4C6456C-375B-4592-844A-65856B298B7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126267</xdr:colOff>
      <xdr:row>147</xdr:row>
      <xdr:rowOff>170109</xdr:rowOff>
    </xdr:to>
    <xdr:pic>
      <xdr:nvPicPr>
        <xdr:cNvPr id="4" name="図 3">
          <a:extLst>
            <a:ext uri="{FF2B5EF4-FFF2-40B4-BE49-F238E27FC236}">
              <a16:creationId xmlns:a16="http://schemas.microsoft.com/office/drawing/2014/main" id="{22255AC7-2639-4A24-85CB-C3AFA23BD15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30708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C93DDD73-BE6D-4465-90F2-4E30F33228D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1CF0603D-35DA-4D66-980E-493AE5139D7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0C00-000001A0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824086E5-5882-44D3-AAA1-C72397E075B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929058CE-00F7-4FF1-9768-7CC437227759}"/>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5BCB3692-E199-4E5D-8A16-E3D71A724F71}"/>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0D576065-5C2D-4D1A-AB25-135DAC460043}"/>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2BAC5A08-9252-4456-BEEA-BAA4FB21F8C6}"/>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7E112BA5-0FC8-4341-91A3-76BE39B1FA56}"/>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8162BACC-1972-4EB3-BF61-4060EDC0136F}"/>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37066ECC-5C1E-4137-BDA8-9B31F1F57994}"/>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0E1E8BE0-BEC5-42F1-83E3-07A21E594BA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24BA350C-9593-4444-8FA8-C9D3A62F1BCE}"/>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8238C4B0-33E7-47CE-9523-4695A2C6E19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4BB0E6BF-E8B4-458B-A98C-0CCD9EC65FB7}"/>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9D553F96-57B1-46B3-83EB-26E1FCA8218F}"/>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89642F73-3B68-4A74-B78B-233B069477FD}"/>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EF420704-24C3-48A7-A4C9-814B0E60C531}"/>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E825FF25-8E94-44B3-A84D-199F6176E1C8}"/>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146</xdr:row>
      <xdr:rowOff>180973</xdr:rowOff>
    </xdr:from>
    <xdr:to>
      <xdr:col>22</xdr:col>
      <xdr:colOff>139212</xdr:colOff>
      <xdr:row>147</xdr:row>
      <xdr:rowOff>102577</xdr:rowOff>
    </xdr:to>
    <xdr:sp macro="" textlink="">
      <xdr:nvSpPr>
        <xdr:cNvPr id="23" name="正方形/長方形 22">
          <a:extLst>
            <a:ext uri="{FF2B5EF4-FFF2-40B4-BE49-F238E27FC236}">
              <a16:creationId xmlns:a16="http://schemas.microsoft.com/office/drawing/2014/main" id="{B3001244-C45D-4C03-B07F-3EA298602409}"/>
            </a:ext>
          </a:extLst>
        </xdr:cNvPr>
        <xdr:cNvSpPr/>
      </xdr:nvSpPr>
      <xdr:spPr>
        <a:xfrm>
          <a:off x="5360133" y="369855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149</xdr:row>
      <xdr:rowOff>21981</xdr:rowOff>
    </xdr:from>
    <xdr:to>
      <xdr:col>16</xdr:col>
      <xdr:colOff>157040</xdr:colOff>
      <xdr:row>149</xdr:row>
      <xdr:rowOff>251314</xdr:rowOff>
    </xdr:to>
    <xdr:sp macro="" textlink="">
      <xdr:nvSpPr>
        <xdr:cNvPr id="24" name="正方形/長方形 23">
          <a:extLst>
            <a:ext uri="{FF2B5EF4-FFF2-40B4-BE49-F238E27FC236}">
              <a16:creationId xmlns:a16="http://schemas.microsoft.com/office/drawing/2014/main" id="{910E841B-389C-49B8-9AE3-1D1A711F8E95}"/>
            </a:ext>
          </a:extLst>
        </xdr:cNvPr>
        <xdr:cNvSpPr/>
      </xdr:nvSpPr>
      <xdr:spPr>
        <a:xfrm>
          <a:off x="1856643" y="376266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147</xdr:row>
      <xdr:rowOff>102577</xdr:rowOff>
    </xdr:from>
    <xdr:to>
      <xdr:col>21</xdr:col>
      <xdr:colOff>82673</xdr:colOff>
      <xdr:row>149</xdr:row>
      <xdr:rowOff>21981</xdr:rowOff>
    </xdr:to>
    <xdr:cxnSp macro="">
      <xdr:nvCxnSpPr>
        <xdr:cNvPr id="25" name="直線コネクタ 24">
          <a:extLst>
            <a:ext uri="{FF2B5EF4-FFF2-40B4-BE49-F238E27FC236}">
              <a16:creationId xmlns:a16="http://schemas.microsoft.com/office/drawing/2014/main" id="{C04DED2E-750A-43D6-BEE1-FF67F9019720}"/>
            </a:ext>
          </a:extLst>
        </xdr:cNvPr>
        <xdr:cNvCxnSpPr>
          <a:stCxn id="23" idx="2"/>
          <a:endCxn id="24" idx="0"/>
        </xdr:cNvCxnSpPr>
      </xdr:nvCxnSpPr>
      <xdr:spPr>
        <a:xfrm flipH="1">
          <a:off x="3143616" y="371738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00DA0228-0760-49AA-A494-11062B164A3A}"/>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D00BDBDC-E259-43D7-9455-5BEE415E1141}"/>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60F14B1D-774F-4367-AC7E-E00D2BCFE882}"/>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F5D91F2C-5DB5-4C10-B4AF-B22E5B17AAFB}"/>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1FA76AA6-3079-450C-A25B-C09B71A7DD14}"/>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114</xdr:row>
      <xdr:rowOff>76200</xdr:rowOff>
    </xdr:to>
    <xdr:sp macro="" textlink="">
      <xdr:nvSpPr>
        <xdr:cNvPr id="31" name="正方形/長方形 30">
          <a:extLst>
            <a:ext uri="{FF2B5EF4-FFF2-40B4-BE49-F238E27FC236}">
              <a16:creationId xmlns:a16="http://schemas.microsoft.com/office/drawing/2014/main" id="{A3F08C34-1549-478D-B195-4019F13FBEA0}"/>
            </a:ext>
          </a:extLst>
        </xdr:cNvPr>
        <xdr:cNvSpPr/>
      </xdr:nvSpPr>
      <xdr:spPr>
        <a:xfrm>
          <a:off x="1562100" y="24784050"/>
          <a:ext cx="1416050" cy="32956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2" name="正方形/長方形 31">
          <a:extLst>
            <a:ext uri="{FF2B5EF4-FFF2-40B4-BE49-F238E27FC236}">
              <a16:creationId xmlns:a16="http://schemas.microsoft.com/office/drawing/2014/main" id="{B3469A19-34E4-420E-A3B7-D7AFF217E10D}"/>
            </a:ext>
          </a:extLst>
        </xdr:cNvPr>
        <xdr:cNvSpPr/>
      </xdr:nvSpPr>
      <xdr:spPr>
        <a:xfrm>
          <a:off x="1244600" y="296545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114</xdr:row>
      <xdr:rowOff>76200</xdr:rowOff>
    </xdr:from>
    <xdr:to>
      <xdr:col>9</xdr:col>
      <xdr:colOff>142875</xdr:colOff>
      <xdr:row>119</xdr:row>
      <xdr:rowOff>50800</xdr:rowOff>
    </xdr:to>
    <xdr:cxnSp macro="">
      <xdr:nvCxnSpPr>
        <xdr:cNvPr id="33" name="直線コネクタ 32">
          <a:extLst>
            <a:ext uri="{FF2B5EF4-FFF2-40B4-BE49-F238E27FC236}">
              <a16:creationId xmlns:a16="http://schemas.microsoft.com/office/drawing/2014/main" id="{DF696B84-38AF-4B07-96A4-43F29E9A80F7}"/>
            </a:ext>
          </a:extLst>
        </xdr:cNvPr>
        <xdr:cNvCxnSpPr>
          <a:stCxn id="31" idx="2"/>
          <a:endCxn id="32" idx="0"/>
        </xdr:cNvCxnSpPr>
      </xdr:nvCxnSpPr>
      <xdr:spPr>
        <a:xfrm>
          <a:off x="2270125" y="28079700"/>
          <a:ext cx="273050" cy="13081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116</xdr:row>
      <xdr:rowOff>57150</xdr:rowOff>
    </xdr:from>
    <xdr:to>
      <xdr:col>25</xdr:col>
      <xdr:colOff>88900</xdr:colOff>
      <xdr:row>118</xdr:row>
      <xdr:rowOff>215900</xdr:rowOff>
    </xdr:to>
    <xdr:sp macro="" textlink="">
      <xdr:nvSpPr>
        <xdr:cNvPr id="34" name="正方形/長方形 33">
          <a:extLst>
            <a:ext uri="{FF2B5EF4-FFF2-40B4-BE49-F238E27FC236}">
              <a16:creationId xmlns:a16="http://schemas.microsoft.com/office/drawing/2014/main" id="{2B6DC3EB-C065-4FB9-BC1E-B348F5C4FBA2}"/>
            </a:ext>
          </a:extLst>
        </xdr:cNvPr>
        <xdr:cNvSpPr/>
      </xdr:nvSpPr>
      <xdr:spPr>
        <a:xfrm>
          <a:off x="4184650" y="288607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127000</xdr:colOff>
      <xdr:row>113</xdr:row>
      <xdr:rowOff>254000</xdr:rowOff>
    </xdr:from>
    <xdr:to>
      <xdr:col>20</xdr:col>
      <xdr:colOff>136525</xdr:colOff>
      <xdr:row>116</xdr:row>
      <xdr:rowOff>57150</xdr:rowOff>
    </xdr:to>
    <xdr:cxnSp macro="">
      <xdr:nvCxnSpPr>
        <xdr:cNvPr id="35" name="直線コネクタ 34">
          <a:extLst>
            <a:ext uri="{FF2B5EF4-FFF2-40B4-BE49-F238E27FC236}">
              <a16:creationId xmlns:a16="http://schemas.microsoft.com/office/drawing/2014/main" id="{2F8A7C7E-1B3D-4F2F-BF20-0FC1CFC39BB0}"/>
            </a:ext>
          </a:extLst>
        </xdr:cNvPr>
        <xdr:cNvCxnSpPr>
          <a:cxnSpLocks/>
          <a:stCxn id="36" idx="2"/>
          <a:endCxn id="34" idx="0"/>
        </xdr:cNvCxnSpPr>
      </xdr:nvCxnSpPr>
      <xdr:spPr>
        <a:xfrm>
          <a:off x="3327400" y="27990800"/>
          <a:ext cx="2143125" cy="8699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25400</xdr:colOff>
      <xdr:row>113</xdr:row>
      <xdr:rowOff>19050</xdr:rowOff>
    </xdr:from>
    <xdr:to>
      <xdr:col>12</xdr:col>
      <xdr:colOff>228600</xdr:colOff>
      <xdr:row>113</xdr:row>
      <xdr:rowOff>254000</xdr:rowOff>
    </xdr:to>
    <xdr:sp macro="" textlink="">
      <xdr:nvSpPr>
        <xdr:cNvPr id="36" name="正方形/長方形 35">
          <a:extLst>
            <a:ext uri="{FF2B5EF4-FFF2-40B4-BE49-F238E27FC236}">
              <a16:creationId xmlns:a16="http://schemas.microsoft.com/office/drawing/2014/main" id="{8451FA5D-FD7D-48E4-A571-5F37152E1D2D}"/>
            </a:ext>
          </a:extLst>
        </xdr:cNvPr>
        <xdr:cNvSpPr/>
      </xdr:nvSpPr>
      <xdr:spPr>
        <a:xfrm>
          <a:off x="3225800" y="277558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096752E6-E3D5-47A6-9A95-8D33FDB483F1}"/>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12568172-60B2-4202-B3FE-CF1E48BB3F4E}"/>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00743AE4-7D9C-492D-87AB-6A6B62DB0D6C}"/>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19050</xdr:colOff>
      <xdr:row>65</xdr:row>
      <xdr:rowOff>31750</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34E5818E-EEFB-4E30-B85D-B24D4EFA845B}"/>
            </a:ext>
          </a:extLst>
        </xdr:cNvPr>
        <xdr:cNvCxnSpPr>
          <a:stCxn id="45" idx="2"/>
          <a:endCxn id="39" idx="0"/>
        </xdr:cNvCxnSpPr>
      </xdr:nvCxnSpPr>
      <xdr:spPr>
        <a:xfrm>
          <a:off x="1885950" y="14966950"/>
          <a:ext cx="2124075" cy="15684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64D3EBC9-9761-481E-992F-B183C9AAED7D}"/>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F99FBEA3-E88B-4246-AE75-F8A2B3BF4353}"/>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C8759351-070C-4847-86AC-AA56A98A6EEA}"/>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4180DED5-D7A5-48A1-9CF7-CF28E05C28BC}"/>
            </a:ext>
          </a:extLst>
        </xdr:cNvPr>
        <xdr:cNvCxnSpPr>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82550</xdr:colOff>
      <xdr:row>64</xdr:row>
      <xdr:rowOff>6350</xdr:rowOff>
    </xdr:from>
    <xdr:to>
      <xdr:col>8</xdr:col>
      <xdr:colOff>222250</xdr:colOff>
      <xdr:row>65</xdr:row>
      <xdr:rowOff>31750</xdr:rowOff>
    </xdr:to>
    <xdr:sp macro="" textlink="">
      <xdr:nvSpPr>
        <xdr:cNvPr id="45" name="正方形/長方形 44">
          <a:extLst>
            <a:ext uri="{FF2B5EF4-FFF2-40B4-BE49-F238E27FC236}">
              <a16:creationId xmlns:a16="http://schemas.microsoft.com/office/drawing/2014/main" id="{7B940647-C39E-4BEF-95E1-709725183C79}"/>
            </a:ext>
          </a:extLst>
        </xdr:cNvPr>
        <xdr:cNvSpPr/>
      </xdr:nvSpPr>
      <xdr:spPr>
        <a:xfrm>
          <a:off x="1416050" y="1467485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CA7F353D-0877-4CFC-A1CD-6E0E6376E5AC}"/>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DAAA54BA-4D3C-4C96-9FCC-FAF6887A57A3}"/>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002D02B5-19EE-4828-A44D-29FCB702BEEA}"/>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B650AC81-3084-436C-B2F6-8ABDEF19C25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9A2BAE83-180A-43F4-87B0-2A5620C98AE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5A5965FC-B9B3-43B5-A6D2-F6774804F62D}"/>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31750</xdr:colOff>
      <xdr:row>5</xdr:row>
      <xdr:rowOff>234950</xdr:rowOff>
    </xdr:from>
    <xdr:to>
      <xdr:col>10</xdr:col>
      <xdr:colOff>6350</xdr:colOff>
      <xdr:row>7</xdr:row>
      <xdr:rowOff>12700</xdr:rowOff>
    </xdr:to>
    <xdr:sp macro="" textlink="">
      <xdr:nvSpPr>
        <xdr:cNvPr id="52" name="正方形/長方形 51">
          <a:extLst>
            <a:ext uri="{FF2B5EF4-FFF2-40B4-BE49-F238E27FC236}">
              <a16:creationId xmlns:a16="http://schemas.microsoft.com/office/drawing/2014/main" id="{019803E7-BCCF-4565-8FEE-2A59B78BB03F}"/>
            </a:ext>
          </a:extLst>
        </xdr:cNvPr>
        <xdr:cNvSpPr/>
      </xdr:nvSpPr>
      <xdr:spPr>
        <a:xfrm>
          <a:off x="1631950" y="156845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19050</xdr:colOff>
      <xdr:row>7</xdr:row>
      <xdr:rowOff>12700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0224F046-5A63-4BBF-B661-C8711CAFFB4D}"/>
            </a:ext>
          </a:extLst>
        </xdr:cNvPr>
        <xdr:cNvCxnSpPr>
          <a:stCxn id="52" idx="2"/>
          <a:endCxn id="51" idx="0"/>
        </xdr:cNvCxnSpPr>
      </xdr:nvCxnSpPr>
      <xdr:spPr>
        <a:xfrm>
          <a:off x="2152650" y="1879600"/>
          <a:ext cx="1752600" cy="47625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E23FCC2E-8F4C-4E43-B02A-CEDE6C7424A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406CA65D-8A95-4355-8891-D6E4CC7BC2A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126267</xdr:colOff>
      <xdr:row>147</xdr:row>
      <xdr:rowOff>170109</xdr:rowOff>
    </xdr:to>
    <xdr:pic>
      <xdr:nvPicPr>
        <xdr:cNvPr id="4" name="図 3">
          <a:extLst>
            <a:ext uri="{FF2B5EF4-FFF2-40B4-BE49-F238E27FC236}">
              <a16:creationId xmlns:a16="http://schemas.microsoft.com/office/drawing/2014/main" id="{0A608D47-BD30-4FB1-A455-BD1EC69FA4A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28041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52D42834-499F-4495-BDDA-D101DEF5C9A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DFE68FD7-8A1D-437C-8294-C94E4985B88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E00-000001A4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8831B1D9-29EE-4E55-A0C0-7CA1D6E066B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EC0C2CDF-B68E-4AEF-83DC-E3B3DAA82F3E}"/>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4C1C9C33-CC0E-4E5B-A1FF-2997CAD39D1A}"/>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C52ACC2F-E890-4232-980C-2CBFE20E5B4B}"/>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170D9F1D-A43D-4F06-8F2D-6D1082BBD5DC}"/>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2F94A3E0-C7B9-4C95-AFE6-5EE67FAAF3F3}"/>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8A0B2A09-CEA7-482D-A55E-16C321327546}"/>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08BFC25C-A8B9-40F4-A76B-12E2A46D65B0}"/>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60B9AB83-F91F-4B7C-B9CE-E295DB27ACC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87F530FE-C701-4D54-8406-E359C2C4C6B7}"/>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CFF79F01-C87C-494B-9B98-C65FB5F560F9}"/>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F48DC5FA-52F6-4AC5-9D81-3F07B2F55B7E}"/>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0AADD181-B728-40A7-AF2B-6CD06FCB02B7}"/>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34E66AF2-B3B8-4437-8C0F-E74663F99F4C}"/>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A18507F1-6138-4CF5-9956-114E8A03E60B}"/>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8ADFBF46-423B-43E3-B6DD-6A4262327EF6}"/>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146</xdr:row>
      <xdr:rowOff>180973</xdr:rowOff>
    </xdr:from>
    <xdr:to>
      <xdr:col>22</xdr:col>
      <xdr:colOff>139212</xdr:colOff>
      <xdr:row>147</xdr:row>
      <xdr:rowOff>102577</xdr:rowOff>
    </xdr:to>
    <xdr:sp macro="" textlink="">
      <xdr:nvSpPr>
        <xdr:cNvPr id="23" name="正方形/長方形 22">
          <a:extLst>
            <a:ext uri="{FF2B5EF4-FFF2-40B4-BE49-F238E27FC236}">
              <a16:creationId xmlns:a16="http://schemas.microsoft.com/office/drawing/2014/main" id="{38B73921-AA73-43C6-A16D-D827413F23BF}"/>
            </a:ext>
          </a:extLst>
        </xdr:cNvPr>
        <xdr:cNvSpPr/>
      </xdr:nvSpPr>
      <xdr:spPr>
        <a:xfrm>
          <a:off x="5360133" y="367188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149</xdr:row>
      <xdr:rowOff>21981</xdr:rowOff>
    </xdr:from>
    <xdr:to>
      <xdr:col>16</xdr:col>
      <xdr:colOff>157040</xdr:colOff>
      <xdr:row>149</xdr:row>
      <xdr:rowOff>251314</xdr:rowOff>
    </xdr:to>
    <xdr:sp macro="" textlink="">
      <xdr:nvSpPr>
        <xdr:cNvPr id="24" name="正方形/長方形 23">
          <a:extLst>
            <a:ext uri="{FF2B5EF4-FFF2-40B4-BE49-F238E27FC236}">
              <a16:creationId xmlns:a16="http://schemas.microsoft.com/office/drawing/2014/main" id="{C6D6186E-42CD-49FB-B976-1217438AE081}"/>
            </a:ext>
          </a:extLst>
        </xdr:cNvPr>
        <xdr:cNvSpPr/>
      </xdr:nvSpPr>
      <xdr:spPr>
        <a:xfrm>
          <a:off x="1856643" y="373599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147</xdr:row>
      <xdr:rowOff>102577</xdr:rowOff>
    </xdr:from>
    <xdr:to>
      <xdr:col>21</xdr:col>
      <xdr:colOff>82673</xdr:colOff>
      <xdr:row>149</xdr:row>
      <xdr:rowOff>21981</xdr:rowOff>
    </xdr:to>
    <xdr:cxnSp macro="">
      <xdr:nvCxnSpPr>
        <xdr:cNvPr id="25" name="直線コネクタ 24">
          <a:extLst>
            <a:ext uri="{FF2B5EF4-FFF2-40B4-BE49-F238E27FC236}">
              <a16:creationId xmlns:a16="http://schemas.microsoft.com/office/drawing/2014/main" id="{57886A7F-2785-4097-92C7-18F3428339DC}"/>
            </a:ext>
          </a:extLst>
        </xdr:cNvPr>
        <xdr:cNvCxnSpPr>
          <a:stCxn id="23" idx="2"/>
          <a:endCxn id="24" idx="0"/>
        </xdr:cNvCxnSpPr>
      </xdr:nvCxnSpPr>
      <xdr:spPr>
        <a:xfrm flipH="1">
          <a:off x="3143616" y="369071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C9F147B5-CCE3-4BC6-9928-856BF40646A6}"/>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2E6439E1-E4D7-499D-96BB-DA7AEE74905F}"/>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20BC526B-C65E-44F6-A2AA-98FDFA256DEA}"/>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4CF2EC3C-86E2-4862-8B79-2F9D637839A7}"/>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E5FF1DD0-32B7-404F-93C4-DF8A1A040966}"/>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114</xdr:row>
      <xdr:rowOff>76200</xdr:rowOff>
    </xdr:to>
    <xdr:sp macro="" textlink="">
      <xdr:nvSpPr>
        <xdr:cNvPr id="31" name="正方形/長方形 30">
          <a:extLst>
            <a:ext uri="{FF2B5EF4-FFF2-40B4-BE49-F238E27FC236}">
              <a16:creationId xmlns:a16="http://schemas.microsoft.com/office/drawing/2014/main" id="{3CFE5E5D-2CEF-47CF-9787-777640B9B9AF}"/>
            </a:ext>
          </a:extLst>
        </xdr:cNvPr>
        <xdr:cNvSpPr/>
      </xdr:nvSpPr>
      <xdr:spPr>
        <a:xfrm>
          <a:off x="1562100" y="24784050"/>
          <a:ext cx="1416050" cy="32956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2" name="正方形/長方形 31">
          <a:extLst>
            <a:ext uri="{FF2B5EF4-FFF2-40B4-BE49-F238E27FC236}">
              <a16:creationId xmlns:a16="http://schemas.microsoft.com/office/drawing/2014/main" id="{F3CF9660-DF79-44BD-A118-D39EDF6DE16E}"/>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114</xdr:row>
      <xdr:rowOff>76200</xdr:rowOff>
    </xdr:from>
    <xdr:to>
      <xdr:col>9</xdr:col>
      <xdr:colOff>142875</xdr:colOff>
      <xdr:row>119</xdr:row>
      <xdr:rowOff>50800</xdr:rowOff>
    </xdr:to>
    <xdr:cxnSp macro="">
      <xdr:nvCxnSpPr>
        <xdr:cNvPr id="33" name="直線コネクタ 32">
          <a:extLst>
            <a:ext uri="{FF2B5EF4-FFF2-40B4-BE49-F238E27FC236}">
              <a16:creationId xmlns:a16="http://schemas.microsoft.com/office/drawing/2014/main" id="{E000432C-61A9-4A1A-8B83-272A6D2950FF}"/>
            </a:ext>
          </a:extLst>
        </xdr:cNvPr>
        <xdr:cNvCxnSpPr>
          <a:stCxn id="31" idx="2"/>
          <a:endCxn id="32" idx="0"/>
        </xdr:cNvCxnSpPr>
      </xdr:nvCxnSpPr>
      <xdr:spPr>
        <a:xfrm>
          <a:off x="2270125" y="28079700"/>
          <a:ext cx="273050" cy="13081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116</xdr:row>
      <xdr:rowOff>57150</xdr:rowOff>
    </xdr:from>
    <xdr:to>
      <xdr:col>25</xdr:col>
      <xdr:colOff>88900</xdr:colOff>
      <xdr:row>118</xdr:row>
      <xdr:rowOff>215900</xdr:rowOff>
    </xdr:to>
    <xdr:sp macro="" textlink="">
      <xdr:nvSpPr>
        <xdr:cNvPr id="34" name="正方形/長方形 33">
          <a:extLst>
            <a:ext uri="{FF2B5EF4-FFF2-40B4-BE49-F238E27FC236}">
              <a16:creationId xmlns:a16="http://schemas.microsoft.com/office/drawing/2014/main" id="{861F31CA-D20D-45A2-B5A4-DE7614F3B095}"/>
            </a:ext>
          </a:extLst>
        </xdr:cNvPr>
        <xdr:cNvSpPr/>
      </xdr:nvSpPr>
      <xdr:spPr>
        <a:xfrm>
          <a:off x="4184650" y="285940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127000</xdr:colOff>
      <xdr:row>113</xdr:row>
      <xdr:rowOff>254000</xdr:rowOff>
    </xdr:from>
    <xdr:to>
      <xdr:col>20</xdr:col>
      <xdr:colOff>136525</xdr:colOff>
      <xdr:row>116</xdr:row>
      <xdr:rowOff>57150</xdr:rowOff>
    </xdr:to>
    <xdr:cxnSp macro="">
      <xdr:nvCxnSpPr>
        <xdr:cNvPr id="35" name="直線コネクタ 34">
          <a:extLst>
            <a:ext uri="{FF2B5EF4-FFF2-40B4-BE49-F238E27FC236}">
              <a16:creationId xmlns:a16="http://schemas.microsoft.com/office/drawing/2014/main" id="{C971E1DC-95AC-4227-BBAC-1F383B4A3F66}"/>
            </a:ext>
          </a:extLst>
        </xdr:cNvPr>
        <xdr:cNvCxnSpPr>
          <a:cxnSpLocks/>
          <a:stCxn id="36" idx="2"/>
          <a:endCxn id="34" idx="0"/>
        </xdr:cNvCxnSpPr>
      </xdr:nvCxnSpPr>
      <xdr:spPr>
        <a:xfrm>
          <a:off x="3327400" y="27990800"/>
          <a:ext cx="2143125" cy="6032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25400</xdr:colOff>
      <xdr:row>113</xdr:row>
      <xdr:rowOff>19050</xdr:rowOff>
    </xdr:from>
    <xdr:to>
      <xdr:col>12</xdr:col>
      <xdr:colOff>228600</xdr:colOff>
      <xdr:row>113</xdr:row>
      <xdr:rowOff>254000</xdr:rowOff>
    </xdr:to>
    <xdr:sp macro="" textlink="">
      <xdr:nvSpPr>
        <xdr:cNvPr id="36" name="正方形/長方形 35">
          <a:extLst>
            <a:ext uri="{FF2B5EF4-FFF2-40B4-BE49-F238E27FC236}">
              <a16:creationId xmlns:a16="http://schemas.microsoft.com/office/drawing/2014/main" id="{5D8D1C29-995B-4838-8130-8CB0A216EAF7}"/>
            </a:ext>
          </a:extLst>
        </xdr:cNvPr>
        <xdr:cNvSpPr/>
      </xdr:nvSpPr>
      <xdr:spPr>
        <a:xfrm>
          <a:off x="3225800" y="277558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C1092E89-538F-433C-9237-C1812B2DE787}"/>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C51F8A9F-9FEE-40C0-AAF3-5B85C4B67A94}"/>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DFD99593-35AB-4349-87F2-BD647CF755CD}"/>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254000</xdr:colOff>
      <xdr:row>64</xdr:row>
      <xdr:rowOff>25400</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970CE293-4691-424A-B97B-B7B0DFDD0A2A}"/>
            </a:ext>
          </a:extLst>
        </xdr:cNvPr>
        <xdr:cNvCxnSpPr>
          <a:stCxn id="45" idx="2"/>
          <a:endCxn id="39" idx="0"/>
        </xdr:cNvCxnSpPr>
      </xdr:nvCxnSpPr>
      <xdr:spPr>
        <a:xfrm>
          <a:off x="1854200" y="14693900"/>
          <a:ext cx="2155825" cy="18415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96919247-96F3-4582-A1C9-1B4C3FB796DA}"/>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BC9C186A-140F-4069-87C2-C7140707565C}"/>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84AC26D9-701B-4775-A934-19B3AE2875C2}"/>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AFED7AA4-04A4-49CC-B8A9-EAD1B2A88695}"/>
            </a:ext>
          </a:extLst>
        </xdr:cNvPr>
        <xdr:cNvCxnSpPr>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50800</xdr:colOff>
      <xdr:row>63</xdr:row>
      <xdr:rowOff>0</xdr:rowOff>
    </xdr:from>
    <xdr:to>
      <xdr:col>8</xdr:col>
      <xdr:colOff>190500</xdr:colOff>
      <xdr:row>64</xdr:row>
      <xdr:rowOff>25400</xdr:rowOff>
    </xdr:to>
    <xdr:sp macro="" textlink="">
      <xdr:nvSpPr>
        <xdr:cNvPr id="45" name="正方形/長方形 44">
          <a:extLst>
            <a:ext uri="{FF2B5EF4-FFF2-40B4-BE49-F238E27FC236}">
              <a16:creationId xmlns:a16="http://schemas.microsoft.com/office/drawing/2014/main" id="{C9A40F8B-FF96-436E-8829-CE0DCDB11A6B}"/>
            </a:ext>
          </a:extLst>
        </xdr:cNvPr>
        <xdr:cNvSpPr/>
      </xdr:nvSpPr>
      <xdr:spPr>
        <a:xfrm>
          <a:off x="138430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9D03BB58-D6EC-478C-955B-776BE8695892}"/>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7241A158-45A3-498F-941C-BD916A718CFC}"/>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88A0FC85-3C2E-4DD2-9437-9EB601E81004}"/>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F4AB6CA3-9847-4A57-A6CD-BDE31C32679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1" name="図 50">
          <a:extLst>
            <a:ext uri="{FF2B5EF4-FFF2-40B4-BE49-F238E27FC236}">
              <a16:creationId xmlns:a16="http://schemas.microsoft.com/office/drawing/2014/main" id="{862FC6D8-C6EC-460B-BDE5-816EEDF03F6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2" name="正方形/長方形 51">
          <a:extLst>
            <a:ext uri="{FF2B5EF4-FFF2-40B4-BE49-F238E27FC236}">
              <a16:creationId xmlns:a16="http://schemas.microsoft.com/office/drawing/2014/main" id="{67448FFF-73E0-418D-B478-7051CDA0EEB1}"/>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31750</xdr:colOff>
      <xdr:row>5</xdr:row>
      <xdr:rowOff>241300</xdr:rowOff>
    </xdr:from>
    <xdr:to>
      <xdr:col>10</xdr:col>
      <xdr:colOff>6350</xdr:colOff>
      <xdr:row>7</xdr:row>
      <xdr:rowOff>19050</xdr:rowOff>
    </xdr:to>
    <xdr:sp macro="" textlink="">
      <xdr:nvSpPr>
        <xdr:cNvPr id="53" name="正方形/長方形 52">
          <a:extLst>
            <a:ext uri="{FF2B5EF4-FFF2-40B4-BE49-F238E27FC236}">
              <a16:creationId xmlns:a16="http://schemas.microsoft.com/office/drawing/2014/main" id="{BA0B8DD9-05D1-43AC-9C14-8328EC34ECD1}"/>
            </a:ext>
          </a:extLst>
        </xdr:cNvPr>
        <xdr:cNvSpPr/>
      </xdr:nvSpPr>
      <xdr:spPr>
        <a:xfrm>
          <a:off x="163195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19050</xdr:colOff>
      <xdr:row>7</xdr:row>
      <xdr:rowOff>19050</xdr:rowOff>
    </xdr:from>
    <xdr:to>
      <xdr:col>14</xdr:col>
      <xdr:colOff>171450</xdr:colOff>
      <xdr:row>8</xdr:row>
      <xdr:rowOff>222250</xdr:rowOff>
    </xdr:to>
    <xdr:cxnSp macro="">
      <xdr:nvCxnSpPr>
        <xdr:cNvPr id="54" name="直線コネクタ 53">
          <a:extLst>
            <a:ext uri="{FF2B5EF4-FFF2-40B4-BE49-F238E27FC236}">
              <a16:creationId xmlns:a16="http://schemas.microsoft.com/office/drawing/2014/main" id="{067AB0FB-22F3-4787-AC82-055BFC6750A8}"/>
            </a:ext>
          </a:extLst>
        </xdr:cNvPr>
        <xdr:cNvCxnSpPr>
          <a:stCxn id="53" idx="2"/>
          <a:endCxn id="52" idx="0"/>
        </xdr:cNvCxnSpPr>
      </xdr:nvCxnSpPr>
      <xdr:spPr>
        <a:xfrm>
          <a:off x="2152650" y="1885950"/>
          <a:ext cx="175260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10"/>
  </cols>
  <sheetData>
    <row r="1" spans="1:33" ht="21" customHeight="1" x14ac:dyDescent="0.55000000000000004">
      <c r="A1" s="36"/>
      <c r="G1" s="36" t="s">
        <v>147</v>
      </c>
      <c r="R1" s="36" t="s">
        <v>148</v>
      </c>
      <c r="AF1" s="36" t="s">
        <v>146</v>
      </c>
    </row>
    <row r="2" spans="1:33" ht="21" customHeight="1" x14ac:dyDescent="0.55000000000000004">
      <c r="B2" s="12" t="s">
        <v>244</v>
      </c>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row>
    <row r="4" spans="1:33" ht="21" customHeight="1" x14ac:dyDescent="0.55000000000000004">
      <c r="D4" s="12" t="s">
        <v>111</v>
      </c>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row>
    <row r="22" spans="4:33" ht="21" customHeight="1" x14ac:dyDescent="0.55000000000000004">
      <c r="F22" s="13" t="s">
        <v>112</v>
      </c>
      <c r="G22" s="10" t="s">
        <v>152</v>
      </c>
    </row>
    <row r="23" spans="4:33" ht="21" customHeight="1" x14ac:dyDescent="0.55000000000000004">
      <c r="G23" s="10" t="s">
        <v>151</v>
      </c>
    </row>
    <row r="26" spans="4:33" ht="21" customHeight="1" x14ac:dyDescent="0.55000000000000004">
      <c r="D26" s="12" t="s">
        <v>32</v>
      </c>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row>
    <row r="45" spans="6:15" ht="21" customHeight="1" x14ac:dyDescent="0.55000000000000004">
      <c r="F45" s="13"/>
      <c r="H45" s="28" t="s">
        <v>241</v>
      </c>
      <c r="I45" s="28"/>
      <c r="J45" s="28"/>
      <c r="K45" s="28"/>
      <c r="L45" s="28"/>
      <c r="M45" s="28"/>
      <c r="N45" s="28"/>
      <c r="O45" s="10" t="s">
        <v>113</v>
      </c>
    </row>
    <row r="47" spans="6:15" ht="21" customHeight="1" x14ac:dyDescent="0.55000000000000004">
      <c r="H47" s="10" t="s">
        <v>114</v>
      </c>
    </row>
    <row r="48" spans="6:15" ht="21" customHeight="1" x14ac:dyDescent="0.55000000000000004">
      <c r="K48" s="3">
        <v>1</v>
      </c>
    </row>
    <row r="49" spans="1:33" ht="21" customHeight="1" x14ac:dyDescent="0.55000000000000004">
      <c r="H49" s="10" t="s">
        <v>143</v>
      </c>
    </row>
    <row r="51" spans="1:33" ht="21" customHeight="1" x14ac:dyDescent="0.55000000000000004">
      <c r="F51" s="10" t="s">
        <v>73</v>
      </c>
    </row>
    <row r="52" spans="1:33" ht="21" customHeight="1" x14ac:dyDescent="0.55000000000000004">
      <c r="F52" s="10" t="s">
        <v>115</v>
      </c>
    </row>
    <row r="55" spans="1:33" ht="21" customHeight="1" x14ac:dyDescent="0.55000000000000004">
      <c r="D55" s="12" t="s">
        <v>33</v>
      </c>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row>
    <row r="57" spans="1:33" ht="21" customHeight="1" x14ac:dyDescent="0.55000000000000004">
      <c r="F57" s="13" t="s">
        <v>30</v>
      </c>
      <c r="G57" s="10" t="s">
        <v>82</v>
      </c>
      <c r="I57" s="28" t="s">
        <v>242</v>
      </c>
      <c r="J57" s="28"/>
      <c r="K57" s="28"/>
      <c r="L57" s="28"/>
      <c r="M57" s="28"/>
      <c r="N57" s="28"/>
      <c r="O57" s="28"/>
      <c r="P57" s="10" t="s">
        <v>83</v>
      </c>
    </row>
    <row r="58" spans="1:33" ht="21" customHeight="1" x14ac:dyDescent="0.55000000000000004">
      <c r="F58" s="13"/>
      <c r="G58" s="10" t="s">
        <v>74</v>
      </c>
    </row>
    <row r="59" spans="1:33" ht="21" customHeight="1" thickBot="1" x14ac:dyDescent="0.45">
      <c r="G59" s="25" t="s">
        <v>40</v>
      </c>
      <c r="R59" s="25" t="s">
        <v>41</v>
      </c>
    </row>
    <row r="60" spans="1:33" ht="21" customHeight="1" thickTop="1" thickBot="1" x14ac:dyDescent="0.6">
      <c r="A60" s="36" t="s">
        <v>123</v>
      </c>
      <c r="F60" s="30">
        <v>1</v>
      </c>
      <c r="G60" s="66" t="s">
        <v>479</v>
      </c>
      <c r="H60" s="67"/>
      <c r="I60" s="67"/>
      <c r="J60" s="67"/>
      <c r="K60" s="67"/>
      <c r="L60" s="67"/>
      <c r="M60" s="67"/>
      <c r="N60" s="67"/>
      <c r="O60" s="67"/>
      <c r="P60" s="68"/>
      <c r="R60" s="66" t="s">
        <v>215</v>
      </c>
      <c r="S60" s="67"/>
      <c r="T60" s="67"/>
      <c r="U60" s="68"/>
    </row>
    <row r="61" spans="1:33" ht="21" customHeight="1" thickTop="1" thickBot="1" x14ac:dyDescent="0.45">
      <c r="G61" s="25" t="s">
        <v>40</v>
      </c>
      <c r="R61" s="25" t="s">
        <v>41</v>
      </c>
    </row>
    <row r="62" spans="1:33" ht="21" customHeight="1" thickTop="1" thickBot="1" x14ac:dyDescent="0.6">
      <c r="A62" s="36" t="s">
        <v>124</v>
      </c>
      <c r="F62" s="30">
        <v>2</v>
      </c>
      <c r="G62" s="66"/>
      <c r="H62" s="67"/>
      <c r="I62" s="67"/>
      <c r="J62" s="67"/>
      <c r="K62" s="67"/>
      <c r="L62" s="67"/>
      <c r="M62" s="67"/>
      <c r="N62" s="67"/>
      <c r="O62" s="67"/>
      <c r="P62" s="68"/>
      <c r="R62" s="66"/>
      <c r="S62" s="67"/>
      <c r="T62" s="67"/>
      <c r="U62" s="68"/>
    </row>
    <row r="63" spans="1:33" ht="21" customHeight="1" thickTop="1" thickBot="1" x14ac:dyDescent="0.45">
      <c r="G63" s="25" t="s">
        <v>40</v>
      </c>
      <c r="R63" s="25" t="s">
        <v>41</v>
      </c>
    </row>
    <row r="64" spans="1:33" ht="21" customHeight="1" thickTop="1" thickBot="1" x14ac:dyDescent="0.6">
      <c r="A64" s="36" t="s">
        <v>125</v>
      </c>
      <c r="F64" s="30">
        <v>3</v>
      </c>
      <c r="G64" s="66"/>
      <c r="H64" s="67"/>
      <c r="I64" s="67"/>
      <c r="J64" s="67"/>
      <c r="K64" s="67"/>
      <c r="L64" s="67"/>
      <c r="M64" s="67"/>
      <c r="N64" s="67"/>
      <c r="O64" s="67"/>
      <c r="P64" s="68"/>
      <c r="R64" s="66"/>
      <c r="S64" s="67"/>
      <c r="T64" s="67"/>
      <c r="U64" s="68"/>
    </row>
    <row r="65" spans="1:21" ht="21" customHeight="1" thickTop="1" thickBot="1" x14ac:dyDescent="0.45">
      <c r="G65" s="25" t="s">
        <v>40</v>
      </c>
      <c r="R65" s="25" t="s">
        <v>41</v>
      </c>
    </row>
    <row r="66" spans="1:21" ht="21" customHeight="1" thickTop="1" thickBot="1" x14ac:dyDescent="0.6">
      <c r="A66" s="36" t="s">
        <v>126</v>
      </c>
      <c r="F66" s="30">
        <v>4</v>
      </c>
      <c r="G66" s="66"/>
      <c r="H66" s="67"/>
      <c r="I66" s="67"/>
      <c r="J66" s="67"/>
      <c r="K66" s="67"/>
      <c r="L66" s="67"/>
      <c r="M66" s="67"/>
      <c r="N66" s="67"/>
      <c r="O66" s="67"/>
      <c r="P66" s="68"/>
      <c r="R66" s="66"/>
      <c r="S66" s="67"/>
      <c r="T66" s="67"/>
      <c r="U66" s="68"/>
    </row>
    <row r="67" spans="1:21" ht="21" customHeight="1" thickTop="1" thickBot="1" x14ac:dyDescent="0.45">
      <c r="G67" s="25" t="s">
        <v>40</v>
      </c>
      <c r="R67" s="25" t="s">
        <v>41</v>
      </c>
    </row>
    <row r="68" spans="1:21" ht="21" customHeight="1" thickTop="1" thickBot="1" x14ac:dyDescent="0.6">
      <c r="A68" s="36" t="s">
        <v>127</v>
      </c>
      <c r="F68" s="30">
        <v>5</v>
      </c>
      <c r="G68" s="66"/>
      <c r="H68" s="67"/>
      <c r="I68" s="67"/>
      <c r="J68" s="67"/>
      <c r="K68" s="67"/>
      <c r="L68" s="67"/>
      <c r="M68" s="67"/>
      <c r="N68" s="67"/>
      <c r="O68" s="67"/>
      <c r="P68" s="68"/>
      <c r="R68" s="66"/>
      <c r="S68" s="67"/>
      <c r="T68" s="67"/>
      <c r="U68" s="68"/>
    </row>
    <row r="69" spans="1:21" ht="21" customHeight="1" thickTop="1" thickBot="1" x14ac:dyDescent="0.45">
      <c r="G69" s="25" t="s">
        <v>40</v>
      </c>
      <c r="R69" s="25" t="s">
        <v>41</v>
      </c>
    </row>
    <row r="70" spans="1:21" ht="21" customHeight="1" thickTop="1" thickBot="1" x14ac:dyDescent="0.6">
      <c r="A70" s="36" t="s">
        <v>128</v>
      </c>
      <c r="F70" s="30">
        <v>6</v>
      </c>
      <c r="G70" s="66"/>
      <c r="H70" s="67"/>
      <c r="I70" s="67"/>
      <c r="J70" s="67"/>
      <c r="K70" s="67"/>
      <c r="L70" s="67"/>
      <c r="M70" s="67"/>
      <c r="N70" s="67"/>
      <c r="O70" s="67"/>
      <c r="P70" s="68"/>
      <c r="R70" s="66"/>
      <c r="S70" s="67"/>
      <c r="T70" s="67"/>
      <c r="U70" s="68"/>
    </row>
    <row r="71" spans="1:21" ht="21" customHeight="1" thickTop="1" thickBot="1" x14ac:dyDescent="0.45">
      <c r="G71" s="25" t="s">
        <v>40</v>
      </c>
      <c r="R71" s="25" t="s">
        <v>41</v>
      </c>
    </row>
    <row r="72" spans="1:21" ht="21" customHeight="1" thickTop="1" thickBot="1" x14ac:dyDescent="0.6">
      <c r="A72" s="36" t="s">
        <v>129</v>
      </c>
      <c r="F72" s="30">
        <v>7</v>
      </c>
      <c r="G72" s="66"/>
      <c r="H72" s="67"/>
      <c r="I72" s="67"/>
      <c r="J72" s="67"/>
      <c r="K72" s="67"/>
      <c r="L72" s="67"/>
      <c r="M72" s="67"/>
      <c r="N72" s="67"/>
      <c r="O72" s="67"/>
      <c r="P72" s="68"/>
      <c r="R72" s="66"/>
      <c r="S72" s="67"/>
      <c r="T72" s="67"/>
      <c r="U72" s="68"/>
    </row>
    <row r="73" spans="1:21" ht="21" customHeight="1" thickTop="1" thickBot="1" x14ac:dyDescent="0.45">
      <c r="G73" s="25" t="s">
        <v>40</v>
      </c>
      <c r="R73" s="25" t="s">
        <v>41</v>
      </c>
    </row>
    <row r="74" spans="1:21" ht="21" customHeight="1" thickTop="1" thickBot="1" x14ac:dyDescent="0.6">
      <c r="A74" s="36" t="s">
        <v>130</v>
      </c>
      <c r="F74" s="30">
        <v>8</v>
      </c>
      <c r="G74" s="66"/>
      <c r="H74" s="67"/>
      <c r="I74" s="67"/>
      <c r="J74" s="67"/>
      <c r="K74" s="67"/>
      <c r="L74" s="67"/>
      <c r="M74" s="67"/>
      <c r="N74" s="67"/>
      <c r="O74" s="67"/>
      <c r="P74" s="68"/>
      <c r="R74" s="66"/>
      <c r="S74" s="67"/>
      <c r="T74" s="67"/>
      <c r="U74" s="68"/>
    </row>
    <row r="75" spans="1:21" ht="21" customHeight="1" thickTop="1" thickBot="1" x14ac:dyDescent="0.45">
      <c r="G75" s="25" t="s">
        <v>40</v>
      </c>
      <c r="R75" s="25" t="s">
        <v>41</v>
      </c>
    </row>
    <row r="76" spans="1:21" ht="21" customHeight="1" thickTop="1" thickBot="1" x14ac:dyDescent="0.6">
      <c r="A76" s="36" t="s">
        <v>131</v>
      </c>
      <c r="F76" s="30">
        <v>9</v>
      </c>
      <c r="G76" s="66"/>
      <c r="H76" s="67"/>
      <c r="I76" s="67"/>
      <c r="J76" s="67"/>
      <c r="K76" s="67"/>
      <c r="L76" s="67"/>
      <c r="M76" s="67"/>
      <c r="N76" s="67"/>
      <c r="O76" s="67"/>
      <c r="P76" s="68"/>
      <c r="R76" s="66"/>
      <c r="S76" s="67"/>
      <c r="T76" s="67"/>
      <c r="U76" s="68"/>
    </row>
    <row r="77" spans="1:21" ht="21" customHeight="1" thickTop="1" thickBot="1" x14ac:dyDescent="0.45">
      <c r="G77" s="25" t="s">
        <v>40</v>
      </c>
      <c r="R77" s="25" t="s">
        <v>41</v>
      </c>
    </row>
    <row r="78" spans="1:21" ht="21" customHeight="1" thickTop="1" thickBot="1" x14ac:dyDescent="0.6">
      <c r="A78" s="36" t="s">
        <v>132</v>
      </c>
      <c r="F78" s="30">
        <v>10</v>
      </c>
      <c r="G78" s="66"/>
      <c r="H78" s="67"/>
      <c r="I78" s="67"/>
      <c r="J78" s="67"/>
      <c r="K78" s="67"/>
      <c r="L78" s="67"/>
      <c r="M78" s="67"/>
      <c r="N78" s="67"/>
      <c r="O78" s="67"/>
      <c r="P78" s="68"/>
      <c r="R78" s="66"/>
      <c r="S78" s="67"/>
      <c r="T78" s="67"/>
      <c r="U78" s="68"/>
    </row>
    <row r="79" spans="1:21" ht="21" customHeight="1" thickTop="1" x14ac:dyDescent="0.55000000000000004"/>
    <row r="81" spans="4:33" ht="21" customHeight="1" x14ac:dyDescent="0.55000000000000004">
      <c r="D81" s="12" t="s">
        <v>33</v>
      </c>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row>
    <row r="96" spans="4:33" ht="21" customHeight="1" x14ac:dyDescent="0.55000000000000004">
      <c r="G96" s="13"/>
      <c r="H96" s="28" t="s">
        <v>85</v>
      </c>
      <c r="I96" s="28"/>
      <c r="J96" s="28"/>
      <c r="K96" s="28"/>
      <c r="L96" s="10" t="s">
        <v>141</v>
      </c>
    </row>
    <row r="97" spans="4:33" ht="21" customHeight="1" x14ac:dyDescent="0.55000000000000004">
      <c r="G97" s="13"/>
    </row>
    <row r="98" spans="4:33" ht="21" customHeight="1" x14ac:dyDescent="0.55000000000000004">
      <c r="F98" s="10" t="s">
        <v>72</v>
      </c>
    </row>
    <row r="100" spans="4:33" ht="21" customHeight="1" x14ac:dyDescent="0.55000000000000004">
      <c r="F100" s="31" t="s">
        <v>75</v>
      </c>
      <c r="H100" s="10" t="s">
        <v>142</v>
      </c>
    </row>
    <row r="103" spans="4:33" ht="21" customHeight="1" x14ac:dyDescent="0.55000000000000004">
      <c r="D103" s="12" t="s">
        <v>34</v>
      </c>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row>
    <row r="105" spans="4:33" ht="21" customHeight="1" thickBot="1" x14ac:dyDescent="0.6">
      <c r="F105" s="13" t="s">
        <v>30</v>
      </c>
      <c r="G105" s="10" t="s">
        <v>31</v>
      </c>
    </row>
    <row r="106" spans="4:33" ht="21" customHeight="1" x14ac:dyDescent="0.55000000000000004">
      <c r="F106" s="14"/>
      <c r="G106" s="15"/>
      <c r="H106" s="15"/>
      <c r="I106" s="15"/>
      <c r="J106" s="15"/>
      <c r="K106" s="15"/>
      <c r="L106" s="15"/>
      <c r="M106" s="15"/>
      <c r="N106" s="16"/>
    </row>
    <row r="107" spans="4:33" ht="21" customHeight="1" x14ac:dyDescent="0.55000000000000004">
      <c r="F107" s="17"/>
      <c r="N107" s="18"/>
    </row>
    <row r="108" spans="4:33" ht="21" customHeight="1" x14ac:dyDescent="0.55000000000000004">
      <c r="F108" s="17"/>
      <c r="N108" s="18"/>
    </row>
    <row r="109" spans="4:33" ht="21" customHeight="1" thickBot="1" x14ac:dyDescent="0.6">
      <c r="F109" s="19"/>
      <c r="G109" s="20"/>
      <c r="H109" s="20"/>
      <c r="I109" s="20"/>
      <c r="J109" s="20"/>
      <c r="K109" s="20"/>
      <c r="L109" s="20"/>
      <c r="M109" s="20"/>
      <c r="N109" s="21"/>
    </row>
    <row r="126" spans="7:14" ht="21" customHeight="1" x14ac:dyDescent="0.55000000000000004">
      <c r="G126" s="13"/>
      <c r="H126" s="33" t="s">
        <v>84</v>
      </c>
      <c r="I126" s="33"/>
      <c r="J126" s="33"/>
      <c r="K126" s="33"/>
      <c r="L126" s="33"/>
      <c r="M126" s="33"/>
      <c r="N126" s="10" t="s">
        <v>145</v>
      </c>
    </row>
    <row r="129" spans="1:33" ht="21" customHeight="1" x14ac:dyDescent="0.55000000000000004">
      <c r="D129" s="12" t="s">
        <v>35</v>
      </c>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row>
    <row r="137" spans="1:33" ht="21" customHeight="1" x14ac:dyDescent="0.55000000000000004">
      <c r="F137" s="10" t="s">
        <v>76</v>
      </c>
    </row>
    <row r="138" spans="1:33" ht="21" customHeight="1" x14ac:dyDescent="0.55000000000000004">
      <c r="G138" s="32" t="s">
        <v>77</v>
      </c>
      <c r="H138" s="34" t="s">
        <v>86</v>
      </c>
      <c r="I138" s="26"/>
      <c r="J138" s="26"/>
      <c r="K138" s="26"/>
      <c r="L138" s="26"/>
      <c r="M138" s="26"/>
      <c r="N138" s="10" t="s">
        <v>87</v>
      </c>
    </row>
    <row r="139" spans="1:33" ht="21" customHeight="1" x14ac:dyDescent="0.55000000000000004">
      <c r="G139" s="32" t="s">
        <v>77</v>
      </c>
      <c r="H139" s="34" t="s">
        <v>88</v>
      </c>
      <c r="I139" s="35"/>
      <c r="J139" s="35"/>
      <c r="K139" s="35"/>
      <c r="L139" s="35"/>
      <c r="M139" s="10" t="s">
        <v>87</v>
      </c>
    </row>
    <row r="140" spans="1:33" ht="21" customHeight="1" x14ac:dyDescent="0.55000000000000004">
      <c r="G140" s="32" t="s">
        <v>77</v>
      </c>
      <c r="H140" s="34" t="s">
        <v>89</v>
      </c>
      <c r="I140" s="26"/>
      <c r="J140" s="26"/>
      <c r="K140" s="26"/>
      <c r="L140" s="10" t="s">
        <v>87</v>
      </c>
    </row>
    <row r="141" spans="1:33" ht="21" customHeight="1" x14ac:dyDescent="0.55000000000000004">
      <c r="F141" s="10" t="s">
        <v>78</v>
      </c>
    </row>
    <row r="143" spans="1:33" ht="21" customHeight="1" x14ac:dyDescent="0.55000000000000004">
      <c r="B143" s="10" t="s">
        <v>28</v>
      </c>
    </row>
    <row r="144" spans="1:33" ht="21" customHeight="1" x14ac:dyDescent="0.55000000000000004">
      <c r="A144" s="36" t="s">
        <v>109</v>
      </c>
    </row>
  </sheetData>
  <mergeCells count="20">
    <mergeCell ref="G62:P62"/>
    <mergeCell ref="R62:U62"/>
    <mergeCell ref="G60:P60"/>
    <mergeCell ref="R60:U60"/>
    <mergeCell ref="G64:P64"/>
    <mergeCell ref="R64:U64"/>
    <mergeCell ref="G66:P66"/>
    <mergeCell ref="R66:U66"/>
    <mergeCell ref="G68:P68"/>
    <mergeCell ref="R68:U68"/>
    <mergeCell ref="G70:P70"/>
    <mergeCell ref="R70:U70"/>
    <mergeCell ref="G78:P78"/>
    <mergeCell ref="R78:U78"/>
    <mergeCell ref="G72:P72"/>
    <mergeCell ref="R72:U72"/>
    <mergeCell ref="G74:P74"/>
    <mergeCell ref="R74:U74"/>
    <mergeCell ref="G76:P76"/>
    <mergeCell ref="R76:U7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105</xdr:row>
                    <xdr:rowOff>241300</xdr:rowOff>
                  </from>
                  <to>
                    <xdr:col>12</xdr:col>
                    <xdr:colOff>254000</xdr:colOff>
                    <xdr:row>108</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2D86F-75AC-47D4-9B7E-3DC6B188C5B5}">
  <dimension ref="A1:B48"/>
  <sheetViews>
    <sheetView workbookViewId="0"/>
  </sheetViews>
  <sheetFormatPr defaultRowHeight="18" x14ac:dyDescent="0.55000000000000004"/>
  <sheetData>
    <row r="1" spans="1:2" x14ac:dyDescent="0.55000000000000004">
      <c r="A1" s="27" t="s">
        <v>144</v>
      </c>
      <c r="B1" s="27" t="s">
        <v>45</v>
      </c>
    </row>
    <row r="2" spans="1:2" x14ac:dyDescent="0.55000000000000004">
      <c r="A2" s="29">
        <v>1</v>
      </c>
      <c r="B2" t="s">
        <v>480</v>
      </c>
    </row>
    <row r="3" spans="1:2" x14ac:dyDescent="0.55000000000000004">
      <c r="A3" s="29">
        <v>11</v>
      </c>
      <c r="B3" t="s">
        <v>481</v>
      </c>
    </row>
    <row r="4" spans="1:2" x14ac:dyDescent="0.55000000000000004">
      <c r="A4" s="29">
        <v>7</v>
      </c>
      <c r="B4" t="s">
        <v>482</v>
      </c>
    </row>
    <row r="5" spans="1:2" x14ac:dyDescent="0.55000000000000004">
      <c r="A5" s="29">
        <v>4</v>
      </c>
      <c r="B5" t="s">
        <v>483</v>
      </c>
    </row>
    <row r="6" spans="1:2" x14ac:dyDescent="0.55000000000000004">
      <c r="A6" s="29">
        <v>2</v>
      </c>
      <c r="B6" t="s">
        <v>484</v>
      </c>
    </row>
    <row r="7" spans="1:2" x14ac:dyDescent="0.55000000000000004">
      <c r="A7" s="29">
        <v>35</v>
      </c>
      <c r="B7" t="s">
        <v>91</v>
      </c>
    </row>
    <row r="8" spans="1:2" x14ac:dyDescent="0.55000000000000004">
      <c r="A8" s="29">
        <v>31</v>
      </c>
      <c r="B8" t="s">
        <v>92</v>
      </c>
    </row>
    <row r="9" spans="1:2" x14ac:dyDescent="0.55000000000000004">
      <c r="A9" s="29">
        <v>27</v>
      </c>
      <c r="B9" t="s">
        <v>93</v>
      </c>
    </row>
    <row r="10" spans="1:2" x14ac:dyDescent="0.55000000000000004">
      <c r="A10" s="29">
        <v>25</v>
      </c>
      <c r="B10" t="s">
        <v>94</v>
      </c>
    </row>
    <row r="11" spans="1:2" x14ac:dyDescent="0.55000000000000004">
      <c r="A11" s="29">
        <v>22</v>
      </c>
      <c r="B11" t="s">
        <v>95</v>
      </c>
    </row>
    <row r="12" spans="1:2" x14ac:dyDescent="0.55000000000000004">
      <c r="A12" s="29">
        <v>19</v>
      </c>
      <c r="B12" t="s">
        <v>218</v>
      </c>
    </row>
    <row r="13" spans="1:2" x14ac:dyDescent="0.55000000000000004">
      <c r="A13" s="29">
        <v>12</v>
      </c>
      <c r="B13" t="s">
        <v>485</v>
      </c>
    </row>
    <row r="14" spans="1:2" x14ac:dyDescent="0.55000000000000004">
      <c r="A14" s="29">
        <v>8</v>
      </c>
      <c r="B14" t="s">
        <v>486</v>
      </c>
    </row>
    <row r="15" spans="1:2" x14ac:dyDescent="0.55000000000000004">
      <c r="A15" s="29">
        <v>5</v>
      </c>
      <c r="B15" t="s">
        <v>487</v>
      </c>
    </row>
    <row r="16" spans="1:2" x14ac:dyDescent="0.55000000000000004">
      <c r="A16" s="29">
        <v>3</v>
      </c>
      <c r="B16" t="s">
        <v>219</v>
      </c>
    </row>
    <row r="17" spans="1:2" x14ac:dyDescent="0.55000000000000004">
      <c r="A17" s="29">
        <v>44</v>
      </c>
      <c r="B17" t="s">
        <v>488</v>
      </c>
    </row>
    <row r="18" spans="1:2" x14ac:dyDescent="0.55000000000000004">
      <c r="A18" s="29">
        <v>40</v>
      </c>
      <c r="B18" t="s">
        <v>220</v>
      </c>
    </row>
    <row r="19" spans="1:2" x14ac:dyDescent="0.55000000000000004">
      <c r="A19" s="29">
        <v>39</v>
      </c>
      <c r="B19" t="s">
        <v>96</v>
      </c>
    </row>
    <row r="20" spans="1:2" x14ac:dyDescent="0.55000000000000004">
      <c r="A20" s="29">
        <v>36</v>
      </c>
      <c r="B20" t="s">
        <v>489</v>
      </c>
    </row>
    <row r="21" spans="1:2" x14ac:dyDescent="0.55000000000000004">
      <c r="A21" s="29">
        <v>32</v>
      </c>
      <c r="B21" t="s">
        <v>97</v>
      </c>
    </row>
    <row r="22" spans="1:2" x14ac:dyDescent="0.55000000000000004">
      <c r="A22" s="29">
        <v>30</v>
      </c>
      <c r="B22" t="s">
        <v>98</v>
      </c>
    </row>
    <row r="23" spans="1:2" x14ac:dyDescent="0.55000000000000004">
      <c r="A23" s="29">
        <v>28</v>
      </c>
      <c r="B23" t="s">
        <v>490</v>
      </c>
    </row>
    <row r="24" spans="1:2" x14ac:dyDescent="0.55000000000000004">
      <c r="A24" s="29">
        <v>26</v>
      </c>
      <c r="B24" t="s">
        <v>99</v>
      </c>
    </row>
    <row r="25" spans="1:2" x14ac:dyDescent="0.55000000000000004">
      <c r="A25" s="29">
        <v>23</v>
      </c>
      <c r="B25" t="s">
        <v>100</v>
      </c>
    </row>
    <row r="26" spans="1:2" x14ac:dyDescent="0.55000000000000004">
      <c r="A26" s="29">
        <v>20</v>
      </c>
      <c r="B26" t="s">
        <v>101</v>
      </c>
    </row>
    <row r="27" spans="1:2" x14ac:dyDescent="0.55000000000000004">
      <c r="A27" s="29">
        <v>17</v>
      </c>
      <c r="B27" t="s">
        <v>221</v>
      </c>
    </row>
    <row r="28" spans="1:2" x14ac:dyDescent="0.55000000000000004">
      <c r="A28" s="29">
        <v>15</v>
      </c>
      <c r="B28" t="s">
        <v>222</v>
      </c>
    </row>
    <row r="29" spans="1:2" x14ac:dyDescent="0.55000000000000004">
      <c r="A29" s="29">
        <v>13</v>
      </c>
      <c r="B29" t="s">
        <v>223</v>
      </c>
    </row>
    <row r="30" spans="1:2" x14ac:dyDescent="0.55000000000000004">
      <c r="A30" s="29">
        <v>9</v>
      </c>
      <c r="B30" t="s">
        <v>224</v>
      </c>
    </row>
    <row r="31" spans="1:2" x14ac:dyDescent="0.55000000000000004">
      <c r="A31" s="29">
        <v>6</v>
      </c>
      <c r="B31" t="s">
        <v>225</v>
      </c>
    </row>
    <row r="32" spans="1:2" x14ac:dyDescent="0.55000000000000004">
      <c r="A32" s="29">
        <v>45</v>
      </c>
      <c r="B32" t="s">
        <v>226</v>
      </c>
    </row>
    <row r="33" spans="1:2" x14ac:dyDescent="0.55000000000000004">
      <c r="A33" s="29">
        <v>41</v>
      </c>
      <c r="B33" t="s">
        <v>491</v>
      </c>
    </row>
    <row r="34" spans="1:2" x14ac:dyDescent="0.55000000000000004">
      <c r="A34" s="29">
        <v>37</v>
      </c>
      <c r="B34" t="s">
        <v>102</v>
      </c>
    </row>
    <row r="35" spans="1:2" x14ac:dyDescent="0.55000000000000004">
      <c r="A35" s="29">
        <v>33</v>
      </c>
      <c r="B35" t="s">
        <v>492</v>
      </c>
    </row>
    <row r="36" spans="1:2" x14ac:dyDescent="0.55000000000000004">
      <c r="A36" s="29">
        <v>29</v>
      </c>
      <c r="B36" t="s">
        <v>103</v>
      </c>
    </row>
    <row r="37" spans="1:2" x14ac:dyDescent="0.55000000000000004">
      <c r="A37" s="29">
        <v>24</v>
      </c>
      <c r="B37" t="s">
        <v>104</v>
      </c>
    </row>
    <row r="38" spans="1:2" x14ac:dyDescent="0.55000000000000004">
      <c r="A38" s="29">
        <v>21</v>
      </c>
      <c r="B38" t="s">
        <v>493</v>
      </c>
    </row>
    <row r="39" spans="1:2" x14ac:dyDescent="0.55000000000000004">
      <c r="A39" s="29">
        <v>18</v>
      </c>
      <c r="B39" t="s">
        <v>105</v>
      </c>
    </row>
    <row r="40" spans="1:2" x14ac:dyDescent="0.55000000000000004">
      <c r="A40" s="29">
        <v>16</v>
      </c>
      <c r="B40" t="s">
        <v>106</v>
      </c>
    </row>
    <row r="41" spans="1:2" x14ac:dyDescent="0.55000000000000004">
      <c r="A41" s="29">
        <v>14</v>
      </c>
      <c r="B41" t="s">
        <v>227</v>
      </c>
    </row>
    <row r="42" spans="1:2" x14ac:dyDescent="0.55000000000000004">
      <c r="A42" s="29">
        <v>10</v>
      </c>
      <c r="B42" t="s">
        <v>228</v>
      </c>
    </row>
    <row r="43" spans="1:2" x14ac:dyDescent="0.55000000000000004">
      <c r="A43" s="29">
        <v>46</v>
      </c>
      <c r="B43" t="s">
        <v>229</v>
      </c>
    </row>
    <row r="44" spans="1:2" x14ac:dyDescent="0.55000000000000004">
      <c r="A44" s="29">
        <v>42</v>
      </c>
      <c r="B44" t="s">
        <v>494</v>
      </c>
    </row>
    <row r="45" spans="1:2" x14ac:dyDescent="0.55000000000000004">
      <c r="A45" s="29">
        <v>38</v>
      </c>
      <c r="B45" t="s">
        <v>107</v>
      </c>
    </row>
    <row r="46" spans="1:2" x14ac:dyDescent="0.55000000000000004">
      <c r="A46" s="29">
        <v>34</v>
      </c>
      <c r="B46" t="s">
        <v>495</v>
      </c>
    </row>
    <row r="47" spans="1:2" x14ac:dyDescent="0.55000000000000004">
      <c r="A47" s="29">
        <v>47</v>
      </c>
      <c r="B47" t="s">
        <v>496</v>
      </c>
    </row>
    <row r="48" spans="1:2" x14ac:dyDescent="0.55000000000000004">
      <c r="A48" s="29">
        <v>43</v>
      </c>
      <c r="B48" t="s">
        <v>497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7"/>
  <sheetViews>
    <sheetView workbookViewId="0">
      <selection activeCell="A2" sqref="A2"/>
    </sheetView>
  </sheetViews>
  <sheetFormatPr defaultRowHeight="18" x14ac:dyDescent="0.55000000000000004"/>
  <cols>
    <col min="1" max="1" width="15.4140625" style="47" bestFit="1" customWidth="1"/>
    <col min="2" max="2" width="10.58203125" style="47" bestFit="1" customWidth="1"/>
    <col min="3" max="3" width="8.6640625" style="47"/>
    <col min="4" max="4" width="145.83203125" bestFit="1" customWidth="1"/>
  </cols>
  <sheetData>
    <row r="1" spans="1:4" x14ac:dyDescent="0.55000000000000004">
      <c r="A1" s="42" t="s">
        <v>153</v>
      </c>
      <c r="B1" s="42" t="s">
        <v>157</v>
      </c>
      <c r="C1" s="42" t="s">
        <v>154</v>
      </c>
      <c r="D1" s="42" t="s">
        <v>156</v>
      </c>
    </row>
    <row r="3" spans="1:4" x14ac:dyDescent="0.55000000000000004">
      <c r="A3" s="46">
        <v>45822.994444444441</v>
      </c>
      <c r="B3" s="47" t="s">
        <v>243</v>
      </c>
      <c r="C3" s="47" t="s">
        <v>155</v>
      </c>
      <c r="D3" t="s">
        <v>232</v>
      </c>
    </row>
    <row r="4" spans="1:4" x14ac:dyDescent="0.55000000000000004">
      <c r="A4" s="46">
        <v>45819.413888888892</v>
      </c>
      <c r="B4" s="47" t="s">
        <v>178</v>
      </c>
      <c r="C4" s="47" t="s">
        <v>155</v>
      </c>
      <c r="D4" t="s">
        <v>179</v>
      </c>
    </row>
    <row r="5" spans="1:4" x14ac:dyDescent="0.55000000000000004">
      <c r="A5" s="46">
        <v>45819.32916666667</v>
      </c>
      <c r="B5" s="47" t="s">
        <v>177</v>
      </c>
      <c r="C5" s="47" t="s">
        <v>155</v>
      </c>
      <c r="D5" t="s">
        <v>176</v>
      </c>
    </row>
    <row r="6" spans="1:4" ht="63" customHeight="1" x14ac:dyDescent="0.55000000000000004">
      <c r="A6" s="46">
        <v>45819.209722222222</v>
      </c>
      <c r="B6" s="47" t="s">
        <v>174</v>
      </c>
      <c r="C6" s="47" t="s">
        <v>155</v>
      </c>
      <c r="D6" s="45" t="s">
        <v>175</v>
      </c>
    </row>
    <row r="7" spans="1:4" ht="36" x14ac:dyDescent="0.55000000000000004">
      <c r="A7" s="46">
        <v>45818.286111111112</v>
      </c>
      <c r="B7" s="46" t="s">
        <v>158</v>
      </c>
      <c r="C7" s="47" t="s">
        <v>155</v>
      </c>
      <c r="D7" s="45" t="s">
        <v>159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9CFF3-85A7-4BFC-B9FD-6354C89BB7DD}">
  <sheetPr codeName="Sheet10">
    <tabColor rgb="FF86DFCB"/>
  </sheetPr>
  <dimension ref="A1:CC41"/>
  <sheetViews>
    <sheetView zoomScaleNormal="100" workbookViewId="0"/>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22"/>
    </row>
    <row r="2" spans="1:81" ht="21" customHeight="1" x14ac:dyDescent="0.55000000000000004">
      <c r="A2" s="5"/>
      <c r="CB2" s="5"/>
      <c r="CC2" s="22"/>
    </row>
    <row r="3" spans="1:81" ht="21" customHeight="1" x14ac:dyDescent="0.55000000000000004">
      <c r="A3" s="5"/>
      <c r="C3" s="227"/>
      <c r="D3" s="228"/>
      <c r="E3" s="228"/>
      <c r="F3" s="228"/>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S3" s="1" t="s">
        <v>180</v>
      </c>
      <c r="CB3" s="5"/>
      <c r="CC3" s="22"/>
    </row>
    <row r="4" spans="1:81" ht="21" customHeight="1" x14ac:dyDescent="0.55000000000000004">
      <c r="A4" s="5"/>
      <c r="C4" s="228"/>
      <c r="D4" s="228"/>
      <c r="E4" s="228"/>
      <c r="F4" s="228"/>
      <c r="CB4" s="5"/>
      <c r="CC4" s="22"/>
    </row>
    <row r="5" spans="1:81" ht="21" customHeight="1" x14ac:dyDescent="0.55000000000000004">
      <c r="A5" s="5"/>
      <c r="C5" s="228"/>
      <c r="D5" s="228"/>
      <c r="E5" s="228"/>
      <c r="F5" s="228"/>
      <c r="CB5" s="5"/>
      <c r="CC5" s="22"/>
    </row>
    <row r="6" spans="1:81" ht="21" customHeight="1" thickBot="1" x14ac:dyDescent="0.6">
      <c r="A6" s="5"/>
      <c r="C6" s="228"/>
      <c r="D6" s="228"/>
      <c r="E6" s="228"/>
      <c r="F6" s="228"/>
      <c r="CB6" s="5"/>
      <c r="CC6" s="22"/>
    </row>
    <row r="7" spans="1:81" ht="21" customHeight="1" x14ac:dyDescent="0.55000000000000004">
      <c r="A7" s="5"/>
      <c r="C7" s="1" t="s">
        <v>16</v>
      </c>
      <c r="BO7" s="4">
        <v>1</v>
      </c>
      <c r="BP7" s="75" t="s">
        <v>245</v>
      </c>
      <c r="BQ7" s="75"/>
      <c r="BR7" s="76"/>
      <c r="BX7" s="9"/>
      <c r="BY7" s="9"/>
      <c r="BZ7" s="9"/>
      <c r="CB7" s="5"/>
      <c r="CC7" s="22"/>
    </row>
    <row r="8" spans="1:81" ht="21" customHeight="1" x14ac:dyDescent="0.55000000000000004">
      <c r="A8" s="5"/>
      <c r="BO8" s="77"/>
      <c r="BP8" s="78"/>
      <c r="BQ8" s="78"/>
      <c r="BR8" s="79"/>
      <c r="BW8" s="8"/>
      <c r="BX8" s="9"/>
      <c r="BY8" s="9"/>
      <c r="BZ8" s="9"/>
      <c r="CB8" s="5"/>
      <c r="CC8" s="22"/>
    </row>
    <row r="9" spans="1:81" ht="21" customHeight="1" x14ac:dyDescent="0.55000000000000004">
      <c r="A9" s="5"/>
      <c r="BO9" s="72"/>
      <c r="BP9" s="73"/>
      <c r="BQ9" s="73"/>
      <c r="BR9" s="74"/>
      <c r="BW9" s="8"/>
      <c r="BX9" s="9"/>
      <c r="BY9" s="9"/>
      <c r="BZ9" s="9"/>
      <c r="CB9" s="5"/>
      <c r="CC9" s="22"/>
    </row>
    <row r="10" spans="1:81" ht="21" customHeight="1" thickBot="1" x14ac:dyDescent="0.6">
      <c r="A10" s="5"/>
      <c r="BO10" s="69"/>
      <c r="BP10" s="70"/>
      <c r="BQ10" s="70"/>
      <c r="BR10" s="71"/>
      <c r="BW10" s="8"/>
      <c r="BX10" s="9"/>
      <c r="BY10" s="9"/>
      <c r="BZ10" s="9"/>
      <c r="CB10" s="5"/>
      <c r="CC10" s="22"/>
    </row>
    <row r="11" spans="1:81" ht="21" customHeight="1" x14ac:dyDescent="0.55000000000000004">
      <c r="A11" s="5"/>
      <c r="C11" s="1" t="s">
        <v>17</v>
      </c>
      <c r="BC11" s="4">
        <v>11</v>
      </c>
      <c r="BD11" s="75" t="s">
        <v>246</v>
      </c>
      <c r="BE11" s="75"/>
      <c r="BF11" s="76"/>
      <c r="BG11" s="4">
        <v>7</v>
      </c>
      <c r="BH11" s="75" t="s">
        <v>247</v>
      </c>
      <c r="BI11" s="75"/>
      <c r="BJ11" s="76"/>
      <c r="BK11" s="4">
        <v>4</v>
      </c>
      <c r="BL11" s="75" t="s">
        <v>248</v>
      </c>
      <c r="BM11" s="75"/>
      <c r="BN11" s="75"/>
      <c r="BO11" s="4">
        <v>2</v>
      </c>
      <c r="BP11" s="75" t="s">
        <v>249</v>
      </c>
      <c r="BQ11" s="75"/>
      <c r="BR11" s="76"/>
      <c r="BW11" s="8"/>
      <c r="BX11" s="9"/>
      <c r="BY11" s="9"/>
      <c r="BZ11" s="9"/>
      <c r="CB11" s="5"/>
      <c r="CC11" s="22"/>
    </row>
    <row r="12" spans="1:81" ht="21" customHeight="1" x14ac:dyDescent="0.55000000000000004">
      <c r="A12" s="5"/>
      <c r="BC12" s="77"/>
      <c r="BD12" s="78"/>
      <c r="BE12" s="78"/>
      <c r="BF12" s="79"/>
      <c r="BG12" s="77"/>
      <c r="BH12" s="78"/>
      <c r="BI12" s="78"/>
      <c r="BJ12" s="78"/>
      <c r="BK12" s="77"/>
      <c r="BL12" s="78"/>
      <c r="BM12" s="78"/>
      <c r="BN12" s="78"/>
      <c r="BO12" s="77"/>
      <c r="BP12" s="78"/>
      <c r="BQ12" s="78"/>
      <c r="BR12" s="79"/>
      <c r="BW12" s="8"/>
      <c r="BX12" s="9"/>
      <c r="BY12" s="9"/>
      <c r="BZ12" s="9"/>
      <c r="CB12" s="5"/>
      <c r="CC12" s="22"/>
    </row>
    <row r="13" spans="1:81" ht="21" customHeight="1" x14ac:dyDescent="0.55000000000000004">
      <c r="A13" s="5"/>
      <c r="BC13" s="72"/>
      <c r="BD13" s="73"/>
      <c r="BE13" s="73"/>
      <c r="BF13" s="74"/>
      <c r="BG13" s="72"/>
      <c r="BH13" s="73"/>
      <c r="BI13" s="73"/>
      <c r="BJ13" s="73"/>
      <c r="BK13" s="72"/>
      <c r="BL13" s="73"/>
      <c r="BM13" s="73"/>
      <c r="BN13" s="73"/>
      <c r="BO13" s="72"/>
      <c r="BP13" s="73"/>
      <c r="BQ13" s="73"/>
      <c r="BR13" s="74"/>
      <c r="BW13" s="8"/>
      <c r="BX13" s="8"/>
      <c r="BY13" s="49"/>
      <c r="BZ13" s="8"/>
      <c r="CB13" s="5"/>
      <c r="CC13" s="22"/>
    </row>
    <row r="14" spans="1:81" ht="21" customHeight="1" thickBot="1" x14ac:dyDescent="0.6">
      <c r="A14" s="5"/>
      <c r="BC14" s="69"/>
      <c r="BD14" s="70"/>
      <c r="BE14" s="70"/>
      <c r="BF14" s="71"/>
      <c r="BG14" s="69"/>
      <c r="BH14" s="70"/>
      <c r="BI14" s="70"/>
      <c r="BJ14" s="70"/>
      <c r="BK14" s="69"/>
      <c r="BL14" s="70"/>
      <c r="BM14" s="70"/>
      <c r="BN14" s="70"/>
      <c r="BO14" s="81"/>
      <c r="BP14" s="80"/>
      <c r="BQ14" s="80"/>
      <c r="BR14" s="82"/>
      <c r="BW14" s="8"/>
      <c r="BX14" s="8"/>
      <c r="BY14" s="49"/>
      <c r="BZ14" s="8"/>
      <c r="CB14" s="5"/>
      <c r="CC14" s="22"/>
    </row>
    <row r="15" spans="1:81" ht="21" customHeight="1" x14ac:dyDescent="0.55000000000000004">
      <c r="A15" s="5"/>
      <c r="C15" s="1" t="s">
        <v>18</v>
      </c>
      <c r="S15" s="4">
        <v>35</v>
      </c>
      <c r="T15" s="75" t="s">
        <v>250</v>
      </c>
      <c r="U15" s="75"/>
      <c r="V15" s="76"/>
      <c r="W15" s="4">
        <v>31</v>
      </c>
      <c r="X15" s="75" t="s">
        <v>251</v>
      </c>
      <c r="Y15" s="75"/>
      <c r="Z15" s="76"/>
      <c r="AE15" s="4">
        <v>27</v>
      </c>
      <c r="AF15" s="75" t="s">
        <v>252</v>
      </c>
      <c r="AG15" s="75"/>
      <c r="AH15" s="75"/>
      <c r="AI15" s="4">
        <v>25</v>
      </c>
      <c r="AJ15" s="75" t="s">
        <v>253</v>
      </c>
      <c r="AK15" s="75"/>
      <c r="AL15" s="76"/>
      <c r="AM15" s="4">
        <v>22</v>
      </c>
      <c r="AN15" s="75" t="s">
        <v>254</v>
      </c>
      <c r="AO15" s="75"/>
      <c r="AP15" s="76"/>
      <c r="AQ15" s="4">
        <v>19</v>
      </c>
      <c r="AR15" s="75" t="s">
        <v>255</v>
      </c>
      <c r="AS15" s="75"/>
      <c r="AT15" s="76"/>
      <c r="BC15" s="4">
        <v>12</v>
      </c>
      <c r="BD15" s="75" t="s">
        <v>256</v>
      </c>
      <c r="BE15" s="75"/>
      <c r="BF15" s="76"/>
      <c r="BG15" s="4">
        <v>8</v>
      </c>
      <c r="BH15" s="75" t="s">
        <v>257</v>
      </c>
      <c r="BI15" s="75"/>
      <c r="BJ15" s="76"/>
      <c r="BK15" s="4">
        <v>5</v>
      </c>
      <c r="BL15" s="75" t="s">
        <v>258</v>
      </c>
      <c r="BM15" s="75"/>
      <c r="BN15" s="76"/>
      <c r="BO15" s="4">
        <v>3</v>
      </c>
      <c r="BP15" s="75" t="s">
        <v>259</v>
      </c>
      <c r="BQ15" s="75"/>
      <c r="BR15" s="76"/>
      <c r="BW15" s="8"/>
      <c r="BX15" s="8"/>
      <c r="BY15" s="49"/>
      <c r="BZ15" s="8"/>
      <c r="CB15" s="5"/>
      <c r="CC15" s="22"/>
    </row>
    <row r="16" spans="1:81" ht="21" customHeight="1" x14ac:dyDescent="0.55000000000000004">
      <c r="A16" s="5"/>
      <c r="S16" s="77"/>
      <c r="T16" s="78"/>
      <c r="U16" s="78"/>
      <c r="V16" s="79"/>
      <c r="W16" s="77"/>
      <c r="X16" s="78"/>
      <c r="Y16" s="78"/>
      <c r="Z16" s="79"/>
      <c r="AE16" s="77"/>
      <c r="AF16" s="78"/>
      <c r="AG16" s="78"/>
      <c r="AH16" s="78"/>
      <c r="AI16" s="77"/>
      <c r="AJ16" s="78"/>
      <c r="AK16" s="78"/>
      <c r="AL16" s="79"/>
      <c r="AM16" s="77"/>
      <c r="AN16" s="78"/>
      <c r="AO16" s="78"/>
      <c r="AP16" s="79"/>
      <c r="AQ16" s="77"/>
      <c r="AR16" s="78"/>
      <c r="AS16" s="78"/>
      <c r="AT16" s="79"/>
      <c r="BC16" s="77"/>
      <c r="BD16" s="78"/>
      <c r="BE16" s="78"/>
      <c r="BF16" s="79"/>
      <c r="BG16" s="77"/>
      <c r="BH16" s="78"/>
      <c r="BI16" s="78"/>
      <c r="BJ16" s="79"/>
      <c r="BK16" s="77"/>
      <c r="BL16" s="78"/>
      <c r="BM16" s="78"/>
      <c r="BN16" s="79"/>
      <c r="BO16" s="77"/>
      <c r="BP16" s="78"/>
      <c r="BQ16" s="78"/>
      <c r="BR16" s="79"/>
      <c r="BW16" s="8"/>
      <c r="BX16" s="8"/>
      <c r="BY16" s="49"/>
      <c r="BZ16" s="8"/>
      <c r="CB16" s="5"/>
      <c r="CC16" s="22"/>
    </row>
    <row r="17" spans="1:81" ht="21" customHeight="1" x14ac:dyDescent="0.55000000000000004">
      <c r="A17" s="5"/>
      <c r="S17" s="72"/>
      <c r="T17" s="73"/>
      <c r="U17" s="73"/>
      <c r="V17" s="74"/>
      <c r="W17" s="72"/>
      <c r="X17" s="73"/>
      <c r="Y17" s="73"/>
      <c r="Z17" s="74"/>
      <c r="AE17" s="72"/>
      <c r="AF17" s="73"/>
      <c r="AG17" s="73"/>
      <c r="AH17" s="73"/>
      <c r="AI17" s="72"/>
      <c r="AJ17" s="73"/>
      <c r="AK17" s="73"/>
      <c r="AL17" s="74"/>
      <c r="AM17" s="72"/>
      <c r="AN17" s="73"/>
      <c r="AO17" s="73"/>
      <c r="AP17" s="74"/>
      <c r="AQ17" s="72"/>
      <c r="AR17" s="73"/>
      <c r="AS17" s="73"/>
      <c r="AT17" s="74"/>
      <c r="BC17" s="72"/>
      <c r="BD17" s="73"/>
      <c r="BE17" s="73"/>
      <c r="BF17" s="74"/>
      <c r="BG17" s="72"/>
      <c r="BH17" s="73"/>
      <c r="BI17" s="73"/>
      <c r="BJ17" s="74"/>
      <c r="BK17" s="72"/>
      <c r="BL17" s="73"/>
      <c r="BM17" s="73"/>
      <c r="BN17" s="74"/>
      <c r="BO17" s="72"/>
      <c r="BP17" s="73"/>
      <c r="BQ17" s="73"/>
      <c r="BR17" s="74"/>
      <c r="BW17" s="9"/>
      <c r="BX17" s="9"/>
      <c r="BY17" s="49"/>
      <c r="BZ17" s="9"/>
      <c r="CB17" s="5"/>
      <c r="CC17" s="22"/>
    </row>
    <row r="18" spans="1:81" ht="21" customHeight="1" thickBot="1" x14ac:dyDescent="0.6">
      <c r="A18" s="5"/>
      <c r="S18" s="69"/>
      <c r="T18" s="70"/>
      <c r="U18" s="70"/>
      <c r="V18" s="71"/>
      <c r="W18" s="69"/>
      <c r="X18" s="70"/>
      <c r="Y18" s="70"/>
      <c r="Z18" s="71"/>
      <c r="AE18" s="69"/>
      <c r="AF18" s="70"/>
      <c r="AG18" s="70"/>
      <c r="AH18" s="70"/>
      <c r="AI18" s="81"/>
      <c r="AJ18" s="80"/>
      <c r="AK18" s="80"/>
      <c r="AL18" s="82"/>
      <c r="AM18" s="69"/>
      <c r="AN18" s="70"/>
      <c r="AO18" s="70"/>
      <c r="AP18" s="71"/>
      <c r="AQ18" s="69"/>
      <c r="AR18" s="70"/>
      <c r="AS18" s="70"/>
      <c r="AT18" s="71"/>
      <c r="BC18" s="69"/>
      <c r="BD18" s="70"/>
      <c r="BE18" s="70"/>
      <c r="BF18" s="71"/>
      <c r="BG18" s="81"/>
      <c r="BH18" s="80"/>
      <c r="BI18" s="80"/>
      <c r="BJ18" s="82"/>
      <c r="BK18" s="69"/>
      <c r="BL18" s="70"/>
      <c r="BM18" s="70"/>
      <c r="BN18" s="71"/>
      <c r="BO18" s="69"/>
      <c r="BP18" s="70"/>
      <c r="BQ18" s="70"/>
      <c r="BR18" s="71"/>
      <c r="BW18" s="9"/>
      <c r="BX18" s="9"/>
      <c r="BY18" s="49"/>
      <c r="BZ18" s="9"/>
      <c r="CB18" s="5"/>
      <c r="CC18" s="22"/>
    </row>
    <row r="19" spans="1:81" ht="21" customHeight="1" x14ac:dyDescent="0.55000000000000004">
      <c r="A19" s="5"/>
      <c r="C19" s="1" t="s">
        <v>19</v>
      </c>
      <c r="G19" s="4">
        <v>44</v>
      </c>
      <c r="H19" s="75" t="s">
        <v>260</v>
      </c>
      <c r="I19" s="75"/>
      <c r="J19" s="75"/>
      <c r="K19" s="4">
        <v>40</v>
      </c>
      <c r="L19" s="75" t="s">
        <v>261</v>
      </c>
      <c r="M19" s="75"/>
      <c r="N19" s="75"/>
      <c r="O19" s="4">
        <v>39</v>
      </c>
      <c r="P19" s="75" t="s">
        <v>262</v>
      </c>
      <c r="Q19" s="75"/>
      <c r="R19" s="76"/>
      <c r="S19" s="4">
        <v>36</v>
      </c>
      <c r="T19" s="75" t="s">
        <v>263</v>
      </c>
      <c r="U19" s="75"/>
      <c r="V19" s="75"/>
      <c r="W19" s="4">
        <v>32</v>
      </c>
      <c r="X19" s="75" t="s">
        <v>264</v>
      </c>
      <c r="Y19" s="75"/>
      <c r="Z19" s="76"/>
      <c r="AA19" s="4">
        <v>30</v>
      </c>
      <c r="AB19" s="75" t="s">
        <v>265</v>
      </c>
      <c r="AC19" s="75"/>
      <c r="AD19" s="76"/>
      <c r="AE19" s="4">
        <v>28</v>
      </c>
      <c r="AF19" s="75" t="s">
        <v>266</v>
      </c>
      <c r="AG19" s="75"/>
      <c r="AH19" s="76"/>
      <c r="AI19" s="4">
        <v>26</v>
      </c>
      <c r="AJ19" s="75" t="s">
        <v>267</v>
      </c>
      <c r="AK19" s="75"/>
      <c r="AL19" s="76"/>
      <c r="AM19" s="4">
        <v>23</v>
      </c>
      <c r="AN19" s="75" t="s">
        <v>268</v>
      </c>
      <c r="AO19" s="75"/>
      <c r="AP19" s="76"/>
      <c r="AQ19" s="4">
        <v>20</v>
      </c>
      <c r="AR19" s="75" t="s">
        <v>269</v>
      </c>
      <c r="AS19" s="75"/>
      <c r="AT19" s="76"/>
      <c r="AU19" s="4">
        <v>17</v>
      </c>
      <c r="AV19" s="75" t="s">
        <v>270</v>
      </c>
      <c r="AW19" s="75"/>
      <c r="AX19" s="76"/>
      <c r="AY19" s="4">
        <v>15</v>
      </c>
      <c r="AZ19" s="75" t="s">
        <v>271</v>
      </c>
      <c r="BA19" s="75"/>
      <c r="BB19" s="76"/>
      <c r="BC19" s="4">
        <v>13</v>
      </c>
      <c r="BD19" s="75" t="s">
        <v>272</v>
      </c>
      <c r="BE19" s="75"/>
      <c r="BF19" s="76"/>
      <c r="BG19" s="4">
        <v>9</v>
      </c>
      <c r="BH19" s="75" t="s">
        <v>273</v>
      </c>
      <c r="BI19" s="75"/>
      <c r="BJ19" s="75"/>
      <c r="BK19" s="4">
        <v>6</v>
      </c>
      <c r="BL19" s="75" t="s">
        <v>274</v>
      </c>
      <c r="BM19" s="75"/>
      <c r="BN19" s="76"/>
      <c r="BX19" s="8"/>
      <c r="BY19" s="49"/>
      <c r="BZ19" s="9"/>
      <c r="CB19" s="5"/>
      <c r="CC19" s="22"/>
    </row>
    <row r="20" spans="1:81" ht="21" customHeight="1" x14ac:dyDescent="0.55000000000000004">
      <c r="A20" s="5"/>
      <c r="G20" s="77"/>
      <c r="H20" s="78"/>
      <c r="I20" s="78"/>
      <c r="J20" s="78"/>
      <c r="K20" s="77"/>
      <c r="L20" s="78"/>
      <c r="M20" s="78"/>
      <c r="N20" s="78"/>
      <c r="O20" s="77"/>
      <c r="P20" s="78"/>
      <c r="Q20" s="78"/>
      <c r="R20" s="79"/>
      <c r="S20" s="77"/>
      <c r="T20" s="78"/>
      <c r="U20" s="78"/>
      <c r="V20" s="78"/>
      <c r="W20" s="77"/>
      <c r="X20" s="78"/>
      <c r="Y20" s="78"/>
      <c r="Z20" s="79"/>
      <c r="AA20" s="77"/>
      <c r="AB20" s="78"/>
      <c r="AC20" s="78"/>
      <c r="AD20" s="79"/>
      <c r="AE20" s="77"/>
      <c r="AF20" s="78"/>
      <c r="AG20" s="78"/>
      <c r="AH20" s="79"/>
      <c r="AI20" s="77"/>
      <c r="AJ20" s="78"/>
      <c r="AK20" s="78"/>
      <c r="AL20" s="79"/>
      <c r="AM20" s="77"/>
      <c r="AN20" s="78"/>
      <c r="AO20" s="78"/>
      <c r="AP20" s="79"/>
      <c r="AQ20" s="77"/>
      <c r="AR20" s="78"/>
      <c r="AS20" s="78"/>
      <c r="AT20" s="79"/>
      <c r="AU20" s="77"/>
      <c r="AV20" s="78"/>
      <c r="AW20" s="78"/>
      <c r="AX20" s="79"/>
      <c r="AY20" s="77"/>
      <c r="AZ20" s="78"/>
      <c r="BA20" s="78"/>
      <c r="BB20" s="79"/>
      <c r="BC20" s="77"/>
      <c r="BD20" s="78"/>
      <c r="BE20" s="78"/>
      <c r="BF20" s="79"/>
      <c r="BG20" s="77"/>
      <c r="BH20" s="78"/>
      <c r="BI20" s="78"/>
      <c r="BJ20" s="78"/>
      <c r="BK20" s="77"/>
      <c r="BL20" s="78"/>
      <c r="BM20" s="78"/>
      <c r="BN20" s="79"/>
      <c r="BX20" s="8"/>
      <c r="BY20" s="49"/>
      <c r="BZ20" s="9"/>
      <c r="CB20" s="5"/>
      <c r="CC20" s="22"/>
    </row>
    <row r="21" spans="1:81" ht="21" customHeight="1" x14ac:dyDescent="0.55000000000000004">
      <c r="A21" s="5"/>
      <c r="G21" s="72"/>
      <c r="H21" s="73"/>
      <c r="I21" s="73"/>
      <c r="J21" s="73"/>
      <c r="K21" s="72"/>
      <c r="L21" s="73"/>
      <c r="M21" s="73"/>
      <c r="N21" s="73"/>
      <c r="O21" s="72"/>
      <c r="P21" s="73"/>
      <c r="Q21" s="73"/>
      <c r="R21" s="74"/>
      <c r="S21" s="72"/>
      <c r="T21" s="73"/>
      <c r="U21" s="73"/>
      <c r="V21" s="73"/>
      <c r="W21" s="72"/>
      <c r="X21" s="73"/>
      <c r="Y21" s="73"/>
      <c r="Z21" s="74"/>
      <c r="AA21" s="72"/>
      <c r="AB21" s="73"/>
      <c r="AC21" s="73"/>
      <c r="AD21" s="74"/>
      <c r="AE21" s="72"/>
      <c r="AF21" s="73"/>
      <c r="AG21" s="73"/>
      <c r="AH21" s="74"/>
      <c r="AI21" s="72"/>
      <c r="AJ21" s="73"/>
      <c r="AK21" s="73"/>
      <c r="AL21" s="74"/>
      <c r="AM21" s="72"/>
      <c r="AN21" s="73"/>
      <c r="AO21" s="73"/>
      <c r="AP21" s="74"/>
      <c r="AQ21" s="72"/>
      <c r="AR21" s="73"/>
      <c r="AS21" s="73"/>
      <c r="AT21" s="74"/>
      <c r="AU21" s="72"/>
      <c r="AV21" s="73"/>
      <c r="AW21" s="73"/>
      <c r="AX21" s="74"/>
      <c r="AY21" s="72"/>
      <c r="AZ21" s="73"/>
      <c r="BA21" s="73"/>
      <c r="BB21" s="74"/>
      <c r="BC21" s="72"/>
      <c r="BD21" s="73"/>
      <c r="BE21" s="73"/>
      <c r="BF21" s="74"/>
      <c r="BG21" s="72"/>
      <c r="BH21" s="73"/>
      <c r="BI21" s="73"/>
      <c r="BJ21" s="73"/>
      <c r="BK21" s="72"/>
      <c r="BL21" s="73"/>
      <c r="BM21" s="73"/>
      <c r="BN21" s="74"/>
      <c r="BX21" s="8"/>
      <c r="BY21" s="49"/>
      <c r="BZ21" s="9"/>
      <c r="CB21" s="5"/>
      <c r="CC21" s="22"/>
    </row>
    <row r="22" spans="1:81" ht="21" customHeight="1" thickBot="1" x14ac:dyDescent="0.6">
      <c r="A22" s="5"/>
      <c r="G22" s="81"/>
      <c r="H22" s="80"/>
      <c r="I22" s="80"/>
      <c r="J22" s="80"/>
      <c r="K22" s="81"/>
      <c r="L22" s="80"/>
      <c r="M22" s="80"/>
      <c r="N22" s="80"/>
      <c r="O22" s="69"/>
      <c r="P22" s="70"/>
      <c r="Q22" s="70"/>
      <c r="R22" s="71"/>
      <c r="S22" s="69"/>
      <c r="T22" s="70"/>
      <c r="U22" s="70"/>
      <c r="V22" s="70"/>
      <c r="W22" s="69"/>
      <c r="X22" s="70"/>
      <c r="Y22" s="70"/>
      <c r="Z22" s="71"/>
      <c r="AA22" s="69"/>
      <c r="AB22" s="70"/>
      <c r="AC22" s="70"/>
      <c r="AD22" s="71"/>
      <c r="AE22" s="69"/>
      <c r="AF22" s="70"/>
      <c r="AG22" s="70"/>
      <c r="AH22" s="71"/>
      <c r="AI22" s="69"/>
      <c r="AJ22" s="70"/>
      <c r="AK22" s="70"/>
      <c r="AL22" s="71"/>
      <c r="AM22" s="69"/>
      <c r="AN22" s="70"/>
      <c r="AO22" s="70"/>
      <c r="AP22" s="71"/>
      <c r="AQ22" s="69"/>
      <c r="AR22" s="70"/>
      <c r="AS22" s="70"/>
      <c r="AT22" s="71"/>
      <c r="AU22" s="69"/>
      <c r="AV22" s="70"/>
      <c r="AW22" s="70"/>
      <c r="AX22" s="71"/>
      <c r="AY22" s="69"/>
      <c r="AZ22" s="70"/>
      <c r="BA22" s="70"/>
      <c r="BB22" s="71"/>
      <c r="BC22" s="69"/>
      <c r="BD22" s="70"/>
      <c r="BE22" s="70"/>
      <c r="BF22" s="71"/>
      <c r="BG22" s="69"/>
      <c r="BH22" s="70"/>
      <c r="BI22" s="70"/>
      <c r="BJ22" s="70"/>
      <c r="BK22" s="69"/>
      <c r="BL22" s="70"/>
      <c r="BM22" s="70"/>
      <c r="BN22" s="71"/>
      <c r="BX22" s="8"/>
      <c r="BY22" s="49"/>
      <c r="BZ22" s="9"/>
      <c r="CB22" s="5"/>
      <c r="CC22" s="22"/>
    </row>
    <row r="23" spans="1:81" ht="21" customHeight="1" x14ac:dyDescent="0.55000000000000004">
      <c r="A23" s="5"/>
      <c r="C23" s="1" t="s">
        <v>20</v>
      </c>
      <c r="G23" s="4">
        <v>45</v>
      </c>
      <c r="H23" s="75" t="s">
        <v>275</v>
      </c>
      <c r="I23" s="75"/>
      <c r="J23" s="76"/>
      <c r="K23" s="4">
        <v>41</v>
      </c>
      <c r="L23" s="75" t="s">
        <v>276</v>
      </c>
      <c r="M23" s="75"/>
      <c r="N23" s="76"/>
      <c r="S23" s="4">
        <v>37</v>
      </c>
      <c r="T23" s="75" t="s">
        <v>277</v>
      </c>
      <c r="U23" s="75"/>
      <c r="V23" s="76"/>
      <c r="W23" s="4">
        <v>33</v>
      </c>
      <c r="X23" s="75" t="s">
        <v>278</v>
      </c>
      <c r="Y23" s="75"/>
      <c r="Z23" s="76"/>
      <c r="AE23" s="4">
        <v>29</v>
      </c>
      <c r="AF23" s="75" t="s">
        <v>279</v>
      </c>
      <c r="AG23" s="75"/>
      <c r="AH23" s="76"/>
      <c r="AM23" s="4">
        <v>24</v>
      </c>
      <c r="AN23" s="75" t="s">
        <v>280</v>
      </c>
      <c r="AO23" s="75"/>
      <c r="AP23" s="76"/>
      <c r="AQ23" s="4">
        <v>21</v>
      </c>
      <c r="AR23" s="75" t="s">
        <v>281</v>
      </c>
      <c r="AS23" s="75"/>
      <c r="AT23" s="76"/>
      <c r="AU23" s="4">
        <v>18</v>
      </c>
      <c r="AV23" s="75" t="s">
        <v>282</v>
      </c>
      <c r="AW23" s="75"/>
      <c r="AX23" s="75"/>
      <c r="AY23" s="4">
        <v>16</v>
      </c>
      <c r="AZ23" s="75" t="s">
        <v>283</v>
      </c>
      <c r="BA23" s="75"/>
      <c r="BB23" s="76"/>
      <c r="BC23" s="4">
        <v>14</v>
      </c>
      <c r="BD23" s="75" t="s">
        <v>284</v>
      </c>
      <c r="BE23" s="75"/>
      <c r="BF23" s="76"/>
      <c r="BG23" s="4">
        <v>10</v>
      </c>
      <c r="BH23" s="75" t="s">
        <v>285</v>
      </c>
      <c r="BI23" s="75"/>
      <c r="BJ23" s="76"/>
      <c r="BX23" s="8"/>
      <c r="BY23" s="49"/>
      <c r="BZ23" s="9"/>
      <c r="CB23" s="5"/>
      <c r="CC23" s="22"/>
    </row>
    <row r="24" spans="1:81" ht="21" customHeight="1" x14ac:dyDescent="0.55000000000000004">
      <c r="A24" s="5"/>
      <c r="G24" s="77"/>
      <c r="H24" s="78"/>
      <c r="I24" s="78"/>
      <c r="J24" s="79"/>
      <c r="K24" s="77"/>
      <c r="L24" s="78"/>
      <c r="M24" s="78"/>
      <c r="N24" s="79"/>
      <c r="S24" s="77"/>
      <c r="T24" s="78"/>
      <c r="U24" s="78"/>
      <c r="V24" s="79"/>
      <c r="W24" s="77"/>
      <c r="X24" s="78"/>
      <c r="Y24" s="78"/>
      <c r="Z24" s="79"/>
      <c r="AE24" s="77"/>
      <c r="AF24" s="78"/>
      <c r="AG24" s="78"/>
      <c r="AH24" s="79"/>
      <c r="AM24" s="77"/>
      <c r="AN24" s="78"/>
      <c r="AO24" s="78"/>
      <c r="AP24" s="79"/>
      <c r="AQ24" s="77"/>
      <c r="AR24" s="78"/>
      <c r="AS24" s="78"/>
      <c r="AT24" s="79"/>
      <c r="AU24" s="77"/>
      <c r="AV24" s="78"/>
      <c r="AW24" s="78"/>
      <c r="AX24" s="78"/>
      <c r="AY24" s="77"/>
      <c r="AZ24" s="78"/>
      <c r="BA24" s="78"/>
      <c r="BB24" s="79"/>
      <c r="BC24" s="77"/>
      <c r="BD24" s="78"/>
      <c r="BE24" s="78"/>
      <c r="BF24" s="79"/>
      <c r="BG24" s="77"/>
      <c r="BH24" s="78"/>
      <c r="BI24" s="78"/>
      <c r="BJ24" s="79"/>
      <c r="BX24" s="8"/>
      <c r="BY24" s="49"/>
      <c r="BZ24" s="9"/>
      <c r="CB24" s="5"/>
      <c r="CC24" s="22"/>
    </row>
    <row r="25" spans="1:81" ht="21" customHeight="1" x14ac:dyDescent="0.55000000000000004">
      <c r="A25" s="5"/>
      <c r="G25" s="72"/>
      <c r="H25" s="73"/>
      <c r="I25" s="73"/>
      <c r="J25" s="74"/>
      <c r="K25" s="72"/>
      <c r="L25" s="73"/>
      <c r="M25" s="73"/>
      <c r="N25" s="74"/>
      <c r="S25" s="72"/>
      <c r="T25" s="73"/>
      <c r="U25" s="73"/>
      <c r="V25" s="74"/>
      <c r="W25" s="72"/>
      <c r="X25" s="73"/>
      <c r="Y25" s="73"/>
      <c r="Z25" s="74"/>
      <c r="AE25" s="72"/>
      <c r="AF25" s="73"/>
      <c r="AG25" s="73"/>
      <c r="AH25" s="74"/>
      <c r="AM25" s="72"/>
      <c r="AN25" s="73"/>
      <c r="AO25" s="73"/>
      <c r="AP25" s="74"/>
      <c r="AQ25" s="72"/>
      <c r="AR25" s="73"/>
      <c r="AS25" s="73"/>
      <c r="AT25" s="74"/>
      <c r="AU25" s="72"/>
      <c r="AV25" s="73"/>
      <c r="AW25" s="73"/>
      <c r="AX25" s="73"/>
      <c r="AY25" s="72"/>
      <c r="AZ25" s="73"/>
      <c r="BA25" s="73"/>
      <c r="BB25" s="74"/>
      <c r="BC25" s="72"/>
      <c r="BD25" s="73"/>
      <c r="BE25" s="73"/>
      <c r="BF25" s="74"/>
      <c r="BG25" s="72"/>
      <c r="BH25" s="73"/>
      <c r="BI25" s="73"/>
      <c r="BJ25" s="74"/>
      <c r="BX25" s="8"/>
      <c r="BY25" s="49"/>
      <c r="BZ25" s="9"/>
      <c r="CB25" s="5"/>
      <c r="CC25" s="22"/>
    </row>
    <row r="26" spans="1:81" ht="21" customHeight="1" thickBot="1" x14ac:dyDescent="0.6">
      <c r="A26" s="5"/>
      <c r="G26" s="69"/>
      <c r="H26" s="70"/>
      <c r="I26" s="70"/>
      <c r="J26" s="71"/>
      <c r="K26" s="69"/>
      <c r="L26" s="70"/>
      <c r="M26" s="70"/>
      <c r="N26" s="71"/>
      <c r="S26" s="81"/>
      <c r="T26" s="80"/>
      <c r="U26" s="80"/>
      <c r="V26" s="82"/>
      <c r="W26" s="69"/>
      <c r="X26" s="70"/>
      <c r="Y26" s="70"/>
      <c r="Z26" s="71"/>
      <c r="AE26" s="69"/>
      <c r="AF26" s="70"/>
      <c r="AG26" s="70"/>
      <c r="AH26" s="71"/>
      <c r="AM26" s="69"/>
      <c r="AN26" s="70"/>
      <c r="AO26" s="70"/>
      <c r="AP26" s="71"/>
      <c r="AQ26" s="69"/>
      <c r="AR26" s="70"/>
      <c r="AS26" s="70"/>
      <c r="AT26" s="71"/>
      <c r="AU26" s="69"/>
      <c r="AV26" s="70"/>
      <c r="AW26" s="70"/>
      <c r="AX26" s="70"/>
      <c r="AY26" s="69"/>
      <c r="AZ26" s="70"/>
      <c r="BA26" s="70"/>
      <c r="BB26" s="71"/>
      <c r="BC26" s="69"/>
      <c r="BD26" s="70"/>
      <c r="BE26" s="70"/>
      <c r="BF26" s="71"/>
      <c r="BG26" s="69"/>
      <c r="BH26" s="70"/>
      <c r="BI26" s="70"/>
      <c r="BJ26" s="71"/>
      <c r="BX26" s="8"/>
      <c r="BY26" s="49"/>
      <c r="BZ26" s="9"/>
      <c r="CB26" s="5"/>
      <c r="CC26" s="22"/>
    </row>
    <row r="27" spans="1:81" ht="21" customHeight="1" x14ac:dyDescent="0.55000000000000004">
      <c r="A27" s="5"/>
      <c r="C27" s="1" t="s">
        <v>21</v>
      </c>
      <c r="G27" s="4">
        <v>46</v>
      </c>
      <c r="H27" s="75" t="s">
        <v>286</v>
      </c>
      <c r="I27" s="75"/>
      <c r="J27" s="76"/>
      <c r="K27" s="4">
        <v>42</v>
      </c>
      <c r="L27" s="75" t="s">
        <v>287</v>
      </c>
      <c r="M27" s="75"/>
      <c r="N27" s="76"/>
      <c r="S27" s="4">
        <v>38</v>
      </c>
      <c r="T27" s="75" t="s">
        <v>288</v>
      </c>
      <c r="U27" s="75"/>
      <c r="V27" s="75"/>
      <c r="W27" s="4">
        <v>34</v>
      </c>
      <c r="X27" s="75" t="s">
        <v>289</v>
      </c>
      <c r="Y27" s="75"/>
      <c r="Z27" s="76"/>
      <c r="BX27" s="8"/>
      <c r="BY27" s="49"/>
      <c r="BZ27" s="9"/>
      <c r="CB27" s="5"/>
      <c r="CC27" s="22"/>
    </row>
    <row r="28" spans="1:81" ht="21" customHeight="1" x14ac:dyDescent="0.55000000000000004">
      <c r="A28" s="5"/>
      <c r="G28" s="77"/>
      <c r="H28" s="78"/>
      <c r="I28" s="78"/>
      <c r="J28" s="79"/>
      <c r="K28" s="77"/>
      <c r="L28" s="78"/>
      <c r="M28" s="78"/>
      <c r="N28" s="79"/>
      <c r="S28" s="77"/>
      <c r="T28" s="78"/>
      <c r="U28" s="78"/>
      <c r="V28" s="78"/>
      <c r="W28" s="77"/>
      <c r="X28" s="78"/>
      <c r="Y28" s="78"/>
      <c r="Z28" s="79"/>
      <c r="CB28" s="5"/>
      <c r="CC28" s="22"/>
    </row>
    <row r="29" spans="1:81" ht="21" customHeight="1" x14ac:dyDescent="0.55000000000000004">
      <c r="A29" s="5"/>
      <c r="G29" s="72"/>
      <c r="H29" s="73"/>
      <c r="I29" s="73"/>
      <c r="J29" s="74"/>
      <c r="K29" s="72"/>
      <c r="L29" s="73"/>
      <c r="M29" s="73"/>
      <c r="N29" s="74"/>
      <c r="S29" s="72"/>
      <c r="T29" s="73"/>
      <c r="U29" s="73"/>
      <c r="V29" s="73"/>
      <c r="W29" s="72"/>
      <c r="X29" s="73"/>
      <c r="Y29" s="73"/>
      <c r="Z29" s="74"/>
      <c r="CB29" s="5"/>
      <c r="CC29" s="22"/>
    </row>
    <row r="30" spans="1:81" ht="21" customHeight="1" thickBot="1" x14ac:dyDescent="0.6">
      <c r="A30" s="5"/>
      <c r="G30" s="69"/>
      <c r="H30" s="70"/>
      <c r="I30" s="70"/>
      <c r="J30" s="71"/>
      <c r="K30" s="69"/>
      <c r="L30" s="70"/>
      <c r="M30" s="70"/>
      <c r="N30" s="71"/>
      <c r="S30" s="69"/>
      <c r="T30" s="70"/>
      <c r="U30" s="70"/>
      <c r="V30" s="70"/>
      <c r="W30" s="69"/>
      <c r="X30" s="70"/>
      <c r="Y30" s="70"/>
      <c r="Z30" s="71"/>
      <c r="CB30" s="5"/>
      <c r="CC30" s="22"/>
    </row>
    <row r="31" spans="1:81" ht="21" customHeight="1" x14ac:dyDescent="0.55000000000000004">
      <c r="A31" s="5"/>
      <c r="C31" s="1" t="s">
        <v>22</v>
      </c>
      <c r="G31" s="4">
        <v>47</v>
      </c>
      <c r="H31" s="75" t="s">
        <v>290</v>
      </c>
      <c r="I31" s="75"/>
      <c r="J31" s="76"/>
      <c r="K31" s="4">
        <v>43</v>
      </c>
      <c r="L31" s="75" t="s">
        <v>291</v>
      </c>
      <c r="M31" s="75"/>
      <c r="N31" s="76"/>
      <c r="CB31" s="5"/>
      <c r="CC31" s="22"/>
    </row>
    <row r="32" spans="1:81" ht="21" customHeight="1" x14ac:dyDescent="0.55000000000000004">
      <c r="A32" s="5"/>
      <c r="G32" s="77"/>
      <c r="H32" s="78"/>
      <c r="I32" s="78"/>
      <c r="J32" s="79"/>
      <c r="K32" s="77"/>
      <c r="L32" s="78"/>
      <c r="M32" s="78"/>
      <c r="N32" s="79"/>
      <c r="CB32" s="5"/>
      <c r="CC32" s="22"/>
    </row>
    <row r="33" spans="1:81" ht="21" customHeight="1" x14ac:dyDescent="0.55000000000000004">
      <c r="A33" s="5"/>
      <c r="G33" s="72"/>
      <c r="H33" s="73"/>
      <c r="I33" s="73"/>
      <c r="J33" s="74"/>
      <c r="K33" s="72"/>
      <c r="L33" s="73"/>
      <c r="M33" s="73"/>
      <c r="N33" s="74"/>
      <c r="CB33" s="5"/>
      <c r="CC33" s="22"/>
    </row>
    <row r="34" spans="1:81" ht="21" customHeight="1" thickBot="1" x14ac:dyDescent="0.6">
      <c r="A34" s="5"/>
      <c r="G34" s="69"/>
      <c r="H34" s="70"/>
      <c r="I34" s="70"/>
      <c r="J34" s="71"/>
      <c r="K34" s="69"/>
      <c r="L34" s="70"/>
      <c r="M34" s="70"/>
      <c r="N34" s="71"/>
      <c r="CB34" s="5"/>
      <c r="CC34" s="22"/>
    </row>
    <row r="35" spans="1:81" ht="21" customHeight="1" x14ac:dyDescent="0.55000000000000004">
      <c r="A35" s="5"/>
      <c r="C35" s="1" t="s">
        <v>23</v>
      </c>
      <c r="AM35" s="50"/>
      <c r="AQ35" s="50"/>
      <c r="AU35" s="50"/>
      <c r="AY35" s="50"/>
      <c r="BC35" s="50"/>
      <c r="BG35" s="50"/>
      <c r="BK35" s="50"/>
      <c r="BO35" s="50"/>
      <c r="BS35" s="50"/>
      <c r="CB35" s="5"/>
      <c r="CC35" s="22"/>
    </row>
    <row r="36" spans="1:81" ht="21" customHeight="1" x14ac:dyDescent="0.55000000000000004">
      <c r="A36" s="5"/>
      <c r="AM36" s="161"/>
      <c r="AN36" s="161"/>
      <c r="AO36" s="161"/>
      <c r="AP36" s="161"/>
      <c r="AQ36" s="161"/>
      <c r="AR36" s="161"/>
      <c r="AS36" s="161"/>
      <c r="AT36" s="161"/>
      <c r="AU36" s="161"/>
      <c r="AV36" s="161"/>
      <c r="AW36" s="161"/>
      <c r="AX36" s="161"/>
      <c r="AY36" s="161"/>
      <c r="AZ36" s="161"/>
      <c r="BA36" s="161"/>
      <c r="BB36" s="161"/>
      <c r="BC36" s="161"/>
      <c r="BD36" s="161"/>
      <c r="BE36" s="161"/>
      <c r="BF36" s="161"/>
      <c r="BG36" s="161"/>
      <c r="BH36" s="161"/>
      <c r="BI36" s="161"/>
      <c r="BJ36" s="161"/>
      <c r="BK36" s="161"/>
      <c r="BL36" s="161"/>
      <c r="BM36" s="161"/>
      <c r="BN36" s="161"/>
      <c r="BO36" s="161"/>
      <c r="BP36" s="161"/>
      <c r="BQ36" s="161"/>
      <c r="BR36" s="161"/>
      <c r="BS36" s="161"/>
      <c r="BT36" s="161"/>
      <c r="BU36" s="161"/>
      <c r="BV36" s="161"/>
      <c r="CB36" s="5"/>
      <c r="CC36" s="22"/>
    </row>
    <row r="37" spans="1:81" ht="21" customHeight="1" x14ac:dyDescent="0.55000000000000004">
      <c r="A37" s="5"/>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CB37" s="5"/>
      <c r="CC37" s="22"/>
    </row>
    <row r="38" spans="1:81" ht="21" customHeight="1" x14ac:dyDescent="0.55000000000000004">
      <c r="A38" s="5"/>
      <c r="B38" t="s">
        <v>140</v>
      </c>
      <c r="G38" s="6"/>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CB38" s="5"/>
      <c r="CC38" s="22"/>
    </row>
    <row r="39" spans="1:81" ht="21" customHeight="1" x14ac:dyDescent="0.55000000000000004">
      <c r="A39" s="5"/>
      <c r="B39" t="s">
        <v>137</v>
      </c>
      <c r="CB39" s="5"/>
      <c r="CC39" s="22"/>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22"/>
    </row>
    <row r="41" spans="1:81" ht="21" customHeight="1" x14ac:dyDescent="0.55000000000000004">
      <c r="A41" s="22" t="s">
        <v>90</v>
      </c>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row>
  </sheetData>
  <mergeCells count="188">
    <mergeCell ref="G34:J34"/>
    <mergeCell ref="K34:N34"/>
    <mergeCell ref="H31:J31"/>
    <mergeCell ref="L31:N31"/>
    <mergeCell ref="G32:J32"/>
    <mergeCell ref="K32:N32"/>
    <mergeCell ref="G33:J33"/>
    <mergeCell ref="K33:N33"/>
    <mergeCell ref="G29:J29"/>
    <mergeCell ref="K29:N29"/>
    <mergeCell ref="S29:V29"/>
    <mergeCell ref="W29:Z29"/>
    <mergeCell ref="G30:J30"/>
    <mergeCell ref="K30:N30"/>
    <mergeCell ref="S30:V30"/>
    <mergeCell ref="W30:Z30"/>
    <mergeCell ref="H27:J27"/>
    <mergeCell ref="L27:N27"/>
    <mergeCell ref="T27:V27"/>
    <mergeCell ref="X27:Z27"/>
    <mergeCell ref="G28:J28"/>
    <mergeCell ref="K28:N28"/>
    <mergeCell ref="S28:V28"/>
    <mergeCell ref="W28:Z28"/>
    <mergeCell ref="AM26:AP26"/>
    <mergeCell ref="AQ26:AT26"/>
    <mergeCell ref="AU26:AX26"/>
    <mergeCell ref="AY26:BB26"/>
    <mergeCell ref="BC26:BF26"/>
    <mergeCell ref="BG26:BJ26"/>
    <mergeCell ref="AQ25:AT25"/>
    <mergeCell ref="AU25:AX25"/>
    <mergeCell ref="AY25:BB25"/>
    <mergeCell ref="BC25:BF25"/>
    <mergeCell ref="BG25:BJ25"/>
    <mergeCell ref="G26:J26"/>
    <mergeCell ref="K26:N26"/>
    <mergeCell ref="S26:V26"/>
    <mergeCell ref="W26:Z26"/>
    <mergeCell ref="AE26:AH26"/>
    <mergeCell ref="G25:J25"/>
    <mergeCell ref="K25:N25"/>
    <mergeCell ref="S25:V25"/>
    <mergeCell ref="W25:Z25"/>
    <mergeCell ref="AE25:AH25"/>
    <mergeCell ref="AM25:AP25"/>
    <mergeCell ref="AM24:AP24"/>
    <mergeCell ref="AQ24:AT24"/>
    <mergeCell ref="AU24:AX24"/>
    <mergeCell ref="AY24:BB24"/>
    <mergeCell ref="BC24:BF24"/>
    <mergeCell ref="BG24:BJ24"/>
    <mergeCell ref="AR23:AT23"/>
    <mergeCell ref="AV23:AX23"/>
    <mergeCell ref="AZ23:BB23"/>
    <mergeCell ref="BD23:BF23"/>
    <mergeCell ref="BH23:BJ23"/>
    <mergeCell ref="G24:J24"/>
    <mergeCell ref="K24:N24"/>
    <mergeCell ref="S24:V24"/>
    <mergeCell ref="W24:Z24"/>
    <mergeCell ref="AE24:AH24"/>
    <mergeCell ref="H23:J23"/>
    <mergeCell ref="L23:N23"/>
    <mergeCell ref="T23:V23"/>
    <mergeCell ref="X23:Z23"/>
    <mergeCell ref="AF23:AH23"/>
    <mergeCell ref="AN23:AP23"/>
    <mergeCell ref="AQ22:AT22"/>
    <mergeCell ref="AU22:AX22"/>
    <mergeCell ref="AY22:BB22"/>
    <mergeCell ref="BC22:BF22"/>
    <mergeCell ref="BG22:BJ22"/>
    <mergeCell ref="BK22:BN22"/>
    <mergeCell ref="BK21:BN21"/>
    <mergeCell ref="G22:J22"/>
    <mergeCell ref="K22:N22"/>
    <mergeCell ref="O22:R22"/>
    <mergeCell ref="S22:V22"/>
    <mergeCell ref="W22:Z22"/>
    <mergeCell ref="AA22:AD22"/>
    <mergeCell ref="AE22:AH22"/>
    <mergeCell ref="AI22:AL22"/>
    <mergeCell ref="AM22:AP22"/>
    <mergeCell ref="AM21:AP21"/>
    <mergeCell ref="AQ21:AT21"/>
    <mergeCell ref="AU21:AX21"/>
    <mergeCell ref="AY21:BB21"/>
    <mergeCell ref="BC21:BF21"/>
    <mergeCell ref="BG21:BJ21"/>
    <mergeCell ref="BG20:BJ20"/>
    <mergeCell ref="BK20:BN20"/>
    <mergeCell ref="G21:J21"/>
    <mergeCell ref="K21:N21"/>
    <mergeCell ref="O21:R21"/>
    <mergeCell ref="S21:V21"/>
    <mergeCell ref="W21:Z21"/>
    <mergeCell ref="AA21:AD21"/>
    <mergeCell ref="AE21:AH21"/>
    <mergeCell ref="AI21:AL21"/>
    <mergeCell ref="AI20:AL20"/>
    <mergeCell ref="AM20:AP20"/>
    <mergeCell ref="AQ20:AT20"/>
    <mergeCell ref="AU20:AX20"/>
    <mergeCell ref="AY20:BB20"/>
    <mergeCell ref="BC20:BF20"/>
    <mergeCell ref="BD19:BF19"/>
    <mergeCell ref="BH19:BJ19"/>
    <mergeCell ref="BL19:BN19"/>
    <mergeCell ref="G20:J20"/>
    <mergeCell ref="K20:N20"/>
    <mergeCell ref="O20:R20"/>
    <mergeCell ref="S20:V20"/>
    <mergeCell ref="W20:Z20"/>
    <mergeCell ref="AA20:AD20"/>
    <mergeCell ref="AE20:AH20"/>
    <mergeCell ref="AF19:AH19"/>
    <mergeCell ref="AJ19:AL19"/>
    <mergeCell ref="AN19:AP19"/>
    <mergeCell ref="AR19:AT19"/>
    <mergeCell ref="AV19:AX19"/>
    <mergeCell ref="AZ19:BB19"/>
    <mergeCell ref="BC18:BF18"/>
    <mergeCell ref="BG18:BJ18"/>
    <mergeCell ref="BK18:BN18"/>
    <mergeCell ref="BO18:BR18"/>
    <mergeCell ref="H19:J19"/>
    <mergeCell ref="L19:N19"/>
    <mergeCell ref="P19:R19"/>
    <mergeCell ref="T19:V19"/>
    <mergeCell ref="X19:Z19"/>
    <mergeCell ref="AB19:AD19"/>
    <mergeCell ref="BC17:BF17"/>
    <mergeCell ref="BG17:BJ17"/>
    <mergeCell ref="BK17:BN17"/>
    <mergeCell ref="BO17:BR17"/>
    <mergeCell ref="S18:V18"/>
    <mergeCell ref="W18:Z18"/>
    <mergeCell ref="AE18:AH18"/>
    <mergeCell ref="AI18:AL18"/>
    <mergeCell ref="AM18:AP18"/>
    <mergeCell ref="AQ18:AT18"/>
    <mergeCell ref="BC16:BF16"/>
    <mergeCell ref="BG16:BJ16"/>
    <mergeCell ref="BK16:BN16"/>
    <mergeCell ref="BO16:BR16"/>
    <mergeCell ref="S17:V17"/>
    <mergeCell ref="W17:Z17"/>
    <mergeCell ref="AE17:AH17"/>
    <mergeCell ref="AI17:AL17"/>
    <mergeCell ref="AM17:AP17"/>
    <mergeCell ref="AQ17:AT17"/>
    <mergeCell ref="BD15:BF15"/>
    <mergeCell ref="BH15:BJ15"/>
    <mergeCell ref="BL15:BN15"/>
    <mergeCell ref="BP15:BR15"/>
    <mergeCell ref="S16:V16"/>
    <mergeCell ref="W16:Z16"/>
    <mergeCell ref="AE16:AH16"/>
    <mergeCell ref="AI16:AL16"/>
    <mergeCell ref="AM16:AP16"/>
    <mergeCell ref="AQ16:AT16"/>
    <mergeCell ref="BC14:BF14"/>
    <mergeCell ref="BG14:BJ14"/>
    <mergeCell ref="BK14:BN14"/>
    <mergeCell ref="BO14:BR14"/>
    <mergeCell ref="T15:V15"/>
    <mergeCell ref="X15:Z15"/>
    <mergeCell ref="AF15:AH15"/>
    <mergeCell ref="AJ15:AL15"/>
    <mergeCell ref="AN15:AP15"/>
    <mergeCell ref="AR15:AT15"/>
    <mergeCell ref="BC12:BF12"/>
    <mergeCell ref="BG12:BJ12"/>
    <mergeCell ref="BK12:BN12"/>
    <mergeCell ref="BO12:BR12"/>
    <mergeCell ref="BC13:BF13"/>
    <mergeCell ref="BG13:BJ13"/>
    <mergeCell ref="BK13:BN13"/>
    <mergeCell ref="BO13:BR13"/>
    <mergeCell ref="BP7:BR7"/>
    <mergeCell ref="BO8:BR8"/>
    <mergeCell ref="BO9:BR9"/>
    <mergeCell ref="BO10:BR10"/>
    <mergeCell ref="BD11:BF11"/>
    <mergeCell ref="BH11:BJ11"/>
    <mergeCell ref="BL11:BN11"/>
    <mergeCell ref="BP11:BR11"/>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71FE5-AFFE-4DC4-A571-0ACCA083F99F}">
  <sheetPr codeName="Sheet4">
    <tabColor rgb="FF86DFCB"/>
  </sheetPr>
  <dimension ref="A1:AX48"/>
  <sheetViews>
    <sheetView workbookViewId="0">
      <pane ySplit="1" topLeftCell="A2" activePane="bottomLeft" state="frozen"/>
      <selection pane="bottomLeft" activeCell="A2" sqref="A2"/>
    </sheetView>
  </sheetViews>
  <sheetFormatPr defaultRowHeight="18" x14ac:dyDescent="0.55000000000000004"/>
  <cols>
    <col min="1" max="1" width="14.6640625" customWidth="1"/>
    <col min="2" max="2" width="21.25" bestFit="1" customWidth="1"/>
    <col min="3" max="3" width="10.4140625" bestFit="1" customWidth="1"/>
    <col min="4" max="4" width="16.25" bestFit="1" customWidth="1"/>
    <col min="5" max="5" width="23.08203125" bestFit="1" customWidth="1"/>
    <col min="7" max="7" width="19.08203125" bestFit="1" customWidth="1"/>
    <col min="8" max="8" width="15.83203125" bestFit="1" customWidth="1"/>
    <col min="9" max="9" width="31.08203125" bestFit="1" customWidth="1"/>
    <col min="10" max="11" width="19.08203125" bestFit="1" customWidth="1"/>
    <col min="12" max="12" width="15.83203125" bestFit="1" customWidth="1"/>
    <col min="13" max="13" width="15" bestFit="1" customWidth="1"/>
    <col min="14" max="14" width="11.83203125" bestFit="1" customWidth="1"/>
    <col min="15" max="15" width="13.4140625" bestFit="1" customWidth="1"/>
    <col min="16" max="33" width="11.83203125" bestFit="1" customWidth="1"/>
    <col min="34" max="34" width="7.1640625" bestFit="1" customWidth="1"/>
    <col min="35" max="36" width="10.1640625" bestFit="1" customWidth="1"/>
    <col min="37" max="37" width="11.83203125" bestFit="1" customWidth="1"/>
    <col min="38" max="38" width="13.4140625" bestFit="1" customWidth="1"/>
    <col min="39" max="39" width="16.6640625" bestFit="1" customWidth="1"/>
    <col min="40" max="40" width="34.33203125" bestFit="1" customWidth="1"/>
    <col min="41" max="41" width="13.4140625" bestFit="1" customWidth="1"/>
    <col min="42" max="43" width="18.25" bestFit="1" customWidth="1"/>
    <col min="44" max="46" width="24.6640625" bestFit="1" customWidth="1"/>
    <col min="47" max="47" width="16.6640625" bestFit="1" customWidth="1"/>
    <col min="48" max="48" width="24.6640625" bestFit="1" customWidth="1"/>
    <col min="49" max="49" width="44" bestFit="1" customWidth="1"/>
    <col min="50" max="50" width="20.6640625" bestFit="1" customWidth="1"/>
  </cols>
  <sheetData>
    <row r="1" spans="1:50" x14ac:dyDescent="0.55000000000000004">
      <c r="A1" s="41" t="s">
        <v>139</v>
      </c>
      <c r="B1" s="65" t="s">
        <v>214</v>
      </c>
      <c r="C1" s="42" t="s">
        <v>24</v>
      </c>
      <c r="D1" s="42" t="s">
        <v>25</v>
      </c>
      <c r="E1" s="64" t="s">
        <v>213</v>
      </c>
      <c r="F1" s="58" t="s">
        <v>26</v>
      </c>
      <c r="G1" s="58" t="s">
        <v>212</v>
      </c>
      <c r="H1" s="58" t="s">
        <v>211</v>
      </c>
      <c r="I1" s="58" t="s">
        <v>210</v>
      </c>
      <c r="J1" s="63" t="s">
        <v>209</v>
      </c>
      <c r="K1" s="62" t="s">
        <v>208</v>
      </c>
      <c r="L1" s="61" t="s">
        <v>207</v>
      </c>
      <c r="M1" s="60" t="s">
        <v>206</v>
      </c>
      <c r="N1" s="59" t="s">
        <v>205</v>
      </c>
      <c r="O1" s="59" t="s">
        <v>204</v>
      </c>
      <c r="P1" s="58" t="s">
        <v>203</v>
      </c>
      <c r="Q1" s="58" t="s">
        <v>202</v>
      </c>
      <c r="R1" s="58" t="s">
        <v>201</v>
      </c>
      <c r="S1" s="59" t="s">
        <v>200</v>
      </c>
      <c r="T1" s="59" t="s">
        <v>199</v>
      </c>
      <c r="U1" s="59" t="s">
        <v>198</v>
      </c>
      <c r="V1" s="58" t="s">
        <v>203</v>
      </c>
      <c r="W1" s="58" t="s">
        <v>202</v>
      </c>
      <c r="X1" s="58" t="s">
        <v>201</v>
      </c>
      <c r="Y1" s="59" t="s">
        <v>200</v>
      </c>
      <c r="Z1" s="59" t="s">
        <v>199</v>
      </c>
      <c r="AA1" s="59" t="s">
        <v>198</v>
      </c>
      <c r="AB1" s="58" t="s">
        <v>203</v>
      </c>
      <c r="AC1" s="58" t="s">
        <v>202</v>
      </c>
      <c r="AD1" s="58" t="s">
        <v>201</v>
      </c>
      <c r="AE1" s="59" t="s">
        <v>200</v>
      </c>
      <c r="AF1" s="59" t="s">
        <v>199</v>
      </c>
      <c r="AG1" s="59" t="s">
        <v>198</v>
      </c>
      <c r="AH1" s="59" t="s">
        <v>197</v>
      </c>
      <c r="AI1" s="58" t="s">
        <v>196</v>
      </c>
      <c r="AJ1" s="58" t="s">
        <v>195</v>
      </c>
      <c r="AK1" s="58" t="s">
        <v>194</v>
      </c>
      <c r="AL1" s="58" t="s">
        <v>191</v>
      </c>
      <c r="AM1" s="58" t="s">
        <v>193</v>
      </c>
      <c r="AN1" s="58" t="s">
        <v>192</v>
      </c>
      <c r="AO1" s="58" t="s">
        <v>191</v>
      </c>
      <c r="AP1" s="58" t="s">
        <v>190</v>
      </c>
      <c r="AQ1" s="58" t="s">
        <v>189</v>
      </c>
      <c r="AR1" s="58" t="s">
        <v>188</v>
      </c>
      <c r="AS1" s="58" t="s">
        <v>187</v>
      </c>
      <c r="AT1" s="58" t="s">
        <v>186</v>
      </c>
      <c r="AU1" s="58" t="s">
        <v>185</v>
      </c>
      <c r="AV1" s="58" t="s">
        <v>184</v>
      </c>
      <c r="AW1" s="58" t="s">
        <v>183</v>
      </c>
      <c r="AX1" s="58" t="s">
        <v>182</v>
      </c>
    </row>
    <row r="2" spans="1:50" x14ac:dyDescent="0.55000000000000004">
      <c r="A2" s="43">
        <v>1</v>
      </c>
      <c r="B2" s="57" t="s">
        <v>292</v>
      </c>
      <c r="C2" t="s">
        <v>293</v>
      </c>
      <c r="D2" s="2" t="s">
        <v>294</v>
      </c>
      <c r="E2" s="164" t="s">
        <v>295</v>
      </c>
      <c r="F2" s="165">
        <v>5224614</v>
      </c>
      <c r="G2" s="51">
        <v>2465088</v>
      </c>
      <c r="H2" s="51">
        <v>2759526</v>
      </c>
      <c r="I2" s="51">
        <v>5381733</v>
      </c>
      <c r="J2" s="56">
        <v>-157119</v>
      </c>
      <c r="K2" s="55">
        <v>-2.9194900000000001</v>
      </c>
      <c r="L2" s="54">
        <v>83424.44</v>
      </c>
      <c r="M2" s="53">
        <v>66.599999999999994</v>
      </c>
      <c r="N2" s="52">
        <v>49.782380000000003</v>
      </c>
      <c r="O2" s="52">
        <v>51.342840000000002</v>
      </c>
      <c r="P2" s="51">
        <v>556526</v>
      </c>
      <c r="Q2" s="51">
        <v>2988800</v>
      </c>
      <c r="R2" s="51">
        <v>1679288</v>
      </c>
      <c r="S2" s="52">
        <v>10.651999999999999</v>
      </c>
      <c r="T2" s="52">
        <v>57.206139999999998</v>
      </c>
      <c r="U2" s="52">
        <v>32.141860000000001</v>
      </c>
      <c r="V2" s="51">
        <v>284897</v>
      </c>
      <c r="W2" s="51">
        <v>1477750</v>
      </c>
      <c r="X2" s="51">
        <v>702441</v>
      </c>
      <c r="Y2" s="52">
        <v>11.55728</v>
      </c>
      <c r="Z2" s="52">
        <v>59.947150000000001</v>
      </c>
      <c r="AA2" s="52">
        <v>28.49558</v>
      </c>
      <c r="AB2" s="51">
        <v>271629</v>
      </c>
      <c r="AC2" s="51">
        <v>1511050</v>
      </c>
      <c r="AD2" s="51">
        <v>976847</v>
      </c>
      <c r="AE2" s="52">
        <v>9.8433200000000003</v>
      </c>
      <c r="AF2" s="52">
        <v>54.75759</v>
      </c>
      <c r="AG2" s="52">
        <v>35.399090000000001</v>
      </c>
      <c r="AH2" s="52">
        <v>89.330119999999994</v>
      </c>
      <c r="AI2" s="51">
        <v>5188441</v>
      </c>
      <c r="AJ2" s="51">
        <v>36173</v>
      </c>
      <c r="AK2" s="51">
        <v>2476846</v>
      </c>
      <c r="AL2" s="51">
        <v>2469063</v>
      </c>
      <c r="AM2" s="51">
        <v>7783</v>
      </c>
      <c r="AN2" s="51">
        <v>2444810</v>
      </c>
      <c r="AO2" s="51">
        <v>2469063</v>
      </c>
      <c r="AP2" s="51">
        <v>1324406</v>
      </c>
      <c r="AQ2" s="51">
        <v>584819</v>
      </c>
      <c r="AR2" s="51">
        <v>511571</v>
      </c>
      <c r="AS2" s="51">
        <v>29921</v>
      </c>
      <c r="AT2" s="51">
        <v>198095</v>
      </c>
      <c r="AU2" s="51">
        <v>999825</v>
      </c>
      <c r="AV2" s="51">
        <v>361735</v>
      </c>
      <c r="AW2" s="51">
        <v>345741</v>
      </c>
      <c r="AX2" s="51">
        <v>59601</v>
      </c>
    </row>
    <row r="3" spans="1:50" x14ac:dyDescent="0.55000000000000004">
      <c r="A3" s="43">
        <v>2</v>
      </c>
      <c r="B3" s="57" t="s">
        <v>296</v>
      </c>
      <c r="C3" t="s">
        <v>297</v>
      </c>
      <c r="D3" s="2" t="s">
        <v>298</v>
      </c>
      <c r="E3" s="164" t="s">
        <v>299</v>
      </c>
      <c r="F3" s="165">
        <v>1237984</v>
      </c>
      <c r="G3" s="51">
        <v>583402</v>
      </c>
      <c r="H3" s="51">
        <v>654582</v>
      </c>
      <c r="I3" s="51">
        <v>1308265</v>
      </c>
      <c r="J3" s="56">
        <v>-70281</v>
      </c>
      <c r="K3" s="55">
        <v>-5.3720800000000004</v>
      </c>
      <c r="L3" s="54">
        <v>9645.64</v>
      </c>
      <c r="M3" s="53">
        <v>128.30000000000001</v>
      </c>
      <c r="N3" s="52">
        <v>50.82694</v>
      </c>
      <c r="O3" s="52">
        <v>53.353180000000002</v>
      </c>
      <c r="P3" s="51">
        <v>130259</v>
      </c>
      <c r="Q3" s="51">
        <v>689910</v>
      </c>
      <c r="R3" s="51">
        <v>417815</v>
      </c>
      <c r="S3" s="52">
        <v>10.52186</v>
      </c>
      <c r="T3" s="52">
        <v>55.72851</v>
      </c>
      <c r="U3" s="52">
        <v>33.749630000000003</v>
      </c>
      <c r="V3" s="51">
        <v>66483</v>
      </c>
      <c r="W3" s="51">
        <v>345000</v>
      </c>
      <c r="X3" s="51">
        <v>171919</v>
      </c>
      <c r="Y3" s="52">
        <v>11.39574</v>
      </c>
      <c r="Z3" s="52">
        <v>59.135899999999999</v>
      </c>
      <c r="AA3" s="52">
        <v>29.468360000000001</v>
      </c>
      <c r="AB3" s="51">
        <v>63776</v>
      </c>
      <c r="AC3" s="51">
        <v>344910</v>
      </c>
      <c r="AD3" s="51">
        <v>245896</v>
      </c>
      <c r="AE3" s="52">
        <v>9.7430099999999999</v>
      </c>
      <c r="AF3" s="52">
        <v>52.69164</v>
      </c>
      <c r="AG3" s="52">
        <v>37.565350000000002</v>
      </c>
      <c r="AH3" s="52">
        <v>89.125879999999995</v>
      </c>
      <c r="AI3" s="51">
        <v>1232227</v>
      </c>
      <c r="AJ3" s="51">
        <v>5757</v>
      </c>
      <c r="AK3" s="51">
        <v>511526</v>
      </c>
      <c r="AL3" s="51">
        <v>509649</v>
      </c>
      <c r="AM3" s="51">
        <v>1877</v>
      </c>
      <c r="AN3" s="51">
        <v>510945</v>
      </c>
      <c r="AO3" s="51">
        <v>509649</v>
      </c>
      <c r="AP3" s="51">
        <v>268760</v>
      </c>
      <c r="AQ3" s="51">
        <v>100962</v>
      </c>
      <c r="AR3" s="51">
        <v>109399</v>
      </c>
      <c r="AS3" s="51">
        <v>7734</v>
      </c>
      <c r="AT3" s="51">
        <v>50665</v>
      </c>
      <c r="AU3" s="51">
        <v>168917</v>
      </c>
      <c r="AV3" s="51">
        <v>71752</v>
      </c>
      <c r="AW3" s="51">
        <v>60995</v>
      </c>
      <c r="AX3" s="51">
        <v>42895</v>
      </c>
    </row>
    <row r="4" spans="1:50" x14ac:dyDescent="0.55000000000000004">
      <c r="A4" s="43">
        <v>3</v>
      </c>
      <c r="B4" s="57" t="s">
        <v>300</v>
      </c>
      <c r="C4" s="2" t="s">
        <v>301</v>
      </c>
      <c r="D4" s="2" t="s">
        <v>302</v>
      </c>
      <c r="E4" s="164" t="s">
        <v>303</v>
      </c>
      <c r="F4" s="165">
        <v>1210534</v>
      </c>
      <c r="G4" s="51">
        <v>582952</v>
      </c>
      <c r="H4" s="51">
        <v>627582</v>
      </c>
      <c r="I4" s="51">
        <v>1279594</v>
      </c>
      <c r="J4" s="56">
        <v>-69060</v>
      </c>
      <c r="K4" s="55">
        <v>-5.3970200000000004</v>
      </c>
      <c r="L4" s="54">
        <v>15275.01</v>
      </c>
      <c r="M4" s="53">
        <v>79.2</v>
      </c>
      <c r="N4" s="52">
        <v>50.58634</v>
      </c>
      <c r="O4" s="52">
        <v>52.862119999999997</v>
      </c>
      <c r="P4" s="51">
        <v>132735</v>
      </c>
      <c r="Q4" s="51">
        <v>670784</v>
      </c>
      <c r="R4" s="51">
        <v>407015</v>
      </c>
      <c r="S4" s="52">
        <v>10.965</v>
      </c>
      <c r="T4" s="52">
        <v>55.412239999999997</v>
      </c>
      <c r="U4" s="52">
        <v>33.62276</v>
      </c>
      <c r="V4" s="51">
        <v>67919</v>
      </c>
      <c r="W4" s="51">
        <v>342813</v>
      </c>
      <c r="X4" s="51">
        <v>172220</v>
      </c>
      <c r="Y4" s="52">
        <v>11.650869999999999</v>
      </c>
      <c r="Z4" s="52">
        <v>58.80639</v>
      </c>
      <c r="AA4" s="52">
        <v>29.542739999999998</v>
      </c>
      <c r="AB4" s="51">
        <v>64816</v>
      </c>
      <c r="AC4" s="51">
        <v>327971</v>
      </c>
      <c r="AD4" s="51">
        <v>234795</v>
      </c>
      <c r="AE4" s="52">
        <v>10.32789</v>
      </c>
      <c r="AF4" s="52">
        <v>52.25947</v>
      </c>
      <c r="AG4" s="52">
        <v>37.412640000000003</v>
      </c>
      <c r="AH4" s="52">
        <v>92.888580000000005</v>
      </c>
      <c r="AI4" s="51">
        <v>1203203</v>
      </c>
      <c r="AJ4" s="51">
        <v>7331</v>
      </c>
      <c r="AK4" s="51">
        <v>492436</v>
      </c>
      <c r="AL4" s="51">
        <v>490828</v>
      </c>
      <c r="AM4" s="51">
        <v>1608</v>
      </c>
      <c r="AN4" s="51">
        <v>493049</v>
      </c>
      <c r="AO4" s="51">
        <v>490828</v>
      </c>
      <c r="AP4" s="51">
        <v>252005</v>
      </c>
      <c r="AQ4" s="51">
        <v>94910</v>
      </c>
      <c r="AR4" s="51">
        <v>105474</v>
      </c>
      <c r="AS4" s="51">
        <v>7549</v>
      </c>
      <c r="AT4" s="51">
        <v>44072</v>
      </c>
      <c r="AU4" s="51">
        <v>163290</v>
      </c>
      <c r="AV4" s="51">
        <v>62424</v>
      </c>
      <c r="AW4" s="51">
        <v>57656</v>
      </c>
      <c r="AX4" s="51">
        <v>46934</v>
      </c>
    </row>
    <row r="5" spans="1:50" x14ac:dyDescent="0.55000000000000004">
      <c r="A5" s="43">
        <v>5</v>
      </c>
      <c r="B5" s="57" t="s">
        <v>304</v>
      </c>
      <c r="C5" s="2" t="s">
        <v>305</v>
      </c>
      <c r="D5" s="2" t="s">
        <v>306</v>
      </c>
      <c r="E5" s="164" t="s">
        <v>307</v>
      </c>
      <c r="F5" s="165">
        <v>2301996</v>
      </c>
      <c r="G5" s="51">
        <v>1122598</v>
      </c>
      <c r="H5" s="51">
        <v>1179398</v>
      </c>
      <c r="I5" s="51">
        <v>2333899</v>
      </c>
      <c r="J5" s="56">
        <v>-31903</v>
      </c>
      <c r="K5" s="55">
        <v>-1.36694</v>
      </c>
      <c r="L5" s="54">
        <v>7282.29</v>
      </c>
      <c r="M5" s="53">
        <v>316.10000000000002</v>
      </c>
      <c r="N5" s="52">
        <v>47.426729999999999</v>
      </c>
      <c r="O5" s="52">
        <v>48.133670000000002</v>
      </c>
      <c r="P5" s="51">
        <v>268931</v>
      </c>
      <c r="Q5" s="51">
        <v>1385425</v>
      </c>
      <c r="R5" s="51">
        <v>647640</v>
      </c>
      <c r="S5" s="52">
        <v>11.682510000000001</v>
      </c>
      <c r="T5" s="52">
        <v>60.183639999999997</v>
      </c>
      <c r="U5" s="52">
        <v>28.133849999999999</v>
      </c>
      <c r="V5" s="51">
        <v>137916</v>
      </c>
      <c r="W5" s="51">
        <v>701792</v>
      </c>
      <c r="X5" s="51">
        <v>282890</v>
      </c>
      <c r="Y5" s="52">
        <v>12.28543</v>
      </c>
      <c r="Z5" s="52">
        <v>62.514989999999997</v>
      </c>
      <c r="AA5" s="52">
        <v>25.199580000000001</v>
      </c>
      <c r="AB5" s="51">
        <v>131015</v>
      </c>
      <c r="AC5" s="51">
        <v>683633</v>
      </c>
      <c r="AD5" s="51">
        <v>364750</v>
      </c>
      <c r="AE5" s="52">
        <v>11.10863</v>
      </c>
      <c r="AF5" s="52">
        <v>57.964570000000002</v>
      </c>
      <c r="AG5" s="52">
        <v>30.92679</v>
      </c>
      <c r="AH5" s="52">
        <v>95.183980000000005</v>
      </c>
      <c r="AI5" s="51">
        <v>2280203</v>
      </c>
      <c r="AJ5" s="51">
        <v>21793</v>
      </c>
      <c r="AK5" s="51">
        <v>982523</v>
      </c>
      <c r="AL5" s="51">
        <v>980549</v>
      </c>
      <c r="AM5" s="51">
        <v>1974</v>
      </c>
      <c r="AN5" s="51">
        <v>944720</v>
      </c>
      <c r="AO5" s="51">
        <v>980549</v>
      </c>
      <c r="AP5" s="51">
        <v>507063</v>
      </c>
      <c r="AQ5" s="51">
        <v>181038</v>
      </c>
      <c r="AR5" s="51">
        <v>234787</v>
      </c>
      <c r="AS5" s="51">
        <v>13068</v>
      </c>
      <c r="AT5" s="51">
        <v>78170</v>
      </c>
      <c r="AU5" s="51">
        <v>362255</v>
      </c>
      <c r="AV5" s="51">
        <v>97239</v>
      </c>
      <c r="AW5" s="51">
        <v>102638</v>
      </c>
      <c r="AX5" s="51">
        <v>67505</v>
      </c>
    </row>
    <row r="6" spans="1:50" x14ac:dyDescent="0.55000000000000004">
      <c r="A6" s="43">
        <v>4</v>
      </c>
      <c r="B6" s="57" t="s">
        <v>308</v>
      </c>
      <c r="C6" s="2" t="s">
        <v>309</v>
      </c>
      <c r="D6" s="2" t="s">
        <v>310</v>
      </c>
      <c r="E6" s="164" t="s">
        <v>311</v>
      </c>
      <c r="F6" s="165">
        <v>959502</v>
      </c>
      <c r="G6" s="51">
        <v>452439</v>
      </c>
      <c r="H6" s="51">
        <v>507063</v>
      </c>
      <c r="I6" s="51">
        <v>1023119</v>
      </c>
      <c r="J6" s="56">
        <v>-63617</v>
      </c>
      <c r="K6" s="55">
        <v>-6.2179500000000001</v>
      </c>
      <c r="L6" s="54">
        <v>11637.52</v>
      </c>
      <c r="M6" s="53">
        <v>82.4</v>
      </c>
      <c r="N6" s="52">
        <v>52.899279999999997</v>
      </c>
      <c r="O6" s="52">
        <v>56.449660000000002</v>
      </c>
      <c r="P6" s="51">
        <v>92855</v>
      </c>
      <c r="Q6" s="51">
        <v>506960</v>
      </c>
      <c r="R6" s="51">
        <v>359687</v>
      </c>
      <c r="S6" s="52">
        <v>9.6774199999999997</v>
      </c>
      <c r="T6" s="52">
        <v>52.835740000000001</v>
      </c>
      <c r="U6" s="52">
        <v>37.486840000000001</v>
      </c>
      <c r="V6" s="51">
        <v>47526</v>
      </c>
      <c r="W6" s="51">
        <v>255856</v>
      </c>
      <c r="X6" s="51">
        <v>149057</v>
      </c>
      <c r="Y6" s="52">
        <v>10.5044</v>
      </c>
      <c r="Z6" s="52">
        <v>56.55039</v>
      </c>
      <c r="AA6" s="52">
        <v>32.945210000000003</v>
      </c>
      <c r="AB6" s="51">
        <v>45329</v>
      </c>
      <c r="AC6" s="51">
        <v>251104</v>
      </c>
      <c r="AD6" s="51">
        <v>210630</v>
      </c>
      <c r="AE6" s="52">
        <v>8.9395199999999999</v>
      </c>
      <c r="AF6" s="52">
        <v>49.521259999999998</v>
      </c>
      <c r="AG6" s="52">
        <v>41.53922</v>
      </c>
      <c r="AH6" s="52">
        <v>89.227369999999993</v>
      </c>
      <c r="AI6" s="51">
        <v>955659</v>
      </c>
      <c r="AJ6" s="51">
        <v>3843</v>
      </c>
      <c r="AK6" s="51">
        <v>385187</v>
      </c>
      <c r="AL6" s="51">
        <v>383531</v>
      </c>
      <c r="AM6" s="51">
        <v>1656</v>
      </c>
      <c r="AN6" s="51">
        <v>388560</v>
      </c>
      <c r="AO6" s="51">
        <v>383531</v>
      </c>
      <c r="AP6" s="51">
        <v>203177</v>
      </c>
      <c r="AQ6" s="51">
        <v>81772</v>
      </c>
      <c r="AR6" s="51">
        <v>81097</v>
      </c>
      <c r="AS6" s="51">
        <v>5755</v>
      </c>
      <c r="AT6" s="51">
        <v>34553</v>
      </c>
      <c r="AU6" s="51">
        <v>117169</v>
      </c>
      <c r="AV6" s="51">
        <v>55437</v>
      </c>
      <c r="AW6" s="51">
        <v>52719</v>
      </c>
      <c r="AX6" s="51">
        <v>39453</v>
      </c>
    </row>
    <row r="7" spans="1:50" x14ac:dyDescent="0.55000000000000004">
      <c r="A7" s="43">
        <v>7</v>
      </c>
      <c r="B7" s="57" t="s">
        <v>312</v>
      </c>
      <c r="C7" s="2" t="s">
        <v>313</v>
      </c>
      <c r="D7" s="2" t="s">
        <v>314</v>
      </c>
      <c r="E7" s="164" t="s">
        <v>315</v>
      </c>
      <c r="F7" s="165">
        <v>1068027</v>
      </c>
      <c r="G7" s="51">
        <v>516438</v>
      </c>
      <c r="H7" s="51">
        <v>551589</v>
      </c>
      <c r="I7" s="51">
        <v>1123891</v>
      </c>
      <c r="J7" s="56">
        <v>-55864</v>
      </c>
      <c r="K7" s="55">
        <v>-4.9705899999999996</v>
      </c>
      <c r="L7" s="54">
        <v>9323.15</v>
      </c>
      <c r="M7" s="53">
        <v>114.6</v>
      </c>
      <c r="N7" s="52">
        <v>50.484909999999999</v>
      </c>
      <c r="O7" s="52">
        <v>52.824240000000003</v>
      </c>
      <c r="P7" s="51">
        <v>120271</v>
      </c>
      <c r="Q7" s="51">
        <v>586578</v>
      </c>
      <c r="R7" s="51">
        <v>361178</v>
      </c>
      <c r="S7" s="52">
        <v>11.261039999999999</v>
      </c>
      <c r="T7" s="52">
        <v>54.92165</v>
      </c>
      <c r="U7" s="52">
        <v>33.817309999999999</v>
      </c>
      <c r="V7" s="51">
        <v>61700</v>
      </c>
      <c r="W7" s="51">
        <v>298506</v>
      </c>
      <c r="X7" s="51">
        <v>156232</v>
      </c>
      <c r="Y7" s="52">
        <v>11.94722</v>
      </c>
      <c r="Z7" s="52">
        <v>57.800939999999997</v>
      </c>
      <c r="AA7" s="52">
        <v>30.251840000000001</v>
      </c>
      <c r="AB7" s="51">
        <v>58571</v>
      </c>
      <c r="AC7" s="51">
        <v>288072</v>
      </c>
      <c r="AD7" s="51">
        <v>204946</v>
      </c>
      <c r="AE7" s="52">
        <v>10.618589999999999</v>
      </c>
      <c r="AF7" s="52">
        <v>52.225839999999998</v>
      </c>
      <c r="AG7" s="52">
        <v>37.155560000000001</v>
      </c>
      <c r="AH7" s="52">
        <v>93.627319999999997</v>
      </c>
      <c r="AI7" s="51">
        <v>1060586</v>
      </c>
      <c r="AJ7" s="51">
        <v>7441</v>
      </c>
      <c r="AK7" s="51">
        <v>398015</v>
      </c>
      <c r="AL7" s="51">
        <v>396792</v>
      </c>
      <c r="AM7" s="51">
        <v>1223</v>
      </c>
      <c r="AN7" s="51">
        <v>393396</v>
      </c>
      <c r="AO7" s="51">
        <v>396792</v>
      </c>
      <c r="AP7" s="51">
        <v>202342</v>
      </c>
      <c r="AQ7" s="51">
        <v>75330</v>
      </c>
      <c r="AR7" s="51">
        <v>89321</v>
      </c>
      <c r="AS7" s="51">
        <v>5814</v>
      </c>
      <c r="AT7" s="51">
        <v>31877</v>
      </c>
      <c r="AU7" s="51">
        <v>112791</v>
      </c>
      <c r="AV7" s="51">
        <v>43451</v>
      </c>
      <c r="AW7" s="51">
        <v>47618</v>
      </c>
      <c r="AX7" s="51">
        <v>55238</v>
      </c>
    </row>
    <row r="8" spans="1:50" x14ac:dyDescent="0.55000000000000004">
      <c r="A8" s="43">
        <v>8</v>
      </c>
      <c r="B8" s="57" t="s">
        <v>316</v>
      </c>
      <c r="C8" s="2" t="s">
        <v>317</v>
      </c>
      <c r="D8" s="2" t="s">
        <v>318</v>
      </c>
      <c r="E8" s="164" t="s">
        <v>319</v>
      </c>
      <c r="F8" s="165">
        <v>1833152</v>
      </c>
      <c r="G8" s="51">
        <v>903864</v>
      </c>
      <c r="H8" s="51">
        <v>929288</v>
      </c>
      <c r="I8" s="51">
        <v>1914039</v>
      </c>
      <c r="J8" s="56">
        <v>-80887</v>
      </c>
      <c r="K8" s="55">
        <v>-4.2259799999999998</v>
      </c>
      <c r="L8" s="54">
        <v>13784.14</v>
      </c>
      <c r="M8" s="53">
        <v>133</v>
      </c>
      <c r="N8" s="52">
        <v>49.522860000000001</v>
      </c>
      <c r="O8" s="52">
        <v>51.532330000000002</v>
      </c>
      <c r="P8" s="51">
        <v>206993</v>
      </c>
      <c r="Q8" s="51">
        <v>1045887</v>
      </c>
      <c r="R8" s="51">
        <v>580272</v>
      </c>
      <c r="S8" s="52">
        <v>11.291639999999999</v>
      </c>
      <c r="T8" s="52">
        <v>57.054020000000001</v>
      </c>
      <c r="U8" s="52">
        <v>31.654330000000002</v>
      </c>
      <c r="V8" s="51">
        <v>105826</v>
      </c>
      <c r="W8" s="51">
        <v>543951</v>
      </c>
      <c r="X8" s="51">
        <v>254087</v>
      </c>
      <c r="Y8" s="52">
        <v>11.70818</v>
      </c>
      <c r="Z8" s="52">
        <v>60.180619999999998</v>
      </c>
      <c r="AA8" s="52">
        <v>28.1112</v>
      </c>
      <c r="AB8" s="51">
        <v>101167</v>
      </c>
      <c r="AC8" s="51">
        <v>501936</v>
      </c>
      <c r="AD8" s="51">
        <v>326185</v>
      </c>
      <c r="AE8" s="52">
        <v>10.886509999999999</v>
      </c>
      <c r="AF8" s="52">
        <v>54.01296</v>
      </c>
      <c r="AG8" s="52">
        <v>35.100529999999999</v>
      </c>
      <c r="AH8" s="52">
        <v>97.264139999999998</v>
      </c>
      <c r="AI8" s="51">
        <v>1819085</v>
      </c>
      <c r="AJ8" s="51">
        <v>14067</v>
      </c>
      <c r="AK8" s="51">
        <v>742911</v>
      </c>
      <c r="AL8" s="51">
        <v>740089</v>
      </c>
      <c r="AM8" s="51">
        <v>2822</v>
      </c>
      <c r="AN8" s="51">
        <v>737598</v>
      </c>
      <c r="AO8" s="51">
        <v>740089</v>
      </c>
      <c r="AP8" s="51">
        <v>384082</v>
      </c>
      <c r="AQ8" s="51">
        <v>142632</v>
      </c>
      <c r="AR8" s="51">
        <v>168068</v>
      </c>
      <c r="AS8" s="51">
        <v>11393</v>
      </c>
      <c r="AT8" s="51">
        <v>61989</v>
      </c>
      <c r="AU8" s="51">
        <v>245335</v>
      </c>
      <c r="AV8" s="51">
        <v>87168</v>
      </c>
      <c r="AW8" s="51">
        <v>86303</v>
      </c>
      <c r="AX8" s="51">
        <v>69042</v>
      </c>
    </row>
    <row r="9" spans="1:50" x14ac:dyDescent="0.55000000000000004">
      <c r="A9" s="43">
        <v>6</v>
      </c>
      <c r="B9" s="57" t="s">
        <v>320</v>
      </c>
      <c r="C9" s="2" t="s">
        <v>321</v>
      </c>
      <c r="D9" s="2" t="s">
        <v>322</v>
      </c>
      <c r="E9" s="164" t="s">
        <v>323</v>
      </c>
      <c r="F9" s="165">
        <v>2867009</v>
      </c>
      <c r="G9" s="51">
        <v>1430976</v>
      </c>
      <c r="H9" s="51">
        <v>1436033</v>
      </c>
      <c r="I9" s="51">
        <v>2916976</v>
      </c>
      <c r="J9" s="56">
        <v>-49967</v>
      </c>
      <c r="K9" s="55">
        <v>-1.7129700000000001</v>
      </c>
      <c r="L9" s="54">
        <v>6097.39</v>
      </c>
      <c r="M9" s="53">
        <v>470.2</v>
      </c>
      <c r="N9" s="52">
        <v>48.154789999999998</v>
      </c>
      <c r="O9" s="52">
        <v>49.330950000000001</v>
      </c>
      <c r="P9" s="51">
        <v>334614</v>
      </c>
      <c r="Q9" s="51">
        <v>1681662</v>
      </c>
      <c r="R9" s="51">
        <v>850733</v>
      </c>
      <c r="S9" s="52">
        <v>11.671189999999999</v>
      </c>
      <c r="T9" s="52">
        <v>58.655619999999999</v>
      </c>
      <c r="U9" s="52">
        <v>29.673190000000002</v>
      </c>
      <c r="V9" s="51">
        <v>171619</v>
      </c>
      <c r="W9" s="51">
        <v>875622</v>
      </c>
      <c r="X9" s="51">
        <v>383735</v>
      </c>
      <c r="Y9" s="52">
        <v>11.99314</v>
      </c>
      <c r="Z9" s="52">
        <v>61.190539999999999</v>
      </c>
      <c r="AA9" s="52">
        <v>26.816310000000001</v>
      </c>
      <c r="AB9" s="51">
        <v>162995</v>
      </c>
      <c r="AC9" s="51">
        <v>806040</v>
      </c>
      <c r="AD9" s="51">
        <v>466998</v>
      </c>
      <c r="AE9" s="52">
        <v>11.35037</v>
      </c>
      <c r="AF9" s="52">
        <v>56.129629999999999</v>
      </c>
      <c r="AG9" s="52">
        <v>32.520000000000003</v>
      </c>
      <c r="AH9" s="52">
        <v>99.647850000000005</v>
      </c>
      <c r="AI9" s="51">
        <v>2801640</v>
      </c>
      <c r="AJ9" s="51">
        <v>65369</v>
      </c>
      <c r="AK9" s="51">
        <v>1184133</v>
      </c>
      <c r="AL9" s="51">
        <v>1181598</v>
      </c>
      <c r="AM9" s="51">
        <v>2535</v>
      </c>
      <c r="AN9" s="51">
        <v>1124349</v>
      </c>
      <c r="AO9" s="51">
        <v>1181598</v>
      </c>
      <c r="AP9" s="51">
        <v>664239</v>
      </c>
      <c r="AQ9" s="51">
        <v>245778</v>
      </c>
      <c r="AR9" s="51">
        <v>308921</v>
      </c>
      <c r="AS9" s="51">
        <v>18395</v>
      </c>
      <c r="AT9" s="51">
        <v>91145</v>
      </c>
      <c r="AU9" s="51">
        <v>385760</v>
      </c>
      <c r="AV9" s="51">
        <v>125596</v>
      </c>
      <c r="AW9" s="51">
        <v>149952</v>
      </c>
      <c r="AX9" s="51">
        <v>80078</v>
      </c>
    </row>
    <row r="10" spans="1:50" x14ac:dyDescent="0.55000000000000004">
      <c r="A10" s="43">
        <v>9</v>
      </c>
      <c r="B10" s="57" t="s">
        <v>324</v>
      </c>
      <c r="C10" s="2" t="s">
        <v>325</v>
      </c>
      <c r="D10" s="2" t="s">
        <v>326</v>
      </c>
      <c r="E10" s="164" t="s">
        <v>327</v>
      </c>
      <c r="F10" s="165">
        <v>1933146</v>
      </c>
      <c r="G10" s="51">
        <v>964930</v>
      </c>
      <c r="H10" s="51">
        <v>968216</v>
      </c>
      <c r="I10" s="51">
        <v>1974255</v>
      </c>
      <c r="J10" s="56">
        <v>-41109</v>
      </c>
      <c r="K10" s="55">
        <v>-2.0822500000000002</v>
      </c>
      <c r="L10" s="54">
        <v>6408.09</v>
      </c>
      <c r="M10" s="53">
        <v>301.7</v>
      </c>
      <c r="N10" s="52">
        <v>47.950760000000002</v>
      </c>
      <c r="O10" s="52">
        <v>49.017530000000001</v>
      </c>
      <c r="P10" s="51">
        <v>228224</v>
      </c>
      <c r="Q10" s="51">
        <v>1142706</v>
      </c>
      <c r="R10" s="51">
        <v>562216</v>
      </c>
      <c r="S10" s="52">
        <v>11.80583</v>
      </c>
      <c r="T10" s="52">
        <v>59.11121</v>
      </c>
      <c r="U10" s="52">
        <v>29.08296</v>
      </c>
      <c r="V10" s="51">
        <v>117603</v>
      </c>
      <c r="W10" s="51">
        <v>595117</v>
      </c>
      <c r="X10" s="51">
        <v>252210</v>
      </c>
      <c r="Y10" s="52">
        <v>12.187720000000001</v>
      </c>
      <c r="Z10" s="52">
        <v>61.674630000000001</v>
      </c>
      <c r="AA10" s="52">
        <v>26.137650000000001</v>
      </c>
      <c r="AB10" s="51">
        <v>110621</v>
      </c>
      <c r="AC10" s="51">
        <v>547589</v>
      </c>
      <c r="AD10" s="51">
        <v>310006</v>
      </c>
      <c r="AE10" s="52">
        <v>11.425240000000001</v>
      </c>
      <c r="AF10" s="52">
        <v>56.556489999999997</v>
      </c>
      <c r="AG10" s="52">
        <v>32.018270000000001</v>
      </c>
      <c r="AH10" s="52">
        <v>99.660610000000005</v>
      </c>
      <c r="AI10" s="51">
        <v>1891396</v>
      </c>
      <c r="AJ10" s="51">
        <v>41750</v>
      </c>
      <c r="AK10" s="51">
        <v>796923</v>
      </c>
      <c r="AL10" s="51">
        <v>795449</v>
      </c>
      <c r="AM10" s="51">
        <v>1474</v>
      </c>
      <c r="AN10" s="51">
        <v>763097</v>
      </c>
      <c r="AO10" s="51">
        <v>795449</v>
      </c>
      <c r="AP10" s="51">
        <v>439807</v>
      </c>
      <c r="AQ10" s="51">
        <v>158484</v>
      </c>
      <c r="AR10" s="51">
        <v>207956</v>
      </c>
      <c r="AS10" s="51">
        <v>12370</v>
      </c>
      <c r="AT10" s="51">
        <v>60997</v>
      </c>
      <c r="AU10" s="51">
        <v>261757</v>
      </c>
      <c r="AV10" s="51">
        <v>85355</v>
      </c>
      <c r="AW10" s="51">
        <v>92717</v>
      </c>
      <c r="AX10" s="51">
        <v>56778</v>
      </c>
    </row>
    <row r="11" spans="1:50" x14ac:dyDescent="0.55000000000000004">
      <c r="A11" s="43">
        <v>12</v>
      </c>
      <c r="B11" s="57" t="s">
        <v>328</v>
      </c>
      <c r="C11" s="2" t="s">
        <v>329</v>
      </c>
      <c r="D11" s="2" t="s">
        <v>330</v>
      </c>
      <c r="E11" s="164" t="s">
        <v>331</v>
      </c>
      <c r="F11" s="165">
        <v>1939110</v>
      </c>
      <c r="G11" s="51">
        <v>959411</v>
      </c>
      <c r="H11" s="51">
        <v>979699</v>
      </c>
      <c r="I11" s="51">
        <v>1973115</v>
      </c>
      <c r="J11" s="56">
        <v>-34005</v>
      </c>
      <c r="K11" s="55">
        <v>-1.72342</v>
      </c>
      <c r="L11" s="54">
        <v>6362.28</v>
      </c>
      <c r="M11" s="53">
        <v>304.8</v>
      </c>
      <c r="N11" s="52">
        <v>48.391919999999999</v>
      </c>
      <c r="O11" s="52">
        <v>49.556319999999999</v>
      </c>
      <c r="P11" s="51">
        <v>226573</v>
      </c>
      <c r="Q11" s="51">
        <v>1127799</v>
      </c>
      <c r="R11" s="51">
        <v>584738</v>
      </c>
      <c r="S11" s="52">
        <v>11.684380000000001</v>
      </c>
      <c r="T11" s="52">
        <v>58.160649999999997</v>
      </c>
      <c r="U11" s="52">
        <v>30.154969999999999</v>
      </c>
      <c r="V11" s="51">
        <v>116058</v>
      </c>
      <c r="W11" s="51">
        <v>583309</v>
      </c>
      <c r="X11" s="51">
        <v>260044</v>
      </c>
      <c r="Y11" s="52">
        <v>12.0968</v>
      </c>
      <c r="Z11" s="52">
        <v>60.798659999999998</v>
      </c>
      <c r="AA11" s="52">
        <v>27.10455</v>
      </c>
      <c r="AB11" s="51">
        <v>110515</v>
      </c>
      <c r="AC11" s="51">
        <v>544490</v>
      </c>
      <c r="AD11" s="51">
        <v>324694</v>
      </c>
      <c r="AE11" s="52">
        <v>11.28051</v>
      </c>
      <c r="AF11" s="52">
        <v>55.577269999999999</v>
      </c>
      <c r="AG11" s="52">
        <v>33.142220000000002</v>
      </c>
      <c r="AH11" s="52">
        <v>97.929159999999996</v>
      </c>
      <c r="AI11" s="51">
        <v>1879820</v>
      </c>
      <c r="AJ11" s="51">
        <v>59290</v>
      </c>
      <c r="AK11" s="51">
        <v>805252</v>
      </c>
      <c r="AL11" s="51">
        <v>803215</v>
      </c>
      <c r="AM11" s="51">
        <v>2037</v>
      </c>
      <c r="AN11" s="51">
        <v>773952</v>
      </c>
      <c r="AO11" s="51">
        <v>803215</v>
      </c>
      <c r="AP11" s="51">
        <v>462667</v>
      </c>
      <c r="AQ11" s="51">
        <v>168709</v>
      </c>
      <c r="AR11" s="51">
        <v>219169</v>
      </c>
      <c r="AS11" s="51">
        <v>12408</v>
      </c>
      <c r="AT11" s="51">
        <v>62381</v>
      </c>
      <c r="AU11" s="51">
        <v>260100</v>
      </c>
      <c r="AV11" s="51">
        <v>93993</v>
      </c>
      <c r="AW11" s="51">
        <v>103437</v>
      </c>
      <c r="AX11" s="51">
        <v>43722</v>
      </c>
    </row>
    <row r="12" spans="1:50" x14ac:dyDescent="0.55000000000000004">
      <c r="A12" s="43">
        <v>13</v>
      </c>
      <c r="B12" s="57" t="s">
        <v>332</v>
      </c>
      <c r="C12" s="2" t="s">
        <v>333</v>
      </c>
      <c r="D12" s="2" t="s">
        <v>334</v>
      </c>
      <c r="E12" s="164" t="s">
        <v>181</v>
      </c>
      <c r="F12" s="165">
        <v>7344765</v>
      </c>
      <c r="G12" s="51">
        <v>3652169</v>
      </c>
      <c r="H12" s="51">
        <v>3692596</v>
      </c>
      <c r="I12" s="51">
        <v>7266534</v>
      </c>
      <c r="J12" s="56">
        <v>78231</v>
      </c>
      <c r="K12" s="55">
        <v>1.0765899999999999</v>
      </c>
      <c r="L12" s="54">
        <v>3797.75</v>
      </c>
      <c r="M12" s="53">
        <v>1934</v>
      </c>
      <c r="N12" s="52">
        <v>46.837260000000001</v>
      </c>
      <c r="O12" s="52">
        <v>47.726059999999997</v>
      </c>
      <c r="P12" s="51">
        <v>872859</v>
      </c>
      <c r="Q12" s="51">
        <v>4488130</v>
      </c>
      <c r="R12" s="51">
        <v>1983776</v>
      </c>
      <c r="S12" s="52">
        <v>11.8841</v>
      </c>
      <c r="T12" s="52">
        <v>61.106520000000003</v>
      </c>
      <c r="U12" s="52">
        <v>27.00939</v>
      </c>
      <c r="V12" s="51">
        <v>446651</v>
      </c>
      <c r="W12" s="51">
        <v>2310824</v>
      </c>
      <c r="X12" s="51">
        <v>894694</v>
      </c>
      <c r="Y12" s="52">
        <v>12.229749999999999</v>
      </c>
      <c r="Z12" s="52">
        <v>63.272649999999999</v>
      </c>
      <c r="AA12" s="52">
        <v>24.497610000000002</v>
      </c>
      <c r="AB12" s="51">
        <v>426208</v>
      </c>
      <c r="AC12" s="51">
        <v>2177306</v>
      </c>
      <c r="AD12" s="51">
        <v>1089082</v>
      </c>
      <c r="AE12" s="52">
        <v>11.54223</v>
      </c>
      <c r="AF12" s="52">
        <v>58.964100000000002</v>
      </c>
      <c r="AG12" s="52">
        <v>29.493670000000002</v>
      </c>
      <c r="AH12" s="52">
        <v>98.905190000000005</v>
      </c>
      <c r="AI12" s="51">
        <v>7159087</v>
      </c>
      <c r="AJ12" s="51">
        <v>185678</v>
      </c>
      <c r="AK12" s="51">
        <v>3162743</v>
      </c>
      <c r="AL12" s="51">
        <v>3157627</v>
      </c>
      <c r="AM12" s="51">
        <v>5116</v>
      </c>
      <c r="AN12" s="51">
        <v>2971659</v>
      </c>
      <c r="AO12" s="51">
        <v>3157627</v>
      </c>
      <c r="AP12" s="51">
        <v>1849525</v>
      </c>
      <c r="AQ12" s="51">
        <v>650271</v>
      </c>
      <c r="AR12" s="51">
        <v>911592</v>
      </c>
      <c r="AS12" s="51">
        <v>47929</v>
      </c>
      <c r="AT12" s="51">
        <v>239733</v>
      </c>
      <c r="AU12" s="51">
        <v>1072139</v>
      </c>
      <c r="AV12" s="51">
        <v>332963</v>
      </c>
      <c r="AW12" s="51">
        <v>376464</v>
      </c>
      <c r="AX12" s="51">
        <v>105717</v>
      </c>
    </row>
    <row r="13" spans="1:50" x14ac:dyDescent="0.55000000000000004">
      <c r="A13" s="43">
        <v>10</v>
      </c>
      <c r="B13" s="57" t="s">
        <v>335</v>
      </c>
      <c r="C13" s="2" t="s">
        <v>336</v>
      </c>
      <c r="D13" s="2" t="s">
        <v>337</v>
      </c>
      <c r="E13" s="164" t="s">
        <v>338</v>
      </c>
      <c r="F13" s="165">
        <v>6284480</v>
      </c>
      <c r="G13" s="51">
        <v>3117987</v>
      </c>
      <c r="H13" s="51">
        <v>3166493</v>
      </c>
      <c r="I13" s="51">
        <v>6222666</v>
      </c>
      <c r="J13" s="56">
        <v>61814</v>
      </c>
      <c r="K13" s="55">
        <v>0.99336999999999998</v>
      </c>
      <c r="L13" s="54">
        <v>5157.57</v>
      </c>
      <c r="M13" s="53">
        <v>1218.5</v>
      </c>
      <c r="N13" s="52">
        <v>47.135019999999997</v>
      </c>
      <c r="O13" s="52">
        <v>47.982770000000002</v>
      </c>
      <c r="P13" s="51">
        <v>736623</v>
      </c>
      <c r="Q13" s="51">
        <v>3813987</v>
      </c>
      <c r="R13" s="51">
        <v>1733870</v>
      </c>
      <c r="S13" s="52">
        <v>11.721299999999999</v>
      </c>
      <c r="T13" s="52">
        <v>60.688980000000001</v>
      </c>
      <c r="U13" s="52">
        <v>27.58971</v>
      </c>
      <c r="V13" s="51">
        <v>377749</v>
      </c>
      <c r="W13" s="51">
        <v>1962763</v>
      </c>
      <c r="X13" s="51">
        <v>777475</v>
      </c>
      <c r="Y13" s="52">
        <v>12.115159999999999</v>
      </c>
      <c r="Z13" s="52">
        <v>62.949689999999997</v>
      </c>
      <c r="AA13" s="52">
        <v>24.93516</v>
      </c>
      <c r="AB13" s="51">
        <v>358874</v>
      </c>
      <c r="AC13" s="51">
        <v>1851224</v>
      </c>
      <c r="AD13" s="51">
        <v>956395</v>
      </c>
      <c r="AE13" s="52">
        <v>11.33348</v>
      </c>
      <c r="AF13" s="52">
        <v>58.462910000000001</v>
      </c>
      <c r="AG13" s="52">
        <v>30.203600000000002</v>
      </c>
      <c r="AH13" s="52">
        <v>98.468149999999994</v>
      </c>
      <c r="AI13" s="51">
        <v>6122205</v>
      </c>
      <c r="AJ13" s="51">
        <v>162275</v>
      </c>
      <c r="AK13" s="51">
        <v>2773840</v>
      </c>
      <c r="AL13" s="51">
        <v>2767661</v>
      </c>
      <c r="AM13" s="51">
        <v>6179</v>
      </c>
      <c r="AN13" s="51">
        <v>2609132</v>
      </c>
      <c r="AO13" s="51">
        <v>2767661</v>
      </c>
      <c r="AP13" s="51">
        <v>1572544</v>
      </c>
      <c r="AQ13" s="51">
        <v>572435</v>
      </c>
      <c r="AR13" s="51">
        <v>755321</v>
      </c>
      <c r="AS13" s="51">
        <v>39564</v>
      </c>
      <c r="AT13" s="51">
        <v>205224</v>
      </c>
      <c r="AU13" s="51">
        <v>1003440</v>
      </c>
      <c r="AV13" s="51">
        <v>299889</v>
      </c>
      <c r="AW13" s="51">
        <v>335025</v>
      </c>
      <c r="AX13" s="51">
        <v>95699</v>
      </c>
    </row>
    <row r="14" spans="1:50" x14ac:dyDescent="0.55000000000000004">
      <c r="A14" s="43">
        <v>14</v>
      </c>
      <c r="B14" s="57" t="s">
        <v>339</v>
      </c>
      <c r="C14" s="2" t="s">
        <v>340</v>
      </c>
      <c r="D14" s="2" t="s">
        <v>341</v>
      </c>
      <c r="E14" s="164" t="s">
        <v>342</v>
      </c>
      <c r="F14" s="165">
        <v>14047594</v>
      </c>
      <c r="G14" s="51">
        <v>6898388</v>
      </c>
      <c r="H14" s="51">
        <v>7149206</v>
      </c>
      <c r="I14" s="51">
        <v>13515272</v>
      </c>
      <c r="J14" s="56">
        <v>532322</v>
      </c>
      <c r="K14" s="55">
        <v>3.9386700000000001</v>
      </c>
      <c r="L14" s="54">
        <v>2194.0300000000002</v>
      </c>
      <c r="M14" s="53">
        <v>6402.6</v>
      </c>
      <c r="N14" s="52">
        <v>45.25253</v>
      </c>
      <c r="O14" s="52">
        <v>45.114109999999997</v>
      </c>
      <c r="P14" s="51">
        <v>1568415</v>
      </c>
      <c r="Q14" s="51">
        <v>9284428</v>
      </c>
      <c r="R14" s="51">
        <v>3194751</v>
      </c>
      <c r="S14" s="52">
        <v>11.165010000000001</v>
      </c>
      <c r="T14" s="52">
        <v>66.092659999999995</v>
      </c>
      <c r="U14" s="52">
        <v>22.742339999999999</v>
      </c>
      <c r="V14" s="51">
        <v>802651</v>
      </c>
      <c r="W14" s="51">
        <v>4714667</v>
      </c>
      <c r="X14" s="51">
        <v>1381070</v>
      </c>
      <c r="Y14" s="52">
        <v>11.635339999999999</v>
      </c>
      <c r="Z14" s="52">
        <v>68.344470000000001</v>
      </c>
      <c r="AA14" s="52">
        <v>20.02018</v>
      </c>
      <c r="AB14" s="51">
        <v>765764</v>
      </c>
      <c r="AC14" s="51">
        <v>4569761</v>
      </c>
      <c r="AD14" s="51">
        <v>1813681</v>
      </c>
      <c r="AE14" s="52">
        <v>10.711180000000001</v>
      </c>
      <c r="AF14" s="52">
        <v>63.919840000000001</v>
      </c>
      <c r="AG14" s="52">
        <v>25.36899</v>
      </c>
      <c r="AH14" s="52">
        <v>96.491669999999999</v>
      </c>
      <c r="AI14" s="51">
        <v>13484028</v>
      </c>
      <c r="AJ14" s="51">
        <v>563566</v>
      </c>
      <c r="AK14" s="51">
        <v>7227180</v>
      </c>
      <c r="AL14" s="51">
        <v>7216650</v>
      </c>
      <c r="AM14" s="51">
        <v>10530</v>
      </c>
      <c r="AN14" s="51">
        <v>6701123</v>
      </c>
      <c r="AO14" s="51">
        <v>7216650</v>
      </c>
      <c r="AP14" s="51">
        <v>3299649</v>
      </c>
      <c r="AQ14" s="51">
        <v>1185040</v>
      </c>
      <c r="AR14" s="51">
        <v>1588460</v>
      </c>
      <c r="AS14" s="51">
        <v>76177</v>
      </c>
      <c r="AT14" s="51">
        <v>449972</v>
      </c>
      <c r="AU14" s="51">
        <v>3625810</v>
      </c>
      <c r="AV14" s="51">
        <v>811408</v>
      </c>
      <c r="AW14" s="51">
        <v>564594</v>
      </c>
      <c r="AX14" s="51">
        <v>97110</v>
      </c>
    </row>
    <row r="15" spans="1:50" x14ac:dyDescent="0.55000000000000004">
      <c r="A15" s="43">
        <v>16</v>
      </c>
      <c r="B15" s="57" t="s">
        <v>343</v>
      </c>
      <c r="C15" s="2" t="s">
        <v>344</v>
      </c>
      <c r="D15" s="2" t="s">
        <v>345</v>
      </c>
      <c r="E15" s="164" t="s">
        <v>346</v>
      </c>
      <c r="F15" s="165">
        <v>9237337</v>
      </c>
      <c r="G15" s="51">
        <v>4588268</v>
      </c>
      <c r="H15" s="51">
        <v>4649069</v>
      </c>
      <c r="I15" s="51">
        <v>9126213</v>
      </c>
      <c r="J15" s="56">
        <v>111124</v>
      </c>
      <c r="K15" s="55">
        <v>1.2176400000000001</v>
      </c>
      <c r="L15" s="54">
        <v>2416.11</v>
      </c>
      <c r="M15" s="53">
        <v>3823.2</v>
      </c>
      <c r="N15" s="52">
        <v>46.480809999999998</v>
      </c>
      <c r="O15" s="52">
        <v>47.327289999999998</v>
      </c>
      <c r="P15" s="51">
        <v>1086468</v>
      </c>
      <c r="Q15" s="51">
        <v>5790049</v>
      </c>
      <c r="R15" s="51">
        <v>2360820</v>
      </c>
      <c r="S15" s="52">
        <v>11.761699999999999</v>
      </c>
      <c r="T15" s="52">
        <v>62.680929999999996</v>
      </c>
      <c r="U15" s="52">
        <v>25.557369999999999</v>
      </c>
      <c r="V15" s="51">
        <v>556916</v>
      </c>
      <c r="W15" s="51">
        <v>2985490</v>
      </c>
      <c r="X15" s="51">
        <v>1045862</v>
      </c>
      <c r="Y15" s="52">
        <v>12.137829999999999</v>
      </c>
      <c r="Z15" s="52">
        <v>65.067909999999998</v>
      </c>
      <c r="AA15" s="52">
        <v>22.794270000000001</v>
      </c>
      <c r="AB15" s="51">
        <v>529552</v>
      </c>
      <c r="AC15" s="51">
        <v>2804559</v>
      </c>
      <c r="AD15" s="51">
        <v>1314958</v>
      </c>
      <c r="AE15" s="52">
        <v>11.390499999999999</v>
      </c>
      <c r="AF15" s="52">
        <v>60.32517</v>
      </c>
      <c r="AG15" s="52">
        <v>28.284330000000001</v>
      </c>
      <c r="AH15" s="52">
        <v>98.692189999999997</v>
      </c>
      <c r="AI15" s="51">
        <v>9006608</v>
      </c>
      <c r="AJ15" s="51">
        <v>230729</v>
      </c>
      <c r="AK15" s="51">
        <v>4223706</v>
      </c>
      <c r="AL15" s="51">
        <v>4210122</v>
      </c>
      <c r="AM15" s="51">
        <v>13584</v>
      </c>
      <c r="AN15" s="51">
        <v>3979277</v>
      </c>
      <c r="AO15" s="51">
        <v>4210122</v>
      </c>
      <c r="AP15" s="51">
        <v>2350377</v>
      </c>
      <c r="AQ15" s="51">
        <v>843850</v>
      </c>
      <c r="AR15" s="51">
        <v>1154510</v>
      </c>
      <c r="AS15" s="51">
        <v>54961</v>
      </c>
      <c r="AT15" s="51">
        <v>297056</v>
      </c>
      <c r="AU15" s="51">
        <v>1650991</v>
      </c>
      <c r="AV15" s="51">
        <v>459724</v>
      </c>
      <c r="AW15" s="51">
        <v>460516</v>
      </c>
      <c r="AX15" s="51">
        <v>93407</v>
      </c>
    </row>
    <row r="16" spans="1:50" x14ac:dyDescent="0.55000000000000004">
      <c r="A16" s="43">
        <v>11</v>
      </c>
      <c r="B16" s="57" t="s">
        <v>347</v>
      </c>
      <c r="C16" s="2" t="s">
        <v>348</v>
      </c>
      <c r="D16" s="2" t="s">
        <v>349</v>
      </c>
      <c r="E16" s="164" t="s">
        <v>350</v>
      </c>
      <c r="F16" s="165">
        <v>2201272</v>
      </c>
      <c r="G16" s="51">
        <v>1068670</v>
      </c>
      <c r="H16" s="51">
        <v>1132602</v>
      </c>
      <c r="I16" s="51">
        <v>2304264</v>
      </c>
      <c r="J16" s="56">
        <v>-102992</v>
      </c>
      <c r="K16" s="55">
        <v>-4.4696300000000004</v>
      </c>
      <c r="L16" s="54">
        <v>12583.96</v>
      </c>
      <c r="M16" s="53">
        <v>174.9</v>
      </c>
      <c r="N16" s="52">
        <v>49.917340000000003</v>
      </c>
      <c r="O16" s="52">
        <v>51.648350000000001</v>
      </c>
      <c r="P16" s="51">
        <v>247924</v>
      </c>
      <c r="Q16" s="51">
        <v>1232070</v>
      </c>
      <c r="R16" s="51">
        <v>721278</v>
      </c>
      <c r="S16" s="52">
        <v>11.26276</v>
      </c>
      <c r="T16" s="52">
        <v>55.970820000000003</v>
      </c>
      <c r="U16" s="52">
        <v>32.766419999999997</v>
      </c>
      <c r="V16" s="51">
        <v>127131</v>
      </c>
      <c r="W16" s="51">
        <v>629444</v>
      </c>
      <c r="X16" s="51">
        <v>312095</v>
      </c>
      <c r="Y16" s="52">
        <v>11.896190000000001</v>
      </c>
      <c r="Z16" s="52">
        <v>58.899749999999997</v>
      </c>
      <c r="AA16" s="52">
        <v>29.204059999999998</v>
      </c>
      <c r="AB16" s="51">
        <v>120793</v>
      </c>
      <c r="AC16" s="51">
        <v>602626</v>
      </c>
      <c r="AD16" s="51">
        <v>409183</v>
      </c>
      <c r="AE16" s="52">
        <v>10.665089999999999</v>
      </c>
      <c r="AF16" s="52">
        <v>53.20722</v>
      </c>
      <c r="AG16" s="52">
        <v>36.127699999999997</v>
      </c>
      <c r="AH16" s="52">
        <v>94.3553</v>
      </c>
      <c r="AI16" s="51">
        <v>2185171</v>
      </c>
      <c r="AJ16" s="51">
        <v>16101</v>
      </c>
      <c r="AK16" s="51">
        <v>864750</v>
      </c>
      <c r="AL16" s="51">
        <v>862796</v>
      </c>
      <c r="AM16" s="51">
        <v>1954</v>
      </c>
      <c r="AN16" s="51">
        <v>848150</v>
      </c>
      <c r="AO16" s="51">
        <v>862796</v>
      </c>
      <c r="AP16" s="51">
        <v>459787</v>
      </c>
      <c r="AQ16" s="51">
        <v>169203</v>
      </c>
      <c r="AR16" s="51">
        <v>207861</v>
      </c>
      <c r="AS16" s="51">
        <v>12778</v>
      </c>
      <c r="AT16" s="51">
        <v>69945</v>
      </c>
      <c r="AU16" s="51">
        <v>266182</v>
      </c>
      <c r="AV16" s="51">
        <v>98746</v>
      </c>
      <c r="AW16" s="51">
        <v>105469</v>
      </c>
      <c r="AX16" s="51">
        <v>90547</v>
      </c>
    </row>
    <row r="17" spans="1:50" x14ac:dyDescent="0.55000000000000004">
      <c r="A17" s="43">
        <v>19</v>
      </c>
      <c r="B17" s="57" t="s">
        <v>351</v>
      </c>
      <c r="C17" s="2" t="s">
        <v>352</v>
      </c>
      <c r="D17" s="2" t="s">
        <v>353</v>
      </c>
      <c r="E17" s="164" t="s">
        <v>354</v>
      </c>
      <c r="F17" s="165">
        <v>1034814</v>
      </c>
      <c r="G17" s="51">
        <v>502637</v>
      </c>
      <c r="H17" s="51">
        <v>532177</v>
      </c>
      <c r="I17" s="51">
        <v>1066328</v>
      </c>
      <c r="J17" s="56">
        <v>-31514</v>
      </c>
      <c r="K17" s="55">
        <v>-2.9553799999999999</v>
      </c>
      <c r="L17" s="54">
        <v>4247.58</v>
      </c>
      <c r="M17" s="53">
        <v>243.6</v>
      </c>
      <c r="N17" s="52">
        <v>49.664879999999997</v>
      </c>
      <c r="O17" s="52">
        <v>50.889650000000003</v>
      </c>
      <c r="P17" s="51">
        <v>116346</v>
      </c>
      <c r="Q17" s="51">
        <v>581617</v>
      </c>
      <c r="R17" s="51">
        <v>336851</v>
      </c>
      <c r="S17" s="52">
        <v>11.243180000000001</v>
      </c>
      <c r="T17" s="52">
        <v>56.204979999999999</v>
      </c>
      <c r="U17" s="52">
        <v>32.551839999999999</v>
      </c>
      <c r="V17" s="51">
        <v>59917</v>
      </c>
      <c r="W17" s="51">
        <v>299133</v>
      </c>
      <c r="X17" s="51">
        <v>143587</v>
      </c>
      <c r="Y17" s="52">
        <v>11.920529999999999</v>
      </c>
      <c r="Z17" s="52">
        <v>59.512729999999998</v>
      </c>
      <c r="AA17" s="52">
        <v>28.566739999999999</v>
      </c>
      <c r="AB17" s="51">
        <v>56429</v>
      </c>
      <c r="AC17" s="51">
        <v>282484</v>
      </c>
      <c r="AD17" s="51">
        <v>193264</v>
      </c>
      <c r="AE17" s="52">
        <v>10.603429999999999</v>
      </c>
      <c r="AF17" s="52">
        <v>53.080840000000002</v>
      </c>
      <c r="AG17" s="52">
        <v>36.315739999999998</v>
      </c>
      <c r="AH17" s="52">
        <v>94.449219999999997</v>
      </c>
      <c r="AI17" s="51">
        <v>1017321</v>
      </c>
      <c r="AJ17" s="51">
        <v>17493</v>
      </c>
      <c r="AK17" s="51">
        <v>403989</v>
      </c>
      <c r="AL17" s="51">
        <v>403007</v>
      </c>
      <c r="AM17" s="51">
        <v>982</v>
      </c>
      <c r="AN17" s="51">
        <v>391171</v>
      </c>
      <c r="AO17" s="51">
        <v>403007</v>
      </c>
      <c r="AP17" s="51">
        <v>220136</v>
      </c>
      <c r="AQ17" s="51">
        <v>79713</v>
      </c>
      <c r="AR17" s="51">
        <v>103168</v>
      </c>
      <c r="AS17" s="51">
        <v>5676</v>
      </c>
      <c r="AT17" s="51">
        <v>31579</v>
      </c>
      <c r="AU17" s="51">
        <v>119523</v>
      </c>
      <c r="AV17" s="51">
        <v>46175</v>
      </c>
      <c r="AW17" s="51">
        <v>50694</v>
      </c>
      <c r="AX17" s="51">
        <v>40632</v>
      </c>
    </row>
    <row r="18" spans="1:50" x14ac:dyDescent="0.55000000000000004">
      <c r="A18" s="43">
        <v>22</v>
      </c>
      <c r="B18" s="57" t="s">
        <v>355</v>
      </c>
      <c r="C18" s="2" t="s">
        <v>356</v>
      </c>
      <c r="D18" s="2" t="s">
        <v>357</v>
      </c>
      <c r="E18" s="164" t="s">
        <v>358</v>
      </c>
      <c r="F18" s="165">
        <v>1132526</v>
      </c>
      <c r="G18" s="51">
        <v>549771</v>
      </c>
      <c r="H18" s="51">
        <v>582755</v>
      </c>
      <c r="I18" s="51">
        <v>1154008</v>
      </c>
      <c r="J18" s="56">
        <v>-21482</v>
      </c>
      <c r="K18" s="55">
        <v>-1.86151</v>
      </c>
      <c r="L18" s="54">
        <v>4186.21</v>
      </c>
      <c r="M18" s="53">
        <v>270.5</v>
      </c>
      <c r="N18" s="52">
        <v>47.90963</v>
      </c>
      <c r="O18" s="52">
        <v>48.872140000000002</v>
      </c>
      <c r="P18" s="51">
        <v>137365</v>
      </c>
      <c r="Q18" s="51">
        <v>657990</v>
      </c>
      <c r="R18" s="51">
        <v>337171</v>
      </c>
      <c r="S18" s="52">
        <v>12.12908</v>
      </c>
      <c r="T18" s="52">
        <v>58.099330000000002</v>
      </c>
      <c r="U18" s="52">
        <v>29.77159</v>
      </c>
      <c r="V18" s="51">
        <v>70265</v>
      </c>
      <c r="W18" s="51">
        <v>334930</v>
      </c>
      <c r="X18" s="51">
        <v>144576</v>
      </c>
      <c r="Y18" s="52">
        <v>12.78078</v>
      </c>
      <c r="Z18" s="52">
        <v>60.921729999999997</v>
      </c>
      <c r="AA18" s="52">
        <v>26.29749</v>
      </c>
      <c r="AB18" s="51">
        <v>67100</v>
      </c>
      <c r="AC18" s="51">
        <v>323060</v>
      </c>
      <c r="AD18" s="51">
        <v>192595</v>
      </c>
      <c r="AE18" s="52">
        <v>11.51427</v>
      </c>
      <c r="AF18" s="52">
        <v>55.436680000000003</v>
      </c>
      <c r="AG18" s="52">
        <v>33.049050000000001</v>
      </c>
      <c r="AH18" s="52">
        <v>94.33999</v>
      </c>
      <c r="AI18" s="51">
        <v>1117364</v>
      </c>
      <c r="AJ18" s="51">
        <v>15162</v>
      </c>
      <c r="AK18" s="51">
        <v>469910</v>
      </c>
      <c r="AL18" s="51">
        <v>468835</v>
      </c>
      <c r="AM18" s="51">
        <v>1075</v>
      </c>
      <c r="AN18" s="51">
        <v>453368</v>
      </c>
      <c r="AO18" s="51">
        <v>468835</v>
      </c>
      <c r="AP18" s="51">
        <v>255131</v>
      </c>
      <c r="AQ18" s="51">
        <v>94895</v>
      </c>
      <c r="AR18" s="51">
        <v>119723</v>
      </c>
      <c r="AS18" s="51">
        <v>5890</v>
      </c>
      <c r="AT18" s="51">
        <v>34623</v>
      </c>
      <c r="AU18" s="51">
        <v>162531</v>
      </c>
      <c r="AV18" s="51">
        <v>52169</v>
      </c>
      <c r="AW18" s="51">
        <v>59024</v>
      </c>
      <c r="AX18" s="51">
        <v>31185</v>
      </c>
    </row>
    <row r="19" spans="1:50" x14ac:dyDescent="0.55000000000000004">
      <c r="A19" s="43">
        <v>25</v>
      </c>
      <c r="B19" s="57" t="s">
        <v>359</v>
      </c>
      <c r="C19" s="2" t="s">
        <v>360</v>
      </c>
      <c r="D19" s="2" t="s">
        <v>361</v>
      </c>
      <c r="E19" s="164" t="s">
        <v>362</v>
      </c>
      <c r="F19" s="165">
        <v>766863</v>
      </c>
      <c r="G19" s="51">
        <v>373973</v>
      </c>
      <c r="H19" s="51">
        <v>392890</v>
      </c>
      <c r="I19" s="51">
        <v>786740</v>
      </c>
      <c r="J19" s="56">
        <v>-19877</v>
      </c>
      <c r="K19" s="55">
        <v>-2.5265</v>
      </c>
      <c r="L19" s="54">
        <v>4190.5200000000004</v>
      </c>
      <c r="M19" s="53">
        <v>183</v>
      </c>
      <c r="N19" s="52">
        <v>48.489049999999999</v>
      </c>
      <c r="O19" s="52">
        <v>49.79889</v>
      </c>
      <c r="P19" s="51">
        <v>95809</v>
      </c>
      <c r="Q19" s="51">
        <v>436121</v>
      </c>
      <c r="R19" s="51">
        <v>234933</v>
      </c>
      <c r="S19" s="52">
        <v>12.49363</v>
      </c>
      <c r="T19" s="52">
        <v>56.870780000000003</v>
      </c>
      <c r="U19" s="52">
        <v>30.635590000000001</v>
      </c>
      <c r="V19" s="51">
        <v>49261</v>
      </c>
      <c r="W19" s="51">
        <v>222953</v>
      </c>
      <c r="X19" s="51">
        <v>101759</v>
      </c>
      <c r="Y19" s="52">
        <v>13.17234</v>
      </c>
      <c r="Z19" s="52">
        <v>59.61741</v>
      </c>
      <c r="AA19" s="52">
        <v>27.210249999999998</v>
      </c>
      <c r="AB19" s="51">
        <v>46548</v>
      </c>
      <c r="AC19" s="51">
        <v>213168</v>
      </c>
      <c r="AD19" s="51">
        <v>133174</v>
      </c>
      <c r="AE19" s="52">
        <v>11.84759</v>
      </c>
      <c r="AF19" s="52">
        <v>54.256410000000002</v>
      </c>
      <c r="AG19" s="52">
        <v>33.896000000000001</v>
      </c>
      <c r="AH19" s="52">
        <v>95.185169999999999</v>
      </c>
      <c r="AI19" s="51">
        <v>752018</v>
      </c>
      <c r="AJ19" s="51">
        <v>14845</v>
      </c>
      <c r="AK19" s="51">
        <v>291662</v>
      </c>
      <c r="AL19" s="51">
        <v>290692</v>
      </c>
      <c r="AM19" s="51">
        <v>970</v>
      </c>
      <c r="AN19" s="51">
        <v>279687</v>
      </c>
      <c r="AO19" s="51">
        <v>290692</v>
      </c>
      <c r="AP19" s="51">
        <v>155501</v>
      </c>
      <c r="AQ19" s="51">
        <v>56546</v>
      </c>
      <c r="AR19" s="51">
        <v>72909</v>
      </c>
      <c r="AS19" s="51">
        <v>4015</v>
      </c>
      <c r="AT19" s="51">
        <v>22031</v>
      </c>
      <c r="AU19" s="51">
        <v>86282</v>
      </c>
      <c r="AV19" s="51">
        <v>31367</v>
      </c>
      <c r="AW19" s="51">
        <v>35264</v>
      </c>
      <c r="AX19" s="51">
        <v>33388</v>
      </c>
    </row>
    <row r="20" spans="1:50" x14ac:dyDescent="0.55000000000000004">
      <c r="A20" s="43">
        <v>15</v>
      </c>
      <c r="B20" s="57" t="s">
        <v>363</v>
      </c>
      <c r="C20" s="2" t="s">
        <v>364</v>
      </c>
      <c r="D20" s="2" t="s">
        <v>365</v>
      </c>
      <c r="E20" s="164" t="s">
        <v>366</v>
      </c>
      <c r="F20" s="165">
        <v>809974</v>
      </c>
      <c r="G20" s="51">
        <v>397309</v>
      </c>
      <c r="H20" s="51">
        <v>412665</v>
      </c>
      <c r="I20" s="51">
        <v>834930</v>
      </c>
      <c r="J20" s="56">
        <v>-24956</v>
      </c>
      <c r="K20" s="55">
        <v>-2.9889899999999998</v>
      </c>
      <c r="L20" s="54">
        <v>4465.2700000000004</v>
      </c>
      <c r="M20" s="53">
        <v>181.4</v>
      </c>
      <c r="N20" s="52">
        <v>48.9983</v>
      </c>
      <c r="O20" s="52">
        <v>50.767589999999998</v>
      </c>
      <c r="P20" s="51">
        <v>92723</v>
      </c>
      <c r="Q20" s="51">
        <v>467443</v>
      </c>
      <c r="R20" s="51">
        <v>249808</v>
      </c>
      <c r="S20" s="52">
        <v>11.447649999999999</v>
      </c>
      <c r="T20" s="52">
        <v>57.710859999999997</v>
      </c>
      <c r="U20" s="52">
        <v>30.841480000000001</v>
      </c>
      <c r="V20" s="51">
        <v>47326</v>
      </c>
      <c r="W20" s="51">
        <v>239956</v>
      </c>
      <c r="X20" s="51">
        <v>110027</v>
      </c>
      <c r="Y20" s="52">
        <v>11.91164</v>
      </c>
      <c r="Z20" s="52">
        <v>60.395310000000002</v>
      </c>
      <c r="AA20" s="52">
        <v>27.693059999999999</v>
      </c>
      <c r="AB20" s="51">
        <v>45397</v>
      </c>
      <c r="AC20" s="51">
        <v>227487</v>
      </c>
      <c r="AD20" s="51">
        <v>139781</v>
      </c>
      <c r="AE20" s="52">
        <v>11.00093</v>
      </c>
      <c r="AF20" s="52">
        <v>55.126309999999997</v>
      </c>
      <c r="AG20" s="52">
        <v>33.872750000000003</v>
      </c>
      <c r="AH20" s="52">
        <v>96.278819999999996</v>
      </c>
      <c r="AI20" s="51">
        <v>794358</v>
      </c>
      <c r="AJ20" s="51">
        <v>15616</v>
      </c>
      <c r="AK20" s="51">
        <v>338853</v>
      </c>
      <c r="AL20" s="51">
        <v>338057</v>
      </c>
      <c r="AM20" s="51">
        <v>796</v>
      </c>
      <c r="AN20" s="51">
        <v>330976</v>
      </c>
      <c r="AO20" s="51">
        <v>338057</v>
      </c>
      <c r="AP20" s="51">
        <v>191669</v>
      </c>
      <c r="AQ20" s="51">
        <v>73487</v>
      </c>
      <c r="AR20" s="51">
        <v>86374</v>
      </c>
      <c r="AS20" s="51">
        <v>4904</v>
      </c>
      <c r="AT20" s="51">
        <v>26904</v>
      </c>
      <c r="AU20" s="51">
        <v>110192</v>
      </c>
      <c r="AV20" s="51">
        <v>42105</v>
      </c>
      <c r="AW20" s="51">
        <v>45196</v>
      </c>
      <c r="AX20" s="51">
        <v>20205</v>
      </c>
    </row>
    <row r="21" spans="1:50" x14ac:dyDescent="0.55000000000000004">
      <c r="A21" s="43">
        <v>17</v>
      </c>
      <c r="B21" s="57" t="s">
        <v>367</v>
      </c>
      <c r="C21" s="2" t="s">
        <v>368</v>
      </c>
      <c r="D21" s="2" t="s">
        <v>369</v>
      </c>
      <c r="E21" s="164" t="s">
        <v>370</v>
      </c>
      <c r="F21" s="165">
        <v>2048011</v>
      </c>
      <c r="G21" s="51">
        <v>1000389</v>
      </c>
      <c r="H21" s="51">
        <v>1047622</v>
      </c>
      <c r="I21" s="51">
        <v>2098804</v>
      </c>
      <c r="J21" s="56">
        <v>-50793</v>
      </c>
      <c r="K21" s="55">
        <v>-2.4200900000000001</v>
      </c>
      <c r="L21" s="54">
        <v>13561.56</v>
      </c>
      <c r="M21" s="53">
        <v>151</v>
      </c>
      <c r="N21" s="52">
        <v>49.449739999999998</v>
      </c>
      <c r="O21" s="52">
        <v>50.885919999999999</v>
      </c>
      <c r="P21" s="51">
        <v>245285</v>
      </c>
      <c r="Q21" s="51">
        <v>1148164</v>
      </c>
      <c r="R21" s="51">
        <v>654562</v>
      </c>
      <c r="S21" s="52">
        <v>11.976739999999999</v>
      </c>
      <c r="T21" s="52">
        <v>56.062390000000001</v>
      </c>
      <c r="U21" s="52">
        <v>31.96086</v>
      </c>
      <c r="V21" s="51">
        <v>125595</v>
      </c>
      <c r="W21" s="51">
        <v>586672</v>
      </c>
      <c r="X21" s="51">
        <v>288122</v>
      </c>
      <c r="Y21" s="52">
        <v>12.55462</v>
      </c>
      <c r="Z21" s="52">
        <v>58.644390000000001</v>
      </c>
      <c r="AA21" s="52">
        <v>28.800999999999998</v>
      </c>
      <c r="AB21" s="51">
        <v>119690</v>
      </c>
      <c r="AC21" s="51">
        <v>561492</v>
      </c>
      <c r="AD21" s="51">
        <v>366440</v>
      </c>
      <c r="AE21" s="52">
        <v>11.42492</v>
      </c>
      <c r="AF21" s="52">
        <v>53.596809999999998</v>
      </c>
      <c r="AG21" s="52">
        <v>34.978270000000002</v>
      </c>
      <c r="AH21" s="52">
        <v>95.491410000000002</v>
      </c>
      <c r="AI21" s="51">
        <v>2013539</v>
      </c>
      <c r="AJ21" s="51">
        <v>34472</v>
      </c>
      <c r="AK21" s="51">
        <v>832097</v>
      </c>
      <c r="AL21" s="51">
        <v>829979</v>
      </c>
      <c r="AM21" s="51">
        <v>2118</v>
      </c>
      <c r="AN21" s="51">
        <v>807108</v>
      </c>
      <c r="AO21" s="51">
        <v>829979</v>
      </c>
      <c r="AP21" s="51">
        <v>465774</v>
      </c>
      <c r="AQ21" s="51">
        <v>182389</v>
      </c>
      <c r="AR21" s="51">
        <v>208863</v>
      </c>
      <c r="AS21" s="51">
        <v>11764</v>
      </c>
      <c r="AT21" s="51">
        <v>62758</v>
      </c>
      <c r="AU21" s="51">
        <v>257508</v>
      </c>
      <c r="AV21" s="51">
        <v>96359</v>
      </c>
      <c r="AW21" s="51">
        <v>112936</v>
      </c>
      <c r="AX21" s="51">
        <v>63295</v>
      </c>
    </row>
    <row r="22" spans="1:50" x14ac:dyDescent="0.55000000000000004">
      <c r="A22" s="43">
        <v>20</v>
      </c>
      <c r="B22" s="57" t="s">
        <v>371</v>
      </c>
      <c r="C22" s="2" t="s">
        <v>372</v>
      </c>
      <c r="D22" s="2" t="s">
        <v>373</v>
      </c>
      <c r="E22" s="164" t="s">
        <v>374</v>
      </c>
      <c r="F22" s="165">
        <v>1978742</v>
      </c>
      <c r="G22" s="51">
        <v>960436</v>
      </c>
      <c r="H22" s="51">
        <v>1018306</v>
      </c>
      <c r="I22" s="51">
        <v>2031903</v>
      </c>
      <c r="J22" s="56">
        <v>-53161</v>
      </c>
      <c r="K22" s="55">
        <v>-2.61632</v>
      </c>
      <c r="L22" s="54">
        <v>10621.29</v>
      </c>
      <c r="M22" s="53">
        <v>186.3</v>
      </c>
      <c r="N22" s="52">
        <v>48.35322</v>
      </c>
      <c r="O22" s="52">
        <v>49.708350000000003</v>
      </c>
      <c r="P22" s="51">
        <v>242504</v>
      </c>
      <c r="Q22" s="51">
        <v>1133872</v>
      </c>
      <c r="R22" s="51">
        <v>602366</v>
      </c>
      <c r="S22" s="52">
        <v>12.255459999999999</v>
      </c>
      <c r="T22" s="52">
        <v>57.302669999999999</v>
      </c>
      <c r="U22" s="52">
        <v>30.441870000000002</v>
      </c>
      <c r="V22" s="51">
        <v>124238</v>
      </c>
      <c r="W22" s="51">
        <v>571611</v>
      </c>
      <c r="X22" s="51">
        <v>264587</v>
      </c>
      <c r="Y22" s="52">
        <v>12.93558</v>
      </c>
      <c r="Z22" s="52">
        <v>59.515779999999999</v>
      </c>
      <c r="AA22" s="52">
        <v>27.548629999999999</v>
      </c>
      <c r="AB22" s="51">
        <v>118266</v>
      </c>
      <c r="AC22" s="51">
        <v>562261</v>
      </c>
      <c r="AD22" s="51">
        <v>337779</v>
      </c>
      <c r="AE22" s="52">
        <v>11.613989999999999</v>
      </c>
      <c r="AF22" s="52">
        <v>55.215330000000002</v>
      </c>
      <c r="AG22" s="52">
        <v>33.170679999999997</v>
      </c>
      <c r="AH22" s="52">
        <v>94.317030000000003</v>
      </c>
      <c r="AI22" s="51">
        <v>1924681</v>
      </c>
      <c r="AJ22" s="51">
        <v>54061</v>
      </c>
      <c r="AK22" s="51">
        <v>780730</v>
      </c>
      <c r="AL22" s="51">
        <v>779029</v>
      </c>
      <c r="AM22" s="51">
        <v>1701</v>
      </c>
      <c r="AN22" s="51">
        <v>753212</v>
      </c>
      <c r="AO22" s="51">
        <v>779029</v>
      </c>
      <c r="AP22" s="51">
        <v>446358</v>
      </c>
      <c r="AQ22" s="51">
        <v>165701</v>
      </c>
      <c r="AR22" s="51">
        <v>211754</v>
      </c>
      <c r="AS22" s="51">
        <v>10754</v>
      </c>
      <c r="AT22" s="51">
        <v>58149</v>
      </c>
      <c r="AU22" s="51">
        <v>228715</v>
      </c>
      <c r="AV22" s="51">
        <v>85160</v>
      </c>
      <c r="AW22" s="51">
        <v>107033</v>
      </c>
      <c r="AX22" s="51">
        <v>64159</v>
      </c>
    </row>
    <row r="23" spans="1:50" x14ac:dyDescent="0.55000000000000004">
      <c r="A23" s="43">
        <v>18</v>
      </c>
      <c r="B23" s="57" t="s">
        <v>375</v>
      </c>
      <c r="C23" s="2" t="s">
        <v>376</v>
      </c>
      <c r="D23" s="2" t="s">
        <v>377</v>
      </c>
      <c r="E23" s="164" t="s">
        <v>378</v>
      </c>
      <c r="F23" s="165">
        <v>3633202</v>
      </c>
      <c r="G23" s="51">
        <v>1791118</v>
      </c>
      <c r="H23" s="51">
        <v>1842084</v>
      </c>
      <c r="I23" s="51">
        <v>3700305</v>
      </c>
      <c r="J23" s="56">
        <v>-67103</v>
      </c>
      <c r="K23" s="55">
        <v>-1.81345</v>
      </c>
      <c r="L23" s="54">
        <v>7777.35</v>
      </c>
      <c r="M23" s="53">
        <v>467.2</v>
      </c>
      <c r="N23" s="52">
        <v>48.414760000000001</v>
      </c>
      <c r="O23" s="52">
        <v>49.674059999999997</v>
      </c>
      <c r="P23" s="51">
        <v>439490</v>
      </c>
      <c r="Q23" s="51">
        <v>2100962</v>
      </c>
      <c r="R23" s="51">
        <v>1092750</v>
      </c>
      <c r="S23" s="52">
        <v>12.096489999999999</v>
      </c>
      <c r="T23" s="52">
        <v>57.826729999999998</v>
      </c>
      <c r="U23" s="52">
        <v>30.076779999999999</v>
      </c>
      <c r="V23" s="51">
        <v>225391</v>
      </c>
      <c r="W23" s="51">
        <v>1082681</v>
      </c>
      <c r="X23" s="51">
        <v>483046</v>
      </c>
      <c r="Y23" s="52">
        <v>12.583819999999999</v>
      </c>
      <c r="Z23" s="52">
        <v>60.447220000000002</v>
      </c>
      <c r="AA23" s="52">
        <v>26.968969999999999</v>
      </c>
      <c r="AB23" s="51">
        <v>214099</v>
      </c>
      <c r="AC23" s="51">
        <v>1018281</v>
      </c>
      <c r="AD23" s="51">
        <v>609704</v>
      </c>
      <c r="AE23" s="52">
        <v>11.62265</v>
      </c>
      <c r="AF23" s="52">
        <v>55.278750000000002</v>
      </c>
      <c r="AG23" s="52">
        <v>33.098599999999998</v>
      </c>
      <c r="AH23" s="52">
        <v>97.233239999999995</v>
      </c>
      <c r="AI23" s="51">
        <v>3540934</v>
      </c>
      <c r="AJ23" s="51">
        <v>92268</v>
      </c>
      <c r="AK23" s="51">
        <v>1483472</v>
      </c>
      <c r="AL23" s="51">
        <v>1480969</v>
      </c>
      <c r="AM23" s="51">
        <v>2503</v>
      </c>
      <c r="AN23" s="51">
        <v>1429600</v>
      </c>
      <c r="AO23" s="51">
        <v>1480969</v>
      </c>
      <c r="AP23" s="51">
        <v>829251</v>
      </c>
      <c r="AQ23" s="51">
        <v>305165</v>
      </c>
      <c r="AR23" s="51">
        <v>385860</v>
      </c>
      <c r="AS23" s="51">
        <v>21488</v>
      </c>
      <c r="AT23" s="51">
        <v>116738</v>
      </c>
      <c r="AU23" s="51">
        <v>472201</v>
      </c>
      <c r="AV23" s="51">
        <v>166069</v>
      </c>
      <c r="AW23" s="51">
        <v>182564</v>
      </c>
      <c r="AX23" s="51">
        <v>109658</v>
      </c>
    </row>
    <row r="24" spans="1:50" x14ac:dyDescent="0.55000000000000004">
      <c r="A24" s="43">
        <v>21</v>
      </c>
      <c r="B24" s="57" t="s">
        <v>379</v>
      </c>
      <c r="C24" s="2" t="s">
        <v>380</v>
      </c>
      <c r="D24" s="2" t="s">
        <v>381</v>
      </c>
      <c r="E24" s="164" t="s">
        <v>382</v>
      </c>
      <c r="F24" s="165">
        <v>7542415</v>
      </c>
      <c r="G24" s="51">
        <v>3761502</v>
      </c>
      <c r="H24" s="51">
        <v>3780913</v>
      </c>
      <c r="I24" s="51">
        <v>7483128</v>
      </c>
      <c r="J24" s="56">
        <v>59287</v>
      </c>
      <c r="K24" s="55">
        <v>0.79227999999999998</v>
      </c>
      <c r="L24" s="54">
        <v>5173.07</v>
      </c>
      <c r="M24" s="53">
        <v>1458</v>
      </c>
      <c r="N24" s="52">
        <v>45.646250000000002</v>
      </c>
      <c r="O24" s="52">
        <v>46.333179999999999</v>
      </c>
      <c r="P24" s="51">
        <v>980388</v>
      </c>
      <c r="Q24" s="51">
        <v>4654635</v>
      </c>
      <c r="R24" s="51">
        <v>1907392</v>
      </c>
      <c r="S24" s="52">
        <v>12.998329999999999</v>
      </c>
      <c r="T24" s="52">
        <v>61.712789999999998</v>
      </c>
      <c r="U24" s="52">
        <v>25.288879999999999</v>
      </c>
      <c r="V24" s="51">
        <v>502734</v>
      </c>
      <c r="W24" s="51">
        <v>2410818</v>
      </c>
      <c r="X24" s="51">
        <v>847950</v>
      </c>
      <c r="Y24" s="52">
        <v>13.36525</v>
      </c>
      <c r="Z24" s="52">
        <v>64.091899999999995</v>
      </c>
      <c r="AA24" s="52">
        <v>22.542860000000001</v>
      </c>
      <c r="AB24" s="51">
        <v>477654</v>
      </c>
      <c r="AC24" s="51">
        <v>2243817</v>
      </c>
      <c r="AD24" s="51">
        <v>1059442</v>
      </c>
      <c r="AE24" s="52">
        <v>12.6333</v>
      </c>
      <c r="AF24" s="52">
        <v>59.3459</v>
      </c>
      <c r="AG24" s="52">
        <v>28.020800000000001</v>
      </c>
      <c r="AH24" s="52">
        <v>99.486609999999999</v>
      </c>
      <c r="AI24" s="51">
        <v>7283260</v>
      </c>
      <c r="AJ24" s="51">
        <v>259155</v>
      </c>
      <c r="AK24" s="51">
        <v>3238301</v>
      </c>
      <c r="AL24" s="51">
        <v>3233126</v>
      </c>
      <c r="AM24" s="51">
        <v>5175</v>
      </c>
      <c r="AN24" s="51">
        <v>3063833</v>
      </c>
      <c r="AO24" s="51">
        <v>3233126</v>
      </c>
      <c r="AP24" s="51">
        <v>1794260</v>
      </c>
      <c r="AQ24" s="51">
        <v>623565</v>
      </c>
      <c r="AR24" s="51">
        <v>900894</v>
      </c>
      <c r="AS24" s="51">
        <v>41751</v>
      </c>
      <c r="AT24" s="51">
        <v>228050</v>
      </c>
      <c r="AU24" s="51">
        <v>1175221</v>
      </c>
      <c r="AV24" s="51">
        <v>323796</v>
      </c>
      <c r="AW24" s="51">
        <v>352211</v>
      </c>
      <c r="AX24" s="51">
        <v>146189</v>
      </c>
    </row>
    <row r="25" spans="1:50" x14ac:dyDescent="0.55000000000000004">
      <c r="A25" s="43">
        <v>24</v>
      </c>
      <c r="B25" s="57" t="s">
        <v>383</v>
      </c>
      <c r="C25" s="2" t="s">
        <v>384</v>
      </c>
      <c r="D25" s="2" t="s">
        <v>385</v>
      </c>
      <c r="E25" s="164" t="s">
        <v>386</v>
      </c>
      <c r="F25" s="165">
        <v>1770254</v>
      </c>
      <c r="G25" s="51">
        <v>864475</v>
      </c>
      <c r="H25" s="51">
        <v>905779</v>
      </c>
      <c r="I25" s="51">
        <v>1815865</v>
      </c>
      <c r="J25" s="56">
        <v>-45611</v>
      </c>
      <c r="K25" s="55">
        <v>-2.5118100000000001</v>
      </c>
      <c r="L25" s="54">
        <v>5774.49</v>
      </c>
      <c r="M25" s="53">
        <v>306.60000000000002</v>
      </c>
      <c r="N25" s="52">
        <v>48.28998</v>
      </c>
      <c r="O25" s="52">
        <v>49.509819999999998</v>
      </c>
      <c r="P25" s="51">
        <v>213373</v>
      </c>
      <c r="Q25" s="51">
        <v>1027332</v>
      </c>
      <c r="R25" s="51">
        <v>529549</v>
      </c>
      <c r="S25" s="52">
        <v>12.053240000000001</v>
      </c>
      <c r="T25" s="52">
        <v>58.033029999999997</v>
      </c>
      <c r="U25" s="52">
        <v>29.913730000000001</v>
      </c>
      <c r="V25" s="51">
        <v>109236</v>
      </c>
      <c r="W25" s="51">
        <v>523670</v>
      </c>
      <c r="X25" s="51">
        <v>231569</v>
      </c>
      <c r="Y25" s="52">
        <v>12.63611</v>
      </c>
      <c r="Z25" s="52">
        <v>60.576650000000001</v>
      </c>
      <c r="AA25" s="52">
        <v>26.787240000000001</v>
      </c>
      <c r="AB25" s="51">
        <v>104137</v>
      </c>
      <c r="AC25" s="51">
        <v>503662</v>
      </c>
      <c r="AD25" s="51">
        <v>297980</v>
      </c>
      <c r="AE25" s="52">
        <v>11.49695</v>
      </c>
      <c r="AF25" s="52">
        <v>55.605400000000003</v>
      </c>
      <c r="AG25" s="52">
        <v>32.897649999999999</v>
      </c>
      <c r="AH25" s="52">
        <v>95.439949999999996</v>
      </c>
      <c r="AI25" s="51">
        <v>1718708</v>
      </c>
      <c r="AJ25" s="51">
        <v>51546</v>
      </c>
      <c r="AK25" s="51">
        <v>742598</v>
      </c>
      <c r="AL25" s="51">
        <v>741183</v>
      </c>
      <c r="AM25" s="51">
        <v>1415</v>
      </c>
      <c r="AN25" s="51">
        <v>720292</v>
      </c>
      <c r="AO25" s="51">
        <v>741183</v>
      </c>
      <c r="AP25" s="51">
        <v>423745</v>
      </c>
      <c r="AQ25" s="51">
        <v>164116</v>
      </c>
      <c r="AR25" s="51">
        <v>196585</v>
      </c>
      <c r="AS25" s="51">
        <v>9852</v>
      </c>
      <c r="AT25" s="51">
        <v>53192</v>
      </c>
      <c r="AU25" s="51">
        <v>244698</v>
      </c>
      <c r="AV25" s="51">
        <v>88354</v>
      </c>
      <c r="AW25" s="51">
        <v>102675</v>
      </c>
      <c r="AX25" s="51">
        <v>40236</v>
      </c>
    </row>
    <row r="26" spans="1:50" x14ac:dyDescent="0.55000000000000004">
      <c r="A26" s="43">
        <v>23</v>
      </c>
      <c r="B26" s="57" t="s">
        <v>387</v>
      </c>
      <c r="C26" s="2" t="s">
        <v>388</v>
      </c>
      <c r="D26" s="2" t="s">
        <v>389</v>
      </c>
      <c r="E26" s="164" t="s">
        <v>390</v>
      </c>
      <c r="F26" s="165">
        <v>1413610</v>
      </c>
      <c r="G26" s="51">
        <v>697429</v>
      </c>
      <c r="H26" s="51">
        <v>716181</v>
      </c>
      <c r="I26" s="51">
        <v>1412916</v>
      </c>
      <c r="J26" s="56">
        <v>694</v>
      </c>
      <c r="K26" s="55">
        <v>4.9119999999999997E-2</v>
      </c>
      <c r="L26" s="54">
        <v>4017.38</v>
      </c>
      <c r="M26" s="53">
        <v>351.9</v>
      </c>
      <c r="N26" s="52">
        <v>45.896720000000002</v>
      </c>
      <c r="O26" s="52">
        <v>46.675060000000002</v>
      </c>
      <c r="P26" s="51">
        <v>192256</v>
      </c>
      <c r="Q26" s="51">
        <v>849686</v>
      </c>
      <c r="R26" s="51">
        <v>371668</v>
      </c>
      <c r="S26" s="52">
        <v>13.60036</v>
      </c>
      <c r="T26" s="52">
        <v>60.107529999999997</v>
      </c>
      <c r="U26" s="52">
        <v>26.292120000000001</v>
      </c>
      <c r="V26" s="51">
        <v>98854</v>
      </c>
      <c r="W26" s="51">
        <v>432974</v>
      </c>
      <c r="X26" s="51">
        <v>165601</v>
      </c>
      <c r="Y26" s="52">
        <v>14.174060000000001</v>
      </c>
      <c r="Z26" s="52">
        <v>62.081440000000001</v>
      </c>
      <c r="AA26" s="52">
        <v>23.744499999999999</v>
      </c>
      <c r="AB26" s="51">
        <v>93402</v>
      </c>
      <c r="AC26" s="51">
        <v>416712</v>
      </c>
      <c r="AD26" s="51">
        <v>206067</v>
      </c>
      <c r="AE26" s="52">
        <v>13.041679999999999</v>
      </c>
      <c r="AF26" s="52">
        <v>58.185290000000002</v>
      </c>
      <c r="AG26" s="52">
        <v>28.773029999999999</v>
      </c>
      <c r="AH26" s="52">
        <v>97.38167</v>
      </c>
      <c r="AI26" s="51">
        <v>1380486</v>
      </c>
      <c r="AJ26" s="51">
        <v>33124</v>
      </c>
      <c r="AK26" s="51">
        <v>571374</v>
      </c>
      <c r="AL26" s="51">
        <v>570529</v>
      </c>
      <c r="AM26" s="51">
        <v>845</v>
      </c>
      <c r="AN26" s="51">
        <v>537550</v>
      </c>
      <c r="AO26" s="51">
        <v>570529</v>
      </c>
      <c r="AP26" s="51">
        <v>330640</v>
      </c>
      <c r="AQ26" s="51">
        <v>115817</v>
      </c>
      <c r="AR26" s="51">
        <v>167640</v>
      </c>
      <c r="AS26" s="51">
        <v>7179</v>
      </c>
      <c r="AT26" s="51">
        <v>40004</v>
      </c>
      <c r="AU26" s="51">
        <v>182011</v>
      </c>
      <c r="AV26" s="51">
        <v>53625</v>
      </c>
      <c r="AW26" s="51">
        <v>70197</v>
      </c>
      <c r="AX26" s="51">
        <v>35996</v>
      </c>
    </row>
    <row r="27" spans="1:50" x14ac:dyDescent="0.55000000000000004">
      <c r="A27" s="43">
        <v>27</v>
      </c>
      <c r="B27" s="57" t="s">
        <v>391</v>
      </c>
      <c r="C27" s="2" t="s">
        <v>392</v>
      </c>
      <c r="D27" s="2" t="s">
        <v>393</v>
      </c>
      <c r="E27" s="164" t="s">
        <v>394</v>
      </c>
      <c r="F27" s="165">
        <v>2578087</v>
      </c>
      <c r="G27" s="51">
        <v>1231468</v>
      </c>
      <c r="H27" s="51">
        <v>1346619</v>
      </c>
      <c r="I27" s="51">
        <v>2610353</v>
      </c>
      <c r="J27" s="56">
        <v>-32266</v>
      </c>
      <c r="K27" s="55">
        <v>-1.2360800000000001</v>
      </c>
      <c r="L27" s="54">
        <v>4612.2</v>
      </c>
      <c r="M27" s="53">
        <v>559</v>
      </c>
      <c r="N27" s="52">
        <v>47.737749999999998</v>
      </c>
      <c r="O27" s="52">
        <v>48.528359999999999</v>
      </c>
      <c r="P27" s="51">
        <v>294399</v>
      </c>
      <c r="Q27" s="51">
        <v>1527284</v>
      </c>
      <c r="R27" s="51">
        <v>756404</v>
      </c>
      <c r="S27" s="52">
        <v>11.419280000000001</v>
      </c>
      <c r="T27" s="52">
        <v>59.24098</v>
      </c>
      <c r="U27" s="52">
        <v>29.339739999999999</v>
      </c>
      <c r="V27" s="51">
        <v>151054</v>
      </c>
      <c r="W27" s="51">
        <v>757261</v>
      </c>
      <c r="X27" s="51">
        <v>323153</v>
      </c>
      <c r="Y27" s="52">
        <v>12.266170000000001</v>
      </c>
      <c r="Z27" s="52">
        <v>61.492539999999998</v>
      </c>
      <c r="AA27" s="52">
        <v>26.24128</v>
      </c>
      <c r="AB27" s="51">
        <v>143345</v>
      </c>
      <c r="AC27" s="51">
        <v>770023</v>
      </c>
      <c r="AD27" s="51">
        <v>433251</v>
      </c>
      <c r="AE27" s="52">
        <v>10.64481</v>
      </c>
      <c r="AF27" s="52">
        <v>57.181950000000001</v>
      </c>
      <c r="AG27" s="52">
        <v>32.17324</v>
      </c>
      <c r="AH27" s="52">
        <v>91.448880000000003</v>
      </c>
      <c r="AI27" s="51">
        <v>2520012</v>
      </c>
      <c r="AJ27" s="51">
        <v>58075</v>
      </c>
      <c r="AK27" s="51">
        <v>1190527</v>
      </c>
      <c r="AL27" s="51">
        <v>1188903</v>
      </c>
      <c r="AM27" s="51">
        <v>1624</v>
      </c>
      <c r="AN27" s="51">
        <v>1152902</v>
      </c>
      <c r="AO27" s="51">
        <v>1188903</v>
      </c>
      <c r="AP27" s="51">
        <v>622055</v>
      </c>
      <c r="AQ27" s="51">
        <v>229823</v>
      </c>
      <c r="AR27" s="51">
        <v>286412</v>
      </c>
      <c r="AS27" s="51">
        <v>14889</v>
      </c>
      <c r="AT27" s="51">
        <v>90931</v>
      </c>
      <c r="AU27" s="51">
        <v>489815</v>
      </c>
      <c r="AV27" s="51">
        <v>153688</v>
      </c>
      <c r="AW27" s="51">
        <v>143699</v>
      </c>
      <c r="AX27" s="51">
        <v>36133</v>
      </c>
    </row>
    <row r="28" spans="1:50" x14ac:dyDescent="0.55000000000000004">
      <c r="A28" s="43">
        <v>28</v>
      </c>
      <c r="B28" s="57" t="s">
        <v>395</v>
      </c>
      <c r="C28" s="2" t="s">
        <v>396</v>
      </c>
      <c r="D28" s="2" t="s">
        <v>397</v>
      </c>
      <c r="E28" s="164" t="s">
        <v>398</v>
      </c>
      <c r="F28" s="165">
        <v>8837685</v>
      </c>
      <c r="G28" s="51">
        <v>4235956</v>
      </c>
      <c r="H28" s="51">
        <v>4601729</v>
      </c>
      <c r="I28" s="51">
        <v>8839469</v>
      </c>
      <c r="J28" s="56">
        <v>-1784</v>
      </c>
      <c r="K28" s="55">
        <v>-2.018E-2</v>
      </c>
      <c r="L28" s="54">
        <v>1905.32</v>
      </c>
      <c r="M28" s="53">
        <v>4638.3999999999996</v>
      </c>
      <c r="N28" s="52">
        <v>47.098039999999997</v>
      </c>
      <c r="O28" s="52">
        <v>47.927289999999999</v>
      </c>
      <c r="P28" s="51">
        <v>1032375</v>
      </c>
      <c r="Q28" s="51">
        <v>5363326</v>
      </c>
      <c r="R28" s="51">
        <v>2441984</v>
      </c>
      <c r="S28" s="52">
        <v>11.681509999999999</v>
      </c>
      <c r="T28" s="52">
        <v>60.686999999999998</v>
      </c>
      <c r="U28" s="52">
        <v>27.631489999999999</v>
      </c>
      <c r="V28" s="51">
        <v>527944</v>
      </c>
      <c r="W28" s="51">
        <v>2658750</v>
      </c>
      <c r="X28" s="51">
        <v>1049262</v>
      </c>
      <c r="Y28" s="52">
        <v>12.4634</v>
      </c>
      <c r="Z28" s="52">
        <v>62.76623</v>
      </c>
      <c r="AA28" s="52">
        <v>24.77037</v>
      </c>
      <c r="AB28" s="51">
        <v>504431</v>
      </c>
      <c r="AC28" s="51">
        <v>2704576</v>
      </c>
      <c r="AD28" s="51">
        <v>1392722</v>
      </c>
      <c r="AE28" s="52">
        <v>10.96177</v>
      </c>
      <c r="AF28" s="52">
        <v>58.773040000000002</v>
      </c>
      <c r="AG28" s="52">
        <v>30.26519</v>
      </c>
      <c r="AH28" s="52">
        <v>92.051400000000001</v>
      </c>
      <c r="AI28" s="51">
        <v>8595483</v>
      </c>
      <c r="AJ28" s="51">
        <v>242202</v>
      </c>
      <c r="AK28" s="51">
        <v>4135879</v>
      </c>
      <c r="AL28" s="51">
        <v>4126995</v>
      </c>
      <c r="AM28" s="51">
        <v>8884</v>
      </c>
      <c r="AN28" s="51">
        <v>3923887</v>
      </c>
      <c r="AO28" s="51">
        <v>4126995</v>
      </c>
      <c r="AP28" s="51">
        <v>2192989</v>
      </c>
      <c r="AQ28" s="51">
        <v>774121</v>
      </c>
      <c r="AR28" s="51">
        <v>1020391</v>
      </c>
      <c r="AS28" s="51">
        <v>53727</v>
      </c>
      <c r="AT28" s="51">
        <v>344750</v>
      </c>
      <c r="AU28" s="51">
        <v>1727107</v>
      </c>
      <c r="AV28" s="51">
        <v>567399</v>
      </c>
      <c r="AW28" s="51">
        <v>452935</v>
      </c>
      <c r="AX28" s="51">
        <v>86646</v>
      </c>
    </row>
    <row r="29" spans="1:50" x14ac:dyDescent="0.55000000000000004">
      <c r="A29" s="43">
        <v>30</v>
      </c>
      <c r="B29" s="57" t="s">
        <v>399</v>
      </c>
      <c r="C29" s="2" t="s">
        <v>400</v>
      </c>
      <c r="D29" s="2" t="s">
        <v>401</v>
      </c>
      <c r="E29" s="164" t="s">
        <v>402</v>
      </c>
      <c r="F29" s="165">
        <v>5465002</v>
      </c>
      <c r="G29" s="51">
        <v>2599756</v>
      </c>
      <c r="H29" s="51">
        <v>2865246</v>
      </c>
      <c r="I29" s="51">
        <v>5534800</v>
      </c>
      <c r="J29" s="56">
        <v>-69798</v>
      </c>
      <c r="K29" s="55">
        <v>-1.26108</v>
      </c>
      <c r="L29" s="54">
        <v>8401.02</v>
      </c>
      <c r="M29" s="53">
        <v>650.5</v>
      </c>
      <c r="N29" s="52">
        <v>47.950780000000002</v>
      </c>
      <c r="O29" s="52">
        <v>49.155889999999999</v>
      </c>
      <c r="P29" s="51">
        <v>666511</v>
      </c>
      <c r="Q29" s="51">
        <v>3197092</v>
      </c>
      <c r="R29" s="51">
        <v>1601399</v>
      </c>
      <c r="S29" s="52">
        <v>12.19599</v>
      </c>
      <c r="T29" s="52">
        <v>58.501199999999997</v>
      </c>
      <c r="U29" s="52">
        <v>29.302810000000001</v>
      </c>
      <c r="V29" s="51">
        <v>341518</v>
      </c>
      <c r="W29" s="51">
        <v>1570055</v>
      </c>
      <c r="X29" s="51">
        <v>688183</v>
      </c>
      <c r="Y29" s="52">
        <v>13.13654</v>
      </c>
      <c r="Z29" s="52">
        <v>60.392400000000002</v>
      </c>
      <c r="AA29" s="52">
        <v>26.471060000000001</v>
      </c>
      <c r="AB29" s="51">
        <v>324993</v>
      </c>
      <c r="AC29" s="51">
        <v>1627037</v>
      </c>
      <c r="AD29" s="51">
        <v>913216</v>
      </c>
      <c r="AE29" s="52">
        <v>11.34259</v>
      </c>
      <c r="AF29" s="52">
        <v>56.785249999999998</v>
      </c>
      <c r="AG29" s="52">
        <v>31.872170000000001</v>
      </c>
      <c r="AH29" s="52">
        <v>90.734129999999993</v>
      </c>
      <c r="AI29" s="51">
        <v>5356648</v>
      </c>
      <c r="AJ29" s="51">
        <v>108354</v>
      </c>
      <c r="AK29" s="51">
        <v>2402484</v>
      </c>
      <c r="AL29" s="51">
        <v>2399358</v>
      </c>
      <c r="AM29" s="51">
        <v>3126</v>
      </c>
      <c r="AN29" s="51">
        <v>2315200</v>
      </c>
      <c r="AO29" s="51">
        <v>2399358</v>
      </c>
      <c r="AP29" s="51">
        <v>1371842</v>
      </c>
      <c r="AQ29" s="51">
        <v>510055</v>
      </c>
      <c r="AR29" s="51">
        <v>639014</v>
      </c>
      <c r="AS29" s="51">
        <v>30998</v>
      </c>
      <c r="AT29" s="51">
        <v>191775</v>
      </c>
      <c r="AU29" s="51">
        <v>862511</v>
      </c>
      <c r="AV29" s="51">
        <v>313735</v>
      </c>
      <c r="AW29" s="51">
        <v>310554</v>
      </c>
      <c r="AX29" s="51">
        <v>78607</v>
      </c>
    </row>
    <row r="30" spans="1:50" x14ac:dyDescent="0.55000000000000004">
      <c r="A30" s="43">
        <v>26</v>
      </c>
      <c r="B30" s="57" t="s">
        <v>403</v>
      </c>
      <c r="C30" s="2" t="s">
        <v>404</v>
      </c>
      <c r="D30" s="2" t="s">
        <v>405</v>
      </c>
      <c r="E30" s="164" t="s">
        <v>406</v>
      </c>
      <c r="F30" s="165">
        <v>1324473</v>
      </c>
      <c r="G30" s="51">
        <v>623926</v>
      </c>
      <c r="H30" s="51">
        <v>700547</v>
      </c>
      <c r="I30" s="51">
        <v>1364316</v>
      </c>
      <c r="J30" s="56">
        <v>-39843</v>
      </c>
      <c r="K30" s="55">
        <v>-2.9203600000000001</v>
      </c>
      <c r="L30" s="54">
        <v>3690.94</v>
      </c>
      <c r="M30" s="53">
        <v>358.8</v>
      </c>
      <c r="N30" s="52">
        <v>49.04701</v>
      </c>
      <c r="O30" s="52">
        <v>50.733730000000001</v>
      </c>
      <c r="P30" s="51">
        <v>154836</v>
      </c>
      <c r="Q30" s="51">
        <v>749514</v>
      </c>
      <c r="R30" s="51">
        <v>420123</v>
      </c>
      <c r="S30" s="52">
        <v>11.690390000000001</v>
      </c>
      <c r="T30" s="52">
        <v>56.589599999999997</v>
      </c>
      <c r="U30" s="52">
        <v>31.720009999999998</v>
      </c>
      <c r="V30" s="51">
        <v>78996</v>
      </c>
      <c r="W30" s="51">
        <v>362335</v>
      </c>
      <c r="X30" s="51">
        <v>182595</v>
      </c>
      <c r="Y30" s="52">
        <v>12.66112</v>
      </c>
      <c r="Z30" s="52">
        <v>58.073390000000003</v>
      </c>
      <c r="AA30" s="52">
        <v>29.26549</v>
      </c>
      <c r="AB30" s="51">
        <v>75840</v>
      </c>
      <c r="AC30" s="51">
        <v>387179</v>
      </c>
      <c r="AD30" s="51">
        <v>237528</v>
      </c>
      <c r="AE30" s="52">
        <v>10.82583</v>
      </c>
      <c r="AF30" s="52">
        <v>55.268099999999997</v>
      </c>
      <c r="AG30" s="52">
        <v>33.906080000000003</v>
      </c>
      <c r="AH30" s="52">
        <v>89.062690000000003</v>
      </c>
      <c r="AI30" s="51">
        <v>1311730</v>
      </c>
      <c r="AJ30" s="51">
        <v>12743</v>
      </c>
      <c r="AK30" s="51">
        <v>544981</v>
      </c>
      <c r="AL30" s="51">
        <v>543908</v>
      </c>
      <c r="AM30" s="51">
        <v>1073</v>
      </c>
      <c r="AN30" s="51">
        <v>530221</v>
      </c>
      <c r="AO30" s="51">
        <v>543908</v>
      </c>
      <c r="AP30" s="51">
        <v>340422</v>
      </c>
      <c r="AQ30" s="51">
        <v>129786</v>
      </c>
      <c r="AR30" s="51">
        <v>156466</v>
      </c>
      <c r="AS30" s="51">
        <v>7602</v>
      </c>
      <c r="AT30" s="51">
        <v>46568</v>
      </c>
      <c r="AU30" s="51">
        <v>159204</v>
      </c>
      <c r="AV30" s="51">
        <v>70741</v>
      </c>
      <c r="AW30" s="51">
        <v>86726</v>
      </c>
      <c r="AX30" s="51">
        <v>25015</v>
      </c>
    </row>
    <row r="31" spans="1:50" x14ac:dyDescent="0.55000000000000004">
      <c r="A31" s="43">
        <v>29</v>
      </c>
      <c r="B31" s="57" t="s">
        <v>407</v>
      </c>
      <c r="C31" s="2" t="s">
        <v>408</v>
      </c>
      <c r="D31" s="2" t="s">
        <v>409</v>
      </c>
      <c r="E31" s="164" t="s">
        <v>410</v>
      </c>
      <c r="F31" s="165">
        <v>922584</v>
      </c>
      <c r="G31" s="51">
        <v>435051</v>
      </c>
      <c r="H31" s="51">
        <v>487533</v>
      </c>
      <c r="I31" s="51">
        <v>963579</v>
      </c>
      <c r="J31" s="56">
        <v>-40995</v>
      </c>
      <c r="K31" s="55">
        <v>-4.2544500000000003</v>
      </c>
      <c r="L31" s="54">
        <v>4724.6499999999996</v>
      </c>
      <c r="M31" s="53">
        <v>195.3</v>
      </c>
      <c r="N31" s="52">
        <v>50.224130000000002</v>
      </c>
      <c r="O31" s="52">
        <v>52.282440000000001</v>
      </c>
      <c r="P31" s="51">
        <v>105598</v>
      </c>
      <c r="Q31" s="51">
        <v>509212</v>
      </c>
      <c r="R31" s="51">
        <v>307774</v>
      </c>
      <c r="S31" s="52">
        <v>11.4459</v>
      </c>
      <c r="T31" s="52">
        <v>55.194110000000002</v>
      </c>
      <c r="U31" s="52">
        <v>33.36</v>
      </c>
      <c r="V31" s="51">
        <v>54010</v>
      </c>
      <c r="W31" s="51">
        <v>250980</v>
      </c>
      <c r="X31" s="51">
        <v>130061</v>
      </c>
      <c r="Y31" s="52">
        <v>12.41464</v>
      </c>
      <c r="Z31" s="52">
        <v>57.689790000000002</v>
      </c>
      <c r="AA31" s="52">
        <v>29.895579999999999</v>
      </c>
      <c r="AB31" s="51">
        <v>51588</v>
      </c>
      <c r="AC31" s="51">
        <v>258232</v>
      </c>
      <c r="AD31" s="51">
        <v>177713</v>
      </c>
      <c r="AE31" s="52">
        <v>10.581440000000001</v>
      </c>
      <c r="AF31" s="52">
        <v>52.967080000000003</v>
      </c>
      <c r="AG31" s="52">
        <v>36.451479999999997</v>
      </c>
      <c r="AH31" s="52">
        <v>89.235190000000003</v>
      </c>
      <c r="AI31" s="51">
        <v>916179</v>
      </c>
      <c r="AJ31" s="51">
        <v>6405</v>
      </c>
      <c r="AK31" s="51">
        <v>394483</v>
      </c>
      <c r="AL31" s="51">
        <v>393489</v>
      </c>
      <c r="AM31" s="51">
        <v>994</v>
      </c>
      <c r="AN31" s="51">
        <v>392332</v>
      </c>
      <c r="AO31" s="51">
        <v>393489</v>
      </c>
      <c r="AP31" s="51">
        <v>233292</v>
      </c>
      <c r="AQ31" s="51">
        <v>92680</v>
      </c>
      <c r="AR31" s="51">
        <v>100052</v>
      </c>
      <c r="AS31" s="51">
        <v>5699</v>
      </c>
      <c r="AT31" s="51">
        <v>34861</v>
      </c>
      <c r="AU31" s="51">
        <v>127908</v>
      </c>
      <c r="AV31" s="51">
        <v>64404</v>
      </c>
      <c r="AW31" s="51">
        <v>59239</v>
      </c>
      <c r="AX31" s="51">
        <v>17459</v>
      </c>
    </row>
    <row r="32" spans="1:50" x14ac:dyDescent="0.55000000000000004">
      <c r="A32" s="43">
        <v>31</v>
      </c>
      <c r="B32" s="57" t="s">
        <v>411</v>
      </c>
      <c r="C32" s="2" t="s">
        <v>412</v>
      </c>
      <c r="D32" s="2" t="s">
        <v>413</v>
      </c>
      <c r="E32" s="164" t="s">
        <v>414</v>
      </c>
      <c r="F32" s="165">
        <v>553407</v>
      </c>
      <c r="G32" s="51">
        <v>264432</v>
      </c>
      <c r="H32" s="51">
        <v>288975</v>
      </c>
      <c r="I32" s="51">
        <v>573441</v>
      </c>
      <c r="J32" s="56">
        <v>-20034</v>
      </c>
      <c r="K32" s="55">
        <v>-3.4936500000000001</v>
      </c>
      <c r="L32" s="54">
        <v>3507.14</v>
      </c>
      <c r="M32" s="53">
        <v>157.80000000000001</v>
      </c>
      <c r="N32" s="52">
        <v>49.249400000000001</v>
      </c>
      <c r="O32" s="52">
        <v>50.830750000000002</v>
      </c>
      <c r="P32" s="51">
        <v>68542</v>
      </c>
      <c r="Q32" s="51">
        <v>306288</v>
      </c>
      <c r="R32" s="51">
        <v>178577</v>
      </c>
      <c r="S32" s="52">
        <v>12.38546</v>
      </c>
      <c r="T32" s="52">
        <v>55.345880000000001</v>
      </c>
      <c r="U32" s="52">
        <v>32.268659999999997</v>
      </c>
      <c r="V32" s="51">
        <v>35182</v>
      </c>
      <c r="W32" s="51">
        <v>153956</v>
      </c>
      <c r="X32" s="51">
        <v>75294</v>
      </c>
      <c r="Y32" s="52">
        <v>13.304740000000001</v>
      </c>
      <c r="Z32" s="52">
        <v>58.221400000000003</v>
      </c>
      <c r="AA32" s="52">
        <v>28.473859999999998</v>
      </c>
      <c r="AB32" s="51">
        <v>33360</v>
      </c>
      <c r="AC32" s="51">
        <v>152332</v>
      </c>
      <c r="AD32" s="51">
        <v>103283</v>
      </c>
      <c r="AE32" s="52">
        <v>11.54425</v>
      </c>
      <c r="AF32" s="52">
        <v>52.714590000000001</v>
      </c>
      <c r="AG32" s="52">
        <v>35.741149999999998</v>
      </c>
      <c r="AH32" s="52">
        <v>91.506879999999995</v>
      </c>
      <c r="AI32" s="51">
        <v>548766</v>
      </c>
      <c r="AJ32" s="51">
        <v>4641</v>
      </c>
      <c r="AK32" s="51">
        <v>219742</v>
      </c>
      <c r="AL32" s="51">
        <v>219069</v>
      </c>
      <c r="AM32" s="51">
        <v>673</v>
      </c>
      <c r="AN32" s="51">
        <v>216894</v>
      </c>
      <c r="AO32" s="51">
        <v>219069</v>
      </c>
      <c r="AP32" s="51">
        <v>115881</v>
      </c>
      <c r="AQ32" s="51">
        <v>41682</v>
      </c>
      <c r="AR32" s="51">
        <v>51398</v>
      </c>
      <c r="AS32" s="51">
        <v>3250</v>
      </c>
      <c r="AT32" s="51">
        <v>19551</v>
      </c>
      <c r="AU32" s="51">
        <v>70641</v>
      </c>
      <c r="AV32" s="51">
        <v>27170</v>
      </c>
      <c r="AW32" s="51">
        <v>26164</v>
      </c>
      <c r="AX32" s="51">
        <v>20626</v>
      </c>
    </row>
    <row r="33" spans="1:50" x14ac:dyDescent="0.55000000000000004">
      <c r="A33" s="43">
        <v>35</v>
      </c>
      <c r="B33" s="57" t="s">
        <v>415</v>
      </c>
      <c r="C33" s="2" t="s">
        <v>416</v>
      </c>
      <c r="D33" s="2" t="s">
        <v>417</v>
      </c>
      <c r="E33" s="164" t="s">
        <v>418</v>
      </c>
      <c r="F33" s="165">
        <v>671126</v>
      </c>
      <c r="G33" s="51">
        <v>324291</v>
      </c>
      <c r="H33" s="51">
        <v>346835</v>
      </c>
      <c r="I33" s="51">
        <v>694352</v>
      </c>
      <c r="J33" s="56">
        <v>-23226</v>
      </c>
      <c r="K33" s="55">
        <v>-3.3449900000000001</v>
      </c>
      <c r="L33" s="54">
        <v>6707.89</v>
      </c>
      <c r="M33" s="53">
        <v>100.1</v>
      </c>
      <c r="N33" s="52">
        <v>50.131639999999997</v>
      </c>
      <c r="O33" s="52">
        <v>52.041989999999998</v>
      </c>
      <c r="P33" s="51">
        <v>81837</v>
      </c>
      <c r="Q33" s="51">
        <v>359735</v>
      </c>
      <c r="R33" s="51">
        <v>229554</v>
      </c>
      <c r="S33" s="52">
        <v>12.19398</v>
      </c>
      <c r="T33" s="52">
        <v>53.601709999999997</v>
      </c>
      <c r="U33" s="52">
        <v>34.20431</v>
      </c>
      <c r="V33" s="51">
        <v>42114</v>
      </c>
      <c r="W33" s="51">
        <v>184329</v>
      </c>
      <c r="X33" s="51">
        <v>97848</v>
      </c>
      <c r="Y33" s="52">
        <v>12.98648</v>
      </c>
      <c r="Z33" s="52">
        <v>56.840620000000001</v>
      </c>
      <c r="AA33" s="52">
        <v>30.172899999999998</v>
      </c>
      <c r="AB33" s="51">
        <v>39723</v>
      </c>
      <c r="AC33" s="51">
        <v>175406</v>
      </c>
      <c r="AD33" s="51">
        <v>131706</v>
      </c>
      <c r="AE33" s="52">
        <v>11.452999999999999</v>
      </c>
      <c r="AF33" s="52">
        <v>50.573329999999999</v>
      </c>
      <c r="AG33" s="52">
        <v>37.973680000000002</v>
      </c>
      <c r="AH33" s="52">
        <v>93.500079999999997</v>
      </c>
      <c r="AI33" s="51">
        <v>662115</v>
      </c>
      <c r="AJ33" s="51">
        <v>9011</v>
      </c>
      <c r="AK33" s="51">
        <v>269892</v>
      </c>
      <c r="AL33" s="51">
        <v>268462</v>
      </c>
      <c r="AM33" s="51">
        <v>1430</v>
      </c>
      <c r="AN33" s="51">
        <v>265008</v>
      </c>
      <c r="AO33" s="51">
        <v>268462</v>
      </c>
      <c r="AP33" s="51">
        <v>140016</v>
      </c>
      <c r="AQ33" s="51">
        <v>56567</v>
      </c>
      <c r="AR33" s="51">
        <v>58863</v>
      </c>
      <c r="AS33" s="51">
        <v>3528</v>
      </c>
      <c r="AT33" s="51">
        <v>21058</v>
      </c>
      <c r="AU33" s="51">
        <v>89036</v>
      </c>
      <c r="AV33" s="51">
        <v>35331</v>
      </c>
      <c r="AW33" s="51">
        <v>36340</v>
      </c>
      <c r="AX33" s="51">
        <v>24575</v>
      </c>
    </row>
    <row r="34" spans="1:50" x14ac:dyDescent="0.55000000000000004">
      <c r="A34" s="43">
        <v>32</v>
      </c>
      <c r="B34" s="57" t="s">
        <v>419</v>
      </c>
      <c r="C34" s="2" t="s">
        <v>420</v>
      </c>
      <c r="D34" s="2" t="s">
        <v>421</v>
      </c>
      <c r="E34" s="164" t="s">
        <v>422</v>
      </c>
      <c r="F34" s="165">
        <v>1888432</v>
      </c>
      <c r="G34" s="51">
        <v>908045</v>
      </c>
      <c r="H34" s="51">
        <v>980387</v>
      </c>
      <c r="I34" s="51">
        <v>1921525</v>
      </c>
      <c r="J34" s="56">
        <v>-33093</v>
      </c>
      <c r="K34" s="55">
        <v>-1.7222299999999999</v>
      </c>
      <c r="L34" s="54">
        <v>7114.33</v>
      </c>
      <c r="M34" s="53">
        <v>265.39999999999998</v>
      </c>
      <c r="N34" s="52">
        <v>48.009790000000002</v>
      </c>
      <c r="O34" s="52">
        <v>48.831049999999998</v>
      </c>
      <c r="P34" s="51">
        <v>233416</v>
      </c>
      <c r="Q34" s="51">
        <v>1082126</v>
      </c>
      <c r="R34" s="51">
        <v>572890</v>
      </c>
      <c r="S34" s="52">
        <v>12.36031</v>
      </c>
      <c r="T34" s="52">
        <v>57.302880000000002</v>
      </c>
      <c r="U34" s="52">
        <v>30.33681</v>
      </c>
      <c r="V34" s="51">
        <v>120038</v>
      </c>
      <c r="W34" s="51">
        <v>541499</v>
      </c>
      <c r="X34" s="51">
        <v>246508</v>
      </c>
      <c r="Y34" s="52">
        <v>13.219390000000001</v>
      </c>
      <c r="Z34" s="52">
        <v>59.633499999999998</v>
      </c>
      <c r="AA34" s="52">
        <v>27.147110000000001</v>
      </c>
      <c r="AB34" s="51">
        <v>113378</v>
      </c>
      <c r="AC34" s="51">
        <v>540627</v>
      </c>
      <c r="AD34" s="51">
        <v>326382</v>
      </c>
      <c r="AE34" s="52">
        <v>11.56462</v>
      </c>
      <c r="AF34" s="52">
        <v>55.144240000000003</v>
      </c>
      <c r="AG34" s="52">
        <v>33.291139999999999</v>
      </c>
      <c r="AH34" s="52">
        <v>92.621080000000006</v>
      </c>
      <c r="AI34" s="51">
        <v>1859012</v>
      </c>
      <c r="AJ34" s="51">
        <v>29420</v>
      </c>
      <c r="AK34" s="51">
        <v>801409</v>
      </c>
      <c r="AL34" s="51">
        <v>799611</v>
      </c>
      <c r="AM34" s="51">
        <v>1798</v>
      </c>
      <c r="AN34" s="51">
        <v>772977</v>
      </c>
      <c r="AO34" s="51">
        <v>799611</v>
      </c>
      <c r="AP34" s="51">
        <v>435515</v>
      </c>
      <c r="AQ34" s="51">
        <v>162552</v>
      </c>
      <c r="AR34" s="51">
        <v>202327</v>
      </c>
      <c r="AS34" s="51">
        <v>10376</v>
      </c>
      <c r="AT34" s="51">
        <v>60260</v>
      </c>
      <c r="AU34" s="51">
        <v>284926</v>
      </c>
      <c r="AV34" s="51">
        <v>94208</v>
      </c>
      <c r="AW34" s="51">
        <v>103306</v>
      </c>
      <c r="AX34" s="51">
        <v>41981</v>
      </c>
    </row>
    <row r="35" spans="1:50" x14ac:dyDescent="0.55000000000000004">
      <c r="A35" s="43">
        <v>36</v>
      </c>
      <c r="B35" s="57" t="s">
        <v>423</v>
      </c>
      <c r="C35" s="2" t="s">
        <v>424</v>
      </c>
      <c r="D35" s="2" t="s">
        <v>425</v>
      </c>
      <c r="E35" s="164" t="s">
        <v>426</v>
      </c>
      <c r="F35" s="165">
        <v>2799702</v>
      </c>
      <c r="G35" s="51">
        <v>1357156</v>
      </c>
      <c r="H35" s="51">
        <v>1442546</v>
      </c>
      <c r="I35" s="51">
        <v>2843990</v>
      </c>
      <c r="J35" s="56">
        <v>-44288</v>
      </c>
      <c r="K35" s="55">
        <v>-1.55725</v>
      </c>
      <c r="L35" s="54">
        <v>8479.65</v>
      </c>
      <c r="M35" s="53">
        <v>330.2</v>
      </c>
      <c r="N35" s="52">
        <v>47.663670000000003</v>
      </c>
      <c r="O35" s="52">
        <v>48.538220000000003</v>
      </c>
      <c r="P35" s="51">
        <v>353792</v>
      </c>
      <c r="Q35" s="51">
        <v>1622812</v>
      </c>
      <c r="R35" s="51">
        <v>823098</v>
      </c>
      <c r="S35" s="52">
        <v>12.63677</v>
      </c>
      <c r="T35" s="52">
        <v>57.963740000000001</v>
      </c>
      <c r="U35" s="52">
        <v>29.39949</v>
      </c>
      <c r="V35" s="51">
        <v>181003</v>
      </c>
      <c r="W35" s="51">
        <v>821120</v>
      </c>
      <c r="X35" s="51">
        <v>355033</v>
      </c>
      <c r="Y35" s="52">
        <v>13.336930000000001</v>
      </c>
      <c r="Z35" s="52">
        <v>60.502989999999997</v>
      </c>
      <c r="AA35" s="52">
        <v>26.160070000000001</v>
      </c>
      <c r="AB35" s="51">
        <v>172789</v>
      </c>
      <c r="AC35" s="51">
        <v>801692</v>
      </c>
      <c r="AD35" s="51">
        <v>468065</v>
      </c>
      <c r="AE35" s="52">
        <v>11.978059999999999</v>
      </c>
      <c r="AF35" s="52">
        <v>55.574800000000003</v>
      </c>
      <c r="AG35" s="52">
        <v>32.447150000000001</v>
      </c>
      <c r="AH35" s="52">
        <v>94.080600000000004</v>
      </c>
      <c r="AI35" s="51">
        <v>2746811</v>
      </c>
      <c r="AJ35" s="51">
        <v>52891</v>
      </c>
      <c r="AK35" s="51">
        <v>1243527</v>
      </c>
      <c r="AL35" s="51">
        <v>1241204</v>
      </c>
      <c r="AM35" s="51">
        <v>2323</v>
      </c>
      <c r="AN35" s="51">
        <v>1211425</v>
      </c>
      <c r="AO35" s="51">
        <v>1241204</v>
      </c>
      <c r="AP35" s="51">
        <v>695820</v>
      </c>
      <c r="AQ35" s="51">
        <v>272306</v>
      </c>
      <c r="AR35" s="51">
        <v>314235</v>
      </c>
      <c r="AS35" s="51">
        <v>15298</v>
      </c>
      <c r="AT35" s="51">
        <v>93981</v>
      </c>
      <c r="AU35" s="51">
        <v>462961</v>
      </c>
      <c r="AV35" s="51">
        <v>157316</v>
      </c>
      <c r="AW35" s="51">
        <v>166047</v>
      </c>
      <c r="AX35" s="51">
        <v>41462</v>
      </c>
    </row>
    <row r="36" spans="1:50" x14ac:dyDescent="0.55000000000000004">
      <c r="A36" s="43">
        <v>39</v>
      </c>
      <c r="B36" s="57" t="s">
        <v>427</v>
      </c>
      <c r="C36" s="2" t="s">
        <v>428</v>
      </c>
      <c r="D36" s="2" t="s">
        <v>429</v>
      </c>
      <c r="E36" s="164" t="s">
        <v>430</v>
      </c>
      <c r="F36" s="165">
        <v>1342059</v>
      </c>
      <c r="G36" s="51">
        <v>636736</v>
      </c>
      <c r="H36" s="51">
        <v>705323</v>
      </c>
      <c r="I36" s="51">
        <v>1404729</v>
      </c>
      <c r="J36" s="56">
        <v>-62670</v>
      </c>
      <c r="K36" s="55">
        <v>-4.46136</v>
      </c>
      <c r="L36" s="54">
        <v>6112.54</v>
      </c>
      <c r="M36" s="53">
        <v>219.6</v>
      </c>
      <c r="N36" s="52">
        <v>50.395679999999999</v>
      </c>
      <c r="O36" s="52">
        <v>52.282850000000003</v>
      </c>
      <c r="P36" s="51">
        <v>153838</v>
      </c>
      <c r="Q36" s="51">
        <v>723588</v>
      </c>
      <c r="R36" s="51">
        <v>464633</v>
      </c>
      <c r="S36" s="52">
        <v>11.46283</v>
      </c>
      <c r="T36" s="52">
        <v>53.916260000000001</v>
      </c>
      <c r="U36" s="52">
        <v>34.620910000000002</v>
      </c>
      <c r="V36" s="51">
        <v>78833</v>
      </c>
      <c r="W36" s="51">
        <v>362964</v>
      </c>
      <c r="X36" s="51">
        <v>194939</v>
      </c>
      <c r="Y36" s="52">
        <v>12.380800000000001</v>
      </c>
      <c r="Z36" s="52">
        <v>57.003839999999997</v>
      </c>
      <c r="AA36" s="52">
        <v>30.615359999999999</v>
      </c>
      <c r="AB36" s="51">
        <v>75005</v>
      </c>
      <c r="AC36" s="51">
        <v>360624</v>
      </c>
      <c r="AD36" s="51">
        <v>269694</v>
      </c>
      <c r="AE36" s="52">
        <v>10.634130000000001</v>
      </c>
      <c r="AF36" s="52">
        <v>51.128920000000001</v>
      </c>
      <c r="AG36" s="52">
        <v>38.23695</v>
      </c>
      <c r="AH36" s="52">
        <v>90.275800000000004</v>
      </c>
      <c r="AI36" s="51">
        <v>1326043</v>
      </c>
      <c r="AJ36" s="51">
        <v>16016</v>
      </c>
      <c r="AK36" s="51">
        <v>598824</v>
      </c>
      <c r="AL36" s="51">
        <v>597309</v>
      </c>
      <c r="AM36" s="51">
        <v>1515</v>
      </c>
      <c r="AN36" s="51">
        <v>598834</v>
      </c>
      <c r="AO36" s="51">
        <v>597309</v>
      </c>
      <c r="AP36" s="51">
        <v>336505</v>
      </c>
      <c r="AQ36" s="51">
        <v>143402</v>
      </c>
      <c r="AR36" s="51">
        <v>137230</v>
      </c>
      <c r="AS36" s="51">
        <v>7711</v>
      </c>
      <c r="AT36" s="51">
        <v>48162</v>
      </c>
      <c r="AU36" s="51">
        <v>218208</v>
      </c>
      <c r="AV36" s="51">
        <v>94207</v>
      </c>
      <c r="AW36" s="51">
        <v>92911</v>
      </c>
      <c r="AX36" s="51">
        <v>20793</v>
      </c>
    </row>
    <row r="37" spans="1:50" x14ac:dyDescent="0.55000000000000004">
      <c r="A37" s="43">
        <v>34</v>
      </c>
      <c r="B37" s="57" t="s">
        <v>431</v>
      </c>
      <c r="C37" s="2" t="s">
        <v>432</v>
      </c>
      <c r="D37" s="2" t="s">
        <v>433</v>
      </c>
      <c r="E37" s="164" t="s">
        <v>434</v>
      </c>
      <c r="F37" s="165">
        <v>719559</v>
      </c>
      <c r="G37" s="51">
        <v>343265</v>
      </c>
      <c r="H37" s="51">
        <v>376294</v>
      </c>
      <c r="I37" s="51">
        <v>755733</v>
      </c>
      <c r="J37" s="56">
        <v>-36174</v>
      </c>
      <c r="K37" s="55">
        <v>-4.7866099999999996</v>
      </c>
      <c r="L37" s="54">
        <v>4146.75</v>
      </c>
      <c r="M37" s="53">
        <v>173.5</v>
      </c>
      <c r="N37" s="52">
        <v>50.53772</v>
      </c>
      <c r="O37" s="52">
        <v>52.65916</v>
      </c>
      <c r="P37" s="51">
        <v>78361</v>
      </c>
      <c r="Q37" s="51">
        <v>395215</v>
      </c>
      <c r="R37" s="51">
        <v>245983</v>
      </c>
      <c r="S37" s="52">
        <v>10.890140000000001</v>
      </c>
      <c r="T37" s="52">
        <v>54.924610000000001</v>
      </c>
      <c r="U37" s="52">
        <v>34.18524</v>
      </c>
      <c r="V37" s="51">
        <v>40262</v>
      </c>
      <c r="W37" s="51">
        <v>197131</v>
      </c>
      <c r="X37" s="51">
        <v>105872</v>
      </c>
      <c r="Y37" s="52">
        <v>11.72913</v>
      </c>
      <c r="Z37" s="52">
        <v>57.428229999999999</v>
      </c>
      <c r="AA37" s="52">
        <v>30.842639999999999</v>
      </c>
      <c r="AB37" s="51">
        <v>38099</v>
      </c>
      <c r="AC37" s="51">
        <v>198084</v>
      </c>
      <c r="AD37" s="51">
        <v>140111</v>
      </c>
      <c r="AE37" s="52">
        <v>10.1248</v>
      </c>
      <c r="AF37" s="52">
        <v>52.640749999999997</v>
      </c>
      <c r="AG37" s="52">
        <v>37.234450000000002</v>
      </c>
      <c r="AH37" s="52">
        <v>91.222549999999998</v>
      </c>
      <c r="AI37" s="51">
        <v>713716</v>
      </c>
      <c r="AJ37" s="51">
        <v>5843</v>
      </c>
      <c r="AK37" s="51">
        <v>308210</v>
      </c>
      <c r="AL37" s="51">
        <v>307358</v>
      </c>
      <c r="AM37" s="51">
        <v>852</v>
      </c>
      <c r="AN37" s="51">
        <v>305754</v>
      </c>
      <c r="AO37" s="51">
        <v>307358</v>
      </c>
      <c r="AP37" s="51">
        <v>165161</v>
      </c>
      <c r="AQ37" s="51">
        <v>65180</v>
      </c>
      <c r="AR37" s="51">
        <v>71917</v>
      </c>
      <c r="AS37" s="51">
        <v>4306</v>
      </c>
      <c r="AT37" s="51">
        <v>23758</v>
      </c>
      <c r="AU37" s="51">
        <v>109570</v>
      </c>
      <c r="AV37" s="51">
        <v>42341</v>
      </c>
      <c r="AW37" s="51">
        <v>42224</v>
      </c>
      <c r="AX37" s="51">
        <v>17536</v>
      </c>
    </row>
    <row r="38" spans="1:50" x14ac:dyDescent="0.55000000000000004">
      <c r="A38" s="43">
        <v>33</v>
      </c>
      <c r="B38" s="57" t="s">
        <v>435</v>
      </c>
      <c r="C38" s="2" t="s">
        <v>436</v>
      </c>
      <c r="D38" s="2" t="s">
        <v>437</v>
      </c>
      <c r="E38" s="164" t="s">
        <v>438</v>
      </c>
      <c r="F38" s="165">
        <v>950244</v>
      </c>
      <c r="G38" s="51">
        <v>459197</v>
      </c>
      <c r="H38" s="51">
        <v>491047</v>
      </c>
      <c r="I38" s="51">
        <v>976263</v>
      </c>
      <c r="J38" s="56">
        <v>-26019</v>
      </c>
      <c r="K38" s="55">
        <v>-2.6651600000000002</v>
      </c>
      <c r="L38" s="54">
        <v>1876.78</v>
      </c>
      <c r="M38" s="53">
        <v>506.3</v>
      </c>
      <c r="N38" s="52">
        <v>49.040170000000003</v>
      </c>
      <c r="O38" s="52">
        <v>50.152630000000002</v>
      </c>
      <c r="P38" s="51">
        <v>114662</v>
      </c>
      <c r="Q38" s="51">
        <v>533564</v>
      </c>
      <c r="R38" s="51">
        <v>302018</v>
      </c>
      <c r="S38" s="52">
        <v>12.06659</v>
      </c>
      <c r="T38" s="52">
        <v>56.150210000000001</v>
      </c>
      <c r="U38" s="52">
        <v>31.78321</v>
      </c>
      <c r="V38" s="51">
        <v>58723</v>
      </c>
      <c r="W38" s="51">
        <v>269750</v>
      </c>
      <c r="X38" s="51">
        <v>130724</v>
      </c>
      <c r="Y38" s="52">
        <v>12.78819</v>
      </c>
      <c r="Z38" s="52">
        <v>58.743850000000002</v>
      </c>
      <c r="AA38" s="52">
        <v>28.467960000000001</v>
      </c>
      <c r="AB38" s="51">
        <v>55939</v>
      </c>
      <c r="AC38" s="51">
        <v>263814</v>
      </c>
      <c r="AD38" s="51">
        <v>171294</v>
      </c>
      <c r="AE38" s="52">
        <v>11.391780000000001</v>
      </c>
      <c r="AF38" s="52">
        <v>53.724800000000002</v>
      </c>
      <c r="AG38" s="52">
        <v>34.883420000000001</v>
      </c>
      <c r="AH38" s="52">
        <v>93.513859999999994</v>
      </c>
      <c r="AI38" s="51">
        <v>937342</v>
      </c>
      <c r="AJ38" s="51">
        <v>12902</v>
      </c>
      <c r="AK38" s="51">
        <v>406985</v>
      </c>
      <c r="AL38" s="51">
        <v>406062</v>
      </c>
      <c r="AM38" s="51">
        <v>923</v>
      </c>
      <c r="AN38" s="51">
        <v>398551</v>
      </c>
      <c r="AO38" s="51">
        <v>406062</v>
      </c>
      <c r="AP38" s="51">
        <v>230506</v>
      </c>
      <c r="AQ38" s="51">
        <v>90550</v>
      </c>
      <c r="AR38" s="51">
        <v>102399</v>
      </c>
      <c r="AS38" s="51">
        <v>5682</v>
      </c>
      <c r="AT38" s="51">
        <v>31875</v>
      </c>
      <c r="AU38" s="51">
        <v>139818</v>
      </c>
      <c r="AV38" s="51">
        <v>53301</v>
      </c>
      <c r="AW38" s="51">
        <v>56782</v>
      </c>
      <c r="AX38" s="51">
        <v>19096</v>
      </c>
    </row>
    <row r="39" spans="1:50" x14ac:dyDescent="0.55000000000000004">
      <c r="A39" s="43">
        <v>37</v>
      </c>
      <c r="B39" s="57" t="s">
        <v>439</v>
      </c>
      <c r="C39" s="2" t="s">
        <v>440</v>
      </c>
      <c r="D39" s="2" t="s">
        <v>441</v>
      </c>
      <c r="E39" s="164" t="s">
        <v>442</v>
      </c>
      <c r="F39" s="165">
        <v>1334841</v>
      </c>
      <c r="G39" s="51">
        <v>633062</v>
      </c>
      <c r="H39" s="51">
        <v>701779</v>
      </c>
      <c r="I39" s="51">
        <v>1385262</v>
      </c>
      <c r="J39" s="56">
        <v>-50421</v>
      </c>
      <c r="K39" s="55">
        <v>-3.6398199999999998</v>
      </c>
      <c r="L39" s="54">
        <v>5676.19</v>
      </c>
      <c r="M39" s="53">
        <v>235.2</v>
      </c>
      <c r="N39" s="52">
        <v>49.991169999999997</v>
      </c>
      <c r="O39" s="52">
        <v>51.786720000000003</v>
      </c>
      <c r="P39" s="51">
        <v>154420</v>
      </c>
      <c r="Q39" s="51">
        <v>737231</v>
      </c>
      <c r="R39" s="51">
        <v>443190</v>
      </c>
      <c r="S39" s="52">
        <v>11.56842</v>
      </c>
      <c r="T39" s="52">
        <v>55.229869999999998</v>
      </c>
      <c r="U39" s="52">
        <v>33.201709999999999</v>
      </c>
      <c r="V39" s="51">
        <v>79153</v>
      </c>
      <c r="W39" s="51">
        <v>366862</v>
      </c>
      <c r="X39" s="51">
        <v>187047</v>
      </c>
      <c r="Y39" s="52">
        <v>12.5032</v>
      </c>
      <c r="Z39" s="52">
        <v>57.950409999999998</v>
      </c>
      <c r="AA39" s="52">
        <v>29.546399999999998</v>
      </c>
      <c r="AB39" s="51">
        <v>75267</v>
      </c>
      <c r="AC39" s="51">
        <v>370369</v>
      </c>
      <c r="AD39" s="51">
        <v>256143</v>
      </c>
      <c r="AE39" s="52">
        <v>10.72517</v>
      </c>
      <c r="AF39" s="52">
        <v>52.775730000000003</v>
      </c>
      <c r="AG39" s="52">
        <v>36.499099999999999</v>
      </c>
      <c r="AH39" s="52">
        <v>90.208169999999996</v>
      </c>
      <c r="AI39" s="51">
        <v>1322257</v>
      </c>
      <c r="AJ39" s="51">
        <v>12584</v>
      </c>
      <c r="AK39" s="51">
        <v>601402</v>
      </c>
      <c r="AL39" s="51">
        <v>599941</v>
      </c>
      <c r="AM39" s="51">
        <v>1461</v>
      </c>
      <c r="AN39" s="51">
        <v>591972</v>
      </c>
      <c r="AO39" s="51">
        <v>599941</v>
      </c>
      <c r="AP39" s="51">
        <v>331966</v>
      </c>
      <c r="AQ39" s="51">
        <v>135510</v>
      </c>
      <c r="AR39" s="51">
        <v>139040</v>
      </c>
      <c r="AS39" s="51">
        <v>7980</v>
      </c>
      <c r="AT39" s="51">
        <v>49436</v>
      </c>
      <c r="AU39" s="51">
        <v>224773</v>
      </c>
      <c r="AV39" s="51">
        <v>89813</v>
      </c>
      <c r="AW39" s="51">
        <v>85126</v>
      </c>
      <c r="AX39" s="51">
        <v>20876</v>
      </c>
    </row>
    <row r="40" spans="1:50" x14ac:dyDescent="0.55000000000000004">
      <c r="A40" s="43">
        <v>38</v>
      </c>
      <c r="B40" s="57" t="s">
        <v>443</v>
      </c>
      <c r="C40" s="2" t="s">
        <v>444</v>
      </c>
      <c r="D40" s="2" t="s">
        <v>445</v>
      </c>
      <c r="E40" s="164" t="s">
        <v>446</v>
      </c>
      <c r="F40" s="165">
        <v>691527</v>
      </c>
      <c r="G40" s="51">
        <v>326531</v>
      </c>
      <c r="H40" s="51">
        <v>364996</v>
      </c>
      <c r="I40" s="51">
        <v>728276</v>
      </c>
      <c r="J40" s="56">
        <v>-36749</v>
      </c>
      <c r="K40" s="55">
        <v>-5.04603</v>
      </c>
      <c r="L40" s="54">
        <v>7103.63</v>
      </c>
      <c r="M40" s="53">
        <v>97.3</v>
      </c>
      <c r="N40" s="52">
        <v>51.253729999999997</v>
      </c>
      <c r="O40" s="52">
        <v>53.443950000000001</v>
      </c>
      <c r="P40" s="51">
        <v>75171</v>
      </c>
      <c r="Q40" s="51">
        <v>370997</v>
      </c>
      <c r="R40" s="51">
        <v>245359</v>
      </c>
      <c r="S40" s="52">
        <v>10.870290000000001</v>
      </c>
      <c r="T40" s="52">
        <v>53.648949999999999</v>
      </c>
      <c r="U40" s="52">
        <v>35.48075</v>
      </c>
      <c r="V40" s="51">
        <v>38389</v>
      </c>
      <c r="W40" s="51">
        <v>185381</v>
      </c>
      <c r="X40" s="51">
        <v>102761</v>
      </c>
      <c r="Y40" s="52">
        <v>11.75662</v>
      </c>
      <c r="Z40" s="52">
        <v>56.772860000000001</v>
      </c>
      <c r="AA40" s="52">
        <v>31.47052</v>
      </c>
      <c r="AB40" s="51">
        <v>36782</v>
      </c>
      <c r="AC40" s="51">
        <v>185616</v>
      </c>
      <c r="AD40" s="51">
        <v>142598</v>
      </c>
      <c r="AE40" s="52">
        <v>10.07737</v>
      </c>
      <c r="AF40" s="52">
        <v>50.854259999999996</v>
      </c>
      <c r="AG40" s="52">
        <v>39.068370000000002</v>
      </c>
      <c r="AH40" s="52">
        <v>89.461529999999996</v>
      </c>
      <c r="AI40" s="51">
        <v>686982</v>
      </c>
      <c r="AJ40" s="51">
        <v>4545</v>
      </c>
      <c r="AK40" s="51">
        <v>315272</v>
      </c>
      <c r="AL40" s="51">
        <v>314330</v>
      </c>
      <c r="AM40" s="51">
        <v>942</v>
      </c>
      <c r="AN40" s="51">
        <v>319011</v>
      </c>
      <c r="AO40" s="51">
        <v>314330</v>
      </c>
      <c r="AP40" s="51">
        <v>168195</v>
      </c>
      <c r="AQ40" s="51">
        <v>67289</v>
      </c>
      <c r="AR40" s="51">
        <v>67755</v>
      </c>
      <c r="AS40" s="51">
        <v>5062</v>
      </c>
      <c r="AT40" s="51">
        <v>28089</v>
      </c>
      <c r="AU40" s="51">
        <v>122867</v>
      </c>
      <c r="AV40" s="51">
        <v>55958</v>
      </c>
      <c r="AW40" s="51">
        <v>42705</v>
      </c>
      <c r="AX40" s="51">
        <v>10570</v>
      </c>
    </row>
    <row r="41" spans="1:50" x14ac:dyDescent="0.55000000000000004">
      <c r="A41" s="43">
        <v>40</v>
      </c>
      <c r="B41" s="57" t="s">
        <v>447</v>
      </c>
      <c r="C41" s="2" t="s">
        <v>448</v>
      </c>
      <c r="D41" s="2" t="s">
        <v>449</v>
      </c>
      <c r="E41" s="164" t="s">
        <v>450</v>
      </c>
      <c r="F41" s="165">
        <v>5135214</v>
      </c>
      <c r="G41" s="51">
        <v>2430951</v>
      </c>
      <c r="H41" s="51">
        <v>2704263</v>
      </c>
      <c r="I41" s="51">
        <v>5101556</v>
      </c>
      <c r="J41" s="56">
        <v>33658</v>
      </c>
      <c r="K41" s="55">
        <v>0.65976000000000001</v>
      </c>
      <c r="L41" s="54">
        <v>4986.51</v>
      </c>
      <c r="M41" s="53">
        <v>1029.8</v>
      </c>
      <c r="N41" s="52">
        <v>46.686619999999998</v>
      </c>
      <c r="O41" s="52">
        <v>47.302140000000001</v>
      </c>
      <c r="P41" s="51">
        <v>667107</v>
      </c>
      <c r="Q41" s="51">
        <v>3035328</v>
      </c>
      <c r="R41" s="51">
        <v>1432779</v>
      </c>
      <c r="S41" s="52">
        <v>12.990830000000001</v>
      </c>
      <c r="T41" s="52">
        <v>59.108110000000003</v>
      </c>
      <c r="U41" s="52">
        <v>27.901060000000001</v>
      </c>
      <c r="V41" s="51">
        <v>341127</v>
      </c>
      <c r="W41" s="51">
        <v>1490234</v>
      </c>
      <c r="X41" s="51">
        <v>599590</v>
      </c>
      <c r="Y41" s="52">
        <v>14.03266</v>
      </c>
      <c r="Z41" s="52">
        <v>61.302509999999998</v>
      </c>
      <c r="AA41" s="52">
        <v>24.664829999999998</v>
      </c>
      <c r="AB41" s="51">
        <v>325980</v>
      </c>
      <c r="AC41" s="51">
        <v>1545094</v>
      </c>
      <c r="AD41" s="51">
        <v>833189</v>
      </c>
      <c r="AE41" s="52">
        <v>12.0543</v>
      </c>
      <c r="AF41" s="52">
        <v>57.135489999999997</v>
      </c>
      <c r="AG41" s="52">
        <v>30.810210000000001</v>
      </c>
      <c r="AH41" s="52">
        <v>89.893289999999993</v>
      </c>
      <c r="AI41" s="51">
        <v>5055456</v>
      </c>
      <c r="AJ41" s="51">
        <v>79758</v>
      </c>
      <c r="AK41" s="51">
        <v>2323325</v>
      </c>
      <c r="AL41" s="51">
        <v>2318479</v>
      </c>
      <c r="AM41" s="51">
        <v>4846</v>
      </c>
      <c r="AN41" s="51">
        <v>2201037</v>
      </c>
      <c r="AO41" s="51">
        <v>2318479</v>
      </c>
      <c r="AP41" s="51">
        <v>1213986</v>
      </c>
      <c r="AQ41" s="51">
        <v>440783</v>
      </c>
      <c r="AR41" s="51">
        <v>553879</v>
      </c>
      <c r="AS41" s="51">
        <v>28051</v>
      </c>
      <c r="AT41" s="51">
        <v>191273</v>
      </c>
      <c r="AU41" s="51">
        <v>942993</v>
      </c>
      <c r="AV41" s="51">
        <v>284223</v>
      </c>
      <c r="AW41" s="51">
        <v>258448</v>
      </c>
      <c r="AX41" s="51">
        <v>76555</v>
      </c>
    </row>
    <row r="42" spans="1:50" x14ac:dyDescent="0.55000000000000004">
      <c r="A42" s="43">
        <v>44</v>
      </c>
      <c r="B42" s="57" t="s">
        <v>451</v>
      </c>
      <c r="C42" s="2" t="s">
        <v>452</v>
      </c>
      <c r="D42" s="2" t="s">
        <v>453</v>
      </c>
      <c r="E42" s="164" t="s">
        <v>454</v>
      </c>
      <c r="F42" s="165">
        <v>811442</v>
      </c>
      <c r="G42" s="51">
        <v>384451</v>
      </c>
      <c r="H42" s="51">
        <v>426991</v>
      </c>
      <c r="I42" s="51">
        <v>832832</v>
      </c>
      <c r="J42" s="56">
        <v>-21390</v>
      </c>
      <c r="K42" s="55">
        <v>-2.5683500000000001</v>
      </c>
      <c r="L42" s="54">
        <v>2440.69</v>
      </c>
      <c r="M42" s="53">
        <v>332.5</v>
      </c>
      <c r="N42" s="52">
        <v>48.045279999999998</v>
      </c>
      <c r="O42" s="52">
        <v>49.611550000000001</v>
      </c>
      <c r="P42" s="51">
        <v>109174</v>
      </c>
      <c r="Q42" s="51">
        <v>453697</v>
      </c>
      <c r="R42" s="51">
        <v>248571</v>
      </c>
      <c r="S42" s="52">
        <v>13.454319999999999</v>
      </c>
      <c r="T42" s="52">
        <v>55.912439999999997</v>
      </c>
      <c r="U42" s="52">
        <v>30.633240000000001</v>
      </c>
      <c r="V42" s="51">
        <v>56051</v>
      </c>
      <c r="W42" s="51">
        <v>223610</v>
      </c>
      <c r="X42" s="51">
        <v>104790</v>
      </c>
      <c r="Y42" s="52">
        <v>14.57949</v>
      </c>
      <c r="Z42" s="52">
        <v>58.163460000000001</v>
      </c>
      <c r="AA42" s="52">
        <v>27.25705</v>
      </c>
      <c r="AB42" s="51">
        <v>53123</v>
      </c>
      <c r="AC42" s="51">
        <v>230087</v>
      </c>
      <c r="AD42" s="51">
        <v>143781</v>
      </c>
      <c r="AE42" s="52">
        <v>12.44125</v>
      </c>
      <c r="AF42" s="52">
        <v>53.885680000000001</v>
      </c>
      <c r="AG42" s="52">
        <v>33.673079999999999</v>
      </c>
      <c r="AH42" s="52">
        <v>90.037260000000003</v>
      </c>
      <c r="AI42" s="51">
        <v>804878</v>
      </c>
      <c r="AJ42" s="51">
        <v>6564</v>
      </c>
      <c r="AK42" s="51">
        <v>312680</v>
      </c>
      <c r="AL42" s="51">
        <v>311173</v>
      </c>
      <c r="AM42" s="51">
        <v>1507</v>
      </c>
      <c r="AN42" s="51">
        <v>302109</v>
      </c>
      <c r="AO42" s="51">
        <v>311173</v>
      </c>
      <c r="AP42" s="51">
        <v>171795</v>
      </c>
      <c r="AQ42" s="51">
        <v>60326</v>
      </c>
      <c r="AR42" s="51">
        <v>79364</v>
      </c>
      <c r="AS42" s="51">
        <v>4410</v>
      </c>
      <c r="AT42" s="51">
        <v>27695</v>
      </c>
      <c r="AU42" s="51">
        <v>94280</v>
      </c>
      <c r="AV42" s="51">
        <v>36646</v>
      </c>
      <c r="AW42" s="51">
        <v>37862</v>
      </c>
      <c r="AX42" s="51">
        <v>28398</v>
      </c>
    </row>
    <row r="43" spans="1:50" x14ac:dyDescent="0.55000000000000004">
      <c r="A43" s="43">
        <v>45</v>
      </c>
      <c r="B43" s="57" t="s">
        <v>455</v>
      </c>
      <c r="C43" s="2" t="s">
        <v>456</v>
      </c>
      <c r="D43" s="2" t="s">
        <v>457</v>
      </c>
      <c r="E43" s="164" t="s">
        <v>458</v>
      </c>
      <c r="F43" s="165">
        <v>1312317</v>
      </c>
      <c r="G43" s="51">
        <v>616912</v>
      </c>
      <c r="H43" s="51">
        <v>695405</v>
      </c>
      <c r="I43" s="51">
        <v>1377187</v>
      </c>
      <c r="J43" s="56">
        <v>-64870</v>
      </c>
      <c r="K43" s="55">
        <v>-4.7103299999999999</v>
      </c>
      <c r="L43" s="54">
        <v>4130.9799999999996</v>
      </c>
      <c r="M43" s="53">
        <v>317.7</v>
      </c>
      <c r="N43" s="52">
        <v>49.650739999999999</v>
      </c>
      <c r="O43" s="52">
        <v>52.136899999999997</v>
      </c>
      <c r="P43" s="51">
        <v>164573</v>
      </c>
      <c r="Q43" s="51">
        <v>714726</v>
      </c>
      <c r="R43" s="51">
        <v>433018</v>
      </c>
      <c r="S43" s="52">
        <v>12.54064</v>
      </c>
      <c r="T43" s="52">
        <v>54.462910000000001</v>
      </c>
      <c r="U43" s="52">
        <v>32.996450000000003</v>
      </c>
      <c r="V43" s="51">
        <v>84489</v>
      </c>
      <c r="W43" s="51">
        <v>350646</v>
      </c>
      <c r="X43" s="51">
        <v>181777</v>
      </c>
      <c r="Y43" s="52">
        <v>13.69547</v>
      </c>
      <c r="Z43" s="52">
        <v>56.838900000000002</v>
      </c>
      <c r="AA43" s="52">
        <v>29.465630000000001</v>
      </c>
      <c r="AB43" s="51">
        <v>80084</v>
      </c>
      <c r="AC43" s="51">
        <v>364080</v>
      </c>
      <c r="AD43" s="51">
        <v>251241</v>
      </c>
      <c r="AE43" s="52">
        <v>11.516170000000001</v>
      </c>
      <c r="AF43" s="52">
        <v>52.3551</v>
      </c>
      <c r="AG43" s="52">
        <v>36.128729999999997</v>
      </c>
      <c r="AH43" s="52">
        <v>88.712620000000001</v>
      </c>
      <c r="AI43" s="51">
        <v>1303067</v>
      </c>
      <c r="AJ43" s="51">
        <v>9250</v>
      </c>
      <c r="AK43" s="51">
        <v>558230</v>
      </c>
      <c r="AL43" s="51">
        <v>556130</v>
      </c>
      <c r="AM43" s="51">
        <v>2100</v>
      </c>
      <c r="AN43" s="51">
        <v>560720</v>
      </c>
      <c r="AO43" s="51">
        <v>556130</v>
      </c>
      <c r="AP43" s="51">
        <v>313876</v>
      </c>
      <c r="AQ43" s="51">
        <v>127381</v>
      </c>
      <c r="AR43" s="51">
        <v>129115</v>
      </c>
      <c r="AS43" s="51">
        <v>7573</v>
      </c>
      <c r="AT43" s="51">
        <v>49807</v>
      </c>
      <c r="AU43" s="51">
        <v>191470</v>
      </c>
      <c r="AV43" s="51">
        <v>83871</v>
      </c>
      <c r="AW43" s="51">
        <v>79510</v>
      </c>
      <c r="AX43" s="51">
        <v>27671</v>
      </c>
    </row>
    <row r="44" spans="1:50" x14ac:dyDescent="0.55000000000000004">
      <c r="A44" s="43">
        <v>46</v>
      </c>
      <c r="B44" s="57" t="s">
        <v>459</v>
      </c>
      <c r="C44" s="2" t="s">
        <v>460</v>
      </c>
      <c r="D44" s="2" t="s">
        <v>461</v>
      </c>
      <c r="E44" s="164" t="s">
        <v>462</v>
      </c>
      <c r="F44" s="165">
        <v>1738301</v>
      </c>
      <c r="G44" s="51">
        <v>822481</v>
      </c>
      <c r="H44" s="51">
        <v>915820</v>
      </c>
      <c r="I44" s="51">
        <v>1786170</v>
      </c>
      <c r="J44" s="56">
        <v>-47869</v>
      </c>
      <c r="K44" s="55">
        <v>-2.67998</v>
      </c>
      <c r="L44" s="54">
        <v>7409.46</v>
      </c>
      <c r="M44" s="53">
        <v>234.6</v>
      </c>
      <c r="N44" s="52">
        <v>48.594729999999998</v>
      </c>
      <c r="O44" s="52">
        <v>50.276200000000003</v>
      </c>
      <c r="P44" s="51">
        <v>229016</v>
      </c>
      <c r="Q44" s="51">
        <v>963053</v>
      </c>
      <c r="R44" s="51">
        <v>546232</v>
      </c>
      <c r="S44" s="52">
        <v>13.1747</v>
      </c>
      <c r="T44" s="52">
        <v>55.401969999999999</v>
      </c>
      <c r="U44" s="52">
        <v>31.42333</v>
      </c>
      <c r="V44" s="51">
        <v>117178</v>
      </c>
      <c r="W44" s="51">
        <v>473658</v>
      </c>
      <c r="X44" s="51">
        <v>231645</v>
      </c>
      <c r="Y44" s="52">
        <v>14.24689</v>
      </c>
      <c r="Z44" s="52">
        <v>57.588929999999998</v>
      </c>
      <c r="AA44" s="52">
        <v>28.164180000000002</v>
      </c>
      <c r="AB44" s="51">
        <v>111838</v>
      </c>
      <c r="AC44" s="51">
        <v>489395</v>
      </c>
      <c r="AD44" s="51">
        <v>314587</v>
      </c>
      <c r="AE44" s="52">
        <v>12.211790000000001</v>
      </c>
      <c r="AF44" s="52">
        <v>53.437899999999999</v>
      </c>
      <c r="AG44" s="52">
        <v>34.35031</v>
      </c>
      <c r="AH44" s="52">
        <v>89.808149999999998</v>
      </c>
      <c r="AI44" s="51">
        <v>1722005</v>
      </c>
      <c r="AJ44" s="51">
        <v>16296</v>
      </c>
      <c r="AK44" s="51">
        <v>719154</v>
      </c>
      <c r="AL44" s="51">
        <v>716740</v>
      </c>
      <c r="AM44" s="51">
        <v>2414</v>
      </c>
      <c r="AN44" s="51">
        <v>704730</v>
      </c>
      <c r="AO44" s="51">
        <v>716740</v>
      </c>
      <c r="AP44" s="51">
        <v>396063</v>
      </c>
      <c r="AQ44" s="51">
        <v>149328</v>
      </c>
      <c r="AR44" s="51">
        <v>175135</v>
      </c>
      <c r="AS44" s="51">
        <v>9867</v>
      </c>
      <c r="AT44" s="51">
        <v>61733</v>
      </c>
      <c r="AU44" s="51">
        <v>242940</v>
      </c>
      <c r="AV44" s="51">
        <v>92410</v>
      </c>
      <c r="AW44" s="51">
        <v>94175</v>
      </c>
      <c r="AX44" s="51">
        <v>43735</v>
      </c>
    </row>
    <row r="45" spans="1:50" x14ac:dyDescent="0.55000000000000004">
      <c r="A45" s="43">
        <v>41</v>
      </c>
      <c r="B45" s="57" t="s">
        <v>463</v>
      </c>
      <c r="C45" s="2" t="s">
        <v>464</v>
      </c>
      <c r="D45" s="2" t="s">
        <v>465</v>
      </c>
      <c r="E45" s="164" t="s">
        <v>466</v>
      </c>
      <c r="F45" s="165">
        <v>1123852</v>
      </c>
      <c r="G45" s="51">
        <v>533414</v>
      </c>
      <c r="H45" s="51">
        <v>590438</v>
      </c>
      <c r="I45" s="51">
        <v>1166338</v>
      </c>
      <c r="J45" s="56">
        <v>-42486</v>
      </c>
      <c r="K45" s="55">
        <v>-3.6426799999999999</v>
      </c>
      <c r="L45" s="54">
        <v>6340.76</v>
      </c>
      <c r="M45" s="53">
        <v>177.2</v>
      </c>
      <c r="N45" s="52">
        <v>49.668219999999998</v>
      </c>
      <c r="O45" s="52">
        <v>51.460979999999999</v>
      </c>
      <c r="P45" s="51">
        <v>136329</v>
      </c>
      <c r="Q45" s="51">
        <v>613637</v>
      </c>
      <c r="R45" s="51">
        <v>373886</v>
      </c>
      <c r="S45" s="52">
        <v>12.130509999999999</v>
      </c>
      <c r="T45" s="52">
        <v>54.601230000000001</v>
      </c>
      <c r="U45" s="52">
        <v>33.268259999999998</v>
      </c>
      <c r="V45" s="51">
        <v>69664</v>
      </c>
      <c r="W45" s="51">
        <v>305765</v>
      </c>
      <c r="X45" s="51">
        <v>157985</v>
      </c>
      <c r="Y45" s="52">
        <v>13.06002</v>
      </c>
      <c r="Z45" s="52">
        <v>57.322270000000003</v>
      </c>
      <c r="AA45" s="52">
        <v>29.617709999999999</v>
      </c>
      <c r="AB45" s="51">
        <v>66665</v>
      </c>
      <c r="AC45" s="51">
        <v>307872</v>
      </c>
      <c r="AD45" s="51">
        <v>215901</v>
      </c>
      <c r="AE45" s="52">
        <v>11.29077</v>
      </c>
      <c r="AF45" s="52">
        <v>52.142989999999998</v>
      </c>
      <c r="AG45" s="52">
        <v>36.566240000000001</v>
      </c>
      <c r="AH45" s="52">
        <v>90.342089999999999</v>
      </c>
      <c r="AI45" s="51">
        <v>1111592</v>
      </c>
      <c r="AJ45" s="51">
        <v>12260</v>
      </c>
      <c r="AK45" s="51">
        <v>489249</v>
      </c>
      <c r="AL45" s="51">
        <v>487679</v>
      </c>
      <c r="AM45" s="51">
        <v>1570</v>
      </c>
      <c r="AN45" s="51">
        <v>486535</v>
      </c>
      <c r="AO45" s="51">
        <v>487679</v>
      </c>
      <c r="AP45" s="51">
        <v>269815</v>
      </c>
      <c r="AQ45" s="51">
        <v>111409</v>
      </c>
      <c r="AR45" s="51">
        <v>113994</v>
      </c>
      <c r="AS45" s="51">
        <v>6209</v>
      </c>
      <c r="AT45" s="51">
        <v>38203</v>
      </c>
      <c r="AU45" s="51">
        <v>175329</v>
      </c>
      <c r="AV45" s="51">
        <v>69725</v>
      </c>
      <c r="AW45" s="51">
        <v>71023</v>
      </c>
      <c r="AX45" s="51">
        <v>21381</v>
      </c>
    </row>
    <row r="46" spans="1:50" x14ac:dyDescent="0.55000000000000004">
      <c r="A46" s="43">
        <v>42</v>
      </c>
      <c r="B46" s="57" t="s">
        <v>467</v>
      </c>
      <c r="C46" s="2" t="s">
        <v>468</v>
      </c>
      <c r="D46" s="2" t="s">
        <v>469</v>
      </c>
      <c r="E46" s="164" t="s">
        <v>470</v>
      </c>
      <c r="F46" s="165">
        <v>1069576</v>
      </c>
      <c r="G46" s="51">
        <v>504763</v>
      </c>
      <c r="H46" s="51">
        <v>564813</v>
      </c>
      <c r="I46" s="51">
        <v>1104069</v>
      </c>
      <c r="J46" s="56">
        <v>-34493</v>
      </c>
      <c r="K46" s="55">
        <v>-3.1241699999999999</v>
      </c>
      <c r="L46" s="54">
        <v>7735.22</v>
      </c>
      <c r="M46" s="53">
        <v>138.30000000000001</v>
      </c>
      <c r="N46" s="52">
        <v>49.233629999999998</v>
      </c>
      <c r="O46" s="52">
        <v>51.33137</v>
      </c>
      <c r="P46" s="51">
        <v>140291</v>
      </c>
      <c r="Q46" s="51">
        <v>580412</v>
      </c>
      <c r="R46" s="51">
        <v>348873</v>
      </c>
      <c r="S46" s="52">
        <v>13.11651</v>
      </c>
      <c r="T46" s="52">
        <v>54.265619999999998</v>
      </c>
      <c r="U46" s="52">
        <v>32.61788</v>
      </c>
      <c r="V46" s="51">
        <v>71649</v>
      </c>
      <c r="W46" s="51">
        <v>284874</v>
      </c>
      <c r="X46" s="51">
        <v>148240</v>
      </c>
      <c r="Y46" s="52">
        <v>14.19458</v>
      </c>
      <c r="Z46" s="52">
        <v>56.437179999999998</v>
      </c>
      <c r="AA46" s="52">
        <v>29.36824</v>
      </c>
      <c r="AB46" s="51">
        <v>68642</v>
      </c>
      <c r="AC46" s="51">
        <v>295538</v>
      </c>
      <c r="AD46" s="51">
        <v>200633</v>
      </c>
      <c r="AE46" s="52">
        <v>12.15305</v>
      </c>
      <c r="AF46" s="52">
        <v>52.324930000000002</v>
      </c>
      <c r="AG46" s="52">
        <v>35.522019999999998</v>
      </c>
      <c r="AH46" s="52">
        <v>89.368160000000003</v>
      </c>
      <c r="AI46" s="51">
        <v>1062573</v>
      </c>
      <c r="AJ46" s="51">
        <v>7003</v>
      </c>
      <c r="AK46" s="51">
        <v>470055</v>
      </c>
      <c r="AL46" s="51">
        <v>468575</v>
      </c>
      <c r="AM46" s="51">
        <v>1480</v>
      </c>
      <c r="AN46" s="51">
        <v>462858</v>
      </c>
      <c r="AO46" s="51">
        <v>468575</v>
      </c>
      <c r="AP46" s="51">
        <v>267348</v>
      </c>
      <c r="AQ46" s="51">
        <v>111275</v>
      </c>
      <c r="AR46" s="51">
        <v>109470</v>
      </c>
      <c r="AS46" s="51">
        <v>6292</v>
      </c>
      <c r="AT46" s="51">
        <v>40311</v>
      </c>
      <c r="AU46" s="51">
        <v>167776</v>
      </c>
      <c r="AV46" s="51">
        <v>70639</v>
      </c>
      <c r="AW46" s="51">
        <v>69461</v>
      </c>
      <c r="AX46" s="51">
        <v>16113</v>
      </c>
    </row>
    <row r="47" spans="1:50" x14ac:dyDescent="0.55000000000000004">
      <c r="A47" s="43">
        <v>43</v>
      </c>
      <c r="B47" s="57" t="s">
        <v>471</v>
      </c>
      <c r="C47" s="2" t="s">
        <v>472</v>
      </c>
      <c r="D47" s="2" t="s">
        <v>473</v>
      </c>
      <c r="E47" s="164" t="s">
        <v>474</v>
      </c>
      <c r="F47" s="165">
        <v>1588256</v>
      </c>
      <c r="G47" s="51">
        <v>748306</v>
      </c>
      <c r="H47" s="51">
        <v>839950</v>
      </c>
      <c r="I47" s="51">
        <v>1648177</v>
      </c>
      <c r="J47" s="56">
        <v>-59921</v>
      </c>
      <c r="K47" s="55">
        <v>-3.6355900000000001</v>
      </c>
      <c r="L47" s="54">
        <v>9187.06</v>
      </c>
      <c r="M47" s="53">
        <v>172.9</v>
      </c>
      <c r="N47" s="52">
        <v>49.326610000000002</v>
      </c>
      <c r="O47" s="52">
        <v>51.78031</v>
      </c>
      <c r="P47" s="51">
        <v>207602</v>
      </c>
      <c r="Q47" s="51">
        <v>863898</v>
      </c>
      <c r="R47" s="51">
        <v>516756</v>
      </c>
      <c r="S47" s="52">
        <v>13.071070000000001</v>
      </c>
      <c r="T47" s="52">
        <v>54.392870000000002</v>
      </c>
      <c r="U47" s="52">
        <v>32.536059999999999</v>
      </c>
      <c r="V47" s="51">
        <v>106813</v>
      </c>
      <c r="W47" s="51">
        <v>419735</v>
      </c>
      <c r="X47" s="51">
        <v>221758</v>
      </c>
      <c r="Y47" s="52">
        <v>14.27397</v>
      </c>
      <c r="Z47" s="52">
        <v>56.091360000000002</v>
      </c>
      <c r="AA47" s="52">
        <v>29.63467</v>
      </c>
      <c r="AB47" s="51">
        <v>100789</v>
      </c>
      <c r="AC47" s="51">
        <v>444163</v>
      </c>
      <c r="AD47" s="51">
        <v>294998</v>
      </c>
      <c r="AE47" s="52">
        <v>11.9994</v>
      </c>
      <c r="AF47" s="52">
        <v>52.8797</v>
      </c>
      <c r="AG47" s="52">
        <v>35.120899999999999</v>
      </c>
      <c r="AH47" s="52">
        <v>89.089349999999996</v>
      </c>
      <c r="AI47" s="51">
        <v>1577022</v>
      </c>
      <c r="AJ47" s="51">
        <v>11234</v>
      </c>
      <c r="AK47" s="51">
        <v>728179</v>
      </c>
      <c r="AL47" s="51">
        <v>725855</v>
      </c>
      <c r="AM47" s="51">
        <v>2324</v>
      </c>
      <c r="AN47" s="51">
        <v>724690</v>
      </c>
      <c r="AO47" s="51">
        <v>725855</v>
      </c>
      <c r="AP47" s="51">
        <v>406396</v>
      </c>
      <c r="AQ47" s="51">
        <v>173698</v>
      </c>
      <c r="AR47" s="51">
        <v>166018</v>
      </c>
      <c r="AS47" s="51">
        <v>9161</v>
      </c>
      <c r="AT47" s="51">
        <v>57519</v>
      </c>
      <c r="AU47" s="51">
        <v>282664</v>
      </c>
      <c r="AV47" s="51">
        <v>119020</v>
      </c>
      <c r="AW47" s="51">
        <v>108442</v>
      </c>
      <c r="AX47" s="51">
        <v>14009</v>
      </c>
    </row>
    <row r="48" spans="1:50" x14ac:dyDescent="0.55000000000000004">
      <c r="A48" s="43">
        <v>47</v>
      </c>
      <c r="B48" s="57" t="s">
        <v>475</v>
      </c>
      <c r="C48" s="2" t="s">
        <v>476</v>
      </c>
      <c r="D48" s="2" t="s">
        <v>477</v>
      </c>
      <c r="E48" s="164" t="s">
        <v>478</v>
      </c>
      <c r="F48" s="165">
        <v>1467480</v>
      </c>
      <c r="G48" s="51">
        <v>722812</v>
      </c>
      <c r="H48" s="51">
        <v>744668</v>
      </c>
      <c r="I48" s="51">
        <v>1433566</v>
      </c>
      <c r="J48" s="56">
        <v>33914</v>
      </c>
      <c r="K48" s="55">
        <v>2.36571</v>
      </c>
      <c r="L48" s="54">
        <v>2282.59</v>
      </c>
      <c r="M48" s="53">
        <v>642.9</v>
      </c>
      <c r="N48" s="52">
        <v>43.45814</v>
      </c>
      <c r="O48" s="52">
        <v>44.054110000000001</v>
      </c>
      <c r="P48" s="51">
        <v>243943</v>
      </c>
      <c r="Q48" s="51">
        <v>892133</v>
      </c>
      <c r="R48" s="51">
        <v>331404</v>
      </c>
      <c r="S48" s="52">
        <v>16.623259999999998</v>
      </c>
      <c r="T48" s="52">
        <v>60.79354</v>
      </c>
      <c r="U48" s="52">
        <v>22.583200000000001</v>
      </c>
      <c r="V48" s="51">
        <v>124384</v>
      </c>
      <c r="W48" s="51">
        <v>449380</v>
      </c>
      <c r="X48" s="51">
        <v>149048</v>
      </c>
      <c r="Y48" s="52">
        <v>17.208349999999999</v>
      </c>
      <c r="Z48" s="52">
        <v>62.171080000000003</v>
      </c>
      <c r="AA48" s="52">
        <v>20.62058</v>
      </c>
      <c r="AB48" s="51">
        <v>119559</v>
      </c>
      <c r="AC48" s="51">
        <v>442753</v>
      </c>
      <c r="AD48" s="51">
        <v>182356</v>
      </c>
      <c r="AE48" s="52">
        <v>16.055340000000001</v>
      </c>
      <c r="AF48" s="52">
        <v>59.456429999999997</v>
      </c>
      <c r="AG48" s="52">
        <v>24.488230000000001</v>
      </c>
      <c r="AH48" s="52">
        <v>97.064999999999998</v>
      </c>
      <c r="AI48" s="51">
        <v>1447245</v>
      </c>
      <c r="AJ48" s="51">
        <v>20235</v>
      </c>
      <c r="AK48" s="51">
        <v>614708</v>
      </c>
      <c r="AL48" s="51">
        <v>613294</v>
      </c>
      <c r="AM48" s="51">
        <v>1414</v>
      </c>
      <c r="AN48" s="51">
        <v>560424</v>
      </c>
      <c r="AO48" s="51">
        <v>613294</v>
      </c>
      <c r="AP48" s="51">
        <v>338232</v>
      </c>
      <c r="AQ48" s="51">
        <v>96510</v>
      </c>
      <c r="AR48" s="51">
        <v>167439</v>
      </c>
      <c r="AS48" s="51">
        <v>11246</v>
      </c>
      <c r="AT48" s="51">
        <v>63037</v>
      </c>
      <c r="AU48" s="51">
        <v>229602</v>
      </c>
      <c r="AV48" s="51">
        <v>68601</v>
      </c>
      <c r="AW48" s="51">
        <v>50578</v>
      </c>
      <c r="AX48" s="51">
        <v>19797</v>
      </c>
    </row>
  </sheetData>
  <autoFilter ref="A1:AX1" xr:uid="{7C915BDC-0E50-4EB6-95A0-CC74E8AA64C6}"/>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23"/>
  <sheetViews>
    <sheetView zoomScaleNormal="100" workbookViewId="0"/>
  </sheetViews>
  <sheetFormatPr defaultColWidth="3.5" defaultRowHeight="21" customHeight="1" x14ac:dyDescent="0.55000000000000004"/>
  <cols>
    <col min="1" max="16384" width="3.5" style="10"/>
  </cols>
  <sheetData>
    <row r="1" spans="1:33" ht="21" customHeight="1" x14ac:dyDescent="0.55000000000000004">
      <c r="A1" s="36"/>
      <c r="F1" s="36" t="s">
        <v>147</v>
      </c>
      <c r="G1" s="36"/>
      <c r="I1" s="36"/>
      <c r="M1" s="36"/>
      <c r="Q1" s="36" t="s">
        <v>148</v>
      </c>
      <c r="V1" s="36"/>
      <c r="AF1" s="36" t="s">
        <v>146</v>
      </c>
    </row>
    <row r="2" spans="1:33" ht="21" customHeight="1" x14ac:dyDescent="0.55000000000000004">
      <c r="B2" s="12" t="s">
        <v>233</v>
      </c>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row>
    <row r="10" spans="1:33" ht="21" customHeight="1" x14ac:dyDescent="0.55000000000000004">
      <c r="G10" s="34" t="s">
        <v>239</v>
      </c>
      <c r="H10" s="26"/>
      <c r="I10" s="26"/>
      <c r="J10" s="26"/>
      <c r="K10" s="26"/>
      <c r="L10" s="10" t="s">
        <v>240</v>
      </c>
    </row>
    <row r="13" spans="1:33" ht="21" customHeight="1" x14ac:dyDescent="0.55000000000000004">
      <c r="D13" s="12" t="s">
        <v>32</v>
      </c>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row>
    <row r="21" spans="1:33" ht="21" customHeight="1" x14ac:dyDescent="0.55000000000000004">
      <c r="G21" s="10" t="s">
        <v>117</v>
      </c>
    </row>
    <row r="22" spans="1:33" ht="21" customHeight="1" x14ac:dyDescent="0.55000000000000004">
      <c r="F22" s="13" t="s">
        <v>30</v>
      </c>
      <c r="G22" s="10" t="s">
        <v>116</v>
      </c>
    </row>
    <row r="24" spans="1:33" ht="21" customHeight="1" thickBot="1" x14ac:dyDescent="0.45">
      <c r="F24" s="25" t="s">
        <v>40</v>
      </c>
      <c r="Q24" s="25" t="s">
        <v>41</v>
      </c>
    </row>
    <row r="25" spans="1:33" ht="21" customHeight="1" thickTop="1" thickBot="1" x14ac:dyDescent="0.6">
      <c r="A25" s="36" t="s">
        <v>123</v>
      </c>
      <c r="F25" s="66" t="s">
        <v>479</v>
      </c>
      <c r="G25" s="67"/>
      <c r="H25" s="67"/>
      <c r="I25" s="67"/>
      <c r="J25" s="67"/>
      <c r="K25" s="67"/>
      <c r="L25" s="67"/>
      <c r="M25" s="67"/>
      <c r="N25" s="67"/>
      <c r="O25" s="68"/>
      <c r="Q25" s="66" t="s">
        <v>215</v>
      </c>
      <c r="R25" s="67"/>
      <c r="S25" s="67"/>
      <c r="T25" s="68"/>
    </row>
    <row r="26" spans="1:33" ht="21" customHeight="1" thickTop="1" x14ac:dyDescent="0.55000000000000004"/>
    <row r="28" spans="1:33" ht="21" customHeight="1" x14ac:dyDescent="0.55000000000000004">
      <c r="D28" s="12" t="s">
        <v>33</v>
      </c>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row>
    <row r="35" spans="1:33" ht="21" customHeight="1" x14ac:dyDescent="0.55000000000000004">
      <c r="H35" s="10" t="s">
        <v>118</v>
      </c>
    </row>
    <row r="36" spans="1:33" ht="21" customHeight="1" x14ac:dyDescent="0.55000000000000004">
      <c r="F36" s="13"/>
      <c r="G36" s="13" t="s">
        <v>30</v>
      </c>
      <c r="H36" s="10" t="s">
        <v>119</v>
      </c>
    </row>
    <row r="37" spans="1:33" ht="21" customHeight="1" x14ac:dyDescent="0.55000000000000004">
      <c r="F37" s="13"/>
    </row>
    <row r="38" spans="1:33" ht="21" customHeight="1" x14ac:dyDescent="0.55000000000000004">
      <c r="G38" s="10" t="s">
        <v>79</v>
      </c>
    </row>
    <row r="39" spans="1:33" ht="21" customHeight="1" thickBot="1" x14ac:dyDescent="0.45">
      <c r="F39" s="25" t="s">
        <v>40</v>
      </c>
      <c r="Q39" s="25" t="s">
        <v>42</v>
      </c>
    </row>
    <row r="40" spans="1:33" ht="21" customHeight="1" thickTop="1" thickBot="1" x14ac:dyDescent="0.6">
      <c r="A40" s="36" t="s">
        <v>135</v>
      </c>
      <c r="F40" s="66" t="s">
        <v>498</v>
      </c>
      <c r="G40" s="67"/>
      <c r="H40" s="67"/>
      <c r="I40" s="67"/>
      <c r="J40" s="67"/>
      <c r="K40" s="67"/>
      <c r="L40" s="67"/>
      <c r="M40" s="67"/>
      <c r="N40" s="67"/>
      <c r="O40" s="68"/>
      <c r="Q40" s="66" t="s">
        <v>108</v>
      </c>
      <c r="R40" s="68"/>
    </row>
    <row r="41" spans="1:33" ht="21" customHeight="1" thickTop="1" x14ac:dyDescent="0.55000000000000004"/>
    <row r="43" spans="1:33" ht="21" customHeight="1" x14ac:dyDescent="0.55000000000000004">
      <c r="D43" s="12" t="s">
        <v>34</v>
      </c>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row>
    <row r="55" spans="1:20" ht="21" customHeight="1" x14ac:dyDescent="0.55000000000000004">
      <c r="F55" s="13" t="s">
        <v>30</v>
      </c>
      <c r="G55" s="10" t="s">
        <v>36</v>
      </c>
    </row>
    <row r="56" spans="1:20" ht="21" customHeight="1" x14ac:dyDescent="0.55000000000000004">
      <c r="F56" s="13"/>
      <c r="P56" s="28" t="s">
        <v>85</v>
      </c>
      <c r="Q56" s="28"/>
      <c r="R56" s="28"/>
      <c r="S56" s="28"/>
      <c r="T56" s="10" t="s">
        <v>121</v>
      </c>
    </row>
    <row r="57" spans="1:20" ht="21" customHeight="1" x14ac:dyDescent="0.55000000000000004">
      <c r="F57" s="13"/>
      <c r="P57" s="13" t="s">
        <v>30</v>
      </c>
      <c r="Q57" s="10" t="s">
        <v>120</v>
      </c>
    </row>
    <row r="58" spans="1:20" ht="21" customHeight="1" x14ac:dyDescent="0.55000000000000004">
      <c r="F58" s="13"/>
    </row>
    <row r="59" spans="1:20" ht="21" customHeight="1" thickBot="1" x14ac:dyDescent="0.45">
      <c r="F59" s="13"/>
      <c r="Q59" s="25" t="s">
        <v>43</v>
      </c>
    </row>
    <row r="60" spans="1:20" ht="21" customHeight="1" thickTop="1" thickBot="1" x14ac:dyDescent="0.6">
      <c r="A60" s="36" t="s">
        <v>170</v>
      </c>
      <c r="F60" s="13"/>
      <c r="Q60" s="66" t="s">
        <v>231</v>
      </c>
      <c r="R60" s="68"/>
    </row>
    <row r="61" spans="1:20" ht="21" customHeight="1" thickTop="1" x14ac:dyDescent="0.55000000000000004">
      <c r="E61" s="10" t="s">
        <v>173</v>
      </c>
    </row>
    <row r="62" spans="1:20" ht="21" customHeight="1" thickBot="1" x14ac:dyDescent="0.6">
      <c r="E62" s="23"/>
      <c r="F62" s="38" t="s">
        <v>16</v>
      </c>
      <c r="G62" s="39" t="s">
        <v>17</v>
      </c>
      <c r="H62" s="39" t="s">
        <v>18</v>
      </c>
      <c r="I62" s="39" t="s">
        <v>19</v>
      </c>
      <c r="J62" s="23"/>
    </row>
    <row r="63" spans="1:20" ht="21" customHeight="1" x14ac:dyDescent="0.55000000000000004">
      <c r="A63" s="36" t="s">
        <v>134</v>
      </c>
      <c r="E63" s="37">
        <v>1</v>
      </c>
      <c r="F63" s="7"/>
      <c r="G63" s="75" t="s">
        <v>24</v>
      </c>
      <c r="H63" s="75"/>
      <c r="I63" s="76"/>
      <c r="J63" s="23"/>
    </row>
    <row r="64" spans="1:20" ht="21" customHeight="1" x14ac:dyDescent="0.55000000000000004">
      <c r="E64" s="37">
        <v>2</v>
      </c>
      <c r="F64" s="83" t="s">
        <v>25</v>
      </c>
      <c r="G64" s="84"/>
      <c r="H64" s="84"/>
      <c r="I64" s="85"/>
      <c r="J64" s="23"/>
    </row>
    <row r="65" spans="1:33" ht="21" customHeight="1" x14ac:dyDescent="0.55000000000000004">
      <c r="E65" s="37">
        <v>3</v>
      </c>
      <c r="F65" s="83"/>
      <c r="G65" s="84"/>
      <c r="H65" s="84"/>
      <c r="I65" s="85"/>
      <c r="J65" s="23"/>
    </row>
    <row r="66" spans="1:33" ht="21" customHeight="1" thickBot="1" x14ac:dyDescent="0.6">
      <c r="A66" s="36"/>
      <c r="E66" s="37">
        <v>4</v>
      </c>
      <c r="F66" s="92"/>
      <c r="G66" s="93"/>
      <c r="H66" s="93"/>
      <c r="I66" s="94"/>
      <c r="J66" s="23"/>
    </row>
    <row r="67" spans="1:33" ht="21" customHeight="1" x14ac:dyDescent="0.55000000000000004">
      <c r="E67" s="23"/>
      <c r="F67" s="23"/>
      <c r="G67" s="23"/>
      <c r="H67" s="23"/>
      <c r="I67" s="23"/>
      <c r="J67" s="23"/>
    </row>
    <row r="68" spans="1:33" ht="21" customHeight="1" thickBot="1" x14ac:dyDescent="0.45">
      <c r="Q68" s="25" t="s">
        <v>167</v>
      </c>
    </row>
    <row r="69" spans="1:33" ht="21" customHeight="1" thickTop="1" thickBot="1" x14ac:dyDescent="0.6">
      <c r="A69" s="36" t="s">
        <v>172</v>
      </c>
      <c r="Q69" s="66" t="s">
        <v>171</v>
      </c>
      <c r="R69" s="67"/>
      <c r="S69" s="67"/>
      <c r="T69" s="68"/>
    </row>
    <row r="70" spans="1:33" ht="21" customHeight="1" thickTop="1" x14ac:dyDescent="0.55000000000000004">
      <c r="Q70" s="44" t="s">
        <v>163</v>
      </c>
    </row>
    <row r="72" spans="1:33" ht="21" customHeight="1" x14ac:dyDescent="0.55000000000000004">
      <c r="G72" s="10" t="s">
        <v>80</v>
      </c>
    </row>
    <row r="75" spans="1:33" ht="21" customHeight="1" x14ac:dyDescent="0.55000000000000004">
      <c r="D75" s="12" t="s">
        <v>35</v>
      </c>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row>
    <row r="77" spans="1:33" ht="21" customHeight="1" x14ac:dyDescent="0.55000000000000004">
      <c r="F77" s="13" t="s">
        <v>30</v>
      </c>
      <c r="G77" s="10" t="s">
        <v>38</v>
      </c>
    </row>
    <row r="78" spans="1:33" ht="21" customHeight="1" x14ac:dyDescent="0.55000000000000004">
      <c r="G78" s="10" t="s">
        <v>165</v>
      </c>
    </row>
    <row r="79" spans="1:33" ht="21" customHeight="1" thickBot="1" x14ac:dyDescent="0.45">
      <c r="Q79" s="25" t="s">
        <v>43</v>
      </c>
    </row>
    <row r="80" spans="1:33" ht="21" customHeight="1" thickTop="1" thickBot="1" x14ac:dyDescent="0.6">
      <c r="A80" s="36" t="s">
        <v>161</v>
      </c>
      <c r="Q80" s="66" t="s">
        <v>230</v>
      </c>
      <c r="R80" s="68"/>
    </row>
    <row r="81" spans="1:33" ht="21" customHeight="1" thickTop="1" x14ac:dyDescent="0.55000000000000004">
      <c r="Q81" s="44" t="s">
        <v>162</v>
      </c>
    </row>
    <row r="82" spans="1:33" ht="21" customHeight="1" x14ac:dyDescent="0.55000000000000004">
      <c r="E82" s="37"/>
      <c r="F82" s="38" t="s">
        <v>16</v>
      </c>
      <c r="G82" s="39" t="s">
        <v>17</v>
      </c>
      <c r="H82" s="39" t="s">
        <v>18</v>
      </c>
      <c r="I82" s="39" t="s">
        <v>19</v>
      </c>
      <c r="J82" s="39" t="s">
        <v>20</v>
      </c>
      <c r="K82" s="39" t="s">
        <v>21</v>
      </c>
      <c r="L82" s="39" t="s">
        <v>22</v>
      </c>
      <c r="M82" s="39" t="s">
        <v>23</v>
      </c>
      <c r="N82" s="40"/>
    </row>
    <row r="83" spans="1:33" ht="21" customHeight="1" x14ac:dyDescent="0.55000000000000004">
      <c r="A83" s="36" t="s">
        <v>133</v>
      </c>
      <c r="E83" s="37">
        <v>1</v>
      </c>
      <c r="F83" s="10" t="s">
        <v>39</v>
      </c>
      <c r="G83" s="86" t="s">
        <v>28</v>
      </c>
      <c r="H83" s="86"/>
      <c r="I83" s="86"/>
      <c r="J83" s="87" t="s">
        <v>27</v>
      </c>
      <c r="K83" s="87"/>
      <c r="L83" s="88" t="s">
        <v>29</v>
      </c>
      <c r="M83" s="88"/>
      <c r="N83" s="24"/>
    </row>
    <row r="84" spans="1:33" ht="21" customHeight="1" x14ac:dyDescent="0.55000000000000004">
      <c r="E84" s="37">
        <v>2</v>
      </c>
      <c r="F84" s="10">
        <v>1</v>
      </c>
      <c r="G84" s="89"/>
      <c r="H84" s="89"/>
      <c r="I84" s="89"/>
      <c r="J84" s="90"/>
      <c r="K84" s="90"/>
      <c r="L84" s="91"/>
      <c r="M84" s="91"/>
      <c r="N84" s="24"/>
    </row>
    <row r="85" spans="1:33" ht="21" customHeight="1" x14ac:dyDescent="0.55000000000000004">
      <c r="E85" s="37"/>
      <c r="F85" s="24"/>
      <c r="G85" s="24"/>
      <c r="H85" s="24"/>
      <c r="I85" s="24"/>
      <c r="J85" s="24"/>
      <c r="K85" s="24"/>
      <c r="L85" s="24"/>
      <c r="M85" s="24"/>
      <c r="N85" s="24"/>
    </row>
    <row r="87" spans="1:33" ht="21" customHeight="1" thickBot="1" x14ac:dyDescent="0.45">
      <c r="Q87" s="25" t="s">
        <v>167</v>
      </c>
    </row>
    <row r="88" spans="1:33" ht="21" customHeight="1" thickTop="1" thickBot="1" x14ac:dyDescent="0.6">
      <c r="A88" s="36" t="s">
        <v>166</v>
      </c>
      <c r="Q88" s="66" t="s">
        <v>169</v>
      </c>
      <c r="R88" s="67"/>
      <c r="S88" s="67"/>
      <c r="T88" s="68"/>
    </row>
    <row r="89" spans="1:33" ht="21" customHeight="1" thickTop="1" x14ac:dyDescent="0.55000000000000004">
      <c r="Q89" s="44" t="s">
        <v>163</v>
      </c>
    </row>
    <row r="90" spans="1:33" ht="21" customHeight="1" thickBot="1" x14ac:dyDescent="0.45">
      <c r="F90" s="25" t="s">
        <v>44</v>
      </c>
    </row>
    <row r="91" spans="1:33" ht="21" customHeight="1" thickTop="1" thickBot="1" x14ac:dyDescent="0.6">
      <c r="A91" s="36" t="s">
        <v>164</v>
      </c>
      <c r="F91" s="66" t="s">
        <v>150</v>
      </c>
      <c r="G91" s="67"/>
      <c r="H91" s="67"/>
      <c r="I91" s="68"/>
    </row>
    <row r="92" spans="1:33" ht="21" customHeight="1" thickTop="1" x14ac:dyDescent="0.55000000000000004">
      <c r="F92" s="44" t="s">
        <v>163</v>
      </c>
    </row>
    <row r="95" spans="1:33" ht="21" customHeight="1" x14ac:dyDescent="0.55000000000000004">
      <c r="D95" s="12" t="s">
        <v>35</v>
      </c>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row>
    <row r="97" spans="6:14" ht="21" customHeight="1" thickBot="1" x14ac:dyDescent="0.6">
      <c r="F97" s="13" t="s">
        <v>30</v>
      </c>
      <c r="G97" s="10" t="s">
        <v>31</v>
      </c>
    </row>
    <row r="98" spans="6:14" ht="21" customHeight="1" x14ac:dyDescent="0.55000000000000004">
      <c r="F98" s="14"/>
      <c r="G98" s="15"/>
      <c r="H98" s="15"/>
      <c r="I98" s="15"/>
      <c r="J98" s="15"/>
      <c r="K98" s="15"/>
      <c r="L98" s="15"/>
      <c r="M98" s="15"/>
      <c r="N98" s="16"/>
    </row>
    <row r="99" spans="6:14" ht="21" customHeight="1" x14ac:dyDescent="0.55000000000000004">
      <c r="F99" s="17"/>
      <c r="N99" s="18"/>
    </row>
    <row r="100" spans="6:14" ht="21" customHeight="1" x14ac:dyDescent="0.55000000000000004">
      <c r="F100" s="17"/>
      <c r="N100" s="18"/>
    </row>
    <row r="101" spans="6:14" ht="21" customHeight="1" thickBot="1" x14ac:dyDescent="0.6">
      <c r="F101" s="19"/>
      <c r="G101" s="20"/>
      <c r="H101" s="20"/>
      <c r="I101" s="20"/>
      <c r="J101" s="20"/>
      <c r="K101" s="20"/>
      <c r="L101" s="20"/>
      <c r="M101" s="20"/>
      <c r="N101" s="21"/>
    </row>
    <row r="120" spans="1:8" ht="21" customHeight="1" x14ac:dyDescent="0.55000000000000004">
      <c r="H120" s="10" t="s">
        <v>81</v>
      </c>
    </row>
    <row r="122" spans="1:8" ht="21" customHeight="1" x14ac:dyDescent="0.55000000000000004">
      <c r="B122" s="10" t="s">
        <v>28</v>
      </c>
    </row>
    <row r="123" spans="1:8" ht="21" customHeight="1" x14ac:dyDescent="0.55000000000000004">
      <c r="A123" s="36" t="s">
        <v>109</v>
      </c>
    </row>
  </sheetData>
  <mergeCells count="19">
    <mergeCell ref="Q69:T69"/>
    <mergeCell ref="F66:I66"/>
    <mergeCell ref="Q25:T25"/>
    <mergeCell ref="F91:I91"/>
    <mergeCell ref="Q80:R80"/>
    <mergeCell ref="F25:O25"/>
    <mergeCell ref="F40:O40"/>
    <mergeCell ref="G63:I63"/>
    <mergeCell ref="F64:I64"/>
    <mergeCell ref="F65:I65"/>
    <mergeCell ref="G83:I83"/>
    <mergeCell ref="J83:K83"/>
    <mergeCell ref="L83:M83"/>
    <mergeCell ref="Q40:R40"/>
    <mergeCell ref="G84:I84"/>
    <mergeCell ref="J84:K84"/>
    <mergeCell ref="L84:M84"/>
    <mergeCell ref="Q88:T88"/>
    <mergeCell ref="Q60:R6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97</xdr:row>
                    <xdr:rowOff>184150</xdr:rowOff>
                  </from>
                  <to>
                    <xdr:col>12</xdr:col>
                    <xdr:colOff>139700</xdr:colOff>
                    <xdr:row>100</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22040-88BC-4AE5-A405-0E540EB75D7A}">
  <dimension ref="A1:CB40"/>
  <sheetViews>
    <sheetView workbookViewId="0"/>
  </sheetViews>
  <sheetFormatPr defaultColWidth="3.5" defaultRowHeight="21.15" customHeight="1" x14ac:dyDescent="0.55000000000000004"/>
  <sheetData>
    <row r="1" spans="1:80" ht="21.15" customHeight="1" x14ac:dyDescent="0.55000000000000004">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row>
    <row r="2" spans="1:80" ht="21.15" customHeight="1" x14ac:dyDescent="0.55000000000000004">
      <c r="A2" s="166"/>
      <c r="B2" s="167"/>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7"/>
      <c r="AS2" s="167"/>
      <c r="AT2" s="167"/>
      <c r="AU2" s="167"/>
      <c r="AV2" s="167"/>
      <c r="AW2" s="167"/>
      <c r="AX2" s="167"/>
      <c r="AY2" s="167"/>
      <c r="AZ2" s="167"/>
      <c r="BA2" s="167"/>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6"/>
    </row>
    <row r="3" spans="1:80" ht="21.15" customHeight="1" x14ac:dyDescent="0.55000000000000004">
      <c r="A3" s="166"/>
      <c r="B3" s="167"/>
      <c r="C3" s="167"/>
      <c r="D3" s="229"/>
      <c r="E3" s="229"/>
      <c r="F3" s="229"/>
      <c r="G3" s="168" t="s">
        <v>62</v>
      </c>
      <c r="H3" s="167"/>
      <c r="I3" s="167"/>
      <c r="J3" s="167"/>
      <c r="K3" s="168" t="s">
        <v>61</v>
      </c>
      <c r="L3" s="167"/>
      <c r="M3" s="167"/>
      <c r="N3" s="167"/>
      <c r="O3" s="168" t="s">
        <v>60</v>
      </c>
      <c r="P3" s="167"/>
      <c r="Q3" s="167"/>
      <c r="R3" s="167"/>
      <c r="S3" s="168" t="s">
        <v>59</v>
      </c>
      <c r="T3" s="167"/>
      <c r="U3" s="167"/>
      <c r="V3" s="167"/>
      <c r="W3" s="168" t="s">
        <v>58</v>
      </c>
      <c r="X3" s="167"/>
      <c r="Y3" s="167"/>
      <c r="Z3" s="167"/>
      <c r="AA3" s="168" t="s">
        <v>57</v>
      </c>
      <c r="AB3" s="167"/>
      <c r="AC3" s="167"/>
      <c r="AD3" s="167"/>
      <c r="AE3" s="168" t="s">
        <v>56</v>
      </c>
      <c r="AF3" s="167"/>
      <c r="AG3" s="167"/>
      <c r="AH3" s="167"/>
      <c r="AI3" s="168" t="s">
        <v>55</v>
      </c>
      <c r="AJ3" s="167"/>
      <c r="AK3" s="167"/>
      <c r="AL3" s="167"/>
      <c r="AM3" s="168" t="s">
        <v>54</v>
      </c>
      <c r="AN3" s="167"/>
      <c r="AO3" s="167"/>
      <c r="AP3" s="167"/>
      <c r="AQ3" s="168" t="s">
        <v>53</v>
      </c>
      <c r="AR3" s="167"/>
      <c r="AS3" s="167"/>
      <c r="AT3" s="167"/>
      <c r="AU3" s="168" t="s">
        <v>52</v>
      </c>
      <c r="AV3" s="167"/>
      <c r="AW3" s="167"/>
      <c r="AX3" s="167"/>
      <c r="AY3" s="168" t="s">
        <v>51</v>
      </c>
      <c r="AZ3" s="167"/>
      <c r="BA3" s="167"/>
      <c r="BB3" s="167"/>
      <c r="BC3" s="168" t="s">
        <v>50</v>
      </c>
      <c r="BD3" s="167"/>
      <c r="BE3" s="167"/>
      <c r="BF3" s="167"/>
      <c r="BG3" s="168" t="s">
        <v>49</v>
      </c>
      <c r="BH3" s="167"/>
      <c r="BI3" s="167"/>
      <c r="BJ3" s="167"/>
      <c r="BK3" s="168" t="s">
        <v>48</v>
      </c>
      <c r="BL3" s="167"/>
      <c r="BM3" s="167"/>
      <c r="BN3" s="167"/>
      <c r="BO3" s="168" t="s">
        <v>47</v>
      </c>
      <c r="BP3" s="167"/>
      <c r="BQ3" s="167"/>
      <c r="BR3" s="167"/>
      <c r="BS3" s="168" t="s">
        <v>216</v>
      </c>
      <c r="BT3" s="167"/>
      <c r="BU3" s="167"/>
      <c r="BV3" s="167"/>
      <c r="BW3" s="167"/>
      <c r="BX3" s="167"/>
      <c r="BY3" s="167"/>
      <c r="BZ3" s="167"/>
      <c r="CA3" s="167"/>
      <c r="CB3" s="166"/>
    </row>
    <row r="4" spans="1:80" ht="21.15" customHeight="1" x14ac:dyDescent="0.55000000000000004">
      <c r="A4" s="166"/>
      <c r="B4" s="167"/>
      <c r="C4" s="229"/>
      <c r="D4" s="229"/>
      <c r="E4" s="229"/>
      <c r="F4" s="229"/>
      <c r="G4" s="167"/>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c r="BA4" s="167"/>
      <c r="BB4" s="167"/>
      <c r="BC4" s="167"/>
      <c r="BD4" s="167"/>
      <c r="BE4" s="167"/>
      <c r="BF4" s="167"/>
      <c r="BG4" s="167"/>
      <c r="BH4" s="167"/>
      <c r="BI4" s="167"/>
      <c r="BJ4" s="167"/>
      <c r="BK4" s="167"/>
      <c r="BL4" s="167"/>
      <c r="BM4" s="167"/>
      <c r="BN4" s="167"/>
      <c r="BO4" s="167"/>
      <c r="BP4" s="167"/>
      <c r="BQ4" s="167"/>
      <c r="BR4" s="167"/>
      <c r="BS4" s="167"/>
      <c r="BT4" s="167"/>
      <c r="BU4" s="167"/>
      <c r="BV4" s="167"/>
      <c r="BW4" s="167"/>
      <c r="BX4" s="167"/>
      <c r="BY4" s="167"/>
      <c r="BZ4" s="167"/>
      <c r="CA4" s="167"/>
      <c r="CB4" s="166"/>
    </row>
    <row r="5" spans="1:80" ht="21.15" customHeight="1" x14ac:dyDescent="0.55000000000000004">
      <c r="A5" s="166"/>
      <c r="B5" s="167"/>
      <c r="C5" s="229"/>
      <c r="D5" s="229"/>
      <c r="E5" s="229"/>
      <c r="F5" s="229"/>
      <c r="G5" s="167"/>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c r="BJ5" s="167"/>
      <c r="BK5" s="167"/>
      <c r="BL5" s="167"/>
      <c r="BM5" s="167"/>
      <c r="BN5" s="167"/>
      <c r="BO5" s="167"/>
      <c r="BP5" s="167"/>
      <c r="BQ5" s="167"/>
      <c r="BR5" s="167"/>
      <c r="BS5" s="167"/>
      <c r="BT5" s="167"/>
      <c r="BU5" s="167"/>
      <c r="BV5" s="167"/>
      <c r="BW5" s="167"/>
      <c r="BX5" s="167"/>
      <c r="BY5" s="167"/>
      <c r="BZ5" s="167"/>
      <c r="CA5" s="167"/>
      <c r="CB5" s="166"/>
    </row>
    <row r="6" spans="1:80" ht="21.15" customHeight="1" thickBot="1" x14ac:dyDescent="0.6">
      <c r="A6" s="166"/>
      <c r="B6" s="167"/>
      <c r="C6" s="229"/>
      <c r="D6" s="229"/>
      <c r="E6" s="229"/>
      <c r="F6" s="229"/>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7"/>
      <c r="BH6" s="167"/>
      <c r="BI6" s="167"/>
      <c r="BJ6" s="167"/>
      <c r="BK6" s="167"/>
      <c r="BL6" s="167"/>
      <c r="BM6" s="167"/>
      <c r="BN6" s="167"/>
      <c r="BO6" s="167"/>
      <c r="BP6" s="167"/>
      <c r="BQ6" s="167"/>
      <c r="BR6" s="167"/>
      <c r="BS6" s="167"/>
      <c r="BT6" s="167"/>
      <c r="BU6" s="167"/>
      <c r="BV6" s="167"/>
      <c r="BW6" s="167"/>
      <c r="BX6" s="167"/>
      <c r="BY6" s="167"/>
      <c r="BZ6" s="167"/>
      <c r="CA6" s="167"/>
      <c r="CB6" s="166"/>
    </row>
    <row r="7" spans="1:80" ht="21.15" customHeight="1" x14ac:dyDescent="0.55000000000000004">
      <c r="A7" s="166"/>
      <c r="B7" s="167"/>
      <c r="C7" s="168" t="s">
        <v>46</v>
      </c>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c r="BA7" s="167"/>
      <c r="BB7" s="167"/>
      <c r="BC7" s="167"/>
      <c r="BD7" s="167"/>
      <c r="BE7" s="167"/>
      <c r="BF7" s="167"/>
      <c r="BG7" s="167"/>
      <c r="BH7" s="167"/>
      <c r="BI7" s="167"/>
      <c r="BJ7" s="167"/>
      <c r="BK7" s="167"/>
      <c r="BL7" s="167"/>
      <c r="BM7" s="167"/>
      <c r="BN7" s="167"/>
      <c r="BO7" s="169">
        <v>1</v>
      </c>
      <c r="BP7" s="170" t="str">
        <f>VLOOKUP(BO7,市町村データ!A2:AX48,MATCH(手順書_1_市町村なまえ!$G$63, 市町村データ!A1:AX1, 0),FALSE)</f>
        <v>北海道</v>
      </c>
      <c r="BQ7" s="98"/>
      <c r="BR7" s="99"/>
      <c r="BS7" s="171"/>
      <c r="BT7" s="167"/>
      <c r="BU7" s="167"/>
      <c r="BV7" s="167"/>
      <c r="BW7" s="183"/>
      <c r="BX7" s="170" t="s">
        <v>69</v>
      </c>
      <c r="BY7" s="170"/>
      <c r="BZ7" s="185"/>
      <c r="CA7" s="167"/>
      <c r="CB7" s="166"/>
    </row>
    <row r="8" spans="1:80" ht="21.15" customHeight="1" x14ac:dyDescent="0.55000000000000004">
      <c r="A8" s="166"/>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c r="BA8" s="167"/>
      <c r="BB8" s="167"/>
      <c r="BC8" s="167"/>
      <c r="BD8" s="167"/>
      <c r="BE8" s="167"/>
      <c r="BF8" s="167"/>
      <c r="BG8" s="167"/>
      <c r="BH8" s="167"/>
      <c r="BI8" s="167"/>
      <c r="BJ8" s="167"/>
      <c r="BK8" s="167"/>
      <c r="BL8" s="167"/>
      <c r="BM8" s="167"/>
      <c r="BN8" s="167"/>
      <c r="BO8" s="172" t="str">
        <f>VLOOKUP(BO7,市町村データ!A2:AX48,MATCH(手順書_1_市町村なまえ!$F$64, 市町村データ!A1:AX1, 0),FALSE)</f>
        <v>ほっかいどう</v>
      </c>
      <c r="BP8" s="173"/>
      <c r="BQ8" s="173"/>
      <c r="BR8" s="95"/>
      <c r="BS8" s="171"/>
      <c r="BT8" s="167"/>
      <c r="BU8" s="167"/>
      <c r="BV8" s="167"/>
      <c r="BW8" s="189" t="s">
        <v>217</v>
      </c>
      <c r="BX8" s="190"/>
      <c r="BY8" s="190"/>
      <c r="BZ8" s="191"/>
      <c r="CA8" s="167"/>
      <c r="CB8" s="166"/>
    </row>
    <row r="9" spans="1:80" ht="21.15" customHeight="1" x14ac:dyDescent="0.55000000000000004">
      <c r="A9" s="166"/>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c r="BA9" s="167"/>
      <c r="BB9" s="167"/>
      <c r="BC9" s="167"/>
      <c r="BD9" s="167"/>
      <c r="BE9" s="167"/>
      <c r="BF9" s="167"/>
      <c r="BG9" s="167"/>
      <c r="BH9" s="167"/>
      <c r="BI9" s="167"/>
      <c r="BJ9" s="167"/>
      <c r="BK9" s="167"/>
      <c r="BL9" s="167"/>
      <c r="BM9" s="167"/>
      <c r="BN9" s="167"/>
      <c r="BO9" s="172"/>
      <c r="BP9" s="173"/>
      <c r="BQ9" s="173"/>
      <c r="BR9" s="95"/>
      <c r="BS9" s="171"/>
      <c r="BT9" s="167"/>
      <c r="BU9" s="167"/>
      <c r="BV9" s="167"/>
      <c r="BW9" s="189"/>
      <c r="BX9" s="190"/>
      <c r="BY9" s="190"/>
      <c r="BZ9" s="191"/>
      <c r="CA9" s="167"/>
      <c r="CB9" s="166"/>
    </row>
    <row r="10" spans="1:80" ht="21.15" customHeight="1" thickBot="1" x14ac:dyDescent="0.6">
      <c r="A10" s="166"/>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7"/>
      <c r="BD10" s="167"/>
      <c r="BE10" s="167"/>
      <c r="BF10" s="167"/>
      <c r="BG10" s="167"/>
      <c r="BH10" s="167"/>
      <c r="BI10" s="167"/>
      <c r="BJ10" s="167"/>
      <c r="BK10" s="167"/>
      <c r="BL10" s="167"/>
      <c r="BM10" s="167"/>
      <c r="BN10" s="167"/>
      <c r="BO10" s="195"/>
      <c r="BP10" s="96"/>
      <c r="BQ10" s="96"/>
      <c r="BR10" s="97"/>
      <c r="BS10" s="171"/>
      <c r="BT10" s="167"/>
      <c r="BU10" s="167"/>
      <c r="BV10" s="167"/>
      <c r="BW10" s="194"/>
      <c r="BX10" s="192"/>
      <c r="BY10" s="192"/>
      <c r="BZ10" s="193"/>
      <c r="CA10" s="167"/>
      <c r="CB10" s="166"/>
    </row>
    <row r="11" spans="1:80" ht="21.15" customHeight="1" x14ac:dyDescent="0.55000000000000004">
      <c r="A11" s="166"/>
      <c r="B11" s="167"/>
      <c r="C11" s="168" t="s">
        <v>63</v>
      </c>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9">
        <v>11</v>
      </c>
      <c r="BD11" s="170" t="str">
        <f>VLOOKUP(BC11,市町村データ!A2:AX48,MATCH(手順書_1_市町村なまえ!$G$63, 市町村データ!A1:AX1, 0),FALSE)</f>
        <v>新潟</v>
      </c>
      <c r="BE11" s="98"/>
      <c r="BF11" s="99"/>
      <c r="BG11" s="169">
        <v>7</v>
      </c>
      <c r="BH11" s="170" t="str">
        <f>VLOOKUP(BG11,市町村データ!A2:AX48,MATCH(手順書_1_市町村なまえ!$G$63, 市町村データ!A1:AX1, 0),FALSE)</f>
        <v>山形</v>
      </c>
      <c r="BI11" s="98"/>
      <c r="BJ11" s="99"/>
      <c r="BK11" s="169">
        <v>4</v>
      </c>
      <c r="BL11" s="170" t="str">
        <f>VLOOKUP(BK11,市町村データ!A2:AX48,MATCH(手順書_1_市町村なまえ!$G$63, 市町村データ!A1:AX1, 0),FALSE)</f>
        <v>秋田</v>
      </c>
      <c r="BM11" s="98"/>
      <c r="BN11" s="99"/>
      <c r="BO11" s="169">
        <v>2</v>
      </c>
      <c r="BP11" s="170" t="str">
        <f>VLOOKUP(BO11,市町村データ!A2:AX48,MATCH(手順書_1_市町村なまえ!$G$63, 市町村データ!A1:AX1, 0),FALSE)</f>
        <v>青森</v>
      </c>
      <c r="BQ11" s="98"/>
      <c r="BR11" s="99"/>
      <c r="BS11" s="171"/>
      <c r="BT11" s="167"/>
      <c r="BU11" s="167"/>
      <c r="BV11" s="167"/>
      <c r="BW11" s="174"/>
      <c r="BX11" s="167"/>
      <c r="BY11" s="167"/>
      <c r="BZ11" s="167"/>
      <c r="CA11" s="167"/>
      <c r="CB11" s="166"/>
    </row>
    <row r="12" spans="1:80" ht="21.15" customHeight="1" x14ac:dyDescent="0.55000000000000004">
      <c r="A12" s="166"/>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72" t="str">
        <f>VLOOKUP(BC11,市町村データ!A2:AX48,MATCH(手順書_1_市町村なまえ!$F$64, 市町村データ!A1:AX1, 0),FALSE)</f>
        <v>にいがた</v>
      </c>
      <c r="BD12" s="173"/>
      <c r="BE12" s="173"/>
      <c r="BF12" s="95"/>
      <c r="BG12" s="172" t="str">
        <f>VLOOKUP(BG11,市町村データ!A2:AX48,MATCH(手順書_1_市町村なまえ!$F$64, 市町村データ!A1:AX1, 0),FALSE)</f>
        <v>やまがた</v>
      </c>
      <c r="BH12" s="173"/>
      <c r="BI12" s="173"/>
      <c r="BJ12" s="95"/>
      <c r="BK12" s="172" t="str">
        <f>VLOOKUP(BK11,市町村データ!A2:AX48,MATCH(手順書_1_市町村なまえ!$F$64, 市町村データ!A1:AX1, 0),FALSE)</f>
        <v>あきた</v>
      </c>
      <c r="BL12" s="173"/>
      <c r="BM12" s="173"/>
      <c r="BN12" s="95"/>
      <c r="BO12" s="172" t="str">
        <f>VLOOKUP(BO11,市町村データ!A2:AX48,MATCH(手順書_1_市町村なまえ!$F$64, 市町村データ!A1:AX1, 0),FALSE)</f>
        <v>あおもり</v>
      </c>
      <c r="BP12" s="173"/>
      <c r="BQ12" s="173"/>
      <c r="BR12" s="95"/>
      <c r="BS12" s="171"/>
      <c r="BT12" s="167"/>
      <c r="BU12" s="167"/>
      <c r="BV12" s="167"/>
      <c r="BW12" s="174"/>
      <c r="BX12" s="167"/>
      <c r="BY12" s="167"/>
      <c r="BZ12" s="167"/>
      <c r="CA12" s="167"/>
      <c r="CB12" s="166"/>
    </row>
    <row r="13" spans="1:80" ht="21.15" customHeight="1" x14ac:dyDescent="0.55000000000000004">
      <c r="A13" s="166"/>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72"/>
      <c r="BD13" s="173"/>
      <c r="BE13" s="173"/>
      <c r="BF13" s="95"/>
      <c r="BG13" s="172"/>
      <c r="BH13" s="173"/>
      <c r="BI13" s="173"/>
      <c r="BJ13" s="95"/>
      <c r="BK13" s="172"/>
      <c r="BL13" s="173"/>
      <c r="BM13" s="173"/>
      <c r="BN13" s="95"/>
      <c r="BO13" s="172"/>
      <c r="BP13" s="173"/>
      <c r="BQ13" s="173"/>
      <c r="BR13" s="95"/>
      <c r="BS13" s="171"/>
      <c r="BT13" s="167"/>
      <c r="BU13" s="167"/>
      <c r="BV13" s="167"/>
      <c r="BW13" s="174"/>
      <c r="BX13" s="174"/>
      <c r="BY13" s="175"/>
      <c r="BZ13" s="174"/>
      <c r="CA13" s="167"/>
      <c r="CB13" s="166"/>
    </row>
    <row r="14" spans="1:80" ht="21.15" customHeight="1" thickBot="1" x14ac:dyDescent="0.6">
      <c r="A14" s="166"/>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67"/>
      <c r="AR14" s="167"/>
      <c r="AS14" s="167"/>
      <c r="AT14" s="167"/>
      <c r="AU14" s="167"/>
      <c r="AV14" s="167"/>
      <c r="AW14" s="167"/>
      <c r="AX14" s="167"/>
      <c r="AY14" s="167"/>
      <c r="AZ14" s="167"/>
      <c r="BA14" s="167"/>
      <c r="BB14" s="167"/>
      <c r="BC14" s="195"/>
      <c r="BD14" s="96"/>
      <c r="BE14" s="96"/>
      <c r="BF14" s="97"/>
      <c r="BG14" s="195"/>
      <c r="BH14" s="96"/>
      <c r="BI14" s="96"/>
      <c r="BJ14" s="97"/>
      <c r="BK14" s="195"/>
      <c r="BL14" s="96"/>
      <c r="BM14" s="96"/>
      <c r="BN14" s="97"/>
      <c r="BO14" s="195"/>
      <c r="BP14" s="96"/>
      <c r="BQ14" s="96"/>
      <c r="BR14" s="97"/>
      <c r="BS14" s="171"/>
      <c r="BT14" s="167"/>
      <c r="BU14" s="167"/>
      <c r="BV14" s="167"/>
      <c r="BW14" s="174"/>
      <c r="BX14" s="174"/>
      <c r="BY14" s="175"/>
      <c r="BZ14" s="174"/>
      <c r="CA14" s="167"/>
      <c r="CB14" s="166"/>
    </row>
    <row r="15" spans="1:80" ht="21.15" customHeight="1" x14ac:dyDescent="0.55000000000000004">
      <c r="A15" s="166"/>
      <c r="B15" s="167"/>
      <c r="C15" s="168" t="s">
        <v>110</v>
      </c>
      <c r="D15" s="167"/>
      <c r="E15" s="167"/>
      <c r="F15" s="167"/>
      <c r="G15" s="167"/>
      <c r="H15" s="167"/>
      <c r="I15" s="167"/>
      <c r="J15" s="167"/>
      <c r="K15" s="167"/>
      <c r="L15" s="167"/>
      <c r="M15" s="167"/>
      <c r="N15" s="167"/>
      <c r="O15" s="167"/>
      <c r="P15" s="167"/>
      <c r="Q15" s="167"/>
      <c r="R15" s="167"/>
      <c r="S15" s="169">
        <v>35</v>
      </c>
      <c r="T15" s="170" t="str">
        <f>VLOOKUP(S15,市町村データ!A2:AX48,MATCH(手順書_1_市町村なまえ!$G$63, 市町村データ!A1:AX1, 0),FALSE)</f>
        <v>島根</v>
      </c>
      <c r="U15" s="98"/>
      <c r="V15" s="99"/>
      <c r="W15" s="169">
        <v>31</v>
      </c>
      <c r="X15" s="170" t="str">
        <f>VLOOKUP(W15,市町村データ!A2:AX48,MATCH(手順書_1_市町村なまえ!$G$63, 市町村データ!A1:AX1, 0),FALSE)</f>
        <v>鳥取</v>
      </c>
      <c r="Y15" s="98"/>
      <c r="Z15" s="99"/>
      <c r="AA15" s="171"/>
      <c r="AB15" s="167"/>
      <c r="AC15" s="167"/>
      <c r="AD15" s="167"/>
      <c r="AE15" s="169">
        <v>27</v>
      </c>
      <c r="AF15" s="170" t="str">
        <f>VLOOKUP(AE15,市町村データ!A2:AX48,MATCH(手順書_1_市町村なまえ!$G$63, 市町村データ!A1:AX1, 0),FALSE)</f>
        <v>京都</v>
      </c>
      <c r="AG15" s="98"/>
      <c r="AH15" s="99"/>
      <c r="AI15" s="169">
        <v>25</v>
      </c>
      <c r="AJ15" s="170" t="str">
        <f>VLOOKUP(AI15,市町村データ!A2:AX48,MATCH(手順書_1_市町村なまえ!$G$63, 市町村データ!A1:AX1, 0),FALSE)</f>
        <v>福井</v>
      </c>
      <c r="AK15" s="98"/>
      <c r="AL15" s="99"/>
      <c r="AM15" s="169">
        <v>22</v>
      </c>
      <c r="AN15" s="170" t="str">
        <f>VLOOKUP(AM15,市町村データ!A2:AX48,MATCH(手順書_1_市町村なまえ!$G$63, 市町村データ!A1:AX1, 0),FALSE)</f>
        <v>石川</v>
      </c>
      <c r="AO15" s="98"/>
      <c r="AP15" s="99"/>
      <c r="AQ15" s="169">
        <v>19</v>
      </c>
      <c r="AR15" s="170" t="str">
        <f>VLOOKUP(AQ15,市町村データ!A2:AX48,MATCH(手順書_1_市町村なまえ!$G$63, 市町村データ!A1:AX1, 0),FALSE)</f>
        <v>富山</v>
      </c>
      <c r="AS15" s="98"/>
      <c r="AT15" s="99"/>
      <c r="AU15" s="171"/>
      <c r="AV15" s="167"/>
      <c r="AW15" s="167"/>
      <c r="AX15" s="167"/>
      <c r="AY15" s="167"/>
      <c r="AZ15" s="167"/>
      <c r="BA15" s="167"/>
      <c r="BB15" s="167"/>
      <c r="BC15" s="169">
        <v>12</v>
      </c>
      <c r="BD15" s="170" t="str">
        <f>VLOOKUP(BC15,市町村データ!A2:AX48,MATCH(手順書_1_市町村なまえ!$G$63, 市町村データ!A1:AX1, 0),FALSE)</f>
        <v>群馬</v>
      </c>
      <c r="BE15" s="98"/>
      <c r="BF15" s="99"/>
      <c r="BG15" s="169">
        <v>8</v>
      </c>
      <c r="BH15" s="170" t="str">
        <f>VLOOKUP(BG15,市町村データ!A2:AX48,MATCH(手順書_1_市町村なまえ!$G$63, 市町村データ!A1:AX1, 0),FALSE)</f>
        <v>福島</v>
      </c>
      <c r="BI15" s="98"/>
      <c r="BJ15" s="99"/>
      <c r="BK15" s="169">
        <v>5</v>
      </c>
      <c r="BL15" s="170" t="str">
        <f>VLOOKUP(BK15,市町村データ!A2:AX48,MATCH(手順書_1_市町村なまえ!$G$63, 市町村データ!A1:AX1, 0),FALSE)</f>
        <v>宮城</v>
      </c>
      <c r="BM15" s="98"/>
      <c r="BN15" s="99"/>
      <c r="BO15" s="169">
        <v>3</v>
      </c>
      <c r="BP15" s="170" t="str">
        <f>VLOOKUP(BO15,市町村データ!A2:AX48,MATCH(手順書_1_市町村なまえ!$G$63, 市町村データ!A1:AX1, 0),FALSE)</f>
        <v>岩手</v>
      </c>
      <c r="BQ15" s="98"/>
      <c r="BR15" s="99"/>
      <c r="BS15" s="171"/>
      <c r="BT15" s="167"/>
      <c r="BU15" s="167"/>
      <c r="BV15" s="167"/>
      <c r="BW15" s="174"/>
      <c r="BX15" s="174"/>
      <c r="BY15" s="175"/>
      <c r="BZ15" s="174"/>
      <c r="CA15" s="167"/>
      <c r="CB15" s="166"/>
    </row>
    <row r="16" spans="1:80" ht="21.15" customHeight="1" x14ac:dyDescent="0.55000000000000004">
      <c r="A16" s="166"/>
      <c r="B16" s="167"/>
      <c r="C16" s="167"/>
      <c r="D16" s="167"/>
      <c r="E16" s="167"/>
      <c r="F16" s="167"/>
      <c r="G16" s="167"/>
      <c r="H16" s="167"/>
      <c r="I16" s="167"/>
      <c r="J16" s="167"/>
      <c r="K16" s="167"/>
      <c r="L16" s="167"/>
      <c r="M16" s="167"/>
      <c r="N16" s="167"/>
      <c r="O16" s="167"/>
      <c r="P16" s="167"/>
      <c r="Q16" s="167"/>
      <c r="R16" s="167"/>
      <c r="S16" s="172" t="str">
        <f>VLOOKUP(S15,市町村データ!A2:AX48,MATCH(手順書_1_市町村なまえ!$F$64, 市町村データ!A1:AX1, 0),FALSE)</f>
        <v>しまね</v>
      </c>
      <c r="T16" s="173"/>
      <c r="U16" s="173"/>
      <c r="V16" s="95"/>
      <c r="W16" s="172" t="str">
        <f>VLOOKUP(W15,市町村データ!A2:AX48,MATCH(手順書_1_市町村なまえ!$F$64, 市町村データ!A1:AX1, 0),FALSE)</f>
        <v>とっとり</v>
      </c>
      <c r="X16" s="173"/>
      <c r="Y16" s="173"/>
      <c r="Z16" s="95"/>
      <c r="AA16" s="171"/>
      <c r="AB16" s="167"/>
      <c r="AC16" s="167"/>
      <c r="AD16" s="167"/>
      <c r="AE16" s="172" t="str">
        <f>VLOOKUP(AE15,市町村データ!A2:AX48,MATCH(手順書_1_市町村なまえ!$F$64, 市町村データ!A1:AX1, 0),FALSE)</f>
        <v>きょうと</v>
      </c>
      <c r="AF16" s="173"/>
      <c r="AG16" s="173"/>
      <c r="AH16" s="95"/>
      <c r="AI16" s="172" t="str">
        <f>VLOOKUP(AI15,市町村データ!A2:AX48,MATCH(手順書_1_市町村なまえ!$F$64, 市町村データ!A1:AX1, 0),FALSE)</f>
        <v>ふくい</v>
      </c>
      <c r="AJ16" s="173"/>
      <c r="AK16" s="173"/>
      <c r="AL16" s="95"/>
      <c r="AM16" s="172" t="str">
        <f>VLOOKUP(AM15,市町村データ!A2:AX48,MATCH(手順書_1_市町村なまえ!$F$64, 市町村データ!A1:AX1, 0),FALSE)</f>
        <v>いしかわ</v>
      </c>
      <c r="AN16" s="173"/>
      <c r="AO16" s="173"/>
      <c r="AP16" s="95"/>
      <c r="AQ16" s="172" t="str">
        <f>VLOOKUP(AQ15,市町村データ!A2:AX48,MATCH(手順書_1_市町村なまえ!$F$64, 市町村データ!A1:AX1, 0),FALSE)</f>
        <v>とやま</v>
      </c>
      <c r="AR16" s="173"/>
      <c r="AS16" s="173"/>
      <c r="AT16" s="95"/>
      <c r="AU16" s="171"/>
      <c r="AV16" s="167"/>
      <c r="AW16" s="167"/>
      <c r="AX16" s="167"/>
      <c r="AY16" s="167"/>
      <c r="AZ16" s="167"/>
      <c r="BA16" s="167"/>
      <c r="BB16" s="167"/>
      <c r="BC16" s="172" t="str">
        <f>VLOOKUP(BC15,市町村データ!A2:AX48,MATCH(手順書_1_市町村なまえ!$F$64, 市町村データ!A1:AX1, 0),FALSE)</f>
        <v>ぐんま</v>
      </c>
      <c r="BD16" s="173"/>
      <c r="BE16" s="173"/>
      <c r="BF16" s="95"/>
      <c r="BG16" s="172" t="str">
        <f>VLOOKUP(BG15,市町村データ!A2:AX48,MATCH(手順書_1_市町村なまえ!$F$64, 市町村データ!A1:AX1, 0),FALSE)</f>
        <v>ふくしま</v>
      </c>
      <c r="BH16" s="173"/>
      <c r="BI16" s="173"/>
      <c r="BJ16" s="95"/>
      <c r="BK16" s="172" t="str">
        <f>VLOOKUP(BK15,市町村データ!A2:AX48,MATCH(手順書_1_市町村なまえ!$F$64, 市町村データ!A1:AX1, 0),FALSE)</f>
        <v>みやぎ</v>
      </c>
      <c r="BL16" s="173"/>
      <c r="BM16" s="173"/>
      <c r="BN16" s="95"/>
      <c r="BO16" s="172" t="str">
        <f>VLOOKUP(BO15,市町村データ!A2:AX48,MATCH(手順書_1_市町村なまえ!$F$64, 市町村データ!A1:AX1, 0),FALSE)</f>
        <v>いわて</v>
      </c>
      <c r="BP16" s="173"/>
      <c r="BQ16" s="173"/>
      <c r="BR16" s="95"/>
      <c r="BS16" s="171"/>
      <c r="BT16" s="167"/>
      <c r="BU16" s="167"/>
      <c r="BV16" s="167"/>
      <c r="BW16" s="174"/>
      <c r="BX16" s="174"/>
      <c r="BY16" s="175"/>
      <c r="BZ16" s="174"/>
      <c r="CA16" s="167"/>
      <c r="CB16" s="166"/>
    </row>
    <row r="17" spans="1:80" ht="21.15" customHeight="1" x14ac:dyDescent="0.55000000000000004">
      <c r="A17" s="166"/>
      <c r="B17" s="167"/>
      <c r="C17" s="167"/>
      <c r="D17" s="167"/>
      <c r="E17" s="167"/>
      <c r="F17" s="167"/>
      <c r="G17" s="167"/>
      <c r="H17" s="167"/>
      <c r="I17" s="167"/>
      <c r="J17" s="167"/>
      <c r="K17" s="167"/>
      <c r="L17" s="167"/>
      <c r="M17" s="167"/>
      <c r="N17" s="167"/>
      <c r="O17" s="167"/>
      <c r="P17" s="167"/>
      <c r="Q17" s="167"/>
      <c r="R17" s="167"/>
      <c r="S17" s="172"/>
      <c r="T17" s="173"/>
      <c r="U17" s="173"/>
      <c r="V17" s="95"/>
      <c r="W17" s="172"/>
      <c r="X17" s="173"/>
      <c r="Y17" s="173"/>
      <c r="Z17" s="95"/>
      <c r="AA17" s="171"/>
      <c r="AB17" s="167"/>
      <c r="AC17" s="167"/>
      <c r="AD17" s="167"/>
      <c r="AE17" s="172"/>
      <c r="AF17" s="173"/>
      <c r="AG17" s="173"/>
      <c r="AH17" s="95"/>
      <c r="AI17" s="172"/>
      <c r="AJ17" s="173"/>
      <c r="AK17" s="173"/>
      <c r="AL17" s="95"/>
      <c r="AM17" s="172"/>
      <c r="AN17" s="173"/>
      <c r="AO17" s="173"/>
      <c r="AP17" s="95"/>
      <c r="AQ17" s="172"/>
      <c r="AR17" s="173"/>
      <c r="AS17" s="173"/>
      <c r="AT17" s="95"/>
      <c r="AU17" s="171"/>
      <c r="AV17" s="167"/>
      <c r="AW17" s="167"/>
      <c r="AX17" s="167"/>
      <c r="AY17" s="167"/>
      <c r="AZ17" s="167"/>
      <c r="BA17" s="167"/>
      <c r="BB17" s="167"/>
      <c r="BC17" s="172"/>
      <c r="BD17" s="173"/>
      <c r="BE17" s="173"/>
      <c r="BF17" s="95"/>
      <c r="BG17" s="172"/>
      <c r="BH17" s="173"/>
      <c r="BI17" s="173"/>
      <c r="BJ17" s="95"/>
      <c r="BK17" s="172"/>
      <c r="BL17" s="173"/>
      <c r="BM17" s="173"/>
      <c r="BN17" s="95"/>
      <c r="BO17" s="172"/>
      <c r="BP17" s="173"/>
      <c r="BQ17" s="173"/>
      <c r="BR17" s="95"/>
      <c r="BS17" s="171"/>
      <c r="BT17" s="167"/>
      <c r="BU17" s="167"/>
      <c r="BV17" s="167"/>
      <c r="BW17" s="167"/>
      <c r="BX17" s="167"/>
      <c r="BY17" s="175"/>
      <c r="BZ17" s="167"/>
      <c r="CA17" s="167"/>
      <c r="CB17" s="166"/>
    </row>
    <row r="18" spans="1:80" ht="21.15" customHeight="1" thickBot="1" x14ac:dyDescent="0.6">
      <c r="A18" s="166"/>
      <c r="B18" s="167"/>
      <c r="C18" s="167"/>
      <c r="D18" s="167"/>
      <c r="E18" s="167"/>
      <c r="F18" s="167"/>
      <c r="G18" s="167"/>
      <c r="H18" s="167"/>
      <c r="I18" s="167"/>
      <c r="J18" s="167"/>
      <c r="K18" s="167"/>
      <c r="L18" s="167"/>
      <c r="M18" s="167"/>
      <c r="N18" s="167"/>
      <c r="O18" s="167"/>
      <c r="P18" s="167"/>
      <c r="Q18" s="167"/>
      <c r="R18" s="167"/>
      <c r="S18" s="195"/>
      <c r="T18" s="96"/>
      <c r="U18" s="96"/>
      <c r="V18" s="97"/>
      <c r="W18" s="195"/>
      <c r="X18" s="96"/>
      <c r="Y18" s="96"/>
      <c r="Z18" s="97"/>
      <c r="AA18" s="171"/>
      <c r="AB18" s="167"/>
      <c r="AC18" s="167"/>
      <c r="AD18" s="167"/>
      <c r="AE18" s="195"/>
      <c r="AF18" s="96"/>
      <c r="AG18" s="96"/>
      <c r="AH18" s="97"/>
      <c r="AI18" s="195"/>
      <c r="AJ18" s="96"/>
      <c r="AK18" s="96"/>
      <c r="AL18" s="97"/>
      <c r="AM18" s="195"/>
      <c r="AN18" s="96"/>
      <c r="AO18" s="96"/>
      <c r="AP18" s="97"/>
      <c r="AQ18" s="195"/>
      <c r="AR18" s="96"/>
      <c r="AS18" s="96"/>
      <c r="AT18" s="97"/>
      <c r="AU18" s="171"/>
      <c r="AV18" s="167"/>
      <c r="AW18" s="167"/>
      <c r="AX18" s="167"/>
      <c r="AY18" s="167"/>
      <c r="AZ18" s="167"/>
      <c r="BA18" s="167"/>
      <c r="BB18" s="167"/>
      <c r="BC18" s="195"/>
      <c r="BD18" s="96"/>
      <c r="BE18" s="96"/>
      <c r="BF18" s="97"/>
      <c r="BG18" s="195"/>
      <c r="BH18" s="96"/>
      <c r="BI18" s="96"/>
      <c r="BJ18" s="97"/>
      <c r="BK18" s="195"/>
      <c r="BL18" s="96"/>
      <c r="BM18" s="96"/>
      <c r="BN18" s="97"/>
      <c r="BO18" s="195"/>
      <c r="BP18" s="96"/>
      <c r="BQ18" s="96"/>
      <c r="BR18" s="97"/>
      <c r="BS18" s="171"/>
      <c r="BT18" s="167"/>
      <c r="BU18" s="167"/>
      <c r="BV18" s="167"/>
      <c r="BW18" s="167"/>
      <c r="BX18" s="167"/>
      <c r="BY18" s="175"/>
      <c r="BZ18" s="167"/>
      <c r="CA18" s="167"/>
      <c r="CB18" s="166"/>
    </row>
    <row r="19" spans="1:80" ht="21.15" customHeight="1" x14ac:dyDescent="0.55000000000000004">
      <c r="A19" s="166"/>
      <c r="B19" s="167"/>
      <c r="C19" s="168" t="s">
        <v>64</v>
      </c>
      <c r="D19" s="167"/>
      <c r="E19" s="167"/>
      <c r="F19" s="167"/>
      <c r="G19" s="169">
        <v>44</v>
      </c>
      <c r="H19" s="170" t="str">
        <f>VLOOKUP(G19,市町村データ!A2:AX48,MATCH(手順書_1_市町村なまえ!$G$63, 市町村データ!A1:AX1, 0),FALSE)</f>
        <v>佐賀</v>
      </c>
      <c r="I19" s="98"/>
      <c r="J19" s="99"/>
      <c r="K19" s="169">
        <v>40</v>
      </c>
      <c r="L19" s="170" t="str">
        <f>VLOOKUP(K19,市町村データ!A2:AX48,MATCH(手順書_1_市町村なまえ!$G$63, 市町村データ!A1:AX1, 0),FALSE)</f>
        <v>福岡</v>
      </c>
      <c r="M19" s="98"/>
      <c r="N19" s="99"/>
      <c r="O19" s="169">
        <v>39</v>
      </c>
      <c r="P19" s="170" t="str">
        <f>VLOOKUP(O19,市町村データ!A2:AX48,MATCH(手順書_1_市町村なまえ!$G$63, 市町村データ!A1:AX1, 0),FALSE)</f>
        <v>山口</v>
      </c>
      <c r="Q19" s="98"/>
      <c r="R19" s="99"/>
      <c r="S19" s="169">
        <v>36</v>
      </c>
      <c r="T19" s="170" t="str">
        <f>VLOOKUP(S19,市町村データ!A2:AX48,MATCH(手順書_1_市町村なまえ!$G$63, 市町村データ!A1:AX1, 0),FALSE)</f>
        <v>広島</v>
      </c>
      <c r="U19" s="98"/>
      <c r="V19" s="99"/>
      <c r="W19" s="169">
        <v>32</v>
      </c>
      <c r="X19" s="170" t="str">
        <f>VLOOKUP(W19,市町村データ!A2:AX48,MATCH(手順書_1_市町村なまえ!$G$63, 市町村データ!A1:AX1, 0),FALSE)</f>
        <v>岡山</v>
      </c>
      <c r="Y19" s="98"/>
      <c r="Z19" s="99"/>
      <c r="AA19" s="169">
        <v>30</v>
      </c>
      <c r="AB19" s="170" t="str">
        <f>VLOOKUP(AA19,市町村データ!A2:AX48,MATCH(手順書_1_市町村なまえ!$G$63, 市町村データ!A1:AX1, 0),FALSE)</f>
        <v>兵庫</v>
      </c>
      <c r="AC19" s="98"/>
      <c r="AD19" s="99"/>
      <c r="AE19" s="169">
        <v>28</v>
      </c>
      <c r="AF19" s="170" t="str">
        <f>VLOOKUP(AE19,市町村データ!A2:AX48,MATCH(手順書_1_市町村なまえ!$G$63, 市町村データ!A1:AX1, 0),FALSE)</f>
        <v>大阪</v>
      </c>
      <c r="AG19" s="98"/>
      <c r="AH19" s="99"/>
      <c r="AI19" s="169">
        <v>26</v>
      </c>
      <c r="AJ19" s="170" t="str">
        <f>VLOOKUP(AI19,市町村データ!A2:AX48,MATCH(手順書_1_市町村なまえ!$G$63, 市町村データ!A1:AX1, 0),FALSE)</f>
        <v>奈良</v>
      </c>
      <c r="AK19" s="98"/>
      <c r="AL19" s="99"/>
      <c r="AM19" s="169">
        <v>23</v>
      </c>
      <c r="AN19" s="170" t="str">
        <f>VLOOKUP(AM19,市町村データ!A2:AX48,MATCH(手順書_1_市町村なまえ!$G$63, 市町村データ!A1:AX1, 0),FALSE)</f>
        <v>滋賀</v>
      </c>
      <c r="AO19" s="98"/>
      <c r="AP19" s="99"/>
      <c r="AQ19" s="169">
        <v>20</v>
      </c>
      <c r="AR19" s="170" t="str">
        <f>VLOOKUP(AQ19,市町村データ!A2:AX48,MATCH(手順書_1_市町村なまえ!$G$63, 市町村データ!A1:AX1, 0),FALSE)</f>
        <v>岐阜</v>
      </c>
      <c r="AS19" s="98"/>
      <c r="AT19" s="99"/>
      <c r="AU19" s="169">
        <v>17</v>
      </c>
      <c r="AV19" s="170" t="str">
        <f>VLOOKUP(AU19,市町村データ!A2:AX48,MATCH(手順書_1_市町村なまえ!$G$63, 市町村データ!A1:AX1, 0),FALSE)</f>
        <v>長野</v>
      </c>
      <c r="AW19" s="98"/>
      <c r="AX19" s="99"/>
      <c r="AY19" s="169">
        <v>15</v>
      </c>
      <c r="AZ19" s="170" t="str">
        <f>VLOOKUP(AY19,市町村データ!A2:AX48,MATCH(手順書_1_市町村なまえ!$G$63, 市町村データ!A1:AX1, 0),FALSE)</f>
        <v>山梨</v>
      </c>
      <c r="BA19" s="98"/>
      <c r="BB19" s="99"/>
      <c r="BC19" s="169">
        <v>13</v>
      </c>
      <c r="BD19" s="170" t="str">
        <f>VLOOKUP(BC19,市町村データ!A2:AX48,MATCH(手順書_1_市町村なまえ!$G$63, 市町村データ!A1:AX1, 0),FALSE)</f>
        <v>埼玉</v>
      </c>
      <c r="BE19" s="98"/>
      <c r="BF19" s="99"/>
      <c r="BG19" s="169">
        <v>9</v>
      </c>
      <c r="BH19" s="170" t="str">
        <f>VLOOKUP(BG19,市町村データ!A2:AX48,MATCH(手順書_1_市町村なまえ!$G$63, 市町村データ!A1:AX1, 0),FALSE)</f>
        <v>栃木</v>
      </c>
      <c r="BI19" s="98"/>
      <c r="BJ19" s="99"/>
      <c r="BK19" s="169">
        <v>6</v>
      </c>
      <c r="BL19" s="170" t="str">
        <f>VLOOKUP(BK19,市町村データ!A2:AX48,MATCH(手順書_1_市町村なまえ!$G$63, 市町村データ!A1:AX1, 0),FALSE)</f>
        <v>茨城</v>
      </c>
      <c r="BM19" s="98"/>
      <c r="BN19" s="99"/>
      <c r="BO19" s="176"/>
      <c r="BP19" s="177"/>
      <c r="BQ19" s="177"/>
      <c r="BR19" s="177"/>
      <c r="BS19" s="167"/>
      <c r="BT19" s="167"/>
      <c r="BU19" s="167"/>
      <c r="BV19" s="167"/>
      <c r="BW19" s="167"/>
      <c r="BX19" s="174"/>
      <c r="BY19" s="175"/>
      <c r="BZ19" s="167"/>
      <c r="CA19" s="167"/>
      <c r="CB19" s="166"/>
    </row>
    <row r="20" spans="1:80" ht="21.15" customHeight="1" x14ac:dyDescent="0.55000000000000004">
      <c r="A20" s="166"/>
      <c r="B20" s="167"/>
      <c r="C20" s="167"/>
      <c r="D20" s="167"/>
      <c r="E20" s="167"/>
      <c r="F20" s="167"/>
      <c r="G20" s="172" t="str">
        <f>VLOOKUP(G19,市町村データ!A2:AX48,MATCH(手順書_1_市町村なまえ!$F$64, 市町村データ!A1:AX1, 0),FALSE)</f>
        <v>さが</v>
      </c>
      <c r="H20" s="173"/>
      <c r="I20" s="173"/>
      <c r="J20" s="95"/>
      <c r="K20" s="172" t="str">
        <f>VLOOKUP(K19,市町村データ!A2:AX48,MATCH(手順書_1_市町村なまえ!$F$64, 市町村データ!A1:AX1, 0),FALSE)</f>
        <v>ふくおか</v>
      </c>
      <c r="L20" s="173"/>
      <c r="M20" s="173"/>
      <c r="N20" s="95"/>
      <c r="O20" s="172" t="str">
        <f>VLOOKUP(O19,市町村データ!A2:AX48,MATCH(手順書_1_市町村なまえ!$F$64, 市町村データ!A1:AX1, 0),FALSE)</f>
        <v>やまぐち</v>
      </c>
      <c r="P20" s="173"/>
      <c r="Q20" s="173"/>
      <c r="R20" s="95"/>
      <c r="S20" s="172" t="str">
        <f>VLOOKUP(S19,市町村データ!A2:AX48,MATCH(手順書_1_市町村なまえ!$F$64, 市町村データ!A1:AX1, 0),FALSE)</f>
        <v>ひろしま</v>
      </c>
      <c r="T20" s="173"/>
      <c r="U20" s="173"/>
      <c r="V20" s="95"/>
      <c r="W20" s="172" t="str">
        <f>VLOOKUP(W19,市町村データ!A2:AX48,MATCH(手順書_1_市町村なまえ!$F$64, 市町村データ!A1:AX1, 0),FALSE)</f>
        <v>おかやま</v>
      </c>
      <c r="X20" s="173"/>
      <c r="Y20" s="173"/>
      <c r="Z20" s="95"/>
      <c r="AA20" s="172" t="str">
        <f>VLOOKUP(AA19,市町村データ!A2:AX48,MATCH(手順書_1_市町村なまえ!$F$64, 市町村データ!A1:AX1, 0),FALSE)</f>
        <v>ひょうご</v>
      </c>
      <c r="AB20" s="173"/>
      <c r="AC20" s="173"/>
      <c r="AD20" s="95"/>
      <c r="AE20" s="172" t="str">
        <f>VLOOKUP(AE19,市町村データ!A2:AX48,MATCH(手順書_1_市町村なまえ!$F$64, 市町村データ!A1:AX1, 0),FALSE)</f>
        <v>おおさか</v>
      </c>
      <c r="AF20" s="173"/>
      <c r="AG20" s="173"/>
      <c r="AH20" s="95"/>
      <c r="AI20" s="172" t="str">
        <f>VLOOKUP(AI19,市町村データ!A2:AX48,MATCH(手順書_1_市町村なまえ!$F$64, 市町村データ!A1:AX1, 0),FALSE)</f>
        <v>なら</v>
      </c>
      <c r="AJ20" s="173"/>
      <c r="AK20" s="173"/>
      <c r="AL20" s="95"/>
      <c r="AM20" s="172" t="str">
        <f>VLOOKUP(AM19,市町村データ!A2:AX48,MATCH(手順書_1_市町村なまえ!$F$64, 市町村データ!A1:AX1, 0),FALSE)</f>
        <v>しが</v>
      </c>
      <c r="AN20" s="173"/>
      <c r="AO20" s="173"/>
      <c r="AP20" s="95"/>
      <c r="AQ20" s="172" t="str">
        <f>VLOOKUP(AQ19,市町村データ!A2:AX48,MATCH(手順書_1_市町村なまえ!$F$64, 市町村データ!A1:AX1, 0),FALSE)</f>
        <v>ぎふ</v>
      </c>
      <c r="AR20" s="173"/>
      <c r="AS20" s="173"/>
      <c r="AT20" s="95"/>
      <c r="AU20" s="172" t="str">
        <f>VLOOKUP(AU19,市町村データ!A2:AX48,MATCH(手順書_1_市町村なまえ!$F$64, 市町村データ!A1:AX1, 0),FALSE)</f>
        <v>ながの</v>
      </c>
      <c r="AV20" s="173"/>
      <c r="AW20" s="173"/>
      <c r="AX20" s="95"/>
      <c r="AY20" s="172" t="str">
        <f>VLOOKUP(AY19,市町村データ!A2:AX48,MATCH(手順書_1_市町村なまえ!$F$64, 市町村データ!A1:AX1, 0),FALSE)</f>
        <v>やまなし</v>
      </c>
      <c r="AZ20" s="173"/>
      <c r="BA20" s="173"/>
      <c r="BB20" s="95"/>
      <c r="BC20" s="172" t="str">
        <f>VLOOKUP(BC19,市町村データ!A2:AX48,MATCH(手順書_1_市町村なまえ!$F$64, 市町村データ!A1:AX1, 0),FALSE)</f>
        <v>さいたま</v>
      </c>
      <c r="BD20" s="173"/>
      <c r="BE20" s="173"/>
      <c r="BF20" s="95"/>
      <c r="BG20" s="172" t="str">
        <f>VLOOKUP(BG19,市町村データ!A2:AX48,MATCH(手順書_1_市町村なまえ!$F$64, 市町村データ!A1:AX1, 0),FALSE)</f>
        <v>とちぎ</v>
      </c>
      <c r="BH20" s="173"/>
      <c r="BI20" s="173"/>
      <c r="BJ20" s="95"/>
      <c r="BK20" s="172" t="str">
        <f>VLOOKUP(BK19,市町村データ!A2:AX48,MATCH(手順書_1_市町村なまえ!$F$64, 市町村データ!A1:AX1, 0),FALSE)</f>
        <v>いばらぎ</v>
      </c>
      <c r="BL20" s="173"/>
      <c r="BM20" s="173"/>
      <c r="BN20" s="95"/>
      <c r="BO20" s="171"/>
      <c r="BP20" s="167"/>
      <c r="BQ20" s="167"/>
      <c r="BR20" s="167"/>
      <c r="BS20" s="167"/>
      <c r="BT20" s="167"/>
      <c r="BU20" s="167"/>
      <c r="BV20" s="167"/>
      <c r="BW20" s="167"/>
      <c r="BX20" s="174"/>
      <c r="BY20" s="175"/>
      <c r="BZ20" s="167"/>
      <c r="CA20" s="167"/>
      <c r="CB20" s="166"/>
    </row>
    <row r="21" spans="1:80" ht="21.15" customHeight="1" x14ac:dyDescent="0.55000000000000004">
      <c r="A21" s="166"/>
      <c r="B21" s="167"/>
      <c r="C21" s="167"/>
      <c r="D21" s="167"/>
      <c r="E21" s="167"/>
      <c r="F21" s="167"/>
      <c r="G21" s="172"/>
      <c r="H21" s="173"/>
      <c r="I21" s="173"/>
      <c r="J21" s="95"/>
      <c r="K21" s="172"/>
      <c r="L21" s="173"/>
      <c r="M21" s="173"/>
      <c r="N21" s="95"/>
      <c r="O21" s="172"/>
      <c r="P21" s="173"/>
      <c r="Q21" s="173"/>
      <c r="R21" s="95"/>
      <c r="S21" s="172"/>
      <c r="T21" s="173"/>
      <c r="U21" s="173"/>
      <c r="V21" s="95"/>
      <c r="W21" s="172"/>
      <c r="X21" s="173"/>
      <c r="Y21" s="173"/>
      <c r="Z21" s="95"/>
      <c r="AA21" s="172"/>
      <c r="AB21" s="173"/>
      <c r="AC21" s="173"/>
      <c r="AD21" s="95"/>
      <c r="AE21" s="172"/>
      <c r="AF21" s="173"/>
      <c r="AG21" s="173"/>
      <c r="AH21" s="95"/>
      <c r="AI21" s="172"/>
      <c r="AJ21" s="173"/>
      <c r="AK21" s="173"/>
      <c r="AL21" s="95"/>
      <c r="AM21" s="172"/>
      <c r="AN21" s="173"/>
      <c r="AO21" s="173"/>
      <c r="AP21" s="95"/>
      <c r="AQ21" s="172"/>
      <c r="AR21" s="173"/>
      <c r="AS21" s="173"/>
      <c r="AT21" s="95"/>
      <c r="AU21" s="172"/>
      <c r="AV21" s="173"/>
      <c r="AW21" s="173"/>
      <c r="AX21" s="95"/>
      <c r="AY21" s="172"/>
      <c r="AZ21" s="173"/>
      <c r="BA21" s="173"/>
      <c r="BB21" s="95"/>
      <c r="BC21" s="172"/>
      <c r="BD21" s="173"/>
      <c r="BE21" s="173"/>
      <c r="BF21" s="95"/>
      <c r="BG21" s="172"/>
      <c r="BH21" s="173"/>
      <c r="BI21" s="173"/>
      <c r="BJ21" s="95"/>
      <c r="BK21" s="172"/>
      <c r="BL21" s="173"/>
      <c r="BM21" s="173"/>
      <c r="BN21" s="95"/>
      <c r="BO21" s="171"/>
      <c r="BP21" s="167"/>
      <c r="BQ21" s="167"/>
      <c r="BR21" s="167"/>
      <c r="BS21" s="167"/>
      <c r="BT21" s="167"/>
      <c r="BU21" s="167"/>
      <c r="BV21" s="167"/>
      <c r="BW21" s="167"/>
      <c r="BX21" s="174"/>
      <c r="BY21" s="175"/>
      <c r="BZ21" s="167"/>
      <c r="CA21" s="167"/>
      <c r="CB21" s="166"/>
    </row>
    <row r="22" spans="1:80" ht="21.15" customHeight="1" thickBot="1" x14ac:dyDescent="0.6">
      <c r="A22" s="166"/>
      <c r="B22" s="167"/>
      <c r="C22" s="167"/>
      <c r="D22" s="167"/>
      <c r="E22" s="167"/>
      <c r="F22" s="167"/>
      <c r="G22" s="195"/>
      <c r="H22" s="96"/>
      <c r="I22" s="96"/>
      <c r="J22" s="97"/>
      <c r="K22" s="195"/>
      <c r="L22" s="96"/>
      <c r="M22" s="96"/>
      <c r="N22" s="97"/>
      <c r="O22" s="195"/>
      <c r="P22" s="96"/>
      <c r="Q22" s="96"/>
      <c r="R22" s="97"/>
      <c r="S22" s="195"/>
      <c r="T22" s="96"/>
      <c r="U22" s="96"/>
      <c r="V22" s="97"/>
      <c r="W22" s="195"/>
      <c r="X22" s="96"/>
      <c r="Y22" s="96"/>
      <c r="Z22" s="97"/>
      <c r="AA22" s="195"/>
      <c r="AB22" s="96"/>
      <c r="AC22" s="96"/>
      <c r="AD22" s="97"/>
      <c r="AE22" s="195"/>
      <c r="AF22" s="96"/>
      <c r="AG22" s="96"/>
      <c r="AH22" s="97"/>
      <c r="AI22" s="195"/>
      <c r="AJ22" s="96"/>
      <c r="AK22" s="96"/>
      <c r="AL22" s="97"/>
      <c r="AM22" s="195"/>
      <c r="AN22" s="96"/>
      <c r="AO22" s="96"/>
      <c r="AP22" s="97"/>
      <c r="AQ22" s="195"/>
      <c r="AR22" s="96"/>
      <c r="AS22" s="96"/>
      <c r="AT22" s="97"/>
      <c r="AU22" s="195"/>
      <c r="AV22" s="96"/>
      <c r="AW22" s="96"/>
      <c r="AX22" s="97"/>
      <c r="AY22" s="195"/>
      <c r="AZ22" s="96"/>
      <c r="BA22" s="96"/>
      <c r="BB22" s="97"/>
      <c r="BC22" s="195"/>
      <c r="BD22" s="96"/>
      <c r="BE22" s="96"/>
      <c r="BF22" s="97"/>
      <c r="BG22" s="195"/>
      <c r="BH22" s="96"/>
      <c r="BI22" s="96"/>
      <c r="BJ22" s="97"/>
      <c r="BK22" s="195"/>
      <c r="BL22" s="96"/>
      <c r="BM22" s="96"/>
      <c r="BN22" s="97"/>
      <c r="BO22" s="171"/>
      <c r="BP22" s="167"/>
      <c r="BQ22" s="167"/>
      <c r="BR22" s="167"/>
      <c r="BS22" s="167"/>
      <c r="BT22" s="167"/>
      <c r="BU22" s="167"/>
      <c r="BV22" s="167"/>
      <c r="BW22" s="167"/>
      <c r="BX22" s="174"/>
      <c r="BY22" s="175"/>
      <c r="BZ22" s="167"/>
      <c r="CA22" s="167"/>
      <c r="CB22" s="166"/>
    </row>
    <row r="23" spans="1:80" ht="21.15" customHeight="1" x14ac:dyDescent="0.55000000000000004">
      <c r="A23" s="166"/>
      <c r="B23" s="167"/>
      <c r="C23" s="168" t="s">
        <v>65</v>
      </c>
      <c r="D23" s="167"/>
      <c r="E23" s="167"/>
      <c r="F23" s="167"/>
      <c r="G23" s="169">
        <v>45</v>
      </c>
      <c r="H23" s="170" t="str">
        <f>VLOOKUP(G23,市町村データ!A2:AX48,MATCH(手順書_1_市町村なまえ!$G$63, 市町村データ!A1:AX1, 0),FALSE)</f>
        <v>長崎</v>
      </c>
      <c r="I23" s="98"/>
      <c r="J23" s="99"/>
      <c r="K23" s="169">
        <v>41</v>
      </c>
      <c r="L23" s="170" t="str">
        <f>VLOOKUP(K23,市町村データ!A2:AX48,MATCH(手順書_1_市町村なまえ!$G$63, 市町村データ!A1:AX1, 0),FALSE)</f>
        <v>大分</v>
      </c>
      <c r="M23" s="98"/>
      <c r="N23" s="99"/>
      <c r="O23" s="176"/>
      <c r="P23" s="177"/>
      <c r="Q23" s="177"/>
      <c r="R23" s="177"/>
      <c r="S23" s="169">
        <v>37</v>
      </c>
      <c r="T23" s="170" t="str">
        <f>VLOOKUP(S23,市町村データ!A2:AX48,MATCH(手順書_1_市町村なまえ!$G$63, 市町村データ!A1:AX1, 0),FALSE)</f>
        <v>愛媛</v>
      </c>
      <c r="U23" s="98"/>
      <c r="V23" s="99"/>
      <c r="W23" s="169">
        <v>33</v>
      </c>
      <c r="X23" s="170" t="str">
        <f>VLOOKUP(W23,市町村データ!A2:AX48,MATCH(手順書_1_市町村なまえ!$G$63, 市町村データ!A1:AX1, 0),FALSE)</f>
        <v>香川</v>
      </c>
      <c r="Y23" s="98"/>
      <c r="Z23" s="99"/>
      <c r="AA23" s="176"/>
      <c r="AB23" s="177"/>
      <c r="AC23" s="177"/>
      <c r="AD23" s="177"/>
      <c r="AE23" s="169">
        <v>29</v>
      </c>
      <c r="AF23" s="170" t="str">
        <f>VLOOKUP(AE23,市町村データ!A2:AX48,MATCH(手順書_1_市町村なまえ!$G$63, 市町村データ!A1:AX1, 0),FALSE)</f>
        <v>和歌山</v>
      </c>
      <c r="AG23" s="98"/>
      <c r="AH23" s="99"/>
      <c r="AI23" s="176"/>
      <c r="AJ23" s="177"/>
      <c r="AK23" s="177"/>
      <c r="AL23" s="177"/>
      <c r="AM23" s="169">
        <v>24</v>
      </c>
      <c r="AN23" s="170" t="str">
        <f>VLOOKUP(AM23,市町村データ!A2:AX48,MATCH(手順書_1_市町村なまえ!$G$63, 市町村データ!A1:AX1, 0),FALSE)</f>
        <v>三重</v>
      </c>
      <c r="AO23" s="98"/>
      <c r="AP23" s="99"/>
      <c r="AQ23" s="169">
        <v>21</v>
      </c>
      <c r="AR23" s="170" t="str">
        <f>VLOOKUP(AQ23,市町村データ!A2:AX48,MATCH(手順書_1_市町村なまえ!$G$63, 市町村データ!A1:AX1, 0),FALSE)</f>
        <v>愛知</v>
      </c>
      <c r="AS23" s="98"/>
      <c r="AT23" s="99"/>
      <c r="AU23" s="169">
        <v>18</v>
      </c>
      <c r="AV23" s="170" t="str">
        <f>VLOOKUP(AU23,市町村データ!A2:AX48,MATCH(手順書_1_市町村なまえ!$G$63, 市町村データ!A1:AX1, 0),FALSE)</f>
        <v>静岡</v>
      </c>
      <c r="AW23" s="98"/>
      <c r="AX23" s="99"/>
      <c r="AY23" s="169">
        <v>16</v>
      </c>
      <c r="AZ23" s="170" t="str">
        <f>VLOOKUP(AY23,市町村データ!A2:AX48,MATCH(手順書_1_市町村なまえ!$G$63, 市町村データ!A1:AX1, 0),FALSE)</f>
        <v>神奈川</v>
      </c>
      <c r="BA23" s="98"/>
      <c r="BB23" s="99"/>
      <c r="BC23" s="169">
        <v>14</v>
      </c>
      <c r="BD23" s="170" t="str">
        <f>VLOOKUP(BC23,市町村データ!A2:AX48,MATCH(手順書_1_市町村なまえ!$G$63, 市町村データ!A1:AX1, 0),FALSE)</f>
        <v>東京</v>
      </c>
      <c r="BE23" s="98"/>
      <c r="BF23" s="99"/>
      <c r="BG23" s="169">
        <v>10</v>
      </c>
      <c r="BH23" s="170" t="str">
        <f>VLOOKUP(BG23,市町村データ!A2:AX48,MATCH(手順書_1_市町村なまえ!$G$63, 市町村データ!A1:AX1, 0),FALSE)</f>
        <v>千葉</v>
      </c>
      <c r="BI23" s="98"/>
      <c r="BJ23" s="99"/>
      <c r="BK23" s="176"/>
      <c r="BL23" s="177"/>
      <c r="BM23" s="177"/>
      <c r="BN23" s="177"/>
      <c r="BO23" s="167"/>
      <c r="BP23" s="167"/>
      <c r="BQ23" s="167"/>
      <c r="BR23" s="167"/>
      <c r="BS23" s="167"/>
      <c r="BT23" s="167"/>
      <c r="BU23" s="167"/>
      <c r="BV23" s="167"/>
      <c r="BW23" s="167"/>
      <c r="BX23" s="174"/>
      <c r="BY23" s="175"/>
      <c r="BZ23" s="167"/>
      <c r="CA23" s="167"/>
      <c r="CB23" s="166"/>
    </row>
    <row r="24" spans="1:80" ht="21.15" customHeight="1" x14ac:dyDescent="0.55000000000000004">
      <c r="A24" s="166"/>
      <c r="B24" s="167"/>
      <c r="C24" s="167"/>
      <c r="D24" s="167"/>
      <c r="E24" s="167"/>
      <c r="F24" s="167"/>
      <c r="G24" s="172" t="str">
        <f>VLOOKUP(G23,市町村データ!A2:AX48,MATCH(手順書_1_市町村なまえ!$F$64, 市町村データ!A1:AX1, 0),FALSE)</f>
        <v>ながさき</v>
      </c>
      <c r="H24" s="173"/>
      <c r="I24" s="173"/>
      <c r="J24" s="95"/>
      <c r="K24" s="172" t="str">
        <f>VLOOKUP(K23,市町村データ!A2:AX48,MATCH(手順書_1_市町村なまえ!$F$64, 市町村データ!A1:AX1, 0),FALSE)</f>
        <v>おおいた</v>
      </c>
      <c r="L24" s="173"/>
      <c r="M24" s="173"/>
      <c r="N24" s="95"/>
      <c r="O24" s="171"/>
      <c r="P24" s="167"/>
      <c r="Q24" s="167"/>
      <c r="R24" s="167"/>
      <c r="S24" s="172" t="str">
        <f>VLOOKUP(S23,市町村データ!A2:AX48,MATCH(手順書_1_市町村なまえ!$F$64, 市町村データ!A1:AX1, 0),FALSE)</f>
        <v>えひめ</v>
      </c>
      <c r="T24" s="173"/>
      <c r="U24" s="173"/>
      <c r="V24" s="95"/>
      <c r="W24" s="172" t="str">
        <f>VLOOKUP(W23,市町村データ!A2:AX48,MATCH(手順書_1_市町村なまえ!$F$64, 市町村データ!A1:AX1, 0),FALSE)</f>
        <v>かがわ</v>
      </c>
      <c r="X24" s="173"/>
      <c r="Y24" s="173"/>
      <c r="Z24" s="95"/>
      <c r="AA24" s="171"/>
      <c r="AB24" s="167"/>
      <c r="AC24" s="167"/>
      <c r="AD24" s="167"/>
      <c r="AE24" s="172" t="str">
        <f>VLOOKUP(AE23,市町村データ!A2:AX48,MATCH(手順書_1_市町村なまえ!$F$64, 市町村データ!A1:AX1, 0),FALSE)</f>
        <v>わかやま</v>
      </c>
      <c r="AF24" s="173"/>
      <c r="AG24" s="173"/>
      <c r="AH24" s="95"/>
      <c r="AI24" s="171"/>
      <c r="AJ24" s="167"/>
      <c r="AK24" s="167"/>
      <c r="AL24" s="167"/>
      <c r="AM24" s="172" t="str">
        <f>VLOOKUP(AM23,市町村データ!A2:AX48,MATCH(手順書_1_市町村なまえ!$F$64, 市町村データ!A1:AX1, 0),FALSE)</f>
        <v>みえ</v>
      </c>
      <c r="AN24" s="173"/>
      <c r="AO24" s="173"/>
      <c r="AP24" s="95"/>
      <c r="AQ24" s="172" t="str">
        <f>VLOOKUP(AQ23,市町村データ!A2:AX48,MATCH(手順書_1_市町村なまえ!$F$64, 市町村データ!A1:AX1, 0),FALSE)</f>
        <v>あいち</v>
      </c>
      <c r="AR24" s="173"/>
      <c r="AS24" s="173"/>
      <c r="AT24" s="95"/>
      <c r="AU24" s="172" t="str">
        <f>VLOOKUP(AU23,市町村データ!A2:AX48,MATCH(手順書_1_市町村なまえ!$F$64, 市町村データ!A1:AX1, 0),FALSE)</f>
        <v>しずおか</v>
      </c>
      <c r="AV24" s="173"/>
      <c r="AW24" s="173"/>
      <c r="AX24" s="95"/>
      <c r="AY24" s="172" t="str">
        <f>VLOOKUP(AY23,市町村データ!A2:AX48,MATCH(手順書_1_市町村なまえ!$F$64, 市町村データ!A1:AX1, 0),FALSE)</f>
        <v>かながわ</v>
      </c>
      <c r="AZ24" s="173"/>
      <c r="BA24" s="173"/>
      <c r="BB24" s="95"/>
      <c r="BC24" s="172" t="str">
        <f>VLOOKUP(BC23,市町村データ!A2:AX48,MATCH(手順書_1_市町村なまえ!$F$64, 市町村データ!A1:AX1, 0),FALSE)</f>
        <v>とうきょう</v>
      </c>
      <c r="BD24" s="173"/>
      <c r="BE24" s="173"/>
      <c r="BF24" s="95"/>
      <c r="BG24" s="172" t="str">
        <f>VLOOKUP(BG23,市町村データ!A2:AX48,MATCH(手順書_1_市町村なまえ!$F$64, 市町村データ!A1:AX1, 0),FALSE)</f>
        <v>ちば</v>
      </c>
      <c r="BH24" s="173"/>
      <c r="BI24" s="173"/>
      <c r="BJ24" s="95"/>
      <c r="BK24" s="171"/>
      <c r="BL24" s="167"/>
      <c r="BM24" s="167"/>
      <c r="BN24" s="167"/>
      <c r="BO24" s="167"/>
      <c r="BP24" s="167"/>
      <c r="BQ24" s="167"/>
      <c r="BR24" s="167"/>
      <c r="BS24" s="167"/>
      <c r="BT24" s="167"/>
      <c r="BU24" s="167"/>
      <c r="BV24" s="167"/>
      <c r="BW24" s="167"/>
      <c r="BX24" s="174"/>
      <c r="BY24" s="175"/>
      <c r="BZ24" s="167"/>
      <c r="CA24" s="167"/>
      <c r="CB24" s="166"/>
    </row>
    <row r="25" spans="1:80" ht="21.15" customHeight="1" x14ac:dyDescent="0.55000000000000004">
      <c r="A25" s="166"/>
      <c r="B25" s="167"/>
      <c r="C25" s="167"/>
      <c r="D25" s="167"/>
      <c r="E25" s="167"/>
      <c r="F25" s="167"/>
      <c r="G25" s="172"/>
      <c r="H25" s="173"/>
      <c r="I25" s="173"/>
      <c r="J25" s="95"/>
      <c r="K25" s="172"/>
      <c r="L25" s="173"/>
      <c r="M25" s="173"/>
      <c r="N25" s="95"/>
      <c r="O25" s="171"/>
      <c r="P25" s="167"/>
      <c r="Q25" s="167"/>
      <c r="R25" s="167"/>
      <c r="S25" s="172"/>
      <c r="T25" s="173"/>
      <c r="U25" s="173"/>
      <c r="V25" s="95"/>
      <c r="W25" s="172"/>
      <c r="X25" s="173"/>
      <c r="Y25" s="173"/>
      <c r="Z25" s="95"/>
      <c r="AA25" s="171"/>
      <c r="AB25" s="167"/>
      <c r="AC25" s="167"/>
      <c r="AD25" s="167"/>
      <c r="AE25" s="172"/>
      <c r="AF25" s="173"/>
      <c r="AG25" s="173"/>
      <c r="AH25" s="95"/>
      <c r="AI25" s="171"/>
      <c r="AJ25" s="167"/>
      <c r="AK25" s="167"/>
      <c r="AL25" s="167"/>
      <c r="AM25" s="172"/>
      <c r="AN25" s="173"/>
      <c r="AO25" s="173"/>
      <c r="AP25" s="95"/>
      <c r="AQ25" s="172"/>
      <c r="AR25" s="173"/>
      <c r="AS25" s="173"/>
      <c r="AT25" s="95"/>
      <c r="AU25" s="172"/>
      <c r="AV25" s="173"/>
      <c r="AW25" s="173"/>
      <c r="AX25" s="95"/>
      <c r="AY25" s="172"/>
      <c r="AZ25" s="173"/>
      <c r="BA25" s="173"/>
      <c r="BB25" s="95"/>
      <c r="BC25" s="172"/>
      <c r="BD25" s="173"/>
      <c r="BE25" s="173"/>
      <c r="BF25" s="95"/>
      <c r="BG25" s="172"/>
      <c r="BH25" s="173"/>
      <c r="BI25" s="173"/>
      <c r="BJ25" s="95"/>
      <c r="BK25" s="171"/>
      <c r="BL25" s="167"/>
      <c r="BM25" s="167"/>
      <c r="BN25" s="167"/>
      <c r="BO25" s="167"/>
      <c r="BP25" s="167"/>
      <c r="BQ25" s="167"/>
      <c r="BR25" s="167"/>
      <c r="BS25" s="167"/>
      <c r="BT25" s="167"/>
      <c r="BU25" s="167"/>
      <c r="BV25" s="167"/>
      <c r="BW25" s="167"/>
      <c r="BX25" s="174"/>
      <c r="BY25" s="175"/>
      <c r="BZ25" s="167"/>
      <c r="CA25" s="167"/>
      <c r="CB25" s="166"/>
    </row>
    <row r="26" spans="1:80" ht="21.15" customHeight="1" thickBot="1" x14ac:dyDescent="0.6">
      <c r="A26" s="166"/>
      <c r="B26" s="167"/>
      <c r="C26" s="167"/>
      <c r="D26" s="167"/>
      <c r="E26" s="167"/>
      <c r="F26" s="167"/>
      <c r="G26" s="195"/>
      <c r="H26" s="96"/>
      <c r="I26" s="96"/>
      <c r="J26" s="97"/>
      <c r="K26" s="195"/>
      <c r="L26" s="96"/>
      <c r="M26" s="96"/>
      <c r="N26" s="97"/>
      <c r="O26" s="171"/>
      <c r="P26" s="167"/>
      <c r="Q26" s="167"/>
      <c r="R26" s="167"/>
      <c r="S26" s="195"/>
      <c r="T26" s="96"/>
      <c r="U26" s="96"/>
      <c r="V26" s="97"/>
      <c r="W26" s="195"/>
      <c r="X26" s="96"/>
      <c r="Y26" s="96"/>
      <c r="Z26" s="97"/>
      <c r="AA26" s="171"/>
      <c r="AB26" s="167"/>
      <c r="AC26" s="167"/>
      <c r="AD26" s="167"/>
      <c r="AE26" s="195"/>
      <c r="AF26" s="96"/>
      <c r="AG26" s="96"/>
      <c r="AH26" s="97"/>
      <c r="AI26" s="171"/>
      <c r="AJ26" s="167"/>
      <c r="AK26" s="167"/>
      <c r="AL26" s="167"/>
      <c r="AM26" s="195"/>
      <c r="AN26" s="96"/>
      <c r="AO26" s="96"/>
      <c r="AP26" s="97"/>
      <c r="AQ26" s="195"/>
      <c r="AR26" s="96"/>
      <c r="AS26" s="96"/>
      <c r="AT26" s="97"/>
      <c r="AU26" s="195"/>
      <c r="AV26" s="96"/>
      <c r="AW26" s="96"/>
      <c r="AX26" s="97"/>
      <c r="AY26" s="195"/>
      <c r="AZ26" s="96"/>
      <c r="BA26" s="96"/>
      <c r="BB26" s="97"/>
      <c r="BC26" s="195"/>
      <c r="BD26" s="96"/>
      <c r="BE26" s="96"/>
      <c r="BF26" s="97"/>
      <c r="BG26" s="195"/>
      <c r="BH26" s="96"/>
      <c r="BI26" s="96"/>
      <c r="BJ26" s="97"/>
      <c r="BK26" s="171"/>
      <c r="BL26" s="167"/>
      <c r="BM26" s="167"/>
      <c r="BN26" s="167"/>
      <c r="BO26" s="167"/>
      <c r="BP26" s="167"/>
      <c r="BQ26" s="167"/>
      <c r="BR26" s="167"/>
      <c r="BS26" s="167"/>
      <c r="BT26" s="167"/>
      <c r="BU26" s="167"/>
      <c r="BV26" s="167"/>
      <c r="BW26" s="167"/>
      <c r="BX26" s="174"/>
      <c r="BY26" s="175"/>
      <c r="BZ26" s="167"/>
      <c r="CA26" s="167"/>
      <c r="CB26" s="166"/>
    </row>
    <row r="27" spans="1:80" ht="21.15" customHeight="1" x14ac:dyDescent="0.55000000000000004">
      <c r="A27" s="166"/>
      <c r="B27" s="167"/>
      <c r="C27" s="168" t="s">
        <v>66</v>
      </c>
      <c r="D27" s="167"/>
      <c r="E27" s="167"/>
      <c r="F27" s="167"/>
      <c r="G27" s="169">
        <v>46</v>
      </c>
      <c r="H27" s="170" t="str">
        <f>VLOOKUP(G27,市町村データ!A2:AX48,MATCH(手順書_1_市町村なまえ!$G$63, 市町村データ!A1:AX1, 0),FALSE)</f>
        <v>熊本</v>
      </c>
      <c r="I27" s="98"/>
      <c r="J27" s="99"/>
      <c r="K27" s="169">
        <v>42</v>
      </c>
      <c r="L27" s="170" t="str">
        <f>VLOOKUP(K27,市町村データ!A2:AX48,MATCH(手順書_1_市町村なまえ!$G$63, 市町村データ!A1:AX1, 0),FALSE)</f>
        <v>宮崎</v>
      </c>
      <c r="M27" s="98"/>
      <c r="N27" s="99"/>
      <c r="O27" s="171"/>
      <c r="P27" s="167"/>
      <c r="Q27" s="167"/>
      <c r="R27" s="167"/>
      <c r="S27" s="169">
        <v>38</v>
      </c>
      <c r="T27" s="170" t="str">
        <f>VLOOKUP(S27,市町村データ!A2:AX48,MATCH(手順書_1_市町村なまえ!$G$63, 市町村データ!A1:AX1, 0),FALSE)</f>
        <v>高知</v>
      </c>
      <c r="U27" s="98"/>
      <c r="V27" s="99"/>
      <c r="W27" s="169">
        <v>34</v>
      </c>
      <c r="X27" s="170" t="str">
        <f>VLOOKUP(W27,市町村データ!A2:AX48,MATCH(手順書_1_市町村なまえ!$G$63, 市町村データ!A1:AX1, 0),FALSE)</f>
        <v>徳島</v>
      </c>
      <c r="Y27" s="98"/>
      <c r="Z27" s="99"/>
      <c r="AA27" s="171"/>
      <c r="AB27" s="167"/>
      <c r="AC27" s="167"/>
      <c r="AD27" s="167"/>
      <c r="AE27" s="177"/>
      <c r="AF27" s="177"/>
      <c r="AG27" s="177"/>
      <c r="AH27" s="177"/>
      <c r="AI27" s="167"/>
      <c r="AJ27" s="167"/>
      <c r="AK27" s="167"/>
      <c r="AL27" s="167"/>
      <c r="AM27" s="177"/>
      <c r="AN27" s="177"/>
      <c r="AO27" s="177"/>
      <c r="AP27" s="177"/>
      <c r="AQ27" s="177"/>
      <c r="AR27" s="177"/>
      <c r="AS27" s="177"/>
      <c r="AT27" s="177"/>
      <c r="AU27" s="177"/>
      <c r="AV27" s="177"/>
      <c r="AW27" s="177"/>
      <c r="AX27" s="177"/>
      <c r="AY27" s="177"/>
      <c r="AZ27" s="177"/>
      <c r="BA27" s="177"/>
      <c r="BB27" s="177"/>
      <c r="BC27" s="177"/>
      <c r="BD27" s="177"/>
      <c r="BE27" s="177"/>
      <c r="BF27" s="177"/>
      <c r="BG27" s="177"/>
      <c r="BH27" s="177"/>
      <c r="BI27" s="177"/>
      <c r="BJ27" s="177"/>
      <c r="BK27" s="167"/>
      <c r="BL27" s="167"/>
      <c r="BM27" s="167"/>
      <c r="BN27" s="167"/>
      <c r="BO27" s="167"/>
      <c r="BP27" s="167"/>
      <c r="BQ27" s="167"/>
      <c r="BR27" s="167"/>
      <c r="BS27" s="167"/>
      <c r="BT27" s="167"/>
      <c r="BU27" s="167"/>
      <c r="BV27" s="167"/>
      <c r="BW27" s="167"/>
      <c r="BX27" s="174"/>
      <c r="BY27" s="175"/>
      <c r="BZ27" s="167"/>
      <c r="CA27" s="167"/>
      <c r="CB27" s="166"/>
    </row>
    <row r="28" spans="1:80" ht="21.15" customHeight="1" x14ac:dyDescent="0.55000000000000004">
      <c r="A28" s="166"/>
      <c r="B28" s="167"/>
      <c r="C28" s="167"/>
      <c r="D28" s="167"/>
      <c r="E28" s="167"/>
      <c r="F28" s="167"/>
      <c r="G28" s="172" t="str">
        <f>VLOOKUP(G27,市町村データ!A2:AX48,MATCH(手順書_1_市町村なまえ!$F$64, 市町村データ!A1:AX1, 0),FALSE)</f>
        <v>くまもと</v>
      </c>
      <c r="H28" s="173"/>
      <c r="I28" s="173"/>
      <c r="J28" s="95"/>
      <c r="K28" s="172" t="str">
        <f>VLOOKUP(K27,市町村データ!A2:AX48,MATCH(手順書_1_市町村なまえ!$F$64, 市町村データ!A1:AX1, 0),FALSE)</f>
        <v>みやざき</v>
      </c>
      <c r="L28" s="173"/>
      <c r="M28" s="173"/>
      <c r="N28" s="95"/>
      <c r="O28" s="171"/>
      <c r="P28" s="167"/>
      <c r="Q28" s="167"/>
      <c r="R28" s="167"/>
      <c r="S28" s="172" t="str">
        <f>VLOOKUP(S27,市町村データ!A2:AX48,MATCH(手順書_1_市町村なまえ!$F$64, 市町村データ!A1:AX1, 0),FALSE)</f>
        <v>こうち</v>
      </c>
      <c r="T28" s="173"/>
      <c r="U28" s="173"/>
      <c r="V28" s="95"/>
      <c r="W28" s="172" t="str">
        <f>VLOOKUP(W27,市町村データ!A2:AX48,MATCH(手順書_1_市町村なまえ!$F$64, 市町村データ!A1:AX1, 0),FALSE)</f>
        <v>とくしま</v>
      </c>
      <c r="X28" s="173"/>
      <c r="Y28" s="173"/>
      <c r="Z28" s="95"/>
      <c r="AA28" s="171"/>
      <c r="AB28" s="167"/>
      <c r="AC28" s="167"/>
      <c r="AD28" s="167"/>
      <c r="AE28" s="167"/>
      <c r="AF28" s="167"/>
      <c r="AG28" s="167"/>
      <c r="AH28" s="167"/>
      <c r="AI28" s="167"/>
      <c r="AJ28" s="167"/>
      <c r="AK28" s="167"/>
      <c r="AL28" s="167"/>
      <c r="AM28" s="167"/>
      <c r="AN28" s="167"/>
      <c r="AO28" s="167"/>
      <c r="AP28" s="167"/>
      <c r="AQ28" s="167"/>
      <c r="AR28" s="167"/>
      <c r="AS28" s="167"/>
      <c r="AT28" s="167"/>
      <c r="AU28" s="167"/>
      <c r="AV28" s="167"/>
      <c r="AW28" s="167"/>
      <c r="AX28" s="167"/>
      <c r="AY28" s="167"/>
      <c r="AZ28" s="167"/>
      <c r="BA28" s="167"/>
      <c r="BB28" s="167"/>
      <c r="BC28" s="167"/>
      <c r="BD28" s="167"/>
      <c r="BE28" s="167"/>
      <c r="BF28" s="167"/>
      <c r="BG28" s="167"/>
      <c r="BH28" s="167"/>
      <c r="BI28" s="167"/>
      <c r="BJ28" s="167"/>
      <c r="BK28" s="167"/>
      <c r="BL28" s="167"/>
      <c r="BM28" s="167"/>
      <c r="BN28" s="167"/>
      <c r="BO28" s="167"/>
      <c r="BP28" s="167"/>
      <c r="BQ28" s="167"/>
      <c r="BR28" s="167"/>
      <c r="BS28" s="167"/>
      <c r="BT28" s="167"/>
      <c r="BU28" s="167"/>
      <c r="BV28" s="167"/>
      <c r="BW28" s="167"/>
      <c r="BX28" s="167"/>
      <c r="BY28" s="167"/>
      <c r="BZ28" s="167"/>
      <c r="CA28" s="167"/>
      <c r="CB28" s="166"/>
    </row>
    <row r="29" spans="1:80" ht="21.15" customHeight="1" x14ac:dyDescent="0.55000000000000004">
      <c r="A29" s="166"/>
      <c r="B29" s="167"/>
      <c r="C29" s="167"/>
      <c r="D29" s="167"/>
      <c r="E29" s="167"/>
      <c r="F29" s="167"/>
      <c r="G29" s="172"/>
      <c r="H29" s="173"/>
      <c r="I29" s="173"/>
      <c r="J29" s="95"/>
      <c r="K29" s="172"/>
      <c r="L29" s="173"/>
      <c r="M29" s="173"/>
      <c r="N29" s="95"/>
      <c r="O29" s="171"/>
      <c r="P29" s="167"/>
      <c r="Q29" s="167"/>
      <c r="R29" s="167"/>
      <c r="S29" s="172"/>
      <c r="T29" s="173"/>
      <c r="U29" s="173"/>
      <c r="V29" s="95"/>
      <c r="W29" s="172"/>
      <c r="X29" s="173"/>
      <c r="Y29" s="173"/>
      <c r="Z29" s="95"/>
      <c r="AA29" s="171"/>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c r="BS29" s="167"/>
      <c r="BT29" s="167"/>
      <c r="BU29" s="167"/>
      <c r="BV29" s="167"/>
      <c r="BW29" s="167"/>
      <c r="BX29" s="167"/>
      <c r="BY29" s="167"/>
      <c r="BZ29" s="167"/>
      <c r="CA29" s="167"/>
      <c r="CB29" s="166"/>
    </row>
    <row r="30" spans="1:80" ht="21.15" customHeight="1" thickBot="1" x14ac:dyDescent="0.6">
      <c r="A30" s="166"/>
      <c r="B30" s="167"/>
      <c r="C30" s="167"/>
      <c r="D30" s="167"/>
      <c r="E30" s="167"/>
      <c r="F30" s="167"/>
      <c r="G30" s="195"/>
      <c r="H30" s="96"/>
      <c r="I30" s="96"/>
      <c r="J30" s="97"/>
      <c r="K30" s="195"/>
      <c r="L30" s="96"/>
      <c r="M30" s="96"/>
      <c r="N30" s="97"/>
      <c r="O30" s="171"/>
      <c r="P30" s="167"/>
      <c r="Q30" s="167"/>
      <c r="R30" s="167"/>
      <c r="S30" s="195"/>
      <c r="T30" s="96"/>
      <c r="U30" s="96"/>
      <c r="V30" s="97"/>
      <c r="W30" s="195"/>
      <c r="X30" s="96"/>
      <c r="Y30" s="96"/>
      <c r="Z30" s="97"/>
      <c r="AA30" s="171"/>
      <c r="AB30" s="167"/>
      <c r="AC30" s="167"/>
      <c r="AD30" s="167"/>
      <c r="AE30" s="167"/>
      <c r="AF30" s="167"/>
      <c r="AG30" s="167"/>
      <c r="AH30" s="167"/>
      <c r="AI30" s="167"/>
      <c r="AJ30" s="167"/>
      <c r="AK30" s="167"/>
      <c r="AL30" s="167"/>
      <c r="AM30" s="167"/>
      <c r="AN30" s="167"/>
      <c r="AO30" s="167"/>
      <c r="AP30" s="167"/>
      <c r="AQ30" s="167"/>
      <c r="AR30" s="167"/>
      <c r="AS30" s="167"/>
      <c r="AT30" s="167"/>
      <c r="AU30" s="167"/>
      <c r="AV30" s="167"/>
      <c r="AW30" s="167"/>
      <c r="AX30" s="167"/>
      <c r="AY30" s="167"/>
      <c r="AZ30" s="167"/>
      <c r="BA30" s="167"/>
      <c r="BB30" s="167"/>
      <c r="BC30" s="167"/>
      <c r="BD30" s="167"/>
      <c r="BE30" s="167"/>
      <c r="BF30" s="167"/>
      <c r="BG30" s="167"/>
      <c r="BH30" s="167"/>
      <c r="BI30" s="167"/>
      <c r="BJ30" s="167"/>
      <c r="BK30" s="167"/>
      <c r="BL30" s="167"/>
      <c r="BM30" s="167"/>
      <c r="BN30" s="167"/>
      <c r="BO30" s="167"/>
      <c r="BP30" s="167"/>
      <c r="BQ30" s="167"/>
      <c r="BR30" s="167"/>
      <c r="BS30" s="167"/>
      <c r="BT30" s="167"/>
      <c r="BU30" s="167"/>
      <c r="BV30" s="167"/>
      <c r="BW30" s="167"/>
      <c r="BX30" s="167"/>
      <c r="BY30" s="167"/>
      <c r="BZ30" s="167"/>
      <c r="CA30" s="167"/>
      <c r="CB30" s="166"/>
    </row>
    <row r="31" spans="1:80" ht="21.15" customHeight="1" x14ac:dyDescent="0.55000000000000004">
      <c r="A31" s="166"/>
      <c r="B31" s="167"/>
      <c r="C31" s="168" t="s">
        <v>67</v>
      </c>
      <c r="D31" s="167"/>
      <c r="E31" s="167"/>
      <c r="F31" s="167"/>
      <c r="G31" s="169">
        <v>47</v>
      </c>
      <c r="H31" s="170" t="str">
        <f>VLOOKUP(G31,市町村データ!A2:AX48,MATCH(手順書_1_市町村なまえ!$G$63, 市町村データ!A1:AX1, 0),FALSE)</f>
        <v>沖縄</v>
      </c>
      <c r="I31" s="98"/>
      <c r="J31" s="99"/>
      <c r="K31" s="169">
        <v>43</v>
      </c>
      <c r="L31" s="170" t="str">
        <f>VLOOKUP(K31,市町村データ!A2:AX48,MATCH(手順書_1_市町村なまえ!$G$63, 市町村データ!A1:AX1, 0),FALSE)</f>
        <v>鹿児島</v>
      </c>
      <c r="M31" s="98"/>
      <c r="N31" s="99"/>
      <c r="O31" s="171"/>
      <c r="P31" s="167"/>
      <c r="Q31" s="167"/>
      <c r="R31" s="167"/>
      <c r="S31" s="177"/>
      <c r="T31" s="177"/>
      <c r="U31" s="177"/>
      <c r="V31" s="177"/>
      <c r="W31" s="177"/>
      <c r="X31" s="177"/>
      <c r="Y31" s="177"/>
      <c r="Z31" s="17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c r="BA31" s="167"/>
      <c r="BB31" s="167"/>
      <c r="BC31" s="167"/>
      <c r="BD31" s="167"/>
      <c r="BE31" s="167"/>
      <c r="BF31" s="167"/>
      <c r="BG31" s="167"/>
      <c r="BH31" s="167"/>
      <c r="BI31" s="167"/>
      <c r="BJ31" s="167"/>
      <c r="BK31" s="167"/>
      <c r="BL31" s="167"/>
      <c r="BM31" s="167"/>
      <c r="BN31" s="167"/>
      <c r="BO31" s="167"/>
      <c r="BP31" s="167"/>
      <c r="BQ31" s="167"/>
      <c r="BR31" s="167"/>
      <c r="BS31" s="167"/>
      <c r="BT31" s="167"/>
      <c r="BU31" s="167"/>
      <c r="BV31" s="167"/>
      <c r="BW31" s="167"/>
      <c r="BX31" s="167"/>
      <c r="BY31" s="167"/>
      <c r="BZ31" s="167"/>
      <c r="CA31" s="167"/>
      <c r="CB31" s="166"/>
    </row>
    <row r="32" spans="1:80" ht="21.15" customHeight="1" x14ac:dyDescent="0.55000000000000004">
      <c r="A32" s="166"/>
      <c r="B32" s="167"/>
      <c r="C32" s="167"/>
      <c r="D32" s="167"/>
      <c r="E32" s="167"/>
      <c r="F32" s="167"/>
      <c r="G32" s="172" t="str">
        <f>VLOOKUP(G31,市町村データ!A2:AX48,MATCH(手順書_1_市町村なまえ!$F$64, 市町村データ!A1:AX1, 0),FALSE)</f>
        <v>おきなわ</v>
      </c>
      <c r="H32" s="173"/>
      <c r="I32" s="173"/>
      <c r="J32" s="95"/>
      <c r="K32" s="172" t="str">
        <f>VLOOKUP(K31,市町村データ!A2:AX48,MATCH(手順書_1_市町村なまえ!$F$64, 市町村データ!A1:AX1, 0),FALSE)</f>
        <v>かごしま</v>
      </c>
      <c r="L32" s="173"/>
      <c r="M32" s="173"/>
      <c r="N32" s="95"/>
      <c r="O32" s="171"/>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c r="BS32" s="167"/>
      <c r="BT32" s="167"/>
      <c r="BU32" s="167"/>
      <c r="BV32" s="167"/>
      <c r="BW32" s="167"/>
      <c r="BX32" s="167"/>
      <c r="BY32" s="167"/>
      <c r="BZ32" s="167"/>
      <c r="CA32" s="167"/>
      <c r="CB32" s="166"/>
    </row>
    <row r="33" spans="1:80" ht="21.15" customHeight="1" x14ac:dyDescent="0.55000000000000004">
      <c r="A33" s="166"/>
      <c r="B33" s="167"/>
      <c r="C33" s="167"/>
      <c r="D33" s="167"/>
      <c r="E33" s="167"/>
      <c r="F33" s="167"/>
      <c r="G33" s="172"/>
      <c r="H33" s="173"/>
      <c r="I33" s="173"/>
      <c r="J33" s="95"/>
      <c r="K33" s="172"/>
      <c r="L33" s="173"/>
      <c r="M33" s="173"/>
      <c r="N33" s="95"/>
      <c r="O33" s="171"/>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c r="BS33" s="167"/>
      <c r="BT33" s="167"/>
      <c r="BU33" s="167"/>
      <c r="BV33" s="167"/>
      <c r="BW33" s="167"/>
      <c r="BX33" s="167"/>
      <c r="BY33" s="167"/>
      <c r="BZ33" s="167"/>
      <c r="CA33" s="167"/>
      <c r="CB33" s="166"/>
    </row>
    <row r="34" spans="1:80" ht="21.15" customHeight="1" thickBot="1" x14ac:dyDescent="0.6">
      <c r="A34" s="166"/>
      <c r="B34" s="167"/>
      <c r="C34" s="167"/>
      <c r="D34" s="167"/>
      <c r="E34" s="167"/>
      <c r="F34" s="167"/>
      <c r="G34" s="195"/>
      <c r="H34" s="96"/>
      <c r="I34" s="96"/>
      <c r="J34" s="97"/>
      <c r="K34" s="195"/>
      <c r="L34" s="96"/>
      <c r="M34" s="96"/>
      <c r="N34" s="97"/>
      <c r="O34" s="171"/>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c r="BS34" s="167"/>
      <c r="BT34" s="167"/>
      <c r="BU34" s="167"/>
      <c r="BV34" s="167"/>
      <c r="BW34" s="167"/>
      <c r="BX34" s="167"/>
      <c r="BY34" s="167"/>
      <c r="BZ34" s="167"/>
      <c r="CA34" s="167"/>
      <c r="CB34" s="166"/>
    </row>
    <row r="35" spans="1:80" ht="21.15" customHeight="1" x14ac:dyDescent="0.55000000000000004">
      <c r="A35" s="166"/>
      <c r="B35" s="167"/>
      <c r="C35" s="168" t="s">
        <v>68</v>
      </c>
      <c r="D35" s="167"/>
      <c r="E35" s="167"/>
      <c r="F35" s="167"/>
      <c r="G35" s="177"/>
      <c r="H35" s="177"/>
      <c r="I35" s="177"/>
      <c r="J35" s="177"/>
      <c r="K35" s="177"/>
      <c r="L35" s="177"/>
      <c r="M35" s="177"/>
      <c r="N35" s="17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78"/>
      <c r="AN35" s="167"/>
      <c r="AO35" s="167"/>
      <c r="AP35" s="167"/>
      <c r="AQ35" s="178"/>
      <c r="AR35" s="167"/>
      <c r="AS35" s="167"/>
      <c r="AT35" s="167"/>
      <c r="AU35" s="178"/>
      <c r="AV35" s="167"/>
      <c r="AW35" s="167"/>
      <c r="AX35" s="167"/>
      <c r="AY35" s="178"/>
      <c r="AZ35" s="167"/>
      <c r="BA35" s="167"/>
      <c r="BB35" s="167"/>
      <c r="BC35" s="178"/>
      <c r="BD35" s="167"/>
      <c r="BE35" s="167"/>
      <c r="BF35" s="167"/>
      <c r="BG35" s="178"/>
      <c r="BH35" s="167"/>
      <c r="BI35" s="167"/>
      <c r="BJ35" s="167"/>
      <c r="BK35" s="178"/>
      <c r="BL35" s="167"/>
      <c r="BM35" s="167"/>
      <c r="BN35" s="167"/>
      <c r="BO35" s="178"/>
      <c r="BP35" s="167"/>
      <c r="BQ35" s="167"/>
      <c r="BR35" s="167"/>
      <c r="BS35" s="178"/>
      <c r="BT35" s="167"/>
      <c r="BU35" s="167"/>
      <c r="BV35" s="167"/>
      <c r="BW35" s="167"/>
      <c r="BX35" s="167"/>
      <c r="BY35" s="167"/>
      <c r="BZ35" s="167"/>
      <c r="CA35" s="167"/>
      <c r="CB35" s="166"/>
    </row>
    <row r="36" spans="1:80" ht="21.15" customHeight="1" x14ac:dyDescent="0.55000000000000004">
      <c r="A36" s="166"/>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67"/>
      <c r="BX36" s="167"/>
      <c r="BY36" s="167"/>
      <c r="BZ36" s="167"/>
      <c r="CA36" s="167"/>
      <c r="CB36" s="166"/>
    </row>
    <row r="37" spans="1:80" ht="21.15" customHeight="1" x14ac:dyDescent="0.55000000000000004">
      <c r="A37" s="166"/>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80"/>
      <c r="AN37" s="180"/>
      <c r="AO37" s="180"/>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0"/>
      <c r="BO37" s="180"/>
      <c r="BP37" s="180"/>
      <c r="BQ37" s="180"/>
      <c r="BR37" s="180"/>
      <c r="BS37" s="180"/>
      <c r="BT37" s="180"/>
      <c r="BU37" s="180"/>
      <c r="BV37" s="180"/>
      <c r="BW37" s="167"/>
      <c r="BX37" s="167"/>
      <c r="BY37" s="167"/>
      <c r="BZ37" s="167"/>
      <c r="CA37" s="167"/>
      <c r="CB37" s="166"/>
    </row>
    <row r="38" spans="1:80" ht="21.15" customHeight="1" x14ac:dyDescent="0.55000000000000004">
      <c r="A38" s="166"/>
      <c r="B38" s="167" t="s">
        <v>138</v>
      </c>
      <c r="C38" s="167"/>
      <c r="D38" s="167"/>
      <c r="E38" s="167"/>
      <c r="F38" s="167"/>
      <c r="G38" s="181"/>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82"/>
      <c r="AN38" s="182"/>
      <c r="AO38" s="182"/>
      <c r="AP38" s="182"/>
      <c r="AQ38" s="182"/>
      <c r="AR38" s="182"/>
      <c r="AS38" s="182"/>
      <c r="AT38" s="182"/>
      <c r="AU38" s="182"/>
      <c r="AV38" s="182"/>
      <c r="AW38" s="182"/>
      <c r="AX38" s="182"/>
      <c r="AY38" s="182"/>
      <c r="AZ38" s="182"/>
      <c r="BA38" s="182"/>
      <c r="BB38" s="182"/>
      <c r="BC38" s="182"/>
      <c r="BD38" s="182"/>
      <c r="BE38" s="182"/>
      <c r="BF38" s="182"/>
      <c r="BG38" s="182"/>
      <c r="BH38" s="182"/>
      <c r="BI38" s="182"/>
      <c r="BJ38" s="182"/>
      <c r="BK38" s="182"/>
      <c r="BL38" s="182"/>
      <c r="BM38" s="182"/>
      <c r="BN38" s="182"/>
      <c r="BO38" s="182"/>
      <c r="BP38" s="182"/>
      <c r="BQ38" s="182"/>
      <c r="BR38" s="182"/>
      <c r="BS38" s="182"/>
      <c r="BT38" s="182"/>
      <c r="BU38" s="182"/>
      <c r="BV38" s="182"/>
      <c r="BW38" s="167"/>
      <c r="BX38" s="167"/>
      <c r="BY38" s="167"/>
      <c r="BZ38" s="167"/>
      <c r="CA38" s="167"/>
      <c r="CB38" s="166"/>
    </row>
    <row r="39" spans="1:80" ht="21.15" customHeight="1" x14ac:dyDescent="0.55000000000000004">
      <c r="A39" s="166"/>
      <c r="B39" s="167" t="s">
        <v>137</v>
      </c>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c r="BS39" s="167"/>
      <c r="BT39" s="167"/>
      <c r="BU39" s="167"/>
      <c r="BV39" s="167"/>
      <c r="BW39" s="167"/>
      <c r="BX39" s="167"/>
      <c r="BY39" s="167"/>
      <c r="BZ39" s="167"/>
      <c r="CA39" s="167"/>
      <c r="CB39" s="166"/>
    </row>
    <row r="40" spans="1:80" ht="21.15" customHeight="1" x14ac:dyDescent="0.55000000000000004">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c r="CA40" s="166"/>
      <c r="CB40" s="166"/>
    </row>
  </sheetData>
  <mergeCells count="192">
    <mergeCell ref="G34:J34"/>
    <mergeCell ref="K34:N34"/>
    <mergeCell ref="BX7:BZ7"/>
    <mergeCell ref="BW8:BZ8"/>
    <mergeCell ref="BW9:BZ9"/>
    <mergeCell ref="BW10:BZ10"/>
    <mergeCell ref="H31:J31"/>
    <mergeCell ref="L31:N31"/>
    <mergeCell ref="G32:J32"/>
    <mergeCell ref="K32:N32"/>
    <mergeCell ref="G33:J33"/>
    <mergeCell ref="K33:N33"/>
    <mergeCell ref="G29:J29"/>
    <mergeCell ref="K29:N29"/>
    <mergeCell ref="S29:V29"/>
    <mergeCell ref="W29:Z29"/>
    <mergeCell ref="G30:J30"/>
    <mergeCell ref="K30:N30"/>
    <mergeCell ref="S30:V30"/>
    <mergeCell ref="W30:Z30"/>
    <mergeCell ref="H27:J27"/>
    <mergeCell ref="L27:N27"/>
    <mergeCell ref="T27:V27"/>
    <mergeCell ref="X27:Z27"/>
    <mergeCell ref="G28:J28"/>
    <mergeCell ref="K28:N28"/>
    <mergeCell ref="S28:V28"/>
    <mergeCell ref="W28:Z28"/>
    <mergeCell ref="AM26:AP26"/>
    <mergeCell ref="AQ26:AT26"/>
    <mergeCell ref="AU26:AX26"/>
    <mergeCell ref="AY26:BB26"/>
    <mergeCell ref="BC26:BF26"/>
    <mergeCell ref="BG26:BJ26"/>
    <mergeCell ref="AQ25:AT25"/>
    <mergeCell ref="AU25:AX25"/>
    <mergeCell ref="AY25:BB25"/>
    <mergeCell ref="BC25:BF25"/>
    <mergeCell ref="BG25:BJ25"/>
    <mergeCell ref="G26:J26"/>
    <mergeCell ref="K26:N26"/>
    <mergeCell ref="S26:V26"/>
    <mergeCell ref="W26:Z26"/>
    <mergeCell ref="AE26:AH26"/>
    <mergeCell ref="G25:J25"/>
    <mergeCell ref="K25:N25"/>
    <mergeCell ref="S25:V25"/>
    <mergeCell ref="W25:Z25"/>
    <mergeCell ref="AE25:AH25"/>
    <mergeCell ref="AM25:AP25"/>
    <mergeCell ref="AM24:AP24"/>
    <mergeCell ref="AQ24:AT24"/>
    <mergeCell ref="AU24:AX24"/>
    <mergeCell ref="AY24:BB24"/>
    <mergeCell ref="BC24:BF24"/>
    <mergeCell ref="BG24:BJ24"/>
    <mergeCell ref="AR23:AT23"/>
    <mergeCell ref="AV23:AX23"/>
    <mergeCell ref="AZ23:BB23"/>
    <mergeCell ref="BD23:BF23"/>
    <mergeCell ref="BH23:BJ23"/>
    <mergeCell ref="G24:J24"/>
    <mergeCell ref="K24:N24"/>
    <mergeCell ref="S24:V24"/>
    <mergeCell ref="W24:Z24"/>
    <mergeCell ref="AE24:AH24"/>
    <mergeCell ref="H23:J23"/>
    <mergeCell ref="L23:N23"/>
    <mergeCell ref="T23:V23"/>
    <mergeCell ref="X23:Z23"/>
    <mergeCell ref="AF23:AH23"/>
    <mergeCell ref="AN23:AP23"/>
    <mergeCell ref="AQ22:AT22"/>
    <mergeCell ref="AU22:AX22"/>
    <mergeCell ref="AY22:BB22"/>
    <mergeCell ref="BC22:BF22"/>
    <mergeCell ref="BG22:BJ22"/>
    <mergeCell ref="BK22:BN22"/>
    <mergeCell ref="BK21:BN21"/>
    <mergeCell ref="G22:J22"/>
    <mergeCell ref="K22:N22"/>
    <mergeCell ref="O22:R22"/>
    <mergeCell ref="S22:V22"/>
    <mergeCell ref="W22:Z22"/>
    <mergeCell ref="AA22:AD22"/>
    <mergeCell ref="AE22:AH22"/>
    <mergeCell ref="AI22:AL22"/>
    <mergeCell ref="AM22:AP22"/>
    <mergeCell ref="AM21:AP21"/>
    <mergeCell ref="AQ21:AT21"/>
    <mergeCell ref="AU21:AX21"/>
    <mergeCell ref="AY21:BB21"/>
    <mergeCell ref="BC21:BF21"/>
    <mergeCell ref="BG21:BJ21"/>
    <mergeCell ref="BG20:BJ20"/>
    <mergeCell ref="BK20:BN20"/>
    <mergeCell ref="G21:J21"/>
    <mergeCell ref="K21:N21"/>
    <mergeCell ref="O21:R21"/>
    <mergeCell ref="S21:V21"/>
    <mergeCell ref="W21:Z21"/>
    <mergeCell ref="AA21:AD21"/>
    <mergeCell ref="AE21:AH21"/>
    <mergeCell ref="AI21:AL21"/>
    <mergeCell ref="AI20:AL20"/>
    <mergeCell ref="AM20:AP20"/>
    <mergeCell ref="AQ20:AT20"/>
    <mergeCell ref="AU20:AX20"/>
    <mergeCell ref="AY20:BB20"/>
    <mergeCell ref="BC20:BF20"/>
    <mergeCell ref="BD19:BF19"/>
    <mergeCell ref="BH19:BJ19"/>
    <mergeCell ref="BL19:BN19"/>
    <mergeCell ref="G20:J20"/>
    <mergeCell ref="K20:N20"/>
    <mergeCell ref="O20:R20"/>
    <mergeCell ref="S20:V20"/>
    <mergeCell ref="W20:Z20"/>
    <mergeCell ref="AA20:AD20"/>
    <mergeCell ref="AE20:AH20"/>
    <mergeCell ref="AF19:AH19"/>
    <mergeCell ref="AJ19:AL19"/>
    <mergeCell ref="AN19:AP19"/>
    <mergeCell ref="AR19:AT19"/>
    <mergeCell ref="AV19:AX19"/>
    <mergeCell ref="AZ19:BB19"/>
    <mergeCell ref="BC18:BF18"/>
    <mergeCell ref="BG18:BJ18"/>
    <mergeCell ref="BK18:BN18"/>
    <mergeCell ref="BO18:BR18"/>
    <mergeCell ref="H19:J19"/>
    <mergeCell ref="L19:N19"/>
    <mergeCell ref="P19:R19"/>
    <mergeCell ref="T19:V19"/>
    <mergeCell ref="X19:Z19"/>
    <mergeCell ref="AB19:AD19"/>
    <mergeCell ref="BC17:BF17"/>
    <mergeCell ref="BG17:BJ17"/>
    <mergeCell ref="BK17:BN17"/>
    <mergeCell ref="BO17:BR17"/>
    <mergeCell ref="S18:V18"/>
    <mergeCell ref="W18:Z18"/>
    <mergeCell ref="AE18:AH18"/>
    <mergeCell ref="AI18:AL18"/>
    <mergeCell ref="AM18:AP18"/>
    <mergeCell ref="AQ18:AT18"/>
    <mergeCell ref="BC16:BF16"/>
    <mergeCell ref="BG16:BJ16"/>
    <mergeCell ref="BK16:BN16"/>
    <mergeCell ref="BO16:BR16"/>
    <mergeCell ref="S17:V17"/>
    <mergeCell ref="W17:Z17"/>
    <mergeCell ref="AE17:AH17"/>
    <mergeCell ref="AI17:AL17"/>
    <mergeCell ref="AM17:AP17"/>
    <mergeCell ref="AQ17:AT17"/>
    <mergeCell ref="BD15:BF15"/>
    <mergeCell ref="BH15:BJ15"/>
    <mergeCell ref="BL15:BN15"/>
    <mergeCell ref="BP15:BR15"/>
    <mergeCell ref="S16:V16"/>
    <mergeCell ref="W16:Z16"/>
    <mergeCell ref="AE16:AH16"/>
    <mergeCell ref="AI16:AL16"/>
    <mergeCell ref="AM16:AP16"/>
    <mergeCell ref="AQ16:AT16"/>
    <mergeCell ref="BC14:BF14"/>
    <mergeCell ref="BG14:BJ14"/>
    <mergeCell ref="BK14:BN14"/>
    <mergeCell ref="BO14:BR14"/>
    <mergeCell ref="T15:V15"/>
    <mergeCell ref="X15:Z15"/>
    <mergeCell ref="AF15:AH15"/>
    <mergeCell ref="AJ15:AL15"/>
    <mergeCell ref="AN15:AP15"/>
    <mergeCell ref="AR15:AT15"/>
    <mergeCell ref="BC12:BF12"/>
    <mergeCell ref="BG12:BJ12"/>
    <mergeCell ref="BK12:BN12"/>
    <mergeCell ref="BO12:BR12"/>
    <mergeCell ref="BC13:BF13"/>
    <mergeCell ref="BG13:BJ13"/>
    <mergeCell ref="BK13:BN13"/>
    <mergeCell ref="BO13:BR13"/>
    <mergeCell ref="BP7:BR7"/>
    <mergeCell ref="BO8:BR8"/>
    <mergeCell ref="BO9:BR9"/>
    <mergeCell ref="BO10:BR10"/>
    <mergeCell ref="BD11:BF11"/>
    <mergeCell ref="BH11:BJ11"/>
    <mergeCell ref="BL11:BN11"/>
    <mergeCell ref="BP11:BR11"/>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8229A-FDF4-4145-A300-68AE2EE6AD06}">
  <sheetPr codeName="Sheet13">
    <tabColor rgb="FF0F8472"/>
  </sheetPr>
  <dimension ref="A1:AG153"/>
  <sheetViews>
    <sheetView zoomScaleNormal="100" workbookViewId="0"/>
  </sheetViews>
  <sheetFormatPr defaultColWidth="3.5" defaultRowHeight="21" customHeight="1" x14ac:dyDescent="0.55000000000000004"/>
  <cols>
    <col min="1" max="16384" width="3.5" style="10"/>
  </cols>
  <sheetData>
    <row r="1" spans="1:33" ht="21" customHeight="1" x14ac:dyDescent="0.55000000000000004">
      <c r="A1" s="36"/>
      <c r="F1" s="36" t="s">
        <v>147</v>
      </c>
      <c r="G1" s="36"/>
      <c r="I1" s="36"/>
      <c r="M1" s="36"/>
      <c r="Q1" s="36" t="s">
        <v>148</v>
      </c>
      <c r="V1" s="36"/>
      <c r="AF1" s="36" t="s">
        <v>146</v>
      </c>
    </row>
    <row r="2" spans="1:33" ht="21" customHeight="1" x14ac:dyDescent="0.55000000000000004">
      <c r="B2" s="12" t="s">
        <v>233</v>
      </c>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row>
    <row r="10" spans="1:33" ht="21" customHeight="1" x14ac:dyDescent="0.55000000000000004">
      <c r="G10" s="34" t="s">
        <v>239</v>
      </c>
      <c r="H10" s="26"/>
      <c r="I10" s="26"/>
      <c r="J10" s="26"/>
      <c r="K10" s="26"/>
      <c r="L10" s="10" t="s">
        <v>240</v>
      </c>
    </row>
    <row r="13" spans="1:33" ht="21" customHeight="1" x14ac:dyDescent="0.55000000000000004">
      <c r="D13" s="12" t="s">
        <v>32</v>
      </c>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row>
    <row r="21" spans="1:33" ht="21" customHeight="1" x14ac:dyDescent="0.55000000000000004">
      <c r="G21" s="10" t="s">
        <v>117</v>
      </c>
    </row>
    <row r="22" spans="1:33" ht="21" customHeight="1" x14ac:dyDescent="0.55000000000000004">
      <c r="F22" s="13" t="s">
        <v>30</v>
      </c>
      <c r="G22" s="10" t="s">
        <v>116</v>
      </c>
    </row>
    <row r="23" spans="1:33" ht="21" customHeight="1" x14ac:dyDescent="0.55000000000000004">
      <c r="F23" s="13"/>
    </row>
    <row r="24" spans="1:33" ht="21" customHeight="1" thickBot="1" x14ac:dyDescent="0.45">
      <c r="F24" s="25" t="s">
        <v>40</v>
      </c>
      <c r="Q24" s="25" t="s">
        <v>41</v>
      </c>
    </row>
    <row r="25" spans="1:33" ht="21" customHeight="1" thickTop="1" thickBot="1" x14ac:dyDescent="0.6">
      <c r="A25" s="36" t="s">
        <v>123</v>
      </c>
      <c r="F25" s="66" t="s">
        <v>479</v>
      </c>
      <c r="G25" s="67"/>
      <c r="H25" s="67"/>
      <c r="I25" s="67"/>
      <c r="J25" s="67"/>
      <c r="K25" s="67"/>
      <c r="L25" s="67"/>
      <c r="M25" s="67"/>
      <c r="N25" s="67"/>
      <c r="O25" s="68"/>
      <c r="Q25" s="66" t="s">
        <v>215</v>
      </c>
      <c r="R25" s="67"/>
      <c r="S25" s="67"/>
      <c r="T25" s="68"/>
    </row>
    <row r="26" spans="1:33" ht="21" customHeight="1" thickTop="1" x14ac:dyDescent="0.55000000000000004"/>
    <row r="28" spans="1:33" ht="21" customHeight="1" x14ac:dyDescent="0.55000000000000004">
      <c r="D28" s="12" t="s">
        <v>33</v>
      </c>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row>
    <row r="35" spans="1:33" ht="21" customHeight="1" x14ac:dyDescent="0.55000000000000004">
      <c r="H35" s="10" t="s">
        <v>118</v>
      </c>
    </row>
    <row r="36" spans="1:33" ht="21" customHeight="1" x14ac:dyDescent="0.55000000000000004">
      <c r="F36" s="13"/>
      <c r="G36" s="13" t="s">
        <v>30</v>
      </c>
      <c r="H36" s="10" t="s">
        <v>119</v>
      </c>
    </row>
    <row r="37" spans="1:33" ht="21" customHeight="1" x14ac:dyDescent="0.55000000000000004">
      <c r="F37" s="13"/>
    </row>
    <row r="38" spans="1:33" ht="21" customHeight="1" x14ac:dyDescent="0.55000000000000004">
      <c r="F38" s="13"/>
      <c r="G38" s="10" t="s">
        <v>79</v>
      </c>
    </row>
    <row r="39" spans="1:33" ht="21" customHeight="1" thickBot="1" x14ac:dyDescent="0.45">
      <c r="F39" s="25" t="s">
        <v>40</v>
      </c>
      <c r="Q39" s="25" t="s">
        <v>42</v>
      </c>
    </row>
    <row r="40" spans="1:33" ht="21" customHeight="1" thickTop="1" thickBot="1" x14ac:dyDescent="0.6">
      <c r="A40" s="36" t="s">
        <v>135</v>
      </c>
      <c r="F40" s="66" t="s">
        <v>500</v>
      </c>
      <c r="G40" s="67"/>
      <c r="H40" s="67"/>
      <c r="I40" s="67"/>
      <c r="J40" s="67"/>
      <c r="K40" s="67"/>
      <c r="L40" s="67"/>
      <c r="M40" s="67"/>
      <c r="N40" s="67"/>
      <c r="O40" s="68"/>
      <c r="Q40" s="66" t="s">
        <v>108</v>
      </c>
      <c r="R40" s="68"/>
    </row>
    <row r="41" spans="1:33" ht="21" customHeight="1" thickTop="1" x14ac:dyDescent="0.55000000000000004"/>
    <row r="43" spans="1:33" ht="21" customHeight="1" x14ac:dyDescent="0.55000000000000004">
      <c r="D43" s="12" t="s">
        <v>34</v>
      </c>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row>
    <row r="55" spans="1:20" ht="21" customHeight="1" x14ac:dyDescent="0.55000000000000004">
      <c r="F55" s="13" t="s">
        <v>30</v>
      </c>
      <c r="G55" s="10" t="s">
        <v>36</v>
      </c>
    </row>
    <row r="56" spans="1:20" ht="21" customHeight="1" x14ac:dyDescent="0.55000000000000004">
      <c r="P56" s="28" t="s">
        <v>85</v>
      </c>
      <c r="Q56" s="28"/>
      <c r="R56" s="28"/>
      <c r="S56" s="28"/>
      <c r="T56" s="10" t="s">
        <v>121</v>
      </c>
    </row>
    <row r="57" spans="1:20" ht="21" customHeight="1" x14ac:dyDescent="0.55000000000000004">
      <c r="F57" s="13"/>
      <c r="P57" s="13" t="s">
        <v>30</v>
      </c>
      <c r="Q57" s="10" t="s">
        <v>120</v>
      </c>
    </row>
    <row r="58" spans="1:20" ht="21" customHeight="1" x14ac:dyDescent="0.55000000000000004">
      <c r="F58" s="13"/>
    </row>
    <row r="59" spans="1:20" ht="21" customHeight="1" thickBot="1" x14ac:dyDescent="0.45">
      <c r="F59" s="13"/>
      <c r="Q59" s="25" t="s">
        <v>43</v>
      </c>
    </row>
    <row r="60" spans="1:20" ht="21" customHeight="1" thickTop="1" thickBot="1" x14ac:dyDescent="0.6">
      <c r="A60" s="36" t="s">
        <v>170</v>
      </c>
      <c r="F60" s="13"/>
      <c r="Q60" s="66" t="s">
        <v>231</v>
      </c>
      <c r="R60" s="68"/>
    </row>
    <row r="61" spans="1:20" ht="21" customHeight="1" thickTop="1" x14ac:dyDescent="0.55000000000000004">
      <c r="E61" s="10" t="s">
        <v>173</v>
      </c>
    </row>
    <row r="62" spans="1:20" ht="21" customHeight="1" thickBot="1" x14ac:dyDescent="0.6">
      <c r="E62" s="23"/>
      <c r="F62" s="38" t="s">
        <v>16</v>
      </c>
      <c r="G62" s="39" t="s">
        <v>17</v>
      </c>
      <c r="H62" s="39" t="s">
        <v>18</v>
      </c>
      <c r="I62" s="39" t="s">
        <v>19</v>
      </c>
      <c r="J62" s="23"/>
    </row>
    <row r="63" spans="1:20" ht="21" customHeight="1" x14ac:dyDescent="0.55000000000000004">
      <c r="A63" s="36" t="s">
        <v>134</v>
      </c>
      <c r="E63" s="23"/>
      <c r="F63" s="7"/>
      <c r="G63" s="75" t="s">
        <v>24</v>
      </c>
      <c r="H63" s="75"/>
      <c r="I63" s="76"/>
      <c r="J63" s="23"/>
    </row>
    <row r="64" spans="1:20" ht="21" customHeight="1" x14ac:dyDescent="0.55000000000000004">
      <c r="E64" s="23"/>
      <c r="F64" s="126" t="s">
        <v>235</v>
      </c>
      <c r="G64" s="127"/>
      <c r="H64" s="127"/>
      <c r="I64" s="128"/>
      <c r="J64" s="23"/>
    </row>
    <row r="65" spans="1:33" ht="21" customHeight="1" x14ac:dyDescent="0.55000000000000004">
      <c r="E65" s="23"/>
      <c r="F65" s="129" t="s">
        <v>237</v>
      </c>
      <c r="G65" s="130"/>
      <c r="H65" s="130"/>
      <c r="I65" s="131"/>
      <c r="J65" s="23"/>
    </row>
    <row r="66" spans="1:33" ht="21" customHeight="1" thickBot="1" x14ac:dyDescent="0.6">
      <c r="A66" s="36"/>
      <c r="E66" s="23"/>
      <c r="F66" s="92" t="s">
        <v>207</v>
      </c>
      <c r="G66" s="93"/>
      <c r="H66" s="93"/>
      <c r="I66" s="94"/>
      <c r="J66" s="23"/>
    </row>
    <row r="67" spans="1:33" ht="21" customHeight="1" x14ac:dyDescent="0.55000000000000004">
      <c r="E67" s="23"/>
      <c r="F67" s="23"/>
      <c r="G67" s="23"/>
      <c r="H67" s="23"/>
      <c r="I67" s="23"/>
      <c r="J67" s="23"/>
    </row>
    <row r="68" spans="1:33" ht="21" customHeight="1" thickBot="1" x14ac:dyDescent="0.45">
      <c r="Q68" s="25" t="s">
        <v>167</v>
      </c>
    </row>
    <row r="69" spans="1:33" ht="21" customHeight="1" thickTop="1" thickBot="1" x14ac:dyDescent="0.6">
      <c r="A69" s="36" t="s">
        <v>172</v>
      </c>
      <c r="Q69" s="66" t="s">
        <v>171</v>
      </c>
      <c r="R69" s="67"/>
      <c r="S69" s="67"/>
      <c r="T69" s="68"/>
    </row>
    <row r="70" spans="1:33" ht="21" customHeight="1" thickTop="1" x14ac:dyDescent="0.55000000000000004">
      <c r="Q70" s="44" t="s">
        <v>163</v>
      </c>
    </row>
    <row r="72" spans="1:33" ht="21" customHeight="1" x14ac:dyDescent="0.55000000000000004">
      <c r="G72" s="10" t="s">
        <v>37</v>
      </c>
    </row>
    <row r="75" spans="1:33" ht="21" customHeight="1" x14ac:dyDescent="0.55000000000000004">
      <c r="D75" s="12" t="s">
        <v>35</v>
      </c>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row>
    <row r="95" spans="8:8" ht="21" customHeight="1" x14ac:dyDescent="0.55000000000000004">
      <c r="H95" s="10" t="s">
        <v>122</v>
      </c>
    </row>
    <row r="97" spans="1:18" ht="21" customHeight="1" thickBot="1" x14ac:dyDescent="0.45">
      <c r="Q97" s="25" t="s">
        <v>136</v>
      </c>
    </row>
    <row r="98" spans="1:18" ht="21" customHeight="1" thickTop="1" thickBot="1" x14ac:dyDescent="0.6">
      <c r="A98" s="36" t="s">
        <v>161</v>
      </c>
      <c r="Q98" s="66" t="s">
        <v>230</v>
      </c>
      <c r="R98" s="68"/>
    </row>
    <row r="99" spans="1:18" ht="21" customHeight="1" thickTop="1" x14ac:dyDescent="0.55000000000000004"/>
    <row r="100" spans="1:18" ht="21" customHeight="1" x14ac:dyDescent="0.55000000000000004">
      <c r="G100" s="13" t="s">
        <v>30</v>
      </c>
      <c r="H100" s="10" t="s">
        <v>160</v>
      </c>
    </row>
    <row r="102" spans="1:18" ht="21" customHeight="1" thickBot="1" x14ac:dyDescent="0.6">
      <c r="E102" s="37"/>
      <c r="F102" s="38" t="s">
        <v>16</v>
      </c>
      <c r="G102" s="39" t="s">
        <v>17</v>
      </c>
      <c r="H102" s="39" t="s">
        <v>18</v>
      </c>
      <c r="I102" s="39" t="s">
        <v>19</v>
      </c>
      <c r="J102" s="39" t="s">
        <v>20</v>
      </c>
      <c r="K102" s="39" t="s">
        <v>21</v>
      </c>
      <c r="L102" s="39" t="s">
        <v>22</v>
      </c>
      <c r="M102" s="39" t="s">
        <v>23</v>
      </c>
      <c r="N102" s="40"/>
    </row>
    <row r="103" spans="1:18" ht="21" customHeight="1" x14ac:dyDescent="0.55000000000000004">
      <c r="A103" s="36" t="s">
        <v>133</v>
      </c>
      <c r="E103" s="37">
        <v>1</v>
      </c>
      <c r="F103" s="10" t="s">
        <v>39</v>
      </c>
      <c r="G103" s="122" t="s">
        <v>28</v>
      </c>
      <c r="H103" s="123"/>
      <c r="I103" s="123"/>
      <c r="J103" s="124" t="s">
        <v>27</v>
      </c>
      <c r="K103" s="125"/>
      <c r="L103" s="88" t="s">
        <v>29</v>
      </c>
      <c r="M103" s="88"/>
      <c r="N103" s="24"/>
    </row>
    <row r="104" spans="1:18" ht="21" customHeight="1" x14ac:dyDescent="0.55000000000000004">
      <c r="E104" s="37">
        <v>2</v>
      </c>
      <c r="F104" s="10">
        <v>1</v>
      </c>
      <c r="G104" s="101">
        <v>10000000</v>
      </c>
      <c r="H104" s="89"/>
      <c r="I104" s="89"/>
      <c r="J104" s="117"/>
      <c r="K104" s="118"/>
      <c r="L104" s="119"/>
      <c r="M104" s="119"/>
      <c r="N104" s="24"/>
    </row>
    <row r="105" spans="1:18" ht="21" customHeight="1" x14ac:dyDescent="0.55000000000000004">
      <c r="E105" s="37">
        <v>3</v>
      </c>
      <c r="F105" s="10">
        <v>2</v>
      </c>
      <c r="G105" s="101">
        <v>7500000</v>
      </c>
      <c r="H105" s="89"/>
      <c r="I105" s="89"/>
      <c r="J105" s="120"/>
      <c r="K105" s="121"/>
      <c r="L105" s="119"/>
      <c r="M105" s="119"/>
      <c r="N105" s="24"/>
    </row>
    <row r="106" spans="1:18" ht="21" customHeight="1" x14ac:dyDescent="0.55000000000000004">
      <c r="E106" s="37">
        <v>4</v>
      </c>
      <c r="F106" s="10">
        <v>3</v>
      </c>
      <c r="G106" s="101">
        <v>5000000</v>
      </c>
      <c r="H106" s="89"/>
      <c r="I106" s="89"/>
      <c r="J106" s="150"/>
      <c r="K106" s="151"/>
      <c r="L106" s="152"/>
      <c r="M106" s="108"/>
      <c r="N106" s="24"/>
    </row>
    <row r="107" spans="1:18" ht="21" customHeight="1" x14ac:dyDescent="0.55000000000000004">
      <c r="E107" s="37">
        <v>5</v>
      </c>
      <c r="F107" s="10">
        <v>4</v>
      </c>
      <c r="G107" s="113">
        <v>2500000</v>
      </c>
      <c r="H107" s="114"/>
      <c r="I107" s="114"/>
      <c r="J107" s="111"/>
      <c r="K107" s="112"/>
      <c r="L107" s="108"/>
      <c r="M107" s="108"/>
      <c r="N107" s="24"/>
    </row>
    <row r="108" spans="1:18" ht="21" customHeight="1" x14ac:dyDescent="0.55000000000000004">
      <c r="E108" s="37">
        <v>6</v>
      </c>
      <c r="F108" s="10">
        <v>5</v>
      </c>
      <c r="G108" s="101">
        <v>1250000</v>
      </c>
      <c r="H108" s="89"/>
      <c r="I108" s="89"/>
      <c r="J108" s="115"/>
      <c r="K108" s="116"/>
      <c r="L108" s="108"/>
      <c r="M108" s="108"/>
      <c r="N108" s="24"/>
    </row>
    <row r="109" spans="1:18" ht="21" customHeight="1" x14ac:dyDescent="0.55000000000000004">
      <c r="E109" s="37">
        <v>7</v>
      </c>
      <c r="F109" s="10">
        <v>6</v>
      </c>
      <c r="G109" s="101">
        <v>1000000</v>
      </c>
      <c r="H109" s="89"/>
      <c r="I109" s="89"/>
      <c r="J109" s="148"/>
      <c r="K109" s="149"/>
      <c r="L109" s="108"/>
      <c r="M109" s="108"/>
      <c r="N109" s="24"/>
    </row>
    <row r="110" spans="1:18" ht="21" customHeight="1" x14ac:dyDescent="0.55000000000000004">
      <c r="E110" s="37">
        <v>8</v>
      </c>
      <c r="F110" s="10">
        <v>7</v>
      </c>
      <c r="G110" s="101">
        <v>750000</v>
      </c>
      <c r="H110" s="89"/>
      <c r="I110" s="89"/>
      <c r="J110" s="146"/>
      <c r="K110" s="147"/>
      <c r="L110" s="108"/>
      <c r="M110" s="108"/>
      <c r="N110" s="24"/>
    </row>
    <row r="111" spans="1:18" ht="21" customHeight="1" x14ac:dyDescent="0.55000000000000004">
      <c r="E111" s="37">
        <v>9</v>
      </c>
      <c r="F111" s="10">
        <v>8</v>
      </c>
      <c r="G111" s="101">
        <v>500000</v>
      </c>
      <c r="H111" s="89"/>
      <c r="I111" s="89"/>
      <c r="J111" s="106"/>
      <c r="K111" s="107"/>
      <c r="L111" s="108"/>
      <c r="M111" s="108"/>
      <c r="N111" s="24"/>
    </row>
    <row r="112" spans="1:18" ht="21" customHeight="1" x14ac:dyDescent="0.55000000000000004">
      <c r="E112" s="37">
        <v>10</v>
      </c>
      <c r="F112" s="10">
        <v>9</v>
      </c>
      <c r="G112" s="101">
        <v>250000</v>
      </c>
      <c r="H112" s="89"/>
      <c r="I112" s="89"/>
      <c r="J112" s="109"/>
      <c r="K112" s="110"/>
      <c r="L112" s="108"/>
      <c r="M112" s="108"/>
      <c r="N112" s="24"/>
    </row>
    <row r="113" spans="1:33" ht="21" customHeight="1" x14ac:dyDescent="0.55000000000000004">
      <c r="E113" s="37">
        <v>11</v>
      </c>
      <c r="F113" s="10">
        <v>10</v>
      </c>
      <c r="G113" s="101">
        <v>125000</v>
      </c>
      <c r="H113" s="89"/>
      <c r="I113" s="89"/>
      <c r="J113" s="102"/>
      <c r="K113" s="103"/>
      <c r="L113" s="108"/>
      <c r="M113" s="108"/>
      <c r="N113" s="24"/>
    </row>
    <row r="114" spans="1:33" ht="21" customHeight="1" thickBot="1" x14ac:dyDescent="0.6">
      <c r="E114" s="37">
        <v>12</v>
      </c>
      <c r="F114" s="10">
        <v>11</v>
      </c>
      <c r="G114" s="104">
        <v>0</v>
      </c>
      <c r="H114" s="105"/>
      <c r="I114" s="105"/>
      <c r="J114" s="144"/>
      <c r="K114" s="145"/>
      <c r="L114" s="48"/>
      <c r="M114" s="48"/>
      <c r="N114" s="24"/>
    </row>
    <row r="115" spans="1:33" ht="21" customHeight="1" x14ac:dyDescent="0.55000000000000004">
      <c r="E115" s="37"/>
      <c r="F115" s="24"/>
      <c r="G115" s="24"/>
      <c r="H115" s="24"/>
      <c r="I115" s="24"/>
      <c r="J115" s="24"/>
      <c r="K115" s="24"/>
      <c r="L115" s="24"/>
      <c r="M115" s="24"/>
      <c r="N115" s="24"/>
    </row>
    <row r="117" spans="1:33" ht="21" customHeight="1" thickBot="1" x14ac:dyDescent="0.45">
      <c r="Q117" s="25" t="s">
        <v>167</v>
      </c>
    </row>
    <row r="118" spans="1:33" ht="21" customHeight="1" thickTop="1" thickBot="1" x14ac:dyDescent="0.6">
      <c r="A118" s="36" t="s">
        <v>166</v>
      </c>
      <c r="Q118" s="66" t="s">
        <v>168</v>
      </c>
      <c r="R118" s="67"/>
      <c r="S118" s="67"/>
      <c r="T118" s="68"/>
    </row>
    <row r="119" spans="1:33" ht="21" customHeight="1" thickTop="1" x14ac:dyDescent="0.55000000000000004">
      <c r="Q119" s="44" t="s">
        <v>163</v>
      </c>
    </row>
    <row r="120" spans="1:33" ht="21" customHeight="1" thickBot="1" x14ac:dyDescent="0.45">
      <c r="F120" s="25" t="s">
        <v>44</v>
      </c>
    </row>
    <row r="121" spans="1:33" ht="21" customHeight="1" thickTop="1" thickBot="1" x14ac:dyDescent="0.6">
      <c r="A121" s="36" t="s">
        <v>164</v>
      </c>
      <c r="F121" s="66" t="s">
        <v>149</v>
      </c>
      <c r="G121" s="67"/>
      <c r="H121" s="67"/>
      <c r="I121" s="68"/>
    </row>
    <row r="122" spans="1:33" ht="21" customHeight="1" thickTop="1" x14ac:dyDescent="0.55000000000000004">
      <c r="F122" s="44" t="s">
        <v>163</v>
      </c>
    </row>
    <row r="125" spans="1:33" ht="21" customHeight="1" x14ac:dyDescent="0.55000000000000004">
      <c r="D125" s="12" t="s">
        <v>35</v>
      </c>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row>
    <row r="127" spans="1:33" ht="21" customHeight="1" thickBot="1" x14ac:dyDescent="0.6">
      <c r="F127" s="13" t="s">
        <v>30</v>
      </c>
      <c r="G127" s="10" t="s">
        <v>31</v>
      </c>
    </row>
    <row r="128" spans="1:33" ht="21" customHeight="1" x14ac:dyDescent="0.55000000000000004">
      <c r="F128" s="14"/>
      <c r="G128" s="15"/>
      <c r="H128" s="15"/>
      <c r="I128" s="15"/>
      <c r="J128" s="15"/>
      <c r="K128" s="15"/>
      <c r="L128" s="15"/>
      <c r="M128" s="15"/>
      <c r="N128" s="16"/>
    </row>
    <row r="129" spans="6:14" ht="21" customHeight="1" x14ac:dyDescent="0.55000000000000004">
      <c r="F129" s="17"/>
      <c r="N129" s="18"/>
    </row>
    <row r="130" spans="6:14" ht="21" customHeight="1" x14ac:dyDescent="0.55000000000000004">
      <c r="F130" s="17"/>
      <c r="N130" s="18"/>
    </row>
    <row r="131" spans="6:14" ht="21" customHeight="1" thickBot="1" x14ac:dyDescent="0.6">
      <c r="F131" s="19"/>
      <c r="G131" s="20"/>
      <c r="H131" s="20"/>
      <c r="I131" s="20"/>
      <c r="J131" s="20"/>
      <c r="K131" s="20"/>
      <c r="L131" s="20"/>
      <c r="M131" s="20"/>
      <c r="N131" s="21"/>
    </row>
    <row r="150" spans="1:8" ht="21" customHeight="1" x14ac:dyDescent="0.55000000000000004">
      <c r="H150" s="10" t="s">
        <v>81</v>
      </c>
    </row>
    <row r="152" spans="1:8" ht="21" customHeight="1" x14ac:dyDescent="0.55000000000000004">
      <c r="B152" s="10" t="s">
        <v>28</v>
      </c>
    </row>
    <row r="153" spans="1:8" ht="21" customHeight="1" x14ac:dyDescent="0.55000000000000004">
      <c r="A153" s="36" t="s">
        <v>109</v>
      </c>
    </row>
  </sheetData>
  <mergeCells count="48">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 ref="G104:I104"/>
    <mergeCell ref="J104:K104"/>
    <mergeCell ref="L104:M104"/>
    <mergeCell ref="G105:I105"/>
    <mergeCell ref="J105:K105"/>
    <mergeCell ref="L105:M105"/>
    <mergeCell ref="G106:I106"/>
    <mergeCell ref="J106:K106"/>
    <mergeCell ref="L106:M106"/>
    <mergeCell ref="G107:I107"/>
    <mergeCell ref="J107:K107"/>
    <mergeCell ref="L107:M107"/>
    <mergeCell ref="G108:I108"/>
    <mergeCell ref="J108:K108"/>
    <mergeCell ref="L108:M108"/>
    <mergeCell ref="G109:I109"/>
    <mergeCell ref="J109:K109"/>
    <mergeCell ref="L109:M109"/>
    <mergeCell ref="G110:I110"/>
    <mergeCell ref="J110:K110"/>
    <mergeCell ref="L110:M110"/>
    <mergeCell ref="G111:I111"/>
    <mergeCell ref="J111:K111"/>
    <mergeCell ref="L111:M111"/>
    <mergeCell ref="G114:I114"/>
    <mergeCell ref="J114:K114"/>
    <mergeCell ref="Q118:T118"/>
    <mergeCell ref="F121:I121"/>
    <mergeCell ref="G112:I112"/>
    <mergeCell ref="J112:K112"/>
    <mergeCell ref="L112:M112"/>
    <mergeCell ref="G113:I113"/>
    <mergeCell ref="J113:K113"/>
    <mergeCell ref="L113:M113"/>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ADA3A-22DA-48AB-B924-B2A3BEEF3BB2}">
  <dimension ref="A1:CB40"/>
  <sheetViews>
    <sheetView workbookViewId="0"/>
  </sheetViews>
  <sheetFormatPr defaultColWidth="3.5" defaultRowHeight="21.15" customHeight="1" x14ac:dyDescent="0.55000000000000004"/>
  <sheetData>
    <row r="1" spans="1:80" ht="21.15" customHeight="1" x14ac:dyDescent="0.55000000000000004">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row>
    <row r="2" spans="1:80" ht="21.15" customHeight="1" x14ac:dyDescent="0.55000000000000004">
      <c r="A2" s="166"/>
      <c r="B2" s="167"/>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7"/>
      <c r="AS2" s="167"/>
      <c r="AT2" s="167"/>
      <c r="AU2" s="167"/>
      <c r="AV2" s="167"/>
      <c r="AW2" s="167"/>
      <c r="AX2" s="167"/>
      <c r="AY2" s="167"/>
      <c r="AZ2" s="167"/>
      <c r="BA2" s="167"/>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6"/>
    </row>
    <row r="3" spans="1:80" ht="21.15" customHeight="1" thickBot="1" x14ac:dyDescent="0.6">
      <c r="A3" s="166"/>
      <c r="B3" s="167"/>
      <c r="C3" s="167"/>
      <c r="D3" s="229"/>
      <c r="E3" s="229"/>
      <c r="F3" s="229"/>
      <c r="G3" s="168" t="s">
        <v>62</v>
      </c>
      <c r="H3" s="167"/>
      <c r="I3" s="167"/>
      <c r="J3" s="167"/>
      <c r="K3" s="168" t="s">
        <v>61</v>
      </c>
      <c r="L3" s="167"/>
      <c r="M3" s="167"/>
      <c r="N3" s="167"/>
      <c r="O3" s="168" t="s">
        <v>60</v>
      </c>
      <c r="P3" s="167"/>
      <c r="Q3" s="167"/>
      <c r="R3" s="167"/>
      <c r="S3" s="168" t="s">
        <v>59</v>
      </c>
      <c r="T3" s="167"/>
      <c r="U3" s="167"/>
      <c r="V3" s="167"/>
      <c r="W3" s="168" t="s">
        <v>58</v>
      </c>
      <c r="X3" s="167"/>
      <c r="Y3" s="167"/>
      <c r="Z3" s="167"/>
      <c r="AA3" s="168" t="s">
        <v>57</v>
      </c>
      <c r="AB3" s="167"/>
      <c r="AC3" s="167"/>
      <c r="AD3" s="167"/>
      <c r="AE3" s="168" t="s">
        <v>56</v>
      </c>
      <c r="AF3" s="167"/>
      <c r="AG3" s="167"/>
      <c r="AH3" s="167"/>
      <c r="AI3" s="168" t="s">
        <v>55</v>
      </c>
      <c r="AJ3" s="167"/>
      <c r="AK3" s="167"/>
      <c r="AL3" s="167"/>
      <c r="AM3" s="168" t="s">
        <v>54</v>
      </c>
      <c r="AN3" s="167"/>
      <c r="AO3" s="167"/>
      <c r="AP3" s="167"/>
      <c r="AQ3" s="168" t="s">
        <v>53</v>
      </c>
      <c r="AR3" s="167"/>
      <c r="AS3" s="167"/>
      <c r="AT3" s="167"/>
      <c r="AU3" s="168" t="s">
        <v>52</v>
      </c>
      <c r="AV3" s="167"/>
      <c r="AW3" s="167"/>
      <c r="AX3" s="167"/>
      <c r="AY3" s="168" t="s">
        <v>51</v>
      </c>
      <c r="AZ3" s="167"/>
      <c r="BA3" s="167"/>
      <c r="BB3" s="167"/>
      <c r="BC3" s="168" t="s">
        <v>50</v>
      </c>
      <c r="BD3" s="167"/>
      <c r="BE3" s="167"/>
      <c r="BF3" s="167"/>
      <c r="BG3" s="168" t="s">
        <v>49</v>
      </c>
      <c r="BH3" s="167"/>
      <c r="BI3" s="167"/>
      <c r="BJ3" s="167"/>
      <c r="BK3" s="168" t="s">
        <v>48</v>
      </c>
      <c r="BL3" s="167"/>
      <c r="BM3" s="167"/>
      <c r="BN3" s="167"/>
      <c r="BO3" s="168" t="s">
        <v>47</v>
      </c>
      <c r="BP3" s="167"/>
      <c r="BQ3" s="167"/>
      <c r="BR3" s="167"/>
      <c r="BS3" s="168" t="s">
        <v>216</v>
      </c>
      <c r="BT3" s="167"/>
      <c r="BU3" s="167"/>
      <c r="BV3" s="167"/>
      <c r="BW3" s="167"/>
      <c r="BX3" s="167"/>
      <c r="BY3" s="167"/>
      <c r="BZ3" s="167"/>
      <c r="CA3" s="167"/>
      <c r="CB3" s="166"/>
    </row>
    <row r="4" spans="1:80" ht="21.15" customHeight="1" x14ac:dyDescent="0.55000000000000004">
      <c r="A4" s="166"/>
      <c r="B4" s="167"/>
      <c r="C4" s="229"/>
      <c r="D4" s="229"/>
      <c r="E4" s="229"/>
      <c r="F4" s="229"/>
      <c r="G4" s="167"/>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c r="BA4" s="167"/>
      <c r="BB4" s="167"/>
      <c r="BC4" s="167"/>
      <c r="BD4" s="167"/>
      <c r="BE4" s="167"/>
      <c r="BF4" s="167"/>
      <c r="BG4" s="167"/>
      <c r="BH4" s="167"/>
      <c r="BI4" s="167"/>
      <c r="BJ4" s="167"/>
      <c r="BK4" s="167"/>
      <c r="BL4" s="167"/>
      <c r="BM4" s="167"/>
      <c r="BN4" s="167"/>
      <c r="BO4" s="167"/>
      <c r="BP4" s="167"/>
      <c r="BQ4" s="167"/>
      <c r="BR4" s="167"/>
      <c r="BS4" s="167"/>
      <c r="BT4" s="167"/>
      <c r="BU4" s="183"/>
      <c r="BV4" s="170" t="s">
        <v>69</v>
      </c>
      <c r="BW4" s="170"/>
      <c r="BX4" s="185"/>
      <c r="BY4" s="167"/>
      <c r="BZ4" s="167"/>
      <c r="CA4" s="167"/>
      <c r="CB4" s="166"/>
    </row>
    <row r="5" spans="1:80" ht="21.15" customHeight="1" x14ac:dyDescent="0.55000000000000004">
      <c r="A5" s="166"/>
      <c r="B5" s="167"/>
      <c r="C5" s="229"/>
      <c r="D5" s="229"/>
      <c r="E5" s="229"/>
      <c r="F5" s="229"/>
      <c r="G5" s="167"/>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c r="BJ5" s="167"/>
      <c r="BK5" s="167"/>
      <c r="BL5" s="167"/>
      <c r="BM5" s="167"/>
      <c r="BN5" s="167"/>
      <c r="BO5" s="167"/>
      <c r="BP5" s="167"/>
      <c r="BQ5" s="167"/>
      <c r="BR5" s="167"/>
      <c r="BS5" s="167"/>
      <c r="BT5" s="167"/>
      <c r="BU5" s="188" t="s">
        <v>234</v>
      </c>
      <c r="BV5" s="186"/>
      <c r="BW5" s="186"/>
      <c r="BX5" s="187"/>
      <c r="BY5" s="167"/>
      <c r="BZ5" s="167"/>
      <c r="CA5" s="167"/>
      <c r="CB5" s="166"/>
    </row>
    <row r="6" spans="1:80" ht="21.15" customHeight="1" thickBot="1" x14ac:dyDescent="0.6">
      <c r="A6" s="166"/>
      <c r="B6" s="167"/>
      <c r="C6" s="229"/>
      <c r="D6" s="229"/>
      <c r="E6" s="229"/>
      <c r="F6" s="229"/>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7"/>
      <c r="BH6" s="167"/>
      <c r="BI6" s="167"/>
      <c r="BJ6" s="167"/>
      <c r="BK6" s="167"/>
      <c r="BL6" s="167"/>
      <c r="BM6" s="167"/>
      <c r="BN6" s="167"/>
      <c r="BO6" s="167"/>
      <c r="BP6" s="167"/>
      <c r="BQ6" s="167"/>
      <c r="BR6" s="167"/>
      <c r="BS6" s="167"/>
      <c r="BT6" s="167"/>
      <c r="BU6" s="196" t="s">
        <v>236</v>
      </c>
      <c r="BV6" s="186"/>
      <c r="BW6" s="186"/>
      <c r="BX6" s="187"/>
      <c r="BY6" s="167"/>
      <c r="BZ6" s="167"/>
      <c r="CA6" s="167"/>
      <c r="CB6" s="166"/>
    </row>
    <row r="7" spans="1:80" ht="21.15" customHeight="1" thickBot="1" x14ac:dyDescent="0.6">
      <c r="A7" s="166"/>
      <c r="B7" s="167"/>
      <c r="C7" s="168" t="s">
        <v>46</v>
      </c>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c r="BA7" s="167"/>
      <c r="BB7" s="167"/>
      <c r="BC7" s="167"/>
      <c r="BD7" s="167"/>
      <c r="BE7" s="167"/>
      <c r="BF7" s="167"/>
      <c r="BG7" s="167"/>
      <c r="BH7" s="167"/>
      <c r="BI7" s="167"/>
      <c r="BJ7" s="167"/>
      <c r="BK7" s="167"/>
      <c r="BL7" s="167"/>
      <c r="BM7" s="167"/>
      <c r="BN7" s="167"/>
      <c r="BO7" s="169">
        <v>1</v>
      </c>
      <c r="BP7" s="170" t="str">
        <f>VLOOKUP(BO7,市町村データ!A2:AX48,MATCH(手順書_全国_人口!$G$63, 市町村データ!A1:AX1, 0),FALSE)</f>
        <v>北海道</v>
      </c>
      <c r="BQ7" s="98"/>
      <c r="BR7" s="99"/>
      <c r="BS7" s="171"/>
      <c r="BT7" s="167"/>
      <c r="BU7" s="194" t="s">
        <v>238</v>
      </c>
      <c r="BV7" s="192"/>
      <c r="BW7" s="192"/>
      <c r="BX7" s="193"/>
      <c r="BY7" s="167"/>
      <c r="BZ7" s="167"/>
      <c r="CA7" s="167"/>
      <c r="CB7" s="166"/>
    </row>
    <row r="8" spans="1:80" ht="21.15" customHeight="1" thickBot="1" x14ac:dyDescent="0.6">
      <c r="A8" s="166"/>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c r="BA8" s="167"/>
      <c r="BB8" s="167"/>
      <c r="BC8" s="167"/>
      <c r="BD8" s="167"/>
      <c r="BE8" s="167"/>
      <c r="BF8" s="167"/>
      <c r="BG8" s="167"/>
      <c r="BH8" s="167"/>
      <c r="BI8" s="167"/>
      <c r="BJ8" s="167"/>
      <c r="BK8" s="167"/>
      <c r="BL8" s="167"/>
      <c r="BM8" s="167"/>
      <c r="BN8" s="167"/>
      <c r="BO8" s="156">
        <f>VLOOKUP(BO7,市町村データ!A2:AX48,MATCH(手順書_全国_人口!$F$64, 市町村データ!A1:AX1, 0),FALSE)</f>
        <v>66.599999999999994</v>
      </c>
      <c r="BP8" s="197"/>
      <c r="BQ8" s="197"/>
      <c r="BR8" s="100"/>
      <c r="BS8" s="171"/>
      <c r="BT8" s="167"/>
      <c r="BU8" s="167"/>
      <c r="BV8" s="167"/>
      <c r="BW8" s="174"/>
      <c r="BX8" s="167"/>
      <c r="BY8" s="167"/>
      <c r="BZ8" s="167"/>
      <c r="CA8" s="167"/>
      <c r="CB8" s="166"/>
    </row>
    <row r="9" spans="1:80" ht="21.15" customHeight="1" x14ac:dyDescent="0.55000000000000004">
      <c r="A9" s="166"/>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c r="BA9" s="167"/>
      <c r="BB9" s="167"/>
      <c r="BC9" s="167"/>
      <c r="BD9" s="167"/>
      <c r="BE9" s="167"/>
      <c r="BF9" s="167"/>
      <c r="BG9" s="167"/>
      <c r="BH9" s="167"/>
      <c r="BI9" s="167"/>
      <c r="BJ9" s="167"/>
      <c r="BK9" s="167"/>
      <c r="BL9" s="167"/>
      <c r="BM9" s="167"/>
      <c r="BN9" s="167"/>
      <c r="BO9" s="154">
        <f>VLOOKUP(BO7,市町村データ!A2:AX48,MATCH(手順書_全国_人口!$F$65, 市町村データ!A1:AX1, 0),FALSE)</f>
        <v>5224614</v>
      </c>
      <c r="BP9" s="197"/>
      <c r="BQ9" s="197"/>
      <c r="BR9" s="100"/>
      <c r="BS9" s="171"/>
      <c r="BT9" s="167"/>
      <c r="BU9" s="198" t="s">
        <v>71</v>
      </c>
      <c r="BV9" s="199"/>
      <c r="BW9" s="199"/>
      <c r="BX9" s="200" t="s">
        <v>70</v>
      </c>
      <c r="BY9" s="201"/>
      <c r="BZ9" s="167"/>
      <c r="CA9" s="167"/>
      <c r="CB9" s="166"/>
    </row>
    <row r="10" spans="1:80" ht="21.15" customHeight="1" thickBot="1" x14ac:dyDescent="0.6">
      <c r="A10" s="166"/>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7"/>
      <c r="BD10" s="167"/>
      <c r="BE10" s="167"/>
      <c r="BF10" s="167"/>
      <c r="BG10" s="167"/>
      <c r="BH10" s="167"/>
      <c r="BI10" s="167"/>
      <c r="BJ10" s="167"/>
      <c r="BK10" s="167"/>
      <c r="BL10" s="167"/>
      <c r="BM10" s="167"/>
      <c r="BN10" s="167"/>
      <c r="BO10" s="222">
        <f>VLOOKUP(BO7,市町村データ!A2:AX48,MATCH(手順書_全国_人口!$F$66, 市町村データ!A1:AX1, 0),FALSE)</f>
        <v>83424.44</v>
      </c>
      <c r="BP10" s="96"/>
      <c r="BQ10" s="96"/>
      <c r="BR10" s="97"/>
      <c r="BS10" s="171"/>
      <c r="BT10" s="167"/>
      <c r="BU10" s="203">
        <v>10000000</v>
      </c>
      <c r="BV10" s="186"/>
      <c r="BW10" s="186"/>
      <c r="BX10" s="204"/>
      <c r="BY10" s="205"/>
      <c r="BZ10" s="167"/>
      <c r="CA10" s="167"/>
      <c r="CB10" s="166"/>
    </row>
    <row r="11" spans="1:80" ht="21.15" customHeight="1" x14ac:dyDescent="0.55000000000000004">
      <c r="A11" s="166"/>
      <c r="B11" s="167"/>
      <c r="C11" s="168" t="s">
        <v>63</v>
      </c>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9">
        <v>11</v>
      </c>
      <c r="BD11" s="170" t="str">
        <f>VLOOKUP(BC11,市町村データ!A2:AX48,MATCH(手順書_全国_人口!$G$63, 市町村データ!A1:AX1, 0),FALSE)</f>
        <v>新潟</v>
      </c>
      <c r="BE11" s="98"/>
      <c r="BF11" s="99"/>
      <c r="BG11" s="169">
        <v>7</v>
      </c>
      <c r="BH11" s="170" t="str">
        <f>VLOOKUP(BG11,市町村データ!A2:AX48,MATCH(手順書_全国_人口!$G$63, 市町村データ!A1:AX1, 0),FALSE)</f>
        <v>山形</v>
      </c>
      <c r="BI11" s="98"/>
      <c r="BJ11" s="99"/>
      <c r="BK11" s="169">
        <v>4</v>
      </c>
      <c r="BL11" s="170" t="str">
        <f>VLOOKUP(BK11,市町村データ!A2:AX48,MATCH(手順書_全国_人口!$G$63, 市町村データ!A1:AX1, 0),FALSE)</f>
        <v>秋田</v>
      </c>
      <c r="BM11" s="98"/>
      <c r="BN11" s="99"/>
      <c r="BO11" s="169">
        <v>2</v>
      </c>
      <c r="BP11" s="170" t="str">
        <f>VLOOKUP(BO11,市町村データ!A2:AX48,MATCH(手順書_全国_人口!$G$63, 市町村データ!A1:AX1, 0),FALSE)</f>
        <v>青森</v>
      </c>
      <c r="BQ11" s="98"/>
      <c r="BR11" s="99"/>
      <c r="BS11" s="171"/>
      <c r="BT11" s="167"/>
      <c r="BU11" s="203">
        <v>7500000</v>
      </c>
      <c r="BV11" s="186"/>
      <c r="BW11" s="186"/>
      <c r="BX11" s="206"/>
      <c r="BY11" s="205"/>
      <c r="BZ11" s="167"/>
      <c r="CA11" s="167"/>
      <c r="CB11" s="166"/>
    </row>
    <row r="12" spans="1:80" ht="21.15" customHeight="1" x14ac:dyDescent="0.55000000000000004">
      <c r="A12" s="166"/>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41">
        <f>VLOOKUP(BC11,市町村データ!A2:AX48,MATCH(手順書_全国_人口!$F$64, 市町村データ!A1:AX1, 0),FALSE)</f>
        <v>174.9</v>
      </c>
      <c r="BD12" s="197"/>
      <c r="BE12" s="197"/>
      <c r="BF12" s="100"/>
      <c r="BG12" s="158">
        <f>VLOOKUP(BG11,市町村データ!A2:AX48,MATCH(手順書_全国_人口!$F$64, 市町村データ!A1:AX1, 0),FALSE)</f>
        <v>114.6</v>
      </c>
      <c r="BH12" s="197"/>
      <c r="BI12" s="197"/>
      <c r="BJ12" s="100"/>
      <c r="BK12" s="160">
        <f>VLOOKUP(BK11,市町村データ!A2:AX48,MATCH(手順書_全国_人口!$F$64, 市町村データ!A1:AX1, 0),FALSE)</f>
        <v>82.4</v>
      </c>
      <c r="BL12" s="197"/>
      <c r="BM12" s="197"/>
      <c r="BN12" s="100"/>
      <c r="BO12" s="158">
        <f>VLOOKUP(BO11,市町村データ!A2:AX48,MATCH(手順書_全国_人口!$F$64, 市町村データ!A1:AX1, 0),FALSE)</f>
        <v>128.30000000000001</v>
      </c>
      <c r="BP12" s="197"/>
      <c r="BQ12" s="197"/>
      <c r="BR12" s="100"/>
      <c r="BS12" s="171"/>
      <c r="BT12" s="167"/>
      <c r="BU12" s="203">
        <v>5000000</v>
      </c>
      <c r="BV12" s="186"/>
      <c r="BW12" s="186"/>
      <c r="BX12" s="207"/>
      <c r="BY12" s="205"/>
      <c r="BZ12" s="167"/>
      <c r="CA12" s="167"/>
      <c r="CB12" s="166"/>
    </row>
    <row r="13" spans="1:80" ht="21.15" customHeight="1" x14ac:dyDescent="0.55000000000000004">
      <c r="A13" s="166"/>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43">
        <f>VLOOKUP(BC11,市町村データ!A2:AX48,MATCH(手順書_全国_人口!$F$65, 市町村データ!A1:AX1, 0),FALSE)</f>
        <v>2201272</v>
      </c>
      <c r="BD13" s="197"/>
      <c r="BE13" s="197"/>
      <c r="BF13" s="100"/>
      <c r="BG13" s="157">
        <f>VLOOKUP(BG11,市町村データ!A2:AX48,MATCH(手順書_全国_人口!$F$65, 市町村データ!A1:AX1, 0),FALSE)</f>
        <v>1068027</v>
      </c>
      <c r="BH13" s="197"/>
      <c r="BI13" s="197"/>
      <c r="BJ13" s="100"/>
      <c r="BK13" s="159">
        <f>VLOOKUP(BK11,市町村データ!A2:AX48,MATCH(手順書_全国_人口!$F$65, 市町村データ!A1:AX1, 0),FALSE)</f>
        <v>959502</v>
      </c>
      <c r="BL13" s="197"/>
      <c r="BM13" s="197"/>
      <c r="BN13" s="100"/>
      <c r="BO13" s="157">
        <f>VLOOKUP(BO11,市町村データ!A2:AX48,MATCH(手順書_全国_人口!$F$65, 市町村データ!A1:AX1, 0),FALSE)</f>
        <v>1237984</v>
      </c>
      <c r="BP13" s="197"/>
      <c r="BQ13" s="197"/>
      <c r="BR13" s="100"/>
      <c r="BS13" s="171"/>
      <c r="BT13" s="167"/>
      <c r="BU13" s="202">
        <v>2500000</v>
      </c>
      <c r="BV13" s="184"/>
      <c r="BW13" s="184"/>
      <c r="BX13" s="208"/>
      <c r="BY13" s="205"/>
      <c r="BZ13" s="174"/>
      <c r="CA13" s="167"/>
      <c r="CB13" s="166"/>
    </row>
    <row r="14" spans="1:80" ht="21.15" customHeight="1" thickBot="1" x14ac:dyDescent="0.6">
      <c r="A14" s="166"/>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67"/>
      <c r="AR14" s="167"/>
      <c r="AS14" s="167"/>
      <c r="AT14" s="167"/>
      <c r="AU14" s="167"/>
      <c r="AV14" s="167"/>
      <c r="AW14" s="167"/>
      <c r="AX14" s="167"/>
      <c r="AY14" s="167"/>
      <c r="AZ14" s="167"/>
      <c r="BA14" s="167"/>
      <c r="BB14" s="167"/>
      <c r="BC14" s="230">
        <f>VLOOKUP(BC11,市町村データ!A2:AX48,MATCH(手順書_全国_人口!$F$66, 市町村データ!A1:AX1, 0),FALSE)</f>
        <v>12583.96</v>
      </c>
      <c r="BD14" s="96"/>
      <c r="BE14" s="96"/>
      <c r="BF14" s="97"/>
      <c r="BG14" s="226">
        <f>VLOOKUP(BG11,市町村データ!A2:AX48,MATCH(手順書_全国_人口!$F$66, 市町村データ!A1:AX1, 0),FALSE)</f>
        <v>9323.15</v>
      </c>
      <c r="BH14" s="96"/>
      <c r="BI14" s="96"/>
      <c r="BJ14" s="97"/>
      <c r="BK14" s="220">
        <f>VLOOKUP(BK11,市町村データ!A2:AX48,MATCH(手順書_全国_人口!$F$66, 市町村データ!A1:AX1, 0),FALSE)</f>
        <v>11637.52</v>
      </c>
      <c r="BL14" s="96"/>
      <c r="BM14" s="96"/>
      <c r="BN14" s="97"/>
      <c r="BO14" s="226">
        <f>VLOOKUP(BO11,市町村データ!A2:AX48,MATCH(手順書_全国_人口!$F$66, 市町村データ!A1:AX1, 0),FALSE)</f>
        <v>9645.64</v>
      </c>
      <c r="BP14" s="96"/>
      <c r="BQ14" s="96"/>
      <c r="BR14" s="97"/>
      <c r="BS14" s="171"/>
      <c r="BT14" s="167"/>
      <c r="BU14" s="203">
        <v>1250000</v>
      </c>
      <c r="BV14" s="186"/>
      <c r="BW14" s="186"/>
      <c r="BX14" s="209"/>
      <c r="BY14" s="205"/>
      <c r="BZ14" s="174"/>
      <c r="CA14" s="167"/>
      <c r="CB14" s="166"/>
    </row>
    <row r="15" spans="1:80" ht="21.15" customHeight="1" x14ac:dyDescent="0.55000000000000004">
      <c r="A15" s="166"/>
      <c r="B15" s="167"/>
      <c r="C15" s="168" t="s">
        <v>110</v>
      </c>
      <c r="D15" s="167"/>
      <c r="E15" s="167"/>
      <c r="F15" s="167"/>
      <c r="G15" s="167"/>
      <c r="H15" s="167"/>
      <c r="I15" s="167"/>
      <c r="J15" s="167"/>
      <c r="K15" s="167"/>
      <c r="L15" s="167"/>
      <c r="M15" s="167"/>
      <c r="N15" s="167"/>
      <c r="O15" s="167"/>
      <c r="P15" s="167"/>
      <c r="Q15" s="167"/>
      <c r="R15" s="167"/>
      <c r="S15" s="169">
        <v>35</v>
      </c>
      <c r="T15" s="170" t="str">
        <f>VLOOKUP(S15,市町村データ!A2:AX48,MATCH(手順書_全国_人口!$G$63, 市町村データ!A1:AX1, 0),FALSE)</f>
        <v>島根</v>
      </c>
      <c r="U15" s="98"/>
      <c r="V15" s="99"/>
      <c r="W15" s="169">
        <v>31</v>
      </c>
      <c r="X15" s="170" t="str">
        <f>VLOOKUP(W15,市町村データ!A2:AX48,MATCH(手順書_全国_人口!$G$63, 市町村データ!A1:AX1, 0),FALSE)</f>
        <v>鳥取</v>
      </c>
      <c r="Y15" s="98"/>
      <c r="Z15" s="99"/>
      <c r="AA15" s="171"/>
      <c r="AB15" s="167"/>
      <c r="AC15" s="167"/>
      <c r="AD15" s="167"/>
      <c r="AE15" s="169">
        <v>27</v>
      </c>
      <c r="AF15" s="170" t="str">
        <f>VLOOKUP(AE15,市町村データ!A2:AX48,MATCH(手順書_全国_人口!$G$63, 市町村データ!A1:AX1, 0),FALSE)</f>
        <v>京都</v>
      </c>
      <c r="AG15" s="98"/>
      <c r="AH15" s="99"/>
      <c r="AI15" s="169">
        <v>25</v>
      </c>
      <c r="AJ15" s="170" t="str">
        <f>VLOOKUP(AI15,市町村データ!A2:AX48,MATCH(手順書_全国_人口!$G$63, 市町村データ!A1:AX1, 0),FALSE)</f>
        <v>福井</v>
      </c>
      <c r="AK15" s="98"/>
      <c r="AL15" s="99"/>
      <c r="AM15" s="169">
        <v>22</v>
      </c>
      <c r="AN15" s="170" t="str">
        <f>VLOOKUP(AM15,市町村データ!A2:AX48,MATCH(手順書_全国_人口!$G$63, 市町村データ!A1:AX1, 0),FALSE)</f>
        <v>石川</v>
      </c>
      <c r="AO15" s="98"/>
      <c r="AP15" s="99"/>
      <c r="AQ15" s="169">
        <v>19</v>
      </c>
      <c r="AR15" s="170" t="str">
        <f>VLOOKUP(AQ15,市町村データ!A2:AX48,MATCH(手順書_全国_人口!$G$63, 市町村データ!A1:AX1, 0),FALSE)</f>
        <v>富山</v>
      </c>
      <c r="AS15" s="98"/>
      <c r="AT15" s="99"/>
      <c r="AU15" s="171"/>
      <c r="AV15" s="167"/>
      <c r="AW15" s="167"/>
      <c r="AX15" s="167"/>
      <c r="AY15" s="167"/>
      <c r="AZ15" s="167"/>
      <c r="BA15" s="167"/>
      <c r="BB15" s="167"/>
      <c r="BC15" s="169">
        <v>12</v>
      </c>
      <c r="BD15" s="170" t="str">
        <f>VLOOKUP(BC15,市町村データ!A2:AX48,MATCH(手順書_全国_人口!$G$63, 市町村データ!A1:AX1, 0),FALSE)</f>
        <v>群馬</v>
      </c>
      <c r="BE15" s="98"/>
      <c r="BF15" s="99"/>
      <c r="BG15" s="169">
        <v>8</v>
      </c>
      <c r="BH15" s="170" t="str">
        <f>VLOOKUP(BG15,市町村データ!A2:AX48,MATCH(手順書_全国_人口!$G$63, 市町村データ!A1:AX1, 0),FALSE)</f>
        <v>福島</v>
      </c>
      <c r="BI15" s="98"/>
      <c r="BJ15" s="99"/>
      <c r="BK15" s="169">
        <v>5</v>
      </c>
      <c r="BL15" s="170" t="str">
        <f>VLOOKUP(BK15,市町村データ!A2:AX48,MATCH(手順書_全国_人口!$G$63, 市町村データ!A1:AX1, 0),FALSE)</f>
        <v>宮城</v>
      </c>
      <c r="BM15" s="98"/>
      <c r="BN15" s="99"/>
      <c r="BO15" s="169">
        <v>3</v>
      </c>
      <c r="BP15" s="170" t="str">
        <f>VLOOKUP(BO15,市町村データ!A2:AX48,MATCH(手順書_全国_人口!$G$63, 市町村データ!A1:AX1, 0),FALSE)</f>
        <v>岩手</v>
      </c>
      <c r="BQ15" s="98"/>
      <c r="BR15" s="99"/>
      <c r="BS15" s="171"/>
      <c r="BT15" s="167"/>
      <c r="BU15" s="203">
        <v>1000000</v>
      </c>
      <c r="BV15" s="186"/>
      <c r="BW15" s="186"/>
      <c r="BX15" s="210"/>
      <c r="BY15" s="205"/>
      <c r="BZ15" s="174"/>
      <c r="CA15" s="167"/>
      <c r="CB15" s="166"/>
    </row>
    <row r="16" spans="1:80" ht="21.15" customHeight="1" x14ac:dyDescent="0.55000000000000004">
      <c r="A16" s="166"/>
      <c r="B16" s="167"/>
      <c r="C16" s="167"/>
      <c r="D16" s="167"/>
      <c r="E16" s="167"/>
      <c r="F16" s="167"/>
      <c r="G16" s="167"/>
      <c r="H16" s="167"/>
      <c r="I16" s="167"/>
      <c r="J16" s="167"/>
      <c r="K16" s="167"/>
      <c r="L16" s="167"/>
      <c r="M16" s="167"/>
      <c r="N16" s="167"/>
      <c r="O16" s="167"/>
      <c r="P16" s="167"/>
      <c r="Q16" s="167"/>
      <c r="R16" s="167"/>
      <c r="S16" s="139">
        <f>VLOOKUP(S15,市町村データ!A2:AX48,MATCH(手順書_全国_人口!$F$64, 市町村データ!A1:AX1, 0),FALSE)</f>
        <v>100.1</v>
      </c>
      <c r="T16" s="197"/>
      <c r="U16" s="197"/>
      <c r="V16" s="100"/>
      <c r="W16" s="139">
        <f>VLOOKUP(W15,市町村データ!A2:AX48,MATCH(手順書_全国_人口!$F$64, 市町村データ!A1:AX1, 0),FALSE)</f>
        <v>157.80000000000001</v>
      </c>
      <c r="X16" s="197"/>
      <c r="Y16" s="197"/>
      <c r="Z16" s="100"/>
      <c r="AA16" s="171"/>
      <c r="AB16" s="167"/>
      <c r="AC16" s="167"/>
      <c r="AD16" s="167"/>
      <c r="AE16" s="153">
        <f>VLOOKUP(AE15,市町村データ!A2:AX48,MATCH(手順書_全国_人口!$F$64, 市町村データ!A1:AX1, 0),FALSE)</f>
        <v>559</v>
      </c>
      <c r="AF16" s="197"/>
      <c r="AG16" s="197"/>
      <c r="AH16" s="100"/>
      <c r="AI16" s="160">
        <f>VLOOKUP(AI15,市町村データ!A2:AX48,MATCH(手順書_全国_人口!$F$64, 市町村データ!A1:AX1, 0),FALSE)</f>
        <v>183</v>
      </c>
      <c r="AJ16" s="197"/>
      <c r="AK16" s="197"/>
      <c r="AL16" s="100"/>
      <c r="AM16" s="158">
        <f>VLOOKUP(AM15,市町村データ!A2:AX48,MATCH(手順書_全国_人口!$F$64, 市町村データ!A1:AX1, 0),FALSE)</f>
        <v>270.5</v>
      </c>
      <c r="AN16" s="197"/>
      <c r="AO16" s="197"/>
      <c r="AP16" s="100"/>
      <c r="AQ16" s="158">
        <f>VLOOKUP(AQ15,市町村データ!A2:AX48,MATCH(手順書_全国_人口!$F$64, 市町村データ!A1:AX1, 0),FALSE)</f>
        <v>243.6</v>
      </c>
      <c r="AR16" s="197"/>
      <c r="AS16" s="197"/>
      <c r="AT16" s="100"/>
      <c r="AU16" s="171"/>
      <c r="AV16" s="167"/>
      <c r="AW16" s="167"/>
      <c r="AX16" s="167"/>
      <c r="AY16" s="167"/>
      <c r="AZ16" s="167"/>
      <c r="BA16" s="167"/>
      <c r="BB16" s="167"/>
      <c r="BC16" s="141">
        <f>VLOOKUP(BC15,市町村データ!A2:AX48,MATCH(手順書_全国_人口!$F$64, 市町村データ!A1:AX1, 0),FALSE)</f>
        <v>304.8</v>
      </c>
      <c r="BD16" s="197"/>
      <c r="BE16" s="197"/>
      <c r="BF16" s="100"/>
      <c r="BG16" s="141">
        <f>VLOOKUP(BG15,市町村データ!A2:AX48,MATCH(手順書_全国_人口!$F$64, 市町村データ!A1:AX1, 0),FALSE)</f>
        <v>133</v>
      </c>
      <c r="BH16" s="197"/>
      <c r="BI16" s="197"/>
      <c r="BJ16" s="100"/>
      <c r="BK16" s="141">
        <f>VLOOKUP(BK15,市町村データ!A2:AX48,MATCH(手順書_全国_人口!$F$64, 市町村データ!A1:AX1, 0),FALSE)</f>
        <v>316.10000000000002</v>
      </c>
      <c r="BL16" s="197"/>
      <c r="BM16" s="197"/>
      <c r="BN16" s="100"/>
      <c r="BO16" s="158">
        <f>VLOOKUP(BO15,市町村データ!A2:AX48,MATCH(手順書_全国_人口!$F$64, 市町村データ!A1:AX1, 0),FALSE)</f>
        <v>79.2</v>
      </c>
      <c r="BP16" s="197"/>
      <c r="BQ16" s="197"/>
      <c r="BR16" s="100"/>
      <c r="BS16" s="171"/>
      <c r="BT16" s="167"/>
      <c r="BU16" s="203">
        <v>750000</v>
      </c>
      <c r="BV16" s="186"/>
      <c r="BW16" s="186"/>
      <c r="BX16" s="211"/>
      <c r="BY16" s="205"/>
      <c r="BZ16" s="174"/>
      <c r="CA16" s="167"/>
      <c r="CB16" s="166"/>
    </row>
    <row r="17" spans="1:80" ht="21.15" customHeight="1" x14ac:dyDescent="0.55000000000000004">
      <c r="A17" s="166"/>
      <c r="B17" s="167"/>
      <c r="C17" s="167"/>
      <c r="D17" s="167"/>
      <c r="E17" s="167"/>
      <c r="F17" s="167"/>
      <c r="G17" s="167"/>
      <c r="H17" s="167"/>
      <c r="I17" s="167"/>
      <c r="J17" s="167"/>
      <c r="K17" s="167"/>
      <c r="L17" s="167"/>
      <c r="M17" s="167"/>
      <c r="N17" s="167"/>
      <c r="O17" s="167"/>
      <c r="P17" s="167"/>
      <c r="Q17" s="167"/>
      <c r="R17" s="167"/>
      <c r="S17" s="138">
        <f>VLOOKUP(S15,市町村データ!A2:AX48,MATCH(手順書_全国_人口!$F$65, 市町村データ!A1:AX1, 0),FALSE)</f>
        <v>671126</v>
      </c>
      <c r="T17" s="197"/>
      <c r="U17" s="197"/>
      <c r="V17" s="100"/>
      <c r="W17" s="138">
        <f>VLOOKUP(W15,市町村データ!A2:AX48,MATCH(手順書_全国_人口!$F$65, 市町村データ!A1:AX1, 0),FALSE)</f>
        <v>553407</v>
      </c>
      <c r="X17" s="197"/>
      <c r="Y17" s="197"/>
      <c r="Z17" s="100"/>
      <c r="AA17" s="171"/>
      <c r="AB17" s="167"/>
      <c r="AC17" s="167"/>
      <c r="AD17" s="167"/>
      <c r="AE17" s="155">
        <f>VLOOKUP(AE15,市町村データ!A2:AX48,MATCH(手順書_全国_人口!$F$65, 市町村データ!A1:AX1, 0),FALSE)</f>
        <v>2578087</v>
      </c>
      <c r="AF17" s="197"/>
      <c r="AG17" s="197"/>
      <c r="AH17" s="100"/>
      <c r="AI17" s="159">
        <f>VLOOKUP(AI15,市町村データ!A2:AX48,MATCH(手順書_全国_人口!$F$65, 市町村データ!A1:AX1, 0),FALSE)</f>
        <v>766863</v>
      </c>
      <c r="AJ17" s="197"/>
      <c r="AK17" s="197"/>
      <c r="AL17" s="100"/>
      <c r="AM17" s="157">
        <f>VLOOKUP(AM15,市町村データ!A2:AX48,MATCH(手順書_全国_人口!$F$65, 市町村データ!A1:AX1, 0),FALSE)</f>
        <v>1132526</v>
      </c>
      <c r="AN17" s="197"/>
      <c r="AO17" s="197"/>
      <c r="AP17" s="100"/>
      <c r="AQ17" s="157">
        <f>VLOOKUP(AQ15,市町村データ!A2:AX48,MATCH(手順書_全国_人口!$F$65, 市町村データ!A1:AX1, 0),FALSE)</f>
        <v>1034814</v>
      </c>
      <c r="AR17" s="197"/>
      <c r="AS17" s="197"/>
      <c r="AT17" s="100"/>
      <c r="AU17" s="171"/>
      <c r="AV17" s="167"/>
      <c r="AW17" s="167"/>
      <c r="AX17" s="167"/>
      <c r="AY17" s="167"/>
      <c r="AZ17" s="167"/>
      <c r="BA17" s="167"/>
      <c r="BB17" s="167"/>
      <c r="BC17" s="143">
        <f>VLOOKUP(BC15,市町村データ!A2:AX48,MATCH(手順書_全国_人口!$F$65, 市町村データ!A1:AX1, 0),FALSE)</f>
        <v>1939110</v>
      </c>
      <c r="BD17" s="197"/>
      <c r="BE17" s="197"/>
      <c r="BF17" s="100"/>
      <c r="BG17" s="143">
        <f>VLOOKUP(BG15,市町村データ!A2:AX48,MATCH(手順書_全国_人口!$F$65, 市町村データ!A1:AX1, 0),FALSE)</f>
        <v>1833152</v>
      </c>
      <c r="BH17" s="197"/>
      <c r="BI17" s="197"/>
      <c r="BJ17" s="100"/>
      <c r="BK17" s="143">
        <f>VLOOKUP(BK15,市町村データ!A2:AX48,MATCH(手順書_全国_人口!$F$65, 市町村データ!A1:AX1, 0),FALSE)</f>
        <v>2301996</v>
      </c>
      <c r="BL17" s="197"/>
      <c r="BM17" s="197"/>
      <c r="BN17" s="100"/>
      <c r="BO17" s="157">
        <f>VLOOKUP(BO15,市町村データ!A2:AX48,MATCH(手順書_全国_人口!$F$65, 市町村データ!A1:AX1, 0),FALSE)</f>
        <v>1210534</v>
      </c>
      <c r="BP17" s="197"/>
      <c r="BQ17" s="197"/>
      <c r="BR17" s="100"/>
      <c r="BS17" s="171"/>
      <c r="BT17" s="167"/>
      <c r="BU17" s="203">
        <v>500000</v>
      </c>
      <c r="BV17" s="186"/>
      <c r="BW17" s="186"/>
      <c r="BX17" s="212"/>
      <c r="BY17" s="205"/>
      <c r="BZ17" s="167"/>
      <c r="CA17" s="167"/>
      <c r="CB17" s="166"/>
    </row>
    <row r="18" spans="1:80" ht="21.15" customHeight="1" thickBot="1" x14ac:dyDescent="0.6">
      <c r="A18" s="166"/>
      <c r="B18" s="167"/>
      <c r="C18" s="167"/>
      <c r="D18" s="167"/>
      <c r="E18" s="167"/>
      <c r="F18" s="167"/>
      <c r="G18" s="167"/>
      <c r="H18" s="167"/>
      <c r="I18" s="167"/>
      <c r="J18" s="167"/>
      <c r="K18" s="167"/>
      <c r="L18" s="167"/>
      <c r="M18" s="167"/>
      <c r="N18" s="167"/>
      <c r="O18" s="167"/>
      <c r="P18" s="167"/>
      <c r="Q18" s="167"/>
      <c r="R18" s="167"/>
      <c r="S18" s="219">
        <f>VLOOKUP(S15,市町村データ!A2:AX48,MATCH(手順書_全国_人口!$F$66, 市町村データ!A1:AX1, 0),FALSE)</f>
        <v>6707.89</v>
      </c>
      <c r="T18" s="96"/>
      <c r="U18" s="96"/>
      <c r="V18" s="97"/>
      <c r="W18" s="219">
        <f>VLOOKUP(W15,市町村データ!A2:AX48,MATCH(手順書_全国_人口!$F$66, 市町村データ!A1:AX1, 0),FALSE)</f>
        <v>3507.14</v>
      </c>
      <c r="X18" s="96"/>
      <c r="Y18" s="96"/>
      <c r="Z18" s="97"/>
      <c r="AA18" s="171"/>
      <c r="AB18" s="167"/>
      <c r="AC18" s="167"/>
      <c r="AD18" s="167"/>
      <c r="AE18" s="223">
        <f>VLOOKUP(AE15,市町村データ!A2:AX48,MATCH(手順書_全国_人口!$F$66, 市町村データ!A1:AX1, 0),FALSE)</f>
        <v>4612.2</v>
      </c>
      <c r="AF18" s="96"/>
      <c r="AG18" s="96"/>
      <c r="AH18" s="97"/>
      <c r="AI18" s="220">
        <f>VLOOKUP(AI15,市町村データ!A2:AX48,MATCH(手順書_全国_人口!$F$66, 市町村データ!A1:AX1, 0),FALSE)</f>
        <v>4190.5200000000004</v>
      </c>
      <c r="AJ18" s="96"/>
      <c r="AK18" s="96"/>
      <c r="AL18" s="97"/>
      <c r="AM18" s="226">
        <f>VLOOKUP(AM15,市町村データ!A2:AX48,MATCH(手順書_全国_人口!$F$66, 市町村データ!A1:AX1, 0),FALSE)</f>
        <v>4186.21</v>
      </c>
      <c r="AN18" s="96"/>
      <c r="AO18" s="96"/>
      <c r="AP18" s="97"/>
      <c r="AQ18" s="226">
        <f>VLOOKUP(AQ15,市町村データ!A2:AX48,MATCH(手順書_全国_人口!$F$66, 市町村データ!A1:AX1, 0),FALSE)</f>
        <v>4247.58</v>
      </c>
      <c r="AR18" s="96"/>
      <c r="AS18" s="96"/>
      <c r="AT18" s="97"/>
      <c r="AU18" s="171"/>
      <c r="AV18" s="167"/>
      <c r="AW18" s="167"/>
      <c r="AX18" s="167"/>
      <c r="AY18" s="167"/>
      <c r="AZ18" s="167"/>
      <c r="BA18" s="167"/>
      <c r="BB18" s="167"/>
      <c r="BC18" s="230">
        <f>VLOOKUP(BC15,市町村データ!A2:AX48,MATCH(手順書_全国_人口!$F$66, 市町村データ!A1:AX1, 0),FALSE)</f>
        <v>6362.28</v>
      </c>
      <c r="BD18" s="96"/>
      <c r="BE18" s="96"/>
      <c r="BF18" s="97"/>
      <c r="BG18" s="230">
        <f>VLOOKUP(BG15,市町村データ!A2:AX48,MATCH(手順書_全国_人口!$F$66, 市町村データ!A1:AX1, 0),FALSE)</f>
        <v>13784.14</v>
      </c>
      <c r="BH18" s="96"/>
      <c r="BI18" s="96"/>
      <c r="BJ18" s="97"/>
      <c r="BK18" s="230">
        <f>VLOOKUP(BK15,市町村データ!A2:AX48,MATCH(手順書_全国_人口!$F$66, 市町村データ!A1:AX1, 0),FALSE)</f>
        <v>7282.29</v>
      </c>
      <c r="BL18" s="96"/>
      <c r="BM18" s="96"/>
      <c r="BN18" s="97"/>
      <c r="BO18" s="226">
        <f>VLOOKUP(BO15,市町村データ!A2:AX48,MATCH(手順書_全国_人口!$F$66, 市町村データ!A1:AX1, 0),FALSE)</f>
        <v>15275.01</v>
      </c>
      <c r="BP18" s="96"/>
      <c r="BQ18" s="96"/>
      <c r="BR18" s="97"/>
      <c r="BS18" s="171"/>
      <c r="BT18" s="167"/>
      <c r="BU18" s="203">
        <v>250000</v>
      </c>
      <c r="BV18" s="186"/>
      <c r="BW18" s="186"/>
      <c r="BX18" s="213"/>
      <c r="BY18" s="205"/>
      <c r="BZ18" s="167"/>
      <c r="CA18" s="167"/>
      <c r="CB18" s="166"/>
    </row>
    <row r="19" spans="1:80" ht="21.15" customHeight="1" x14ac:dyDescent="0.55000000000000004">
      <c r="A19" s="166"/>
      <c r="B19" s="167"/>
      <c r="C19" s="168" t="s">
        <v>64</v>
      </c>
      <c r="D19" s="167"/>
      <c r="E19" s="167"/>
      <c r="F19" s="167"/>
      <c r="G19" s="169">
        <v>44</v>
      </c>
      <c r="H19" s="170" t="str">
        <f>VLOOKUP(G19,市町村データ!A2:AX48,MATCH(手順書_全国_人口!$G$63, 市町村データ!A1:AX1, 0),FALSE)</f>
        <v>佐賀</v>
      </c>
      <c r="I19" s="98"/>
      <c r="J19" s="99"/>
      <c r="K19" s="169">
        <v>40</v>
      </c>
      <c r="L19" s="170" t="str">
        <f>VLOOKUP(K19,市町村データ!A2:AX48,MATCH(手順書_全国_人口!$G$63, 市町村データ!A1:AX1, 0),FALSE)</f>
        <v>福岡</v>
      </c>
      <c r="M19" s="98"/>
      <c r="N19" s="99"/>
      <c r="O19" s="169">
        <v>39</v>
      </c>
      <c r="P19" s="170" t="str">
        <f>VLOOKUP(O19,市町村データ!A2:AX48,MATCH(手順書_全国_人口!$G$63, 市町村データ!A1:AX1, 0),FALSE)</f>
        <v>山口</v>
      </c>
      <c r="Q19" s="98"/>
      <c r="R19" s="99"/>
      <c r="S19" s="169">
        <v>36</v>
      </c>
      <c r="T19" s="170" t="str">
        <f>VLOOKUP(S19,市町村データ!A2:AX48,MATCH(手順書_全国_人口!$G$63, 市町村データ!A1:AX1, 0),FALSE)</f>
        <v>広島</v>
      </c>
      <c r="U19" s="98"/>
      <c r="V19" s="99"/>
      <c r="W19" s="169">
        <v>32</v>
      </c>
      <c r="X19" s="170" t="str">
        <f>VLOOKUP(W19,市町村データ!A2:AX48,MATCH(手順書_全国_人口!$G$63, 市町村データ!A1:AX1, 0),FALSE)</f>
        <v>岡山</v>
      </c>
      <c r="Y19" s="98"/>
      <c r="Z19" s="99"/>
      <c r="AA19" s="169">
        <v>30</v>
      </c>
      <c r="AB19" s="170" t="str">
        <f>VLOOKUP(AA19,市町村データ!A2:AX48,MATCH(手順書_全国_人口!$G$63, 市町村データ!A1:AX1, 0),FALSE)</f>
        <v>兵庫</v>
      </c>
      <c r="AC19" s="98"/>
      <c r="AD19" s="99"/>
      <c r="AE19" s="169">
        <v>28</v>
      </c>
      <c r="AF19" s="170" t="str">
        <f>VLOOKUP(AE19,市町村データ!A2:AX48,MATCH(手順書_全国_人口!$G$63, 市町村データ!A1:AX1, 0),FALSE)</f>
        <v>大阪</v>
      </c>
      <c r="AG19" s="98"/>
      <c r="AH19" s="99"/>
      <c r="AI19" s="169">
        <v>26</v>
      </c>
      <c r="AJ19" s="170" t="str">
        <f>VLOOKUP(AI19,市町村データ!A2:AX48,MATCH(手順書_全国_人口!$G$63, 市町村データ!A1:AX1, 0),FALSE)</f>
        <v>奈良</v>
      </c>
      <c r="AK19" s="98"/>
      <c r="AL19" s="99"/>
      <c r="AM19" s="169">
        <v>23</v>
      </c>
      <c r="AN19" s="170" t="str">
        <f>VLOOKUP(AM19,市町村データ!A2:AX48,MATCH(手順書_全国_人口!$G$63, 市町村データ!A1:AX1, 0),FALSE)</f>
        <v>滋賀</v>
      </c>
      <c r="AO19" s="98"/>
      <c r="AP19" s="99"/>
      <c r="AQ19" s="169">
        <v>20</v>
      </c>
      <c r="AR19" s="170" t="str">
        <f>VLOOKUP(AQ19,市町村データ!A2:AX48,MATCH(手順書_全国_人口!$G$63, 市町村データ!A1:AX1, 0),FALSE)</f>
        <v>岐阜</v>
      </c>
      <c r="AS19" s="98"/>
      <c r="AT19" s="99"/>
      <c r="AU19" s="169">
        <v>17</v>
      </c>
      <c r="AV19" s="170" t="str">
        <f>VLOOKUP(AU19,市町村データ!A2:AX48,MATCH(手順書_全国_人口!$G$63, 市町村データ!A1:AX1, 0),FALSE)</f>
        <v>長野</v>
      </c>
      <c r="AW19" s="98"/>
      <c r="AX19" s="99"/>
      <c r="AY19" s="169">
        <v>15</v>
      </c>
      <c r="AZ19" s="170" t="str">
        <f>VLOOKUP(AY19,市町村データ!A2:AX48,MATCH(手順書_全国_人口!$G$63, 市町村データ!A1:AX1, 0),FALSE)</f>
        <v>山梨</v>
      </c>
      <c r="BA19" s="98"/>
      <c r="BB19" s="99"/>
      <c r="BC19" s="169">
        <v>13</v>
      </c>
      <c r="BD19" s="170" t="str">
        <f>VLOOKUP(BC19,市町村データ!A2:AX48,MATCH(手順書_全国_人口!$G$63, 市町村データ!A1:AX1, 0),FALSE)</f>
        <v>埼玉</v>
      </c>
      <c r="BE19" s="98"/>
      <c r="BF19" s="99"/>
      <c r="BG19" s="169">
        <v>9</v>
      </c>
      <c r="BH19" s="170" t="str">
        <f>VLOOKUP(BG19,市町村データ!A2:AX48,MATCH(手順書_全国_人口!$G$63, 市町村データ!A1:AX1, 0),FALSE)</f>
        <v>栃木</v>
      </c>
      <c r="BI19" s="98"/>
      <c r="BJ19" s="99"/>
      <c r="BK19" s="169">
        <v>6</v>
      </c>
      <c r="BL19" s="170" t="str">
        <f>VLOOKUP(BK19,市町村データ!A2:AX48,MATCH(手順書_全国_人口!$G$63, 市町村データ!A1:AX1, 0),FALSE)</f>
        <v>茨城</v>
      </c>
      <c r="BM19" s="98"/>
      <c r="BN19" s="99"/>
      <c r="BO19" s="176"/>
      <c r="BP19" s="177"/>
      <c r="BQ19" s="177"/>
      <c r="BR19" s="177"/>
      <c r="BS19" s="167"/>
      <c r="BT19" s="167"/>
      <c r="BU19" s="203">
        <v>125000</v>
      </c>
      <c r="BV19" s="186"/>
      <c r="BW19" s="186"/>
      <c r="BX19" s="214"/>
      <c r="BY19" s="205"/>
      <c r="BZ19" s="167"/>
      <c r="CA19" s="167"/>
      <c r="CB19" s="166"/>
    </row>
    <row r="20" spans="1:80" ht="21.15" customHeight="1" thickBot="1" x14ac:dyDescent="0.6">
      <c r="A20" s="166"/>
      <c r="B20" s="167"/>
      <c r="C20" s="167"/>
      <c r="D20" s="167"/>
      <c r="E20" s="167"/>
      <c r="F20" s="167"/>
      <c r="G20" s="160">
        <f>VLOOKUP(G19,市町村データ!A2:AX48,MATCH(手順書_全国_人口!$F$64, 市町村データ!A1:AX1, 0),FALSE)</f>
        <v>332.5</v>
      </c>
      <c r="H20" s="197"/>
      <c r="I20" s="197"/>
      <c r="J20" s="100"/>
      <c r="K20" s="156">
        <f>VLOOKUP(K19,市町村データ!A2:AX48,MATCH(手順書_全国_人口!$F$64, 市町村データ!A1:AX1, 0),FALSE)</f>
        <v>1029.8</v>
      </c>
      <c r="L20" s="197"/>
      <c r="M20" s="197"/>
      <c r="N20" s="100"/>
      <c r="O20" s="141">
        <f>VLOOKUP(O19,市町村データ!A2:AX48,MATCH(手順書_全国_人口!$F$64, 市町村データ!A1:AX1, 0),FALSE)</f>
        <v>219.6</v>
      </c>
      <c r="P20" s="197"/>
      <c r="Q20" s="197"/>
      <c r="R20" s="100"/>
      <c r="S20" s="153">
        <f>VLOOKUP(S19,市町村データ!A2:AX48,MATCH(手順書_全国_人口!$F$64, 市町村データ!A1:AX1, 0),FALSE)</f>
        <v>330.2</v>
      </c>
      <c r="T20" s="197"/>
      <c r="U20" s="197"/>
      <c r="V20" s="100"/>
      <c r="W20" s="141">
        <f>VLOOKUP(W19,市町村データ!A2:AX48,MATCH(手順書_全国_人口!$F$64, 市町村データ!A1:AX1, 0),FALSE)</f>
        <v>265.39999999999998</v>
      </c>
      <c r="X20" s="197"/>
      <c r="Y20" s="197"/>
      <c r="Z20" s="100"/>
      <c r="AA20" s="156">
        <f>VLOOKUP(AA19,市町村データ!A2:AX48,MATCH(手順書_全国_人口!$F$64, 市町村データ!A1:AX1, 0),FALSE)</f>
        <v>650.5</v>
      </c>
      <c r="AB20" s="197"/>
      <c r="AC20" s="197"/>
      <c r="AD20" s="100"/>
      <c r="AE20" s="137">
        <f>VLOOKUP(AE19,市町村データ!A2:AX48,MATCH(手順書_全国_人口!$F$64, 市町村データ!A1:AX1, 0),FALSE)</f>
        <v>4638.3999999999996</v>
      </c>
      <c r="AF20" s="197"/>
      <c r="AG20" s="197"/>
      <c r="AH20" s="100"/>
      <c r="AI20" s="141">
        <f>VLOOKUP(AI19,市町村データ!A2:AX48,MATCH(手順書_全国_人口!$F$64, 市町村データ!A1:AX1, 0),FALSE)</f>
        <v>358.8</v>
      </c>
      <c r="AJ20" s="197"/>
      <c r="AK20" s="197"/>
      <c r="AL20" s="100"/>
      <c r="AM20" s="141">
        <f>VLOOKUP(AM19,市町村データ!A2:AX48,MATCH(手順書_全国_人口!$F$64, 市町村データ!A1:AX1, 0),FALSE)</f>
        <v>351.9</v>
      </c>
      <c r="AN20" s="197"/>
      <c r="AO20" s="197"/>
      <c r="AP20" s="100"/>
      <c r="AQ20" s="141">
        <f>VLOOKUP(AQ19,市町村データ!A2:AX48,MATCH(手順書_全国_人口!$F$64, 市町村データ!A1:AX1, 0),FALSE)</f>
        <v>186.3</v>
      </c>
      <c r="AR20" s="197"/>
      <c r="AS20" s="197"/>
      <c r="AT20" s="100"/>
      <c r="AU20" s="141">
        <f>VLOOKUP(AU19,市町村データ!A2:AX48,MATCH(手順書_全国_人口!$F$64, 市町村データ!A1:AX1, 0),FALSE)</f>
        <v>151</v>
      </c>
      <c r="AV20" s="197"/>
      <c r="AW20" s="197"/>
      <c r="AX20" s="100"/>
      <c r="AY20" s="160">
        <f>VLOOKUP(AY19,市町村データ!A2:AX48,MATCH(手順書_全国_人口!$F$64, 市町村データ!A1:AX1, 0),FALSE)</f>
        <v>181.4</v>
      </c>
      <c r="AZ20" s="197"/>
      <c r="BA20" s="197"/>
      <c r="BB20" s="100"/>
      <c r="BC20" s="156">
        <f>VLOOKUP(BC19,市町村データ!A2:AX48,MATCH(手順書_全国_人口!$F$64, 市町村データ!A1:AX1, 0),FALSE)</f>
        <v>1934</v>
      </c>
      <c r="BD20" s="197"/>
      <c r="BE20" s="197"/>
      <c r="BF20" s="100"/>
      <c r="BG20" s="141">
        <f>VLOOKUP(BG19,市町村データ!A2:AX48,MATCH(手順書_全国_人口!$F$64, 市町村データ!A1:AX1, 0),FALSE)</f>
        <v>301.7</v>
      </c>
      <c r="BH20" s="197"/>
      <c r="BI20" s="197"/>
      <c r="BJ20" s="100"/>
      <c r="BK20" s="153">
        <f>VLOOKUP(BK19,市町村データ!A2:AX48,MATCH(手順書_全国_人口!$F$64, 市町村データ!A1:AX1, 0),FALSE)</f>
        <v>470.2</v>
      </c>
      <c r="BL20" s="197"/>
      <c r="BM20" s="197"/>
      <c r="BN20" s="100"/>
      <c r="BO20" s="171"/>
      <c r="BP20" s="167"/>
      <c r="BQ20" s="167"/>
      <c r="BR20" s="167"/>
      <c r="BS20" s="167"/>
      <c r="BT20" s="167"/>
      <c r="BU20" s="215">
        <v>0</v>
      </c>
      <c r="BV20" s="192"/>
      <c r="BW20" s="192"/>
      <c r="BX20" s="216"/>
      <c r="BY20" s="217"/>
      <c r="BZ20" s="167"/>
      <c r="CA20" s="167"/>
      <c r="CB20" s="166"/>
    </row>
    <row r="21" spans="1:80" ht="21.15" customHeight="1" x14ac:dyDescent="0.55000000000000004">
      <c r="A21" s="166"/>
      <c r="B21" s="167"/>
      <c r="C21" s="167"/>
      <c r="D21" s="167"/>
      <c r="E21" s="167"/>
      <c r="F21" s="167"/>
      <c r="G21" s="159">
        <f>VLOOKUP(G19,市町村データ!A2:AX48,MATCH(手順書_全国_人口!$F$65, 市町村データ!A1:AX1, 0),FALSE)</f>
        <v>811442</v>
      </c>
      <c r="H21" s="197"/>
      <c r="I21" s="197"/>
      <c r="J21" s="100"/>
      <c r="K21" s="154">
        <f>VLOOKUP(K19,市町村データ!A2:AX48,MATCH(手順書_全国_人口!$F$65, 市町村データ!A1:AX1, 0),FALSE)</f>
        <v>5135214</v>
      </c>
      <c r="L21" s="197"/>
      <c r="M21" s="197"/>
      <c r="N21" s="100"/>
      <c r="O21" s="143">
        <f>VLOOKUP(O19,市町村データ!A2:AX48,MATCH(手順書_全国_人口!$F$65, 市町村データ!A1:AX1, 0),FALSE)</f>
        <v>1342059</v>
      </c>
      <c r="P21" s="197"/>
      <c r="Q21" s="197"/>
      <c r="R21" s="100"/>
      <c r="S21" s="155">
        <f>VLOOKUP(S19,市町村データ!A2:AX48,MATCH(手順書_全国_人口!$F$65, 市町村データ!A1:AX1, 0),FALSE)</f>
        <v>2799702</v>
      </c>
      <c r="T21" s="197"/>
      <c r="U21" s="197"/>
      <c r="V21" s="100"/>
      <c r="W21" s="143">
        <f>VLOOKUP(W19,市町村データ!A2:AX48,MATCH(手順書_全国_人口!$F$65, 市町村データ!A1:AX1, 0),FALSE)</f>
        <v>1888432</v>
      </c>
      <c r="X21" s="197"/>
      <c r="Y21" s="197"/>
      <c r="Z21" s="100"/>
      <c r="AA21" s="154">
        <f>VLOOKUP(AA19,市町村データ!A2:AX48,MATCH(手順書_全国_人口!$F$65, 市町村データ!A1:AX1, 0),FALSE)</f>
        <v>5465002</v>
      </c>
      <c r="AB21" s="197"/>
      <c r="AC21" s="197"/>
      <c r="AD21" s="100"/>
      <c r="AE21" s="135">
        <f>VLOOKUP(AE19,市町村データ!A2:AX48,MATCH(手順書_全国_人口!$F$65, 市町村データ!A1:AX1, 0),FALSE)</f>
        <v>8837685</v>
      </c>
      <c r="AF21" s="197"/>
      <c r="AG21" s="197"/>
      <c r="AH21" s="100"/>
      <c r="AI21" s="143">
        <f>VLOOKUP(AI19,市町村データ!A2:AX48,MATCH(手順書_全国_人口!$F$65, 市町村データ!A1:AX1, 0),FALSE)</f>
        <v>1324473</v>
      </c>
      <c r="AJ21" s="197"/>
      <c r="AK21" s="197"/>
      <c r="AL21" s="100"/>
      <c r="AM21" s="143">
        <f>VLOOKUP(AM19,市町村データ!A2:AX48,MATCH(手順書_全国_人口!$F$65, 市町村データ!A1:AX1, 0),FALSE)</f>
        <v>1413610</v>
      </c>
      <c r="AN21" s="197"/>
      <c r="AO21" s="197"/>
      <c r="AP21" s="100"/>
      <c r="AQ21" s="143">
        <f>VLOOKUP(AQ19,市町村データ!A2:AX48,MATCH(手順書_全国_人口!$F$65, 市町村データ!A1:AX1, 0),FALSE)</f>
        <v>1978742</v>
      </c>
      <c r="AR21" s="197"/>
      <c r="AS21" s="197"/>
      <c r="AT21" s="100"/>
      <c r="AU21" s="143">
        <f>VLOOKUP(AU19,市町村データ!A2:AX48,MATCH(手順書_全国_人口!$F$65, 市町村データ!A1:AX1, 0),FALSE)</f>
        <v>2048011</v>
      </c>
      <c r="AV21" s="197"/>
      <c r="AW21" s="197"/>
      <c r="AX21" s="100"/>
      <c r="AY21" s="159">
        <f>VLOOKUP(AY19,市町村データ!A2:AX48,MATCH(手順書_全国_人口!$F$65, 市町村データ!A1:AX1, 0),FALSE)</f>
        <v>809974</v>
      </c>
      <c r="AZ21" s="197"/>
      <c r="BA21" s="197"/>
      <c r="BB21" s="100"/>
      <c r="BC21" s="154">
        <f>VLOOKUP(BC19,市町村データ!A2:AX48,MATCH(手順書_全国_人口!$F$65, 市町村データ!A1:AX1, 0),FALSE)</f>
        <v>7344765</v>
      </c>
      <c r="BD21" s="197"/>
      <c r="BE21" s="197"/>
      <c r="BF21" s="100"/>
      <c r="BG21" s="143">
        <f>VLOOKUP(BG19,市町村データ!A2:AX48,MATCH(手順書_全国_人口!$F$65, 市町村データ!A1:AX1, 0),FALSE)</f>
        <v>1933146</v>
      </c>
      <c r="BH21" s="197"/>
      <c r="BI21" s="197"/>
      <c r="BJ21" s="100"/>
      <c r="BK21" s="155">
        <f>VLOOKUP(BK19,市町村データ!A2:AX48,MATCH(手順書_全国_人口!$F$65, 市町村データ!A1:AX1, 0),FALSE)</f>
        <v>2867009</v>
      </c>
      <c r="BL21" s="197"/>
      <c r="BM21" s="197"/>
      <c r="BN21" s="100"/>
      <c r="BO21" s="171"/>
      <c r="BP21" s="167"/>
      <c r="BQ21" s="167"/>
      <c r="BR21" s="167"/>
      <c r="BS21" s="167"/>
      <c r="BT21" s="167"/>
      <c r="BU21" s="167"/>
      <c r="BV21" s="167"/>
      <c r="BW21" s="167"/>
      <c r="BX21" s="174"/>
      <c r="BY21" s="175"/>
      <c r="BZ21" s="167"/>
      <c r="CA21" s="167"/>
      <c r="CB21" s="166"/>
    </row>
    <row r="22" spans="1:80" ht="21.15" customHeight="1" thickBot="1" x14ac:dyDescent="0.6">
      <c r="A22" s="166"/>
      <c r="B22" s="167"/>
      <c r="C22" s="167"/>
      <c r="D22" s="167"/>
      <c r="E22" s="167"/>
      <c r="F22" s="167"/>
      <c r="G22" s="220">
        <f>VLOOKUP(G19,市町村データ!A2:AX48,MATCH(手順書_全国_人口!$F$66, 市町村データ!A1:AX1, 0),FALSE)</f>
        <v>2440.69</v>
      </c>
      <c r="H22" s="96"/>
      <c r="I22" s="96"/>
      <c r="J22" s="97"/>
      <c r="K22" s="222">
        <f>VLOOKUP(K19,市町村データ!A2:AX48,MATCH(手順書_全国_人口!$F$66, 市町村データ!A1:AX1, 0),FALSE)</f>
        <v>4986.51</v>
      </c>
      <c r="L22" s="96"/>
      <c r="M22" s="96"/>
      <c r="N22" s="97"/>
      <c r="O22" s="230">
        <f>VLOOKUP(O19,市町村データ!A2:AX48,MATCH(手順書_全国_人口!$F$66, 市町村データ!A1:AX1, 0),FALSE)</f>
        <v>6112.54</v>
      </c>
      <c r="P22" s="96"/>
      <c r="Q22" s="96"/>
      <c r="R22" s="97"/>
      <c r="S22" s="223">
        <f>VLOOKUP(S19,市町村データ!A2:AX48,MATCH(手順書_全国_人口!$F$66, 市町村データ!A1:AX1, 0),FALSE)</f>
        <v>8479.65</v>
      </c>
      <c r="T22" s="96"/>
      <c r="U22" s="96"/>
      <c r="V22" s="97"/>
      <c r="W22" s="230">
        <f>VLOOKUP(W19,市町村データ!A2:AX48,MATCH(手順書_全国_人口!$F$66, 市町村データ!A1:AX1, 0),FALSE)</f>
        <v>7114.33</v>
      </c>
      <c r="X22" s="96"/>
      <c r="Y22" s="96"/>
      <c r="Z22" s="97"/>
      <c r="AA22" s="222">
        <f>VLOOKUP(AA19,市町村データ!A2:AX48,MATCH(手順書_全国_人口!$F$66, 市町村データ!A1:AX1, 0),FALSE)</f>
        <v>8401.02</v>
      </c>
      <c r="AB22" s="96"/>
      <c r="AC22" s="96"/>
      <c r="AD22" s="97"/>
      <c r="AE22" s="225">
        <f>VLOOKUP(AE19,市町村データ!A2:AX48,MATCH(手順書_全国_人口!$F$66, 市町村データ!A1:AX1, 0),FALSE)</f>
        <v>1905.32</v>
      </c>
      <c r="AF22" s="96"/>
      <c r="AG22" s="96"/>
      <c r="AH22" s="97"/>
      <c r="AI22" s="230">
        <f>VLOOKUP(AI19,市町村データ!A2:AX48,MATCH(手順書_全国_人口!$F$66, 市町村データ!A1:AX1, 0),FALSE)</f>
        <v>3690.94</v>
      </c>
      <c r="AJ22" s="96"/>
      <c r="AK22" s="96"/>
      <c r="AL22" s="97"/>
      <c r="AM22" s="230">
        <f>VLOOKUP(AM19,市町村データ!A2:AX48,MATCH(手順書_全国_人口!$F$66, 市町村データ!A1:AX1, 0),FALSE)</f>
        <v>4017.38</v>
      </c>
      <c r="AN22" s="96"/>
      <c r="AO22" s="96"/>
      <c r="AP22" s="97"/>
      <c r="AQ22" s="230">
        <f>VLOOKUP(AQ19,市町村データ!A2:AX48,MATCH(手順書_全国_人口!$F$66, 市町村データ!A1:AX1, 0),FALSE)</f>
        <v>10621.29</v>
      </c>
      <c r="AR22" s="96"/>
      <c r="AS22" s="96"/>
      <c r="AT22" s="97"/>
      <c r="AU22" s="230">
        <f>VLOOKUP(AU19,市町村データ!A2:AX48,MATCH(手順書_全国_人口!$F$66, 市町村データ!A1:AX1, 0),FALSE)</f>
        <v>13561.56</v>
      </c>
      <c r="AV22" s="96"/>
      <c r="AW22" s="96"/>
      <c r="AX22" s="97"/>
      <c r="AY22" s="220">
        <f>VLOOKUP(AY19,市町村データ!A2:AX48,MATCH(手順書_全国_人口!$F$66, 市町村データ!A1:AX1, 0),FALSE)</f>
        <v>4465.2700000000004</v>
      </c>
      <c r="AZ22" s="96"/>
      <c r="BA22" s="96"/>
      <c r="BB22" s="97"/>
      <c r="BC22" s="222">
        <f>VLOOKUP(BC19,市町村データ!A2:AX48,MATCH(手順書_全国_人口!$F$66, 市町村データ!A1:AX1, 0),FALSE)</f>
        <v>3797.75</v>
      </c>
      <c r="BD22" s="96"/>
      <c r="BE22" s="96"/>
      <c r="BF22" s="97"/>
      <c r="BG22" s="230">
        <f>VLOOKUP(BG19,市町村データ!A2:AX48,MATCH(手順書_全国_人口!$F$66, 市町村データ!A1:AX1, 0),FALSE)</f>
        <v>6408.09</v>
      </c>
      <c r="BH22" s="96"/>
      <c r="BI22" s="96"/>
      <c r="BJ22" s="97"/>
      <c r="BK22" s="223">
        <f>VLOOKUP(BK19,市町村データ!A2:AX48,MATCH(手順書_全国_人口!$F$66, 市町村データ!A1:AX1, 0),FALSE)</f>
        <v>6097.39</v>
      </c>
      <c r="BL22" s="96"/>
      <c r="BM22" s="96"/>
      <c r="BN22" s="97"/>
      <c r="BO22" s="171"/>
      <c r="BP22" s="167"/>
      <c r="BQ22" s="167"/>
      <c r="BR22" s="167"/>
      <c r="BS22" s="167"/>
      <c r="BT22" s="167"/>
      <c r="BU22" s="167"/>
      <c r="BV22" s="167"/>
      <c r="BW22" s="167"/>
      <c r="BX22" s="174"/>
      <c r="BY22" s="175"/>
      <c r="BZ22" s="167"/>
      <c r="CA22" s="167"/>
      <c r="CB22" s="166"/>
    </row>
    <row r="23" spans="1:80" ht="21.15" customHeight="1" x14ac:dyDescent="0.55000000000000004">
      <c r="A23" s="166"/>
      <c r="B23" s="167"/>
      <c r="C23" s="168" t="s">
        <v>65</v>
      </c>
      <c r="D23" s="167"/>
      <c r="E23" s="167"/>
      <c r="F23" s="167"/>
      <c r="G23" s="169">
        <v>45</v>
      </c>
      <c r="H23" s="170" t="str">
        <f>VLOOKUP(G23,市町村データ!A2:AX48,MATCH(手順書_全国_人口!$G$63, 市町村データ!A1:AX1, 0),FALSE)</f>
        <v>長崎</v>
      </c>
      <c r="I23" s="98"/>
      <c r="J23" s="99"/>
      <c r="K23" s="169">
        <v>41</v>
      </c>
      <c r="L23" s="170" t="str">
        <f>VLOOKUP(K23,市町村データ!A2:AX48,MATCH(手順書_全国_人口!$G$63, 市町村データ!A1:AX1, 0),FALSE)</f>
        <v>大分</v>
      </c>
      <c r="M23" s="98"/>
      <c r="N23" s="99"/>
      <c r="O23" s="176"/>
      <c r="P23" s="177"/>
      <c r="Q23" s="177"/>
      <c r="R23" s="177"/>
      <c r="S23" s="169">
        <v>37</v>
      </c>
      <c r="T23" s="170" t="str">
        <f>VLOOKUP(S23,市町村データ!A2:AX48,MATCH(手順書_全国_人口!$G$63, 市町村データ!A1:AX1, 0),FALSE)</f>
        <v>愛媛</v>
      </c>
      <c r="U23" s="98"/>
      <c r="V23" s="99"/>
      <c r="W23" s="169">
        <v>33</v>
      </c>
      <c r="X23" s="170" t="str">
        <f>VLOOKUP(W23,市町村データ!A2:AX48,MATCH(手順書_全国_人口!$G$63, 市町村データ!A1:AX1, 0),FALSE)</f>
        <v>香川</v>
      </c>
      <c r="Y23" s="98"/>
      <c r="Z23" s="99"/>
      <c r="AA23" s="176"/>
      <c r="AB23" s="177"/>
      <c r="AC23" s="177"/>
      <c r="AD23" s="177"/>
      <c r="AE23" s="169">
        <v>29</v>
      </c>
      <c r="AF23" s="170" t="str">
        <f>VLOOKUP(AE23,市町村データ!A2:AX48,MATCH(手順書_全国_人口!$G$63, 市町村データ!A1:AX1, 0),FALSE)</f>
        <v>和歌山</v>
      </c>
      <c r="AG23" s="98"/>
      <c r="AH23" s="99"/>
      <c r="AI23" s="176"/>
      <c r="AJ23" s="177"/>
      <c r="AK23" s="177"/>
      <c r="AL23" s="177"/>
      <c r="AM23" s="169">
        <v>24</v>
      </c>
      <c r="AN23" s="170" t="str">
        <f>VLOOKUP(AM23,市町村データ!A2:AX48,MATCH(手順書_全国_人口!$G$63, 市町村データ!A1:AX1, 0),FALSE)</f>
        <v>三重</v>
      </c>
      <c r="AO23" s="98"/>
      <c r="AP23" s="99"/>
      <c r="AQ23" s="169">
        <v>21</v>
      </c>
      <c r="AR23" s="170" t="str">
        <f>VLOOKUP(AQ23,市町村データ!A2:AX48,MATCH(手順書_全国_人口!$G$63, 市町村データ!A1:AX1, 0),FALSE)</f>
        <v>愛知</v>
      </c>
      <c r="AS23" s="98"/>
      <c r="AT23" s="99"/>
      <c r="AU23" s="169">
        <v>18</v>
      </c>
      <c r="AV23" s="170" t="str">
        <f>VLOOKUP(AU23,市町村データ!A2:AX48,MATCH(手順書_全国_人口!$G$63, 市町村データ!A1:AX1, 0),FALSE)</f>
        <v>静岡</v>
      </c>
      <c r="AW23" s="98"/>
      <c r="AX23" s="99"/>
      <c r="AY23" s="169">
        <v>16</v>
      </c>
      <c r="AZ23" s="170" t="str">
        <f>VLOOKUP(AY23,市町村データ!A2:AX48,MATCH(手順書_全国_人口!$G$63, 市町村データ!A1:AX1, 0),FALSE)</f>
        <v>神奈川</v>
      </c>
      <c r="BA23" s="98"/>
      <c r="BB23" s="99"/>
      <c r="BC23" s="169">
        <v>14</v>
      </c>
      <c r="BD23" s="170" t="str">
        <f>VLOOKUP(BC23,市町村データ!A2:AX48,MATCH(手順書_全国_人口!$G$63, 市町村データ!A1:AX1, 0),FALSE)</f>
        <v>東京</v>
      </c>
      <c r="BE23" s="98"/>
      <c r="BF23" s="99"/>
      <c r="BG23" s="169">
        <v>10</v>
      </c>
      <c r="BH23" s="170" t="str">
        <f>VLOOKUP(BG23,市町村データ!A2:AX48,MATCH(手順書_全国_人口!$G$63, 市町村データ!A1:AX1, 0),FALSE)</f>
        <v>千葉</v>
      </c>
      <c r="BI23" s="98"/>
      <c r="BJ23" s="99"/>
      <c r="BK23" s="176"/>
      <c r="BL23" s="177"/>
      <c r="BM23" s="177"/>
      <c r="BN23" s="177"/>
      <c r="BO23" s="167"/>
      <c r="BP23" s="167"/>
      <c r="BQ23" s="167"/>
      <c r="BR23" s="167"/>
      <c r="BS23" s="167"/>
      <c r="BT23" s="167"/>
      <c r="BU23" s="167"/>
      <c r="BV23" s="167"/>
      <c r="BW23" s="167"/>
      <c r="BX23" s="174"/>
      <c r="BY23" s="175"/>
      <c r="BZ23" s="167"/>
      <c r="CA23" s="167"/>
      <c r="CB23" s="166"/>
    </row>
    <row r="24" spans="1:80" ht="21.15" customHeight="1" x14ac:dyDescent="0.55000000000000004">
      <c r="A24" s="166"/>
      <c r="B24" s="167"/>
      <c r="C24" s="167"/>
      <c r="D24" s="167"/>
      <c r="E24" s="167"/>
      <c r="F24" s="167"/>
      <c r="G24" s="141">
        <f>VLOOKUP(G23,市町村データ!A2:AX48,MATCH(手順書_全国_人口!$F$64, 市町村データ!A1:AX1, 0),FALSE)</f>
        <v>317.7</v>
      </c>
      <c r="H24" s="197"/>
      <c r="I24" s="197"/>
      <c r="J24" s="100"/>
      <c r="K24" s="158">
        <f>VLOOKUP(K23,市町村データ!A2:AX48,MATCH(手順書_全国_人口!$F$64, 市町村データ!A1:AX1, 0),FALSE)</f>
        <v>177.2</v>
      </c>
      <c r="L24" s="197"/>
      <c r="M24" s="197"/>
      <c r="N24" s="100"/>
      <c r="O24" s="171"/>
      <c r="P24" s="167"/>
      <c r="Q24" s="167"/>
      <c r="R24" s="167"/>
      <c r="S24" s="141">
        <f>VLOOKUP(S23,市町村データ!A2:AX48,MATCH(手順書_全国_人口!$F$64, 市町村データ!A1:AX1, 0),FALSE)</f>
        <v>235.2</v>
      </c>
      <c r="T24" s="197"/>
      <c r="U24" s="197"/>
      <c r="V24" s="100"/>
      <c r="W24" s="160">
        <f>VLOOKUP(W23,市町村データ!A2:AX48,MATCH(手順書_全国_人口!$F$64, 市町村データ!A1:AX1, 0),FALSE)</f>
        <v>506.3</v>
      </c>
      <c r="X24" s="197"/>
      <c r="Y24" s="197"/>
      <c r="Z24" s="100"/>
      <c r="AA24" s="171"/>
      <c r="AB24" s="167"/>
      <c r="AC24" s="167"/>
      <c r="AD24" s="167"/>
      <c r="AE24" s="160">
        <f>VLOOKUP(AE23,市町村データ!A2:AX48,MATCH(手順書_全国_人口!$F$64, 市町村データ!A1:AX1, 0),FALSE)</f>
        <v>195.3</v>
      </c>
      <c r="AF24" s="197"/>
      <c r="AG24" s="197"/>
      <c r="AH24" s="100"/>
      <c r="AI24" s="171"/>
      <c r="AJ24" s="167"/>
      <c r="AK24" s="167"/>
      <c r="AL24" s="167"/>
      <c r="AM24" s="141">
        <f>VLOOKUP(AM23,市町村データ!A2:AX48,MATCH(手順書_全国_人口!$F$64, 市町村データ!A1:AX1, 0),FALSE)</f>
        <v>306.60000000000002</v>
      </c>
      <c r="AN24" s="197"/>
      <c r="AO24" s="197"/>
      <c r="AP24" s="100"/>
      <c r="AQ24" s="137">
        <f>VLOOKUP(AQ23,市町村データ!A2:AX48,MATCH(手順書_全国_人口!$F$64, 市町村データ!A1:AX1, 0),FALSE)</f>
        <v>1458</v>
      </c>
      <c r="AR24" s="197"/>
      <c r="AS24" s="197"/>
      <c r="AT24" s="100"/>
      <c r="AU24" s="153">
        <f>VLOOKUP(AU23,市町村データ!A2:AX48,MATCH(手順書_全国_人口!$F$64, 市町村データ!A1:AX1, 0),FALSE)</f>
        <v>467.2</v>
      </c>
      <c r="AV24" s="197"/>
      <c r="AW24" s="197"/>
      <c r="AX24" s="100"/>
      <c r="AY24" s="137">
        <f>VLOOKUP(AY23,市町村データ!A2:AX48,MATCH(手順書_全国_人口!$F$64, 市町村データ!A1:AX1, 0),FALSE)</f>
        <v>3823.2</v>
      </c>
      <c r="AZ24" s="197"/>
      <c r="BA24" s="197"/>
      <c r="BB24" s="100"/>
      <c r="BC24" s="140">
        <f>VLOOKUP(BC23,市町村データ!A2:AX48,MATCH(手順書_全国_人口!$F$64, 市町村データ!A1:AX1, 0),FALSE)</f>
        <v>6402.6</v>
      </c>
      <c r="BD24" s="197"/>
      <c r="BE24" s="197"/>
      <c r="BF24" s="100"/>
      <c r="BG24" s="156">
        <f>VLOOKUP(BG23,市町村データ!A2:AX48,MATCH(手順書_全国_人口!$F$64, 市町村データ!A1:AX1, 0),FALSE)</f>
        <v>1218.5</v>
      </c>
      <c r="BH24" s="197"/>
      <c r="BI24" s="197"/>
      <c r="BJ24" s="100"/>
      <c r="BK24" s="171"/>
      <c r="BL24" s="167"/>
      <c r="BM24" s="167"/>
      <c r="BN24" s="167"/>
      <c r="BO24" s="167"/>
      <c r="BP24" s="167"/>
      <c r="BQ24" s="167"/>
      <c r="BR24" s="167"/>
      <c r="BS24" s="167"/>
      <c r="BT24" s="167"/>
      <c r="BU24" s="167"/>
      <c r="BV24" s="167"/>
      <c r="BW24" s="167"/>
      <c r="BX24" s="174"/>
      <c r="BY24" s="175"/>
      <c r="BZ24" s="167"/>
      <c r="CA24" s="167"/>
      <c r="CB24" s="166"/>
    </row>
    <row r="25" spans="1:80" ht="21.15" customHeight="1" x14ac:dyDescent="0.55000000000000004">
      <c r="A25" s="166"/>
      <c r="B25" s="167"/>
      <c r="C25" s="167"/>
      <c r="D25" s="167"/>
      <c r="E25" s="167"/>
      <c r="F25" s="167"/>
      <c r="G25" s="143">
        <f>VLOOKUP(G23,市町村データ!A2:AX48,MATCH(手順書_全国_人口!$F$65, 市町村データ!A1:AX1, 0),FALSE)</f>
        <v>1312317</v>
      </c>
      <c r="H25" s="197"/>
      <c r="I25" s="197"/>
      <c r="J25" s="100"/>
      <c r="K25" s="157">
        <f>VLOOKUP(K23,市町村データ!A2:AX48,MATCH(手順書_全国_人口!$F$65, 市町村データ!A1:AX1, 0),FALSE)</f>
        <v>1123852</v>
      </c>
      <c r="L25" s="197"/>
      <c r="M25" s="197"/>
      <c r="N25" s="100"/>
      <c r="O25" s="171"/>
      <c r="P25" s="167"/>
      <c r="Q25" s="167"/>
      <c r="R25" s="167"/>
      <c r="S25" s="143">
        <f>VLOOKUP(S23,市町村データ!A2:AX48,MATCH(手順書_全国_人口!$F$65, 市町村データ!A1:AX1, 0),FALSE)</f>
        <v>1334841</v>
      </c>
      <c r="T25" s="197"/>
      <c r="U25" s="197"/>
      <c r="V25" s="100"/>
      <c r="W25" s="159">
        <f>VLOOKUP(W23,市町村データ!A2:AX48,MATCH(手順書_全国_人口!$F$65, 市町村データ!A1:AX1, 0),FALSE)</f>
        <v>950244</v>
      </c>
      <c r="X25" s="197"/>
      <c r="Y25" s="197"/>
      <c r="Z25" s="100"/>
      <c r="AA25" s="171"/>
      <c r="AB25" s="167"/>
      <c r="AC25" s="167"/>
      <c r="AD25" s="167"/>
      <c r="AE25" s="159">
        <f>VLOOKUP(AE23,市町村データ!A2:AX48,MATCH(手順書_全国_人口!$F$65, 市町村データ!A1:AX1, 0),FALSE)</f>
        <v>922584</v>
      </c>
      <c r="AF25" s="197"/>
      <c r="AG25" s="197"/>
      <c r="AH25" s="100"/>
      <c r="AI25" s="171"/>
      <c r="AJ25" s="167"/>
      <c r="AK25" s="167"/>
      <c r="AL25" s="167"/>
      <c r="AM25" s="143">
        <f>VLOOKUP(AM23,市町村データ!A2:AX48,MATCH(手順書_全国_人口!$F$65, 市町村データ!A1:AX1, 0),FALSE)</f>
        <v>1770254</v>
      </c>
      <c r="AN25" s="197"/>
      <c r="AO25" s="197"/>
      <c r="AP25" s="100"/>
      <c r="AQ25" s="135">
        <f>VLOOKUP(AQ23,市町村データ!A2:AX48,MATCH(手順書_全国_人口!$F$65, 市町村データ!A1:AX1, 0),FALSE)</f>
        <v>7542415</v>
      </c>
      <c r="AR25" s="197"/>
      <c r="AS25" s="197"/>
      <c r="AT25" s="100"/>
      <c r="AU25" s="155">
        <f>VLOOKUP(AU23,市町村データ!A2:AX48,MATCH(手順書_全国_人口!$F$65, 市町村データ!A1:AX1, 0),FALSE)</f>
        <v>3633202</v>
      </c>
      <c r="AV25" s="197"/>
      <c r="AW25" s="197"/>
      <c r="AX25" s="100"/>
      <c r="AY25" s="135">
        <f>VLOOKUP(AY23,市町村データ!A2:AX48,MATCH(手順書_全国_人口!$F$65, 市町村データ!A1:AX1, 0),FALSE)</f>
        <v>9237337</v>
      </c>
      <c r="AZ25" s="197"/>
      <c r="BA25" s="197"/>
      <c r="BB25" s="100"/>
      <c r="BC25" s="142">
        <f>VLOOKUP(BC23,市町村データ!A2:AX48,MATCH(手順書_全国_人口!$F$65, 市町村データ!A1:AX1, 0),FALSE)</f>
        <v>14047594</v>
      </c>
      <c r="BD25" s="197"/>
      <c r="BE25" s="197"/>
      <c r="BF25" s="100"/>
      <c r="BG25" s="154">
        <f>VLOOKUP(BG23,市町村データ!A2:AX48,MATCH(手順書_全国_人口!$F$65, 市町村データ!A1:AX1, 0),FALSE)</f>
        <v>6284480</v>
      </c>
      <c r="BH25" s="197"/>
      <c r="BI25" s="197"/>
      <c r="BJ25" s="100"/>
      <c r="BK25" s="171"/>
      <c r="BL25" s="167"/>
      <c r="BM25" s="167"/>
      <c r="BN25" s="167"/>
      <c r="BO25" s="167"/>
      <c r="BP25" s="167"/>
      <c r="BQ25" s="167"/>
      <c r="BR25" s="167"/>
      <c r="BS25" s="167"/>
      <c r="BT25" s="167"/>
      <c r="BU25" s="167"/>
      <c r="BV25" s="167"/>
      <c r="BW25" s="167"/>
      <c r="BX25" s="174"/>
      <c r="BY25" s="175"/>
      <c r="BZ25" s="167"/>
      <c r="CA25" s="167"/>
      <c r="CB25" s="166"/>
    </row>
    <row r="26" spans="1:80" ht="21.15" customHeight="1" thickBot="1" x14ac:dyDescent="0.6">
      <c r="A26" s="166"/>
      <c r="B26" s="167"/>
      <c r="C26" s="167"/>
      <c r="D26" s="167"/>
      <c r="E26" s="167"/>
      <c r="F26" s="167"/>
      <c r="G26" s="230">
        <f>VLOOKUP(G23,市町村データ!A2:AX48,MATCH(手順書_全国_人口!$F$66, 市町村データ!A1:AX1, 0),FALSE)</f>
        <v>4130.9799999999996</v>
      </c>
      <c r="H26" s="96"/>
      <c r="I26" s="96"/>
      <c r="J26" s="97"/>
      <c r="K26" s="226">
        <f>VLOOKUP(K23,市町村データ!A2:AX48,MATCH(手順書_全国_人口!$F$66, 市町村データ!A1:AX1, 0),FALSE)</f>
        <v>6340.76</v>
      </c>
      <c r="L26" s="96"/>
      <c r="M26" s="96"/>
      <c r="N26" s="97"/>
      <c r="O26" s="171"/>
      <c r="P26" s="167"/>
      <c r="Q26" s="167"/>
      <c r="R26" s="167"/>
      <c r="S26" s="230">
        <f>VLOOKUP(S23,市町村データ!A2:AX48,MATCH(手順書_全国_人口!$F$66, 市町村データ!A1:AX1, 0),FALSE)</f>
        <v>5676.19</v>
      </c>
      <c r="T26" s="96"/>
      <c r="U26" s="96"/>
      <c r="V26" s="97"/>
      <c r="W26" s="220">
        <f>VLOOKUP(W23,市町村データ!A2:AX48,MATCH(手順書_全国_人口!$F$66, 市町村データ!A1:AX1, 0),FALSE)</f>
        <v>1876.78</v>
      </c>
      <c r="X26" s="96"/>
      <c r="Y26" s="96"/>
      <c r="Z26" s="97"/>
      <c r="AA26" s="171"/>
      <c r="AB26" s="167"/>
      <c r="AC26" s="167"/>
      <c r="AD26" s="167"/>
      <c r="AE26" s="220">
        <f>VLOOKUP(AE23,市町村データ!A2:AX48,MATCH(手順書_全国_人口!$F$66, 市町村データ!A1:AX1, 0),FALSE)</f>
        <v>4724.6499999999996</v>
      </c>
      <c r="AF26" s="96"/>
      <c r="AG26" s="96"/>
      <c r="AH26" s="97"/>
      <c r="AI26" s="171"/>
      <c r="AJ26" s="167"/>
      <c r="AK26" s="167"/>
      <c r="AL26" s="167"/>
      <c r="AM26" s="230">
        <f>VLOOKUP(AM23,市町村データ!A2:AX48,MATCH(手順書_全国_人口!$F$66, 市町村データ!A1:AX1, 0),FALSE)</f>
        <v>5774.49</v>
      </c>
      <c r="AN26" s="96"/>
      <c r="AO26" s="96"/>
      <c r="AP26" s="97"/>
      <c r="AQ26" s="225">
        <f>VLOOKUP(AQ23,市町村データ!A2:AX48,MATCH(手順書_全国_人口!$F$66, 市町村データ!A1:AX1, 0),FALSE)</f>
        <v>5173.07</v>
      </c>
      <c r="AR26" s="96"/>
      <c r="AS26" s="96"/>
      <c r="AT26" s="97"/>
      <c r="AU26" s="223">
        <f>VLOOKUP(AU23,市町村データ!A2:AX48,MATCH(手順書_全国_人口!$F$66, 市町村データ!A1:AX1, 0),FALSE)</f>
        <v>7777.35</v>
      </c>
      <c r="AV26" s="96"/>
      <c r="AW26" s="96"/>
      <c r="AX26" s="97"/>
      <c r="AY26" s="225">
        <f>VLOOKUP(AY23,市町村データ!A2:AX48,MATCH(手順書_全国_人口!$F$66, 市町村データ!A1:AX1, 0),FALSE)</f>
        <v>2416.11</v>
      </c>
      <c r="AZ26" s="96"/>
      <c r="BA26" s="96"/>
      <c r="BB26" s="97"/>
      <c r="BC26" s="224">
        <f>VLOOKUP(BC23,市町村データ!A2:AX48,MATCH(手順書_全国_人口!$F$66, 市町村データ!A1:AX1, 0),FALSE)</f>
        <v>2194.0300000000002</v>
      </c>
      <c r="BD26" s="96"/>
      <c r="BE26" s="96"/>
      <c r="BF26" s="97"/>
      <c r="BG26" s="222">
        <f>VLOOKUP(BG23,市町村データ!A2:AX48,MATCH(手順書_全国_人口!$F$66, 市町村データ!A1:AX1, 0),FALSE)</f>
        <v>5157.57</v>
      </c>
      <c r="BH26" s="96"/>
      <c r="BI26" s="96"/>
      <c r="BJ26" s="97"/>
      <c r="BK26" s="171"/>
      <c r="BL26" s="167"/>
      <c r="BM26" s="167"/>
      <c r="BN26" s="167"/>
      <c r="BO26" s="167"/>
      <c r="BP26" s="167"/>
      <c r="BQ26" s="167"/>
      <c r="BR26" s="167"/>
      <c r="BS26" s="167"/>
      <c r="BT26" s="167"/>
      <c r="BU26" s="167"/>
      <c r="BV26" s="167"/>
      <c r="BW26" s="167"/>
      <c r="BX26" s="174"/>
      <c r="BY26" s="175"/>
      <c r="BZ26" s="167"/>
      <c r="CA26" s="167"/>
      <c r="CB26" s="166"/>
    </row>
    <row r="27" spans="1:80" ht="21.15" customHeight="1" x14ac:dyDescent="0.55000000000000004">
      <c r="A27" s="166"/>
      <c r="B27" s="167"/>
      <c r="C27" s="168" t="s">
        <v>66</v>
      </c>
      <c r="D27" s="167"/>
      <c r="E27" s="167"/>
      <c r="F27" s="167"/>
      <c r="G27" s="169">
        <v>46</v>
      </c>
      <c r="H27" s="170" t="str">
        <f>VLOOKUP(G27,市町村データ!A2:AX48,MATCH(手順書_全国_人口!$G$63, 市町村データ!A1:AX1, 0),FALSE)</f>
        <v>熊本</v>
      </c>
      <c r="I27" s="98"/>
      <c r="J27" s="99"/>
      <c r="K27" s="169">
        <v>42</v>
      </c>
      <c r="L27" s="170" t="str">
        <f>VLOOKUP(K27,市町村データ!A2:AX48,MATCH(手順書_全国_人口!$G$63, 市町村データ!A1:AX1, 0),FALSE)</f>
        <v>宮崎</v>
      </c>
      <c r="M27" s="98"/>
      <c r="N27" s="99"/>
      <c r="O27" s="171"/>
      <c r="P27" s="167"/>
      <c r="Q27" s="167"/>
      <c r="R27" s="167"/>
      <c r="S27" s="169">
        <v>38</v>
      </c>
      <c r="T27" s="170" t="str">
        <f>VLOOKUP(S27,市町村データ!A2:AX48,MATCH(手順書_全国_人口!$G$63, 市町村データ!A1:AX1, 0),FALSE)</f>
        <v>高知</v>
      </c>
      <c r="U27" s="98"/>
      <c r="V27" s="99"/>
      <c r="W27" s="169">
        <v>34</v>
      </c>
      <c r="X27" s="170" t="str">
        <f>VLOOKUP(W27,市町村データ!A2:AX48,MATCH(手順書_全国_人口!$G$63, 市町村データ!A1:AX1, 0),FALSE)</f>
        <v>徳島</v>
      </c>
      <c r="Y27" s="98"/>
      <c r="Z27" s="99"/>
      <c r="AA27" s="171"/>
      <c r="AB27" s="167"/>
      <c r="AC27" s="167"/>
      <c r="AD27" s="167"/>
      <c r="AE27" s="177"/>
      <c r="AF27" s="177"/>
      <c r="AG27" s="177"/>
      <c r="AH27" s="177"/>
      <c r="AI27" s="167"/>
      <c r="AJ27" s="167"/>
      <c r="AK27" s="167"/>
      <c r="AL27" s="167"/>
      <c r="AM27" s="177"/>
      <c r="AN27" s="177"/>
      <c r="AO27" s="177"/>
      <c r="AP27" s="177"/>
      <c r="AQ27" s="177"/>
      <c r="AR27" s="177"/>
      <c r="AS27" s="177"/>
      <c r="AT27" s="177"/>
      <c r="AU27" s="177"/>
      <c r="AV27" s="177"/>
      <c r="AW27" s="177"/>
      <c r="AX27" s="177"/>
      <c r="AY27" s="177"/>
      <c r="AZ27" s="177"/>
      <c r="BA27" s="177"/>
      <c r="BB27" s="177"/>
      <c r="BC27" s="177"/>
      <c r="BD27" s="177"/>
      <c r="BE27" s="177"/>
      <c r="BF27" s="177"/>
      <c r="BG27" s="177"/>
      <c r="BH27" s="177"/>
      <c r="BI27" s="177"/>
      <c r="BJ27" s="177"/>
      <c r="BK27" s="167"/>
      <c r="BL27" s="167"/>
      <c r="BM27" s="167"/>
      <c r="BN27" s="167"/>
      <c r="BO27" s="167"/>
      <c r="BP27" s="167"/>
      <c r="BQ27" s="167"/>
      <c r="BR27" s="167"/>
      <c r="BS27" s="167"/>
      <c r="BT27" s="167"/>
      <c r="BU27" s="167"/>
      <c r="BV27" s="167"/>
      <c r="BW27" s="167"/>
      <c r="BX27" s="174"/>
      <c r="BY27" s="175"/>
      <c r="BZ27" s="167"/>
      <c r="CA27" s="167"/>
      <c r="CB27" s="166"/>
    </row>
    <row r="28" spans="1:80" ht="21.15" customHeight="1" x14ac:dyDescent="0.55000000000000004">
      <c r="A28" s="166"/>
      <c r="B28" s="167"/>
      <c r="C28" s="167"/>
      <c r="D28" s="167"/>
      <c r="E28" s="167"/>
      <c r="F28" s="167"/>
      <c r="G28" s="141">
        <f>VLOOKUP(G27,市町村データ!A2:AX48,MATCH(手順書_全国_人口!$F$64, 市町村データ!A1:AX1, 0),FALSE)</f>
        <v>234.6</v>
      </c>
      <c r="H28" s="197"/>
      <c r="I28" s="197"/>
      <c r="J28" s="100"/>
      <c r="K28" s="158">
        <f>VLOOKUP(K27,市町村データ!A2:AX48,MATCH(手順書_全国_人口!$F$64, 市町村データ!A1:AX1, 0),FALSE)</f>
        <v>138.30000000000001</v>
      </c>
      <c r="L28" s="197"/>
      <c r="M28" s="197"/>
      <c r="N28" s="100"/>
      <c r="O28" s="171"/>
      <c r="P28" s="167"/>
      <c r="Q28" s="167"/>
      <c r="R28" s="167"/>
      <c r="S28" s="139">
        <f>VLOOKUP(S27,市町村データ!A2:AX48,MATCH(手順書_全国_人口!$F$64, 市町村データ!A1:AX1, 0),FALSE)</f>
        <v>97.3</v>
      </c>
      <c r="T28" s="197"/>
      <c r="U28" s="197"/>
      <c r="V28" s="100"/>
      <c r="W28" s="139">
        <f>VLOOKUP(W27,市町村データ!A2:AX48,MATCH(手順書_全国_人口!$F$64, 市町村データ!A1:AX1, 0),FALSE)</f>
        <v>173.5</v>
      </c>
      <c r="X28" s="197"/>
      <c r="Y28" s="197"/>
      <c r="Z28" s="100"/>
      <c r="AA28" s="171"/>
      <c r="AB28" s="167"/>
      <c r="AC28" s="167"/>
      <c r="AD28" s="167"/>
      <c r="AE28" s="167"/>
      <c r="AF28" s="167"/>
      <c r="AG28" s="167"/>
      <c r="AH28" s="167"/>
      <c r="AI28" s="167"/>
      <c r="AJ28" s="167"/>
      <c r="AK28" s="167"/>
      <c r="AL28" s="167"/>
      <c r="AM28" s="167"/>
      <c r="AN28" s="167"/>
      <c r="AO28" s="167"/>
      <c r="AP28" s="167"/>
      <c r="AQ28" s="167"/>
      <c r="AR28" s="167"/>
      <c r="AS28" s="167"/>
      <c r="AT28" s="167"/>
      <c r="AU28" s="167"/>
      <c r="AV28" s="167"/>
      <c r="AW28" s="167"/>
      <c r="AX28" s="167"/>
      <c r="AY28" s="167"/>
      <c r="AZ28" s="167"/>
      <c r="BA28" s="167"/>
      <c r="BB28" s="167"/>
      <c r="BC28" s="167"/>
      <c r="BD28" s="167"/>
      <c r="BE28" s="167"/>
      <c r="BF28" s="167"/>
      <c r="BG28" s="167"/>
      <c r="BH28" s="167"/>
      <c r="BI28" s="167"/>
      <c r="BJ28" s="167"/>
      <c r="BK28" s="167"/>
      <c r="BL28" s="167"/>
      <c r="BM28" s="167"/>
      <c r="BN28" s="167"/>
      <c r="BO28" s="167"/>
      <c r="BP28" s="167"/>
      <c r="BQ28" s="167"/>
      <c r="BR28" s="167"/>
      <c r="BS28" s="167"/>
      <c r="BT28" s="167"/>
      <c r="BU28" s="167"/>
      <c r="BV28" s="167"/>
      <c r="BW28" s="167"/>
      <c r="BX28" s="167"/>
      <c r="BY28" s="167"/>
      <c r="BZ28" s="167"/>
      <c r="CA28" s="167"/>
      <c r="CB28" s="166"/>
    </row>
    <row r="29" spans="1:80" ht="21.15" customHeight="1" x14ac:dyDescent="0.55000000000000004">
      <c r="A29" s="166"/>
      <c r="B29" s="167"/>
      <c r="C29" s="167"/>
      <c r="D29" s="167"/>
      <c r="E29" s="167"/>
      <c r="F29" s="167"/>
      <c r="G29" s="143">
        <f>VLOOKUP(G27,市町村データ!A2:AX48,MATCH(手順書_全国_人口!$F$65, 市町村データ!A1:AX1, 0),FALSE)</f>
        <v>1738301</v>
      </c>
      <c r="H29" s="197"/>
      <c r="I29" s="197"/>
      <c r="J29" s="100"/>
      <c r="K29" s="157">
        <f>VLOOKUP(K27,市町村データ!A2:AX48,MATCH(手順書_全国_人口!$F$65, 市町村データ!A1:AX1, 0),FALSE)</f>
        <v>1069576</v>
      </c>
      <c r="L29" s="197"/>
      <c r="M29" s="197"/>
      <c r="N29" s="100"/>
      <c r="O29" s="171"/>
      <c r="P29" s="167"/>
      <c r="Q29" s="167"/>
      <c r="R29" s="167"/>
      <c r="S29" s="138">
        <f>VLOOKUP(S27,市町村データ!A2:AX48,MATCH(手順書_全国_人口!$F$65, 市町村データ!A1:AX1, 0),FALSE)</f>
        <v>691527</v>
      </c>
      <c r="T29" s="197"/>
      <c r="U29" s="197"/>
      <c r="V29" s="100"/>
      <c r="W29" s="138">
        <f>VLOOKUP(W27,市町村データ!A2:AX48,MATCH(手順書_全国_人口!$F$65, 市町村データ!A1:AX1, 0),FALSE)</f>
        <v>719559</v>
      </c>
      <c r="X29" s="197"/>
      <c r="Y29" s="197"/>
      <c r="Z29" s="100"/>
      <c r="AA29" s="171"/>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c r="BS29" s="167"/>
      <c r="BT29" s="167"/>
      <c r="BU29" s="167"/>
      <c r="BV29" s="167"/>
      <c r="BW29" s="167"/>
      <c r="BX29" s="167"/>
      <c r="BY29" s="167"/>
      <c r="BZ29" s="167"/>
      <c r="CA29" s="167"/>
      <c r="CB29" s="166"/>
    </row>
    <row r="30" spans="1:80" ht="21.15" customHeight="1" thickBot="1" x14ac:dyDescent="0.6">
      <c r="A30" s="166"/>
      <c r="B30" s="167"/>
      <c r="C30" s="167"/>
      <c r="D30" s="167"/>
      <c r="E30" s="167"/>
      <c r="F30" s="167"/>
      <c r="G30" s="230">
        <f>VLOOKUP(G27,市町村データ!A2:AX48,MATCH(手順書_全国_人口!$F$66, 市町村データ!A1:AX1, 0),FALSE)</f>
        <v>7409.46</v>
      </c>
      <c r="H30" s="96"/>
      <c r="I30" s="96"/>
      <c r="J30" s="97"/>
      <c r="K30" s="226">
        <f>VLOOKUP(K27,市町村データ!A2:AX48,MATCH(手順書_全国_人口!$F$66, 市町村データ!A1:AX1, 0),FALSE)</f>
        <v>7735.22</v>
      </c>
      <c r="L30" s="96"/>
      <c r="M30" s="96"/>
      <c r="N30" s="97"/>
      <c r="O30" s="171"/>
      <c r="P30" s="167"/>
      <c r="Q30" s="167"/>
      <c r="R30" s="167"/>
      <c r="S30" s="219">
        <f>VLOOKUP(S27,市町村データ!A2:AX48,MATCH(手順書_全国_人口!$F$66, 市町村データ!A1:AX1, 0),FALSE)</f>
        <v>7103.63</v>
      </c>
      <c r="T30" s="96"/>
      <c r="U30" s="96"/>
      <c r="V30" s="97"/>
      <c r="W30" s="219">
        <f>VLOOKUP(W27,市町村データ!A2:AX48,MATCH(手順書_全国_人口!$F$66, 市町村データ!A1:AX1, 0),FALSE)</f>
        <v>4146.75</v>
      </c>
      <c r="X30" s="96"/>
      <c r="Y30" s="96"/>
      <c r="Z30" s="97"/>
      <c r="AA30" s="171"/>
      <c r="AB30" s="167"/>
      <c r="AC30" s="167"/>
      <c r="AD30" s="167"/>
      <c r="AE30" s="167"/>
      <c r="AF30" s="167"/>
      <c r="AG30" s="167"/>
      <c r="AH30" s="167"/>
      <c r="AI30" s="167"/>
      <c r="AJ30" s="167"/>
      <c r="AK30" s="167"/>
      <c r="AL30" s="167"/>
      <c r="AM30" s="167"/>
      <c r="AN30" s="167"/>
      <c r="AO30" s="167"/>
      <c r="AP30" s="167"/>
      <c r="AQ30" s="167"/>
      <c r="AR30" s="167"/>
      <c r="AS30" s="167"/>
      <c r="AT30" s="167"/>
      <c r="AU30" s="167"/>
      <c r="AV30" s="167"/>
      <c r="AW30" s="167"/>
      <c r="AX30" s="167"/>
      <c r="AY30" s="167"/>
      <c r="AZ30" s="167"/>
      <c r="BA30" s="167"/>
      <c r="BB30" s="167"/>
      <c r="BC30" s="167"/>
      <c r="BD30" s="167"/>
      <c r="BE30" s="167"/>
      <c r="BF30" s="167"/>
      <c r="BG30" s="167"/>
      <c r="BH30" s="167"/>
      <c r="BI30" s="167"/>
      <c r="BJ30" s="167"/>
      <c r="BK30" s="167"/>
      <c r="BL30" s="167"/>
      <c r="BM30" s="167"/>
      <c r="BN30" s="167"/>
      <c r="BO30" s="167"/>
      <c r="BP30" s="167"/>
      <c r="BQ30" s="167"/>
      <c r="BR30" s="167"/>
      <c r="BS30" s="167"/>
      <c r="BT30" s="167"/>
      <c r="BU30" s="167"/>
      <c r="BV30" s="167"/>
      <c r="BW30" s="167"/>
      <c r="BX30" s="167"/>
      <c r="BY30" s="167"/>
      <c r="BZ30" s="167"/>
      <c r="CA30" s="167"/>
      <c r="CB30" s="166"/>
    </row>
    <row r="31" spans="1:80" ht="21.15" customHeight="1" x14ac:dyDescent="0.55000000000000004">
      <c r="A31" s="166"/>
      <c r="B31" s="167"/>
      <c r="C31" s="168" t="s">
        <v>67</v>
      </c>
      <c r="D31" s="167"/>
      <c r="E31" s="167"/>
      <c r="F31" s="167"/>
      <c r="G31" s="169">
        <v>47</v>
      </c>
      <c r="H31" s="170" t="str">
        <f>VLOOKUP(G31,市町村データ!A2:AX48,MATCH(手順書_全国_人口!$G$63, 市町村データ!A1:AX1, 0),FALSE)</f>
        <v>沖縄</v>
      </c>
      <c r="I31" s="98"/>
      <c r="J31" s="99"/>
      <c r="K31" s="169">
        <v>43</v>
      </c>
      <c r="L31" s="170" t="str">
        <f>VLOOKUP(K31,市町村データ!A2:AX48,MATCH(手順書_全国_人口!$G$63, 市町村データ!A1:AX1, 0),FALSE)</f>
        <v>鹿児島</v>
      </c>
      <c r="M31" s="98"/>
      <c r="N31" s="99"/>
      <c r="O31" s="171"/>
      <c r="P31" s="167"/>
      <c r="Q31" s="167"/>
      <c r="R31" s="167"/>
      <c r="S31" s="177"/>
      <c r="T31" s="177"/>
      <c r="U31" s="177"/>
      <c r="V31" s="177"/>
      <c r="W31" s="177"/>
      <c r="X31" s="177"/>
      <c r="Y31" s="177"/>
      <c r="Z31" s="17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c r="BA31" s="167"/>
      <c r="BB31" s="167"/>
      <c r="BC31" s="167"/>
      <c r="BD31" s="167"/>
      <c r="BE31" s="167"/>
      <c r="BF31" s="167"/>
      <c r="BG31" s="167"/>
      <c r="BH31" s="167"/>
      <c r="BI31" s="167"/>
      <c r="BJ31" s="167"/>
      <c r="BK31" s="167"/>
      <c r="BL31" s="167"/>
      <c r="BM31" s="167"/>
      <c r="BN31" s="167"/>
      <c r="BO31" s="167"/>
      <c r="BP31" s="167"/>
      <c r="BQ31" s="167"/>
      <c r="BR31" s="167"/>
      <c r="BS31" s="167"/>
      <c r="BT31" s="167"/>
      <c r="BU31" s="167"/>
      <c r="BV31" s="167"/>
      <c r="BW31" s="167"/>
      <c r="BX31" s="167"/>
      <c r="BY31" s="167"/>
      <c r="BZ31" s="167"/>
      <c r="CA31" s="167"/>
      <c r="CB31" s="166"/>
    </row>
    <row r="32" spans="1:80" ht="21.15" customHeight="1" x14ac:dyDescent="0.55000000000000004">
      <c r="A32" s="166"/>
      <c r="B32" s="167"/>
      <c r="C32" s="167"/>
      <c r="D32" s="167"/>
      <c r="E32" s="167"/>
      <c r="F32" s="167"/>
      <c r="G32" s="141">
        <f>VLOOKUP(G31,市町村データ!A2:AX48,MATCH(手順書_全国_人口!$F$64, 市町村データ!A1:AX1, 0),FALSE)</f>
        <v>642.9</v>
      </c>
      <c r="H32" s="197"/>
      <c r="I32" s="197"/>
      <c r="J32" s="100"/>
      <c r="K32" s="141">
        <f>VLOOKUP(K31,市町村データ!A2:AX48,MATCH(手順書_全国_人口!$F$64, 市町村データ!A1:AX1, 0),FALSE)</f>
        <v>172.9</v>
      </c>
      <c r="L32" s="197"/>
      <c r="M32" s="197"/>
      <c r="N32" s="100"/>
      <c r="O32" s="171"/>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c r="BS32" s="167"/>
      <c r="BT32" s="167"/>
      <c r="BU32" s="167"/>
      <c r="BV32" s="167"/>
      <c r="BW32" s="167"/>
      <c r="BX32" s="167"/>
      <c r="BY32" s="167"/>
      <c r="BZ32" s="167"/>
      <c r="CA32" s="167"/>
      <c r="CB32" s="166"/>
    </row>
    <row r="33" spans="1:80" ht="21.15" customHeight="1" x14ac:dyDescent="0.55000000000000004">
      <c r="A33" s="166"/>
      <c r="B33" s="167"/>
      <c r="C33" s="167"/>
      <c r="D33" s="167"/>
      <c r="E33" s="167"/>
      <c r="F33" s="167"/>
      <c r="G33" s="143">
        <f>VLOOKUP(G31,市町村データ!A2:AX48,MATCH(手順書_全国_人口!$F$65, 市町村データ!A1:AX1, 0),FALSE)</f>
        <v>1467480</v>
      </c>
      <c r="H33" s="197"/>
      <c r="I33" s="197"/>
      <c r="J33" s="100"/>
      <c r="K33" s="143">
        <f>VLOOKUP(K31,市町村データ!A2:AX48,MATCH(手順書_全国_人口!$F$65, 市町村データ!A1:AX1, 0),FALSE)</f>
        <v>1588256</v>
      </c>
      <c r="L33" s="197"/>
      <c r="M33" s="197"/>
      <c r="N33" s="100"/>
      <c r="O33" s="171"/>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c r="BS33" s="167"/>
      <c r="BT33" s="167"/>
      <c r="BU33" s="167"/>
      <c r="BV33" s="167"/>
      <c r="BW33" s="167"/>
      <c r="BX33" s="167"/>
      <c r="BY33" s="167"/>
      <c r="BZ33" s="167"/>
      <c r="CA33" s="167"/>
      <c r="CB33" s="166"/>
    </row>
    <row r="34" spans="1:80" ht="21.15" customHeight="1" thickBot="1" x14ac:dyDescent="0.6">
      <c r="A34" s="166"/>
      <c r="B34" s="167"/>
      <c r="C34" s="167"/>
      <c r="D34" s="167"/>
      <c r="E34" s="167"/>
      <c r="F34" s="167"/>
      <c r="G34" s="230">
        <f>VLOOKUP(G31,市町村データ!A2:AX48,MATCH(手順書_全国_人口!$F$66, 市町村データ!A1:AX1, 0),FALSE)</f>
        <v>2282.59</v>
      </c>
      <c r="H34" s="96"/>
      <c r="I34" s="96"/>
      <c r="J34" s="97"/>
      <c r="K34" s="230">
        <f>VLOOKUP(K31,市町村データ!A2:AX48,MATCH(手順書_全国_人口!$F$66, 市町村データ!A1:AX1, 0),FALSE)</f>
        <v>9187.06</v>
      </c>
      <c r="L34" s="96"/>
      <c r="M34" s="96"/>
      <c r="N34" s="97"/>
      <c r="O34" s="171"/>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c r="BS34" s="167"/>
      <c r="BT34" s="167"/>
      <c r="BU34" s="167"/>
      <c r="BV34" s="167"/>
      <c r="BW34" s="167"/>
      <c r="BX34" s="167"/>
      <c r="BY34" s="167"/>
      <c r="BZ34" s="167"/>
      <c r="CA34" s="167"/>
      <c r="CB34" s="166"/>
    </row>
    <row r="35" spans="1:80" ht="21.15" customHeight="1" x14ac:dyDescent="0.55000000000000004">
      <c r="A35" s="166"/>
      <c r="B35" s="167"/>
      <c r="C35" s="168" t="s">
        <v>68</v>
      </c>
      <c r="D35" s="167"/>
      <c r="E35" s="167"/>
      <c r="F35" s="167"/>
      <c r="G35" s="177"/>
      <c r="H35" s="177"/>
      <c r="I35" s="177"/>
      <c r="J35" s="177"/>
      <c r="K35" s="177"/>
      <c r="L35" s="177"/>
      <c r="M35" s="177"/>
      <c r="N35" s="17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78"/>
      <c r="AN35" s="167"/>
      <c r="AO35" s="167"/>
      <c r="AP35" s="167"/>
      <c r="AQ35" s="178"/>
      <c r="AR35" s="167"/>
      <c r="AS35" s="167"/>
      <c r="AT35" s="167"/>
      <c r="AU35" s="178"/>
      <c r="AV35" s="167"/>
      <c r="AW35" s="167"/>
      <c r="AX35" s="167"/>
      <c r="AY35" s="178"/>
      <c r="AZ35" s="167"/>
      <c r="BA35" s="167"/>
      <c r="BB35" s="167"/>
      <c r="BC35" s="178"/>
      <c r="BD35" s="167"/>
      <c r="BE35" s="167"/>
      <c r="BF35" s="167"/>
      <c r="BG35" s="178"/>
      <c r="BH35" s="167"/>
      <c r="BI35" s="167"/>
      <c r="BJ35" s="167"/>
      <c r="BK35" s="178"/>
      <c r="BL35" s="167"/>
      <c r="BM35" s="167"/>
      <c r="BN35" s="167"/>
      <c r="BO35" s="178"/>
      <c r="BP35" s="167"/>
      <c r="BQ35" s="167"/>
      <c r="BR35" s="167"/>
      <c r="BS35" s="178"/>
      <c r="BT35" s="167"/>
      <c r="BU35" s="167"/>
      <c r="BV35" s="167"/>
      <c r="BW35" s="167"/>
      <c r="BX35" s="167"/>
      <c r="BY35" s="167"/>
      <c r="BZ35" s="167"/>
      <c r="CA35" s="167"/>
      <c r="CB35" s="166"/>
    </row>
    <row r="36" spans="1:80" ht="21.15" customHeight="1" x14ac:dyDescent="0.55000000000000004">
      <c r="A36" s="166"/>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67"/>
      <c r="BX36" s="167"/>
      <c r="BY36" s="167"/>
      <c r="BZ36" s="167"/>
      <c r="CA36" s="167"/>
      <c r="CB36" s="166"/>
    </row>
    <row r="37" spans="1:80" ht="21.15" customHeight="1" x14ac:dyDescent="0.55000000000000004">
      <c r="A37" s="166"/>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80"/>
      <c r="AN37" s="180"/>
      <c r="AO37" s="180"/>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0"/>
      <c r="BO37" s="180"/>
      <c r="BP37" s="180"/>
      <c r="BQ37" s="180"/>
      <c r="BR37" s="180"/>
      <c r="BS37" s="180"/>
      <c r="BT37" s="180"/>
      <c r="BU37" s="180"/>
      <c r="BV37" s="180"/>
      <c r="BW37" s="167"/>
      <c r="BX37" s="167"/>
      <c r="BY37" s="167"/>
      <c r="BZ37" s="167"/>
      <c r="CA37" s="167"/>
      <c r="CB37" s="166"/>
    </row>
    <row r="38" spans="1:80" ht="21.15" customHeight="1" x14ac:dyDescent="0.55000000000000004">
      <c r="A38" s="166"/>
      <c r="B38" s="167" t="s">
        <v>138</v>
      </c>
      <c r="C38" s="167"/>
      <c r="D38" s="167"/>
      <c r="E38" s="167"/>
      <c r="F38" s="167"/>
      <c r="G38" s="181"/>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82"/>
      <c r="AN38" s="182"/>
      <c r="AO38" s="182"/>
      <c r="AP38" s="182"/>
      <c r="AQ38" s="182"/>
      <c r="AR38" s="182"/>
      <c r="AS38" s="182"/>
      <c r="AT38" s="182"/>
      <c r="AU38" s="182"/>
      <c r="AV38" s="182"/>
      <c r="AW38" s="182"/>
      <c r="AX38" s="182"/>
      <c r="AY38" s="182"/>
      <c r="AZ38" s="182"/>
      <c r="BA38" s="182"/>
      <c r="BB38" s="182"/>
      <c r="BC38" s="182"/>
      <c r="BD38" s="182"/>
      <c r="BE38" s="182"/>
      <c r="BF38" s="182"/>
      <c r="BG38" s="182"/>
      <c r="BH38" s="182"/>
      <c r="BI38" s="182"/>
      <c r="BJ38" s="182"/>
      <c r="BK38" s="182"/>
      <c r="BL38" s="182"/>
      <c r="BM38" s="182"/>
      <c r="BN38" s="182"/>
      <c r="BO38" s="182"/>
      <c r="BP38" s="182"/>
      <c r="BQ38" s="182"/>
      <c r="BR38" s="182"/>
      <c r="BS38" s="182"/>
      <c r="BT38" s="182"/>
      <c r="BU38" s="182"/>
      <c r="BV38" s="182"/>
      <c r="BW38" s="167"/>
      <c r="BX38" s="167"/>
      <c r="BY38" s="167"/>
      <c r="BZ38" s="167"/>
      <c r="CA38" s="167"/>
      <c r="CB38" s="166"/>
    </row>
    <row r="39" spans="1:80" ht="21.15" customHeight="1" x14ac:dyDescent="0.55000000000000004">
      <c r="A39" s="166"/>
      <c r="B39" s="167" t="s">
        <v>137</v>
      </c>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c r="BS39" s="167"/>
      <c r="BT39" s="167"/>
      <c r="BU39" s="167"/>
      <c r="BV39" s="167"/>
      <c r="BW39" s="167"/>
      <c r="BX39" s="167"/>
      <c r="BY39" s="167"/>
      <c r="BZ39" s="167"/>
      <c r="CA39" s="167"/>
      <c r="CB39" s="166"/>
    </row>
    <row r="40" spans="1:80" ht="21.15" customHeight="1" x14ac:dyDescent="0.55000000000000004">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c r="CA40" s="166"/>
      <c r="CB40" s="166"/>
    </row>
  </sheetData>
  <mergeCells count="216">
    <mergeCell ref="BU20:BW20"/>
    <mergeCell ref="BX20:BY20"/>
    <mergeCell ref="BU17:BW17"/>
    <mergeCell ref="BX17:BY17"/>
    <mergeCell ref="BU18:BW18"/>
    <mergeCell ref="BX18:BY18"/>
    <mergeCell ref="BU19:BW19"/>
    <mergeCell ref="BX19:BY19"/>
    <mergeCell ref="BU14:BW14"/>
    <mergeCell ref="BX14:BY14"/>
    <mergeCell ref="BU15:BW15"/>
    <mergeCell ref="BX15:BY15"/>
    <mergeCell ref="BU16:BW16"/>
    <mergeCell ref="BX16:BY16"/>
    <mergeCell ref="BU11:BW11"/>
    <mergeCell ref="BX11:BY11"/>
    <mergeCell ref="BU12:BW12"/>
    <mergeCell ref="BX12:BY12"/>
    <mergeCell ref="BU13:BW13"/>
    <mergeCell ref="BX13:BY13"/>
    <mergeCell ref="G34:J34"/>
    <mergeCell ref="K34:N34"/>
    <mergeCell ref="BV4:BX4"/>
    <mergeCell ref="BU5:BX5"/>
    <mergeCell ref="BU6:BX6"/>
    <mergeCell ref="BU7:BX7"/>
    <mergeCell ref="BU9:BW9"/>
    <mergeCell ref="BX9:BY9"/>
    <mergeCell ref="BU10:BW10"/>
    <mergeCell ref="BX10:BY10"/>
    <mergeCell ref="H31:J31"/>
    <mergeCell ref="L31:N31"/>
    <mergeCell ref="G32:J32"/>
    <mergeCell ref="K32:N32"/>
    <mergeCell ref="G33:J33"/>
    <mergeCell ref="K33:N33"/>
    <mergeCell ref="G29:J29"/>
    <mergeCell ref="K29:N29"/>
    <mergeCell ref="S29:V29"/>
    <mergeCell ref="W29:Z29"/>
    <mergeCell ref="G30:J30"/>
    <mergeCell ref="K30:N30"/>
    <mergeCell ref="S30:V30"/>
    <mergeCell ref="W30:Z30"/>
    <mergeCell ref="H27:J27"/>
    <mergeCell ref="L27:N27"/>
    <mergeCell ref="T27:V27"/>
    <mergeCell ref="X27:Z27"/>
    <mergeCell ref="G28:J28"/>
    <mergeCell ref="K28:N28"/>
    <mergeCell ref="S28:V28"/>
    <mergeCell ref="W28:Z28"/>
    <mergeCell ref="AM26:AP26"/>
    <mergeCell ref="AQ26:AT26"/>
    <mergeCell ref="AU26:AX26"/>
    <mergeCell ref="AY26:BB26"/>
    <mergeCell ref="BC26:BF26"/>
    <mergeCell ref="BG26:BJ26"/>
    <mergeCell ref="AQ25:AT25"/>
    <mergeCell ref="AU25:AX25"/>
    <mergeCell ref="AY25:BB25"/>
    <mergeCell ref="BC25:BF25"/>
    <mergeCell ref="BG25:BJ25"/>
    <mergeCell ref="G26:J26"/>
    <mergeCell ref="K26:N26"/>
    <mergeCell ref="S26:V26"/>
    <mergeCell ref="W26:Z26"/>
    <mergeCell ref="AE26:AH26"/>
    <mergeCell ref="G25:J25"/>
    <mergeCell ref="K25:N25"/>
    <mergeCell ref="S25:V25"/>
    <mergeCell ref="W25:Z25"/>
    <mergeCell ref="AE25:AH25"/>
    <mergeCell ref="AM25:AP25"/>
    <mergeCell ref="AM24:AP24"/>
    <mergeCell ref="AQ24:AT24"/>
    <mergeCell ref="AU24:AX24"/>
    <mergeCell ref="AY24:BB24"/>
    <mergeCell ref="BC24:BF24"/>
    <mergeCell ref="BG24:BJ24"/>
    <mergeCell ref="AR23:AT23"/>
    <mergeCell ref="AV23:AX23"/>
    <mergeCell ref="AZ23:BB23"/>
    <mergeCell ref="BD23:BF23"/>
    <mergeCell ref="BH23:BJ23"/>
    <mergeCell ref="G24:J24"/>
    <mergeCell ref="K24:N24"/>
    <mergeCell ref="S24:V24"/>
    <mergeCell ref="W24:Z24"/>
    <mergeCell ref="AE24:AH24"/>
    <mergeCell ref="H23:J23"/>
    <mergeCell ref="L23:N23"/>
    <mergeCell ref="T23:V23"/>
    <mergeCell ref="X23:Z23"/>
    <mergeCell ref="AF23:AH23"/>
    <mergeCell ref="AN23:AP23"/>
    <mergeCell ref="AQ22:AT22"/>
    <mergeCell ref="AU22:AX22"/>
    <mergeCell ref="AY22:BB22"/>
    <mergeCell ref="BC22:BF22"/>
    <mergeCell ref="BG22:BJ22"/>
    <mergeCell ref="BK22:BN22"/>
    <mergeCell ref="BK21:BN21"/>
    <mergeCell ref="G22:J22"/>
    <mergeCell ref="K22:N22"/>
    <mergeCell ref="O22:R22"/>
    <mergeCell ref="S22:V22"/>
    <mergeCell ref="W22:Z22"/>
    <mergeCell ref="AA22:AD22"/>
    <mergeCell ref="AE22:AH22"/>
    <mergeCell ref="AI22:AL22"/>
    <mergeCell ref="AM22:AP22"/>
    <mergeCell ref="AM21:AP21"/>
    <mergeCell ref="AQ21:AT21"/>
    <mergeCell ref="AU21:AX21"/>
    <mergeCell ref="AY21:BB21"/>
    <mergeCell ref="BC21:BF21"/>
    <mergeCell ref="BG21:BJ21"/>
    <mergeCell ref="BG20:BJ20"/>
    <mergeCell ref="BK20:BN20"/>
    <mergeCell ref="G21:J21"/>
    <mergeCell ref="K21:N21"/>
    <mergeCell ref="O21:R21"/>
    <mergeCell ref="S21:V21"/>
    <mergeCell ref="W21:Z21"/>
    <mergeCell ref="AA21:AD21"/>
    <mergeCell ref="AE21:AH21"/>
    <mergeCell ref="AI21:AL21"/>
    <mergeCell ref="AI20:AL20"/>
    <mergeCell ref="AM20:AP20"/>
    <mergeCell ref="AQ20:AT20"/>
    <mergeCell ref="AU20:AX20"/>
    <mergeCell ref="AY20:BB20"/>
    <mergeCell ref="BC20:BF20"/>
    <mergeCell ref="BD19:BF19"/>
    <mergeCell ref="BH19:BJ19"/>
    <mergeCell ref="BL19:BN19"/>
    <mergeCell ref="G20:J20"/>
    <mergeCell ref="K20:N20"/>
    <mergeCell ref="O20:R20"/>
    <mergeCell ref="S20:V20"/>
    <mergeCell ref="W20:Z20"/>
    <mergeCell ref="AA20:AD20"/>
    <mergeCell ref="AE20:AH20"/>
    <mergeCell ref="AF19:AH19"/>
    <mergeCell ref="AJ19:AL19"/>
    <mergeCell ref="AN19:AP19"/>
    <mergeCell ref="AR19:AT19"/>
    <mergeCell ref="AV19:AX19"/>
    <mergeCell ref="AZ19:BB19"/>
    <mergeCell ref="BC18:BF18"/>
    <mergeCell ref="BG18:BJ18"/>
    <mergeCell ref="BK18:BN18"/>
    <mergeCell ref="BO18:BR18"/>
    <mergeCell ref="H19:J19"/>
    <mergeCell ref="L19:N19"/>
    <mergeCell ref="P19:R19"/>
    <mergeCell ref="T19:V19"/>
    <mergeCell ref="X19:Z19"/>
    <mergeCell ref="AB19:AD19"/>
    <mergeCell ref="BC17:BF17"/>
    <mergeCell ref="BG17:BJ17"/>
    <mergeCell ref="BK17:BN17"/>
    <mergeCell ref="BO17:BR17"/>
    <mergeCell ref="S18:V18"/>
    <mergeCell ref="W18:Z18"/>
    <mergeCell ref="AE18:AH18"/>
    <mergeCell ref="AI18:AL18"/>
    <mergeCell ref="AM18:AP18"/>
    <mergeCell ref="AQ18:AT18"/>
    <mergeCell ref="BC16:BF16"/>
    <mergeCell ref="BG16:BJ16"/>
    <mergeCell ref="BK16:BN16"/>
    <mergeCell ref="BO16:BR16"/>
    <mergeCell ref="S17:V17"/>
    <mergeCell ref="W17:Z17"/>
    <mergeCell ref="AE17:AH17"/>
    <mergeCell ref="AI17:AL17"/>
    <mergeCell ref="AM17:AP17"/>
    <mergeCell ref="AQ17:AT17"/>
    <mergeCell ref="BD15:BF15"/>
    <mergeCell ref="BH15:BJ15"/>
    <mergeCell ref="BL15:BN15"/>
    <mergeCell ref="BP15:BR15"/>
    <mergeCell ref="S16:V16"/>
    <mergeCell ref="W16:Z16"/>
    <mergeCell ref="AE16:AH16"/>
    <mergeCell ref="AI16:AL16"/>
    <mergeCell ref="AM16:AP16"/>
    <mergeCell ref="AQ16:AT16"/>
    <mergeCell ref="BC14:BF14"/>
    <mergeCell ref="BG14:BJ14"/>
    <mergeCell ref="BK14:BN14"/>
    <mergeCell ref="BO14:BR14"/>
    <mergeCell ref="T15:V15"/>
    <mergeCell ref="X15:Z15"/>
    <mergeCell ref="AF15:AH15"/>
    <mergeCell ref="AJ15:AL15"/>
    <mergeCell ref="AN15:AP15"/>
    <mergeCell ref="AR15:AT15"/>
    <mergeCell ref="BC12:BF12"/>
    <mergeCell ref="BG12:BJ12"/>
    <mergeCell ref="BK12:BN12"/>
    <mergeCell ref="BO12:BR12"/>
    <mergeCell ref="BC13:BF13"/>
    <mergeCell ref="BG13:BJ13"/>
    <mergeCell ref="BK13:BN13"/>
    <mergeCell ref="BO13:BR13"/>
    <mergeCell ref="BP7:BR7"/>
    <mergeCell ref="BO8:BR8"/>
    <mergeCell ref="BO9:BR9"/>
    <mergeCell ref="BO10:BR10"/>
    <mergeCell ref="BD11:BF11"/>
    <mergeCell ref="BH11:BJ11"/>
    <mergeCell ref="BL11:BN11"/>
    <mergeCell ref="BP11:BR11"/>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7EE68-FA62-4817-9328-589DD39CC759}">
  <sheetPr codeName="Sheet14">
    <tabColor rgb="FF0F8472"/>
  </sheetPr>
  <dimension ref="A1:AG153"/>
  <sheetViews>
    <sheetView zoomScaleNormal="100" workbookViewId="0"/>
  </sheetViews>
  <sheetFormatPr defaultColWidth="3.5" defaultRowHeight="21" customHeight="1" x14ac:dyDescent="0.55000000000000004"/>
  <cols>
    <col min="1" max="16384" width="3.5" style="10"/>
  </cols>
  <sheetData>
    <row r="1" spans="1:33" ht="21" customHeight="1" x14ac:dyDescent="0.55000000000000004">
      <c r="A1" s="36"/>
      <c r="F1" s="36" t="s">
        <v>147</v>
      </c>
      <c r="G1" s="36"/>
      <c r="I1" s="36"/>
      <c r="M1" s="36"/>
      <c r="Q1" s="36" t="s">
        <v>148</v>
      </c>
      <c r="V1" s="36"/>
      <c r="AF1" s="36" t="s">
        <v>146</v>
      </c>
    </row>
    <row r="2" spans="1:33" ht="21" customHeight="1" x14ac:dyDescent="0.55000000000000004">
      <c r="B2" s="12" t="s">
        <v>233</v>
      </c>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row>
    <row r="10" spans="1:33" ht="21" customHeight="1" x14ac:dyDescent="0.55000000000000004">
      <c r="G10" s="34" t="s">
        <v>239</v>
      </c>
      <c r="H10" s="26"/>
      <c r="I10" s="26"/>
      <c r="J10" s="26"/>
      <c r="K10" s="26"/>
      <c r="L10" s="10" t="s">
        <v>240</v>
      </c>
    </row>
    <row r="13" spans="1:33" ht="21" customHeight="1" x14ac:dyDescent="0.55000000000000004">
      <c r="D13" s="12" t="s">
        <v>32</v>
      </c>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row>
    <row r="21" spans="1:33" ht="21" customHeight="1" x14ac:dyDescent="0.55000000000000004">
      <c r="G21" s="10" t="s">
        <v>117</v>
      </c>
    </row>
    <row r="22" spans="1:33" ht="21" customHeight="1" x14ac:dyDescent="0.55000000000000004">
      <c r="F22" s="13" t="s">
        <v>30</v>
      </c>
      <c r="G22" s="10" t="s">
        <v>116</v>
      </c>
    </row>
    <row r="23" spans="1:33" ht="21" customHeight="1" x14ac:dyDescent="0.55000000000000004">
      <c r="F23" s="13"/>
    </row>
    <row r="24" spans="1:33" ht="21" customHeight="1" thickBot="1" x14ac:dyDescent="0.45">
      <c r="F24" s="25" t="s">
        <v>40</v>
      </c>
      <c r="Q24" s="25" t="s">
        <v>41</v>
      </c>
    </row>
    <row r="25" spans="1:33" ht="21" customHeight="1" thickTop="1" thickBot="1" x14ac:dyDescent="0.6">
      <c r="A25" s="36" t="s">
        <v>123</v>
      </c>
      <c r="F25" s="66" t="s">
        <v>479</v>
      </c>
      <c r="G25" s="67"/>
      <c r="H25" s="67"/>
      <c r="I25" s="67"/>
      <c r="J25" s="67"/>
      <c r="K25" s="67"/>
      <c r="L25" s="67"/>
      <c r="M25" s="67"/>
      <c r="N25" s="67"/>
      <c r="O25" s="68"/>
      <c r="Q25" s="66" t="s">
        <v>215</v>
      </c>
      <c r="R25" s="67"/>
      <c r="S25" s="67"/>
      <c r="T25" s="68"/>
    </row>
    <row r="26" spans="1:33" ht="21" customHeight="1" thickTop="1" x14ac:dyDescent="0.55000000000000004"/>
    <row r="28" spans="1:33" ht="21" customHeight="1" x14ac:dyDescent="0.55000000000000004">
      <c r="D28" s="12" t="s">
        <v>33</v>
      </c>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row>
    <row r="35" spans="1:33" ht="21" customHeight="1" x14ac:dyDescent="0.55000000000000004">
      <c r="H35" s="10" t="s">
        <v>118</v>
      </c>
    </row>
    <row r="36" spans="1:33" ht="21" customHeight="1" x14ac:dyDescent="0.55000000000000004">
      <c r="F36" s="13"/>
      <c r="G36" s="13" t="s">
        <v>30</v>
      </c>
      <c r="H36" s="10" t="s">
        <v>119</v>
      </c>
    </row>
    <row r="37" spans="1:33" ht="21" customHeight="1" x14ac:dyDescent="0.55000000000000004">
      <c r="F37" s="13"/>
    </row>
    <row r="38" spans="1:33" ht="21" customHeight="1" x14ac:dyDescent="0.55000000000000004">
      <c r="F38" s="13"/>
      <c r="G38" s="10" t="s">
        <v>79</v>
      </c>
    </row>
    <row r="39" spans="1:33" ht="21" customHeight="1" thickBot="1" x14ac:dyDescent="0.45">
      <c r="F39" s="25" t="s">
        <v>40</v>
      </c>
      <c r="Q39" s="25" t="s">
        <v>42</v>
      </c>
    </row>
    <row r="40" spans="1:33" ht="21" customHeight="1" thickTop="1" thickBot="1" x14ac:dyDescent="0.6">
      <c r="A40" s="36" t="s">
        <v>135</v>
      </c>
      <c r="F40" s="66" t="s">
        <v>499</v>
      </c>
      <c r="G40" s="67"/>
      <c r="H40" s="67"/>
      <c r="I40" s="67"/>
      <c r="J40" s="67"/>
      <c r="K40" s="67"/>
      <c r="L40" s="67"/>
      <c r="M40" s="67"/>
      <c r="N40" s="67"/>
      <c r="O40" s="68"/>
      <c r="Q40" s="66" t="s">
        <v>108</v>
      </c>
      <c r="R40" s="68"/>
    </row>
    <row r="41" spans="1:33" ht="21" customHeight="1" thickTop="1" x14ac:dyDescent="0.55000000000000004"/>
    <row r="43" spans="1:33" ht="21" customHeight="1" x14ac:dyDescent="0.55000000000000004">
      <c r="D43" s="12" t="s">
        <v>34</v>
      </c>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row>
    <row r="55" spans="1:20" ht="21" customHeight="1" x14ac:dyDescent="0.55000000000000004">
      <c r="F55" s="13" t="s">
        <v>30</v>
      </c>
      <c r="G55" s="10" t="s">
        <v>36</v>
      </c>
    </row>
    <row r="56" spans="1:20" ht="21" customHeight="1" x14ac:dyDescent="0.55000000000000004">
      <c r="P56" s="28" t="s">
        <v>85</v>
      </c>
      <c r="Q56" s="28"/>
      <c r="R56" s="28"/>
      <c r="S56" s="28"/>
      <c r="T56" s="10" t="s">
        <v>121</v>
      </c>
    </row>
    <row r="57" spans="1:20" ht="21" customHeight="1" x14ac:dyDescent="0.55000000000000004">
      <c r="F57" s="13"/>
      <c r="P57" s="13" t="s">
        <v>30</v>
      </c>
      <c r="Q57" s="10" t="s">
        <v>120</v>
      </c>
    </row>
    <row r="58" spans="1:20" ht="21" customHeight="1" x14ac:dyDescent="0.55000000000000004">
      <c r="F58" s="13"/>
    </row>
    <row r="59" spans="1:20" ht="21" customHeight="1" thickBot="1" x14ac:dyDescent="0.45">
      <c r="F59" s="13"/>
      <c r="Q59" s="25" t="s">
        <v>43</v>
      </c>
    </row>
    <row r="60" spans="1:20" ht="21" customHeight="1" thickTop="1" thickBot="1" x14ac:dyDescent="0.6">
      <c r="A60" s="36" t="s">
        <v>170</v>
      </c>
      <c r="F60" s="13"/>
      <c r="Q60" s="66" t="s">
        <v>231</v>
      </c>
      <c r="R60" s="68"/>
    </row>
    <row r="61" spans="1:20" ht="21" customHeight="1" thickTop="1" x14ac:dyDescent="0.55000000000000004">
      <c r="E61" s="10" t="s">
        <v>173</v>
      </c>
    </row>
    <row r="62" spans="1:20" ht="21" customHeight="1" thickBot="1" x14ac:dyDescent="0.6">
      <c r="E62" s="23"/>
      <c r="F62" s="38" t="s">
        <v>16</v>
      </c>
      <c r="G62" s="39" t="s">
        <v>17</v>
      </c>
      <c r="H62" s="39" t="s">
        <v>18</v>
      </c>
      <c r="I62" s="39" t="s">
        <v>19</v>
      </c>
      <c r="J62" s="23"/>
    </row>
    <row r="63" spans="1:20" ht="21" customHeight="1" x14ac:dyDescent="0.55000000000000004">
      <c r="A63" s="36" t="s">
        <v>134</v>
      </c>
      <c r="E63" s="23"/>
      <c r="F63" s="7"/>
      <c r="G63" s="75" t="s">
        <v>24</v>
      </c>
      <c r="H63" s="75"/>
      <c r="I63" s="76"/>
      <c r="J63" s="23"/>
    </row>
    <row r="64" spans="1:20" ht="21" customHeight="1" x14ac:dyDescent="0.55000000000000004">
      <c r="E64" s="23"/>
      <c r="F64" s="129" t="s">
        <v>235</v>
      </c>
      <c r="G64" s="130"/>
      <c r="H64" s="130"/>
      <c r="I64" s="131"/>
      <c r="J64" s="23"/>
    </row>
    <row r="65" spans="1:33" ht="21" customHeight="1" x14ac:dyDescent="0.55000000000000004">
      <c r="E65" s="23"/>
      <c r="F65" s="126" t="s">
        <v>237</v>
      </c>
      <c r="G65" s="127"/>
      <c r="H65" s="127"/>
      <c r="I65" s="128"/>
      <c r="J65" s="23"/>
    </row>
    <row r="66" spans="1:33" ht="21" customHeight="1" thickBot="1" x14ac:dyDescent="0.6">
      <c r="A66" s="36"/>
      <c r="E66" s="23"/>
      <c r="F66" s="92" t="s">
        <v>207</v>
      </c>
      <c r="G66" s="93"/>
      <c r="H66" s="93"/>
      <c r="I66" s="94"/>
      <c r="J66" s="23"/>
    </row>
    <row r="67" spans="1:33" ht="21" customHeight="1" x14ac:dyDescent="0.55000000000000004">
      <c r="E67" s="23"/>
      <c r="F67" s="23"/>
      <c r="G67" s="23"/>
      <c r="H67" s="23"/>
      <c r="I67" s="23"/>
      <c r="J67" s="23"/>
    </row>
    <row r="68" spans="1:33" ht="21" customHeight="1" thickBot="1" x14ac:dyDescent="0.45">
      <c r="Q68" s="25" t="s">
        <v>167</v>
      </c>
    </row>
    <row r="69" spans="1:33" ht="21" customHeight="1" thickTop="1" thickBot="1" x14ac:dyDescent="0.6">
      <c r="A69" s="36" t="s">
        <v>172</v>
      </c>
      <c r="Q69" s="66" t="s">
        <v>171</v>
      </c>
      <c r="R69" s="67"/>
      <c r="S69" s="67"/>
      <c r="T69" s="68"/>
    </row>
    <row r="70" spans="1:33" ht="21" customHeight="1" thickTop="1" x14ac:dyDescent="0.55000000000000004">
      <c r="Q70" s="44" t="s">
        <v>163</v>
      </c>
    </row>
    <row r="72" spans="1:33" ht="21" customHeight="1" x14ac:dyDescent="0.55000000000000004">
      <c r="G72" s="10" t="s">
        <v>37</v>
      </c>
    </row>
    <row r="75" spans="1:33" ht="21" customHeight="1" x14ac:dyDescent="0.55000000000000004">
      <c r="D75" s="12" t="s">
        <v>35</v>
      </c>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row>
    <row r="95" spans="8:8" ht="21" customHeight="1" x14ac:dyDescent="0.55000000000000004">
      <c r="H95" s="10" t="s">
        <v>122</v>
      </c>
    </row>
    <row r="97" spans="1:18" ht="21" customHeight="1" thickBot="1" x14ac:dyDescent="0.45">
      <c r="Q97" s="25" t="s">
        <v>136</v>
      </c>
    </row>
    <row r="98" spans="1:18" ht="21" customHeight="1" thickTop="1" thickBot="1" x14ac:dyDescent="0.6">
      <c r="A98" s="36" t="s">
        <v>161</v>
      </c>
      <c r="Q98" s="66" t="s">
        <v>230</v>
      </c>
      <c r="R98" s="68"/>
    </row>
    <row r="99" spans="1:18" ht="21" customHeight="1" thickTop="1" x14ac:dyDescent="0.55000000000000004"/>
    <row r="100" spans="1:18" ht="21" customHeight="1" x14ac:dyDescent="0.55000000000000004">
      <c r="G100" s="13" t="s">
        <v>30</v>
      </c>
      <c r="H100" s="10" t="s">
        <v>160</v>
      </c>
    </row>
    <row r="102" spans="1:18" ht="21" customHeight="1" thickBot="1" x14ac:dyDescent="0.6">
      <c r="E102" s="37"/>
      <c r="F102" s="38" t="s">
        <v>16</v>
      </c>
      <c r="G102" s="39" t="s">
        <v>17</v>
      </c>
      <c r="H102" s="39" t="s">
        <v>18</v>
      </c>
      <c r="I102" s="39" t="s">
        <v>19</v>
      </c>
      <c r="J102" s="39" t="s">
        <v>20</v>
      </c>
      <c r="K102" s="39" t="s">
        <v>21</v>
      </c>
      <c r="L102" s="39" t="s">
        <v>22</v>
      </c>
      <c r="M102" s="39" t="s">
        <v>23</v>
      </c>
      <c r="N102" s="40"/>
    </row>
    <row r="103" spans="1:18" ht="21" customHeight="1" x14ac:dyDescent="0.55000000000000004">
      <c r="A103" s="36" t="s">
        <v>133</v>
      </c>
      <c r="E103" s="37">
        <v>1</v>
      </c>
      <c r="F103" s="10" t="s">
        <v>39</v>
      </c>
      <c r="G103" s="122" t="s">
        <v>28</v>
      </c>
      <c r="H103" s="123"/>
      <c r="I103" s="123"/>
      <c r="J103" s="124" t="s">
        <v>27</v>
      </c>
      <c r="K103" s="125"/>
      <c r="L103" s="88" t="s">
        <v>29</v>
      </c>
      <c r="M103" s="88"/>
      <c r="N103" s="24"/>
    </row>
    <row r="104" spans="1:18" ht="21" customHeight="1" x14ac:dyDescent="0.55000000000000004">
      <c r="E104" s="37">
        <v>2</v>
      </c>
      <c r="F104" s="10">
        <v>1</v>
      </c>
      <c r="G104" s="101">
        <v>5000</v>
      </c>
      <c r="H104" s="89"/>
      <c r="I104" s="89"/>
      <c r="J104" s="117"/>
      <c r="K104" s="118"/>
      <c r="L104" s="119"/>
      <c r="M104" s="119"/>
      <c r="N104" s="24"/>
    </row>
    <row r="105" spans="1:18" ht="21" customHeight="1" x14ac:dyDescent="0.55000000000000004">
      <c r="E105" s="37">
        <v>3</v>
      </c>
      <c r="F105" s="10">
        <v>2</v>
      </c>
      <c r="G105" s="101">
        <v>2500</v>
      </c>
      <c r="H105" s="89"/>
      <c r="I105" s="89"/>
      <c r="J105" s="120"/>
      <c r="K105" s="121"/>
      <c r="L105" s="119"/>
      <c r="M105" s="119"/>
      <c r="N105" s="24"/>
    </row>
    <row r="106" spans="1:18" ht="21" customHeight="1" x14ac:dyDescent="0.55000000000000004">
      <c r="E106" s="37">
        <v>4</v>
      </c>
      <c r="F106" s="10">
        <v>3</v>
      </c>
      <c r="G106" s="101">
        <v>1250</v>
      </c>
      <c r="H106" s="89"/>
      <c r="I106" s="89"/>
      <c r="J106" s="150"/>
      <c r="K106" s="151"/>
      <c r="L106" s="152"/>
      <c r="M106" s="108"/>
      <c r="N106" s="24"/>
    </row>
    <row r="107" spans="1:18" ht="21" customHeight="1" x14ac:dyDescent="0.55000000000000004">
      <c r="E107" s="37">
        <v>5</v>
      </c>
      <c r="F107" s="10">
        <v>4</v>
      </c>
      <c r="G107" s="113">
        <v>1000</v>
      </c>
      <c r="H107" s="114"/>
      <c r="I107" s="114"/>
      <c r="J107" s="111"/>
      <c r="K107" s="112"/>
      <c r="L107" s="108"/>
      <c r="M107" s="108"/>
      <c r="N107" s="24"/>
    </row>
    <row r="108" spans="1:18" ht="21" customHeight="1" x14ac:dyDescent="0.55000000000000004">
      <c r="E108" s="37">
        <v>6</v>
      </c>
      <c r="F108" s="10">
        <v>5</v>
      </c>
      <c r="G108" s="101">
        <v>750</v>
      </c>
      <c r="H108" s="89"/>
      <c r="I108" s="89"/>
      <c r="J108" s="115"/>
      <c r="K108" s="116"/>
      <c r="L108" s="108"/>
      <c r="M108" s="108"/>
      <c r="N108" s="24"/>
    </row>
    <row r="109" spans="1:18" ht="21" customHeight="1" x14ac:dyDescent="0.55000000000000004">
      <c r="E109" s="37">
        <v>7</v>
      </c>
      <c r="F109" s="10">
        <v>6</v>
      </c>
      <c r="G109" s="101">
        <v>500</v>
      </c>
      <c r="H109" s="89"/>
      <c r="I109" s="89"/>
      <c r="J109" s="148"/>
      <c r="K109" s="149"/>
      <c r="L109" s="108"/>
      <c r="M109" s="108"/>
      <c r="N109" s="24"/>
    </row>
    <row r="110" spans="1:18" ht="21" customHeight="1" x14ac:dyDescent="0.55000000000000004">
      <c r="E110" s="37">
        <v>8</v>
      </c>
      <c r="F110" s="10">
        <v>7</v>
      </c>
      <c r="G110" s="101">
        <v>250</v>
      </c>
      <c r="H110" s="89"/>
      <c r="I110" s="89"/>
      <c r="J110" s="146"/>
      <c r="K110" s="147"/>
      <c r="L110" s="108"/>
      <c r="M110" s="108"/>
      <c r="N110" s="24"/>
    </row>
    <row r="111" spans="1:18" ht="21" customHeight="1" x14ac:dyDescent="0.55000000000000004">
      <c r="E111" s="37">
        <v>9</v>
      </c>
      <c r="F111" s="10">
        <v>8</v>
      </c>
      <c r="G111" s="101">
        <v>125</v>
      </c>
      <c r="H111" s="89"/>
      <c r="I111" s="89"/>
      <c r="J111" s="106"/>
      <c r="K111" s="107"/>
      <c r="L111" s="108"/>
      <c r="M111" s="108"/>
      <c r="N111" s="24"/>
    </row>
    <row r="112" spans="1:18" ht="21" customHeight="1" x14ac:dyDescent="0.55000000000000004">
      <c r="E112" s="37">
        <v>10</v>
      </c>
      <c r="F112" s="10">
        <v>9</v>
      </c>
      <c r="G112" s="101">
        <v>100</v>
      </c>
      <c r="H112" s="89"/>
      <c r="I112" s="89"/>
      <c r="J112" s="109"/>
      <c r="K112" s="110"/>
      <c r="L112" s="108"/>
      <c r="M112" s="108"/>
      <c r="N112" s="24"/>
    </row>
    <row r="113" spans="1:33" ht="21" customHeight="1" x14ac:dyDescent="0.55000000000000004">
      <c r="E113" s="37">
        <v>11</v>
      </c>
      <c r="F113" s="10">
        <v>10</v>
      </c>
      <c r="G113" s="101">
        <v>50</v>
      </c>
      <c r="H113" s="89"/>
      <c r="I113" s="89"/>
      <c r="J113" s="102"/>
      <c r="K113" s="103"/>
      <c r="L113" s="108"/>
      <c r="M113" s="108"/>
      <c r="N113" s="24"/>
    </row>
    <row r="114" spans="1:33" ht="21" customHeight="1" thickBot="1" x14ac:dyDescent="0.6">
      <c r="E114" s="37">
        <v>12</v>
      </c>
      <c r="F114" s="10">
        <v>11</v>
      </c>
      <c r="G114" s="104">
        <v>0</v>
      </c>
      <c r="H114" s="105"/>
      <c r="I114" s="105"/>
      <c r="J114" s="144"/>
      <c r="K114" s="145"/>
      <c r="L114" s="48"/>
      <c r="M114" s="48"/>
      <c r="N114" s="24"/>
    </row>
    <row r="115" spans="1:33" ht="21" customHeight="1" x14ac:dyDescent="0.55000000000000004">
      <c r="E115" s="37"/>
      <c r="F115" s="24"/>
      <c r="G115" s="24"/>
      <c r="H115" s="24"/>
      <c r="I115" s="24"/>
      <c r="J115" s="24"/>
      <c r="K115" s="24"/>
      <c r="L115" s="24"/>
      <c r="M115" s="24"/>
      <c r="N115" s="24"/>
    </row>
    <row r="117" spans="1:33" ht="21" customHeight="1" thickBot="1" x14ac:dyDescent="0.45">
      <c r="Q117" s="25" t="s">
        <v>167</v>
      </c>
    </row>
    <row r="118" spans="1:33" ht="21" customHeight="1" thickTop="1" thickBot="1" x14ac:dyDescent="0.6">
      <c r="A118" s="36" t="s">
        <v>166</v>
      </c>
      <c r="Q118" s="66" t="s">
        <v>168</v>
      </c>
      <c r="R118" s="67"/>
      <c r="S118" s="67"/>
      <c r="T118" s="68"/>
    </row>
    <row r="119" spans="1:33" ht="21" customHeight="1" thickTop="1" x14ac:dyDescent="0.55000000000000004">
      <c r="Q119" s="44" t="s">
        <v>163</v>
      </c>
    </row>
    <row r="120" spans="1:33" ht="21" customHeight="1" thickBot="1" x14ac:dyDescent="0.45">
      <c r="F120" s="25" t="s">
        <v>44</v>
      </c>
    </row>
    <row r="121" spans="1:33" ht="21" customHeight="1" thickTop="1" thickBot="1" x14ac:dyDescent="0.6">
      <c r="A121" s="36" t="s">
        <v>164</v>
      </c>
      <c r="F121" s="66" t="s">
        <v>149</v>
      </c>
      <c r="G121" s="67"/>
      <c r="H121" s="67"/>
      <c r="I121" s="68"/>
    </row>
    <row r="122" spans="1:33" ht="21" customHeight="1" thickTop="1" x14ac:dyDescent="0.55000000000000004">
      <c r="F122" s="44" t="s">
        <v>163</v>
      </c>
    </row>
    <row r="125" spans="1:33" ht="21" customHeight="1" x14ac:dyDescent="0.55000000000000004">
      <c r="D125" s="12" t="s">
        <v>35</v>
      </c>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row>
    <row r="127" spans="1:33" ht="21" customHeight="1" thickBot="1" x14ac:dyDescent="0.6">
      <c r="F127" s="13" t="s">
        <v>30</v>
      </c>
      <c r="G127" s="10" t="s">
        <v>31</v>
      </c>
    </row>
    <row r="128" spans="1:33" ht="21" customHeight="1" x14ac:dyDescent="0.55000000000000004">
      <c r="F128" s="14"/>
      <c r="G128" s="15"/>
      <c r="H128" s="15"/>
      <c r="I128" s="15"/>
      <c r="J128" s="15"/>
      <c r="K128" s="15"/>
      <c r="L128" s="15"/>
      <c r="M128" s="15"/>
      <c r="N128" s="16"/>
    </row>
    <row r="129" spans="6:14" ht="21" customHeight="1" x14ac:dyDescent="0.55000000000000004">
      <c r="F129" s="17"/>
      <c r="N129" s="18"/>
    </row>
    <row r="130" spans="6:14" ht="21" customHeight="1" x14ac:dyDescent="0.55000000000000004">
      <c r="F130" s="17"/>
      <c r="N130" s="18"/>
    </row>
    <row r="131" spans="6:14" ht="21" customHeight="1" thickBot="1" x14ac:dyDescent="0.6">
      <c r="F131" s="19"/>
      <c r="G131" s="20"/>
      <c r="H131" s="20"/>
      <c r="I131" s="20"/>
      <c r="J131" s="20"/>
      <c r="K131" s="20"/>
      <c r="L131" s="20"/>
      <c r="M131" s="20"/>
      <c r="N131" s="21"/>
    </row>
    <row r="150" spans="1:8" ht="21" customHeight="1" x14ac:dyDescent="0.55000000000000004">
      <c r="H150" s="10" t="s">
        <v>81</v>
      </c>
    </row>
    <row r="152" spans="1:8" ht="21" customHeight="1" x14ac:dyDescent="0.55000000000000004">
      <c r="B152" s="10" t="s">
        <v>28</v>
      </c>
    </row>
    <row r="153" spans="1:8" ht="21" customHeight="1" x14ac:dyDescent="0.55000000000000004">
      <c r="A153" s="36" t="s">
        <v>109</v>
      </c>
    </row>
  </sheetData>
  <mergeCells count="48">
    <mergeCell ref="G114:I114"/>
    <mergeCell ref="J114:K114"/>
    <mergeCell ref="Q118:T118"/>
    <mergeCell ref="F121:I121"/>
    <mergeCell ref="G112:I112"/>
    <mergeCell ref="J112:K112"/>
    <mergeCell ref="L112:M112"/>
    <mergeCell ref="G113:I113"/>
    <mergeCell ref="J113:K113"/>
    <mergeCell ref="L113:M113"/>
    <mergeCell ref="G110:I110"/>
    <mergeCell ref="J110:K110"/>
    <mergeCell ref="L110:M110"/>
    <mergeCell ref="G111:I111"/>
    <mergeCell ref="J111:K111"/>
    <mergeCell ref="L111:M111"/>
    <mergeCell ref="G108:I108"/>
    <mergeCell ref="J108:K108"/>
    <mergeCell ref="L108:M108"/>
    <mergeCell ref="G109:I109"/>
    <mergeCell ref="J109:K109"/>
    <mergeCell ref="L109:M109"/>
    <mergeCell ref="G106:I106"/>
    <mergeCell ref="J106:K106"/>
    <mergeCell ref="L106:M106"/>
    <mergeCell ref="G107:I107"/>
    <mergeCell ref="J107:K107"/>
    <mergeCell ref="L107:M107"/>
    <mergeCell ref="G104:I104"/>
    <mergeCell ref="J104:K104"/>
    <mergeCell ref="L104:M104"/>
    <mergeCell ref="G105:I105"/>
    <mergeCell ref="J105:K105"/>
    <mergeCell ref="L105:M105"/>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3057"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FC886-7049-42CF-ABEF-4B355217E6AD}">
  <dimension ref="A1:CB40"/>
  <sheetViews>
    <sheetView workbookViewId="0"/>
  </sheetViews>
  <sheetFormatPr defaultColWidth="3.5" defaultRowHeight="21.15" customHeight="1" x14ac:dyDescent="0.55000000000000004"/>
  <sheetData>
    <row r="1" spans="1:80" ht="21.15" customHeight="1" x14ac:dyDescent="0.55000000000000004">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row>
    <row r="2" spans="1:80" ht="21.15" customHeight="1" x14ac:dyDescent="0.55000000000000004">
      <c r="A2" s="166"/>
      <c r="B2" s="167"/>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7"/>
      <c r="AS2" s="167"/>
      <c r="AT2" s="167"/>
      <c r="AU2" s="167"/>
      <c r="AV2" s="167"/>
      <c r="AW2" s="167"/>
      <c r="AX2" s="167"/>
      <c r="AY2" s="167"/>
      <c r="AZ2" s="167"/>
      <c r="BA2" s="167"/>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6"/>
    </row>
    <row r="3" spans="1:80" ht="21.15" customHeight="1" thickBot="1" x14ac:dyDescent="0.6">
      <c r="A3" s="166"/>
      <c r="B3" s="167"/>
      <c r="C3" s="167"/>
      <c r="D3" s="229"/>
      <c r="E3" s="229"/>
      <c r="F3" s="229"/>
      <c r="G3" s="168" t="s">
        <v>62</v>
      </c>
      <c r="H3" s="167"/>
      <c r="I3" s="167"/>
      <c r="J3" s="167"/>
      <c r="K3" s="168" t="s">
        <v>61</v>
      </c>
      <c r="L3" s="167"/>
      <c r="M3" s="167"/>
      <c r="N3" s="167"/>
      <c r="O3" s="168" t="s">
        <v>60</v>
      </c>
      <c r="P3" s="167"/>
      <c r="Q3" s="167"/>
      <c r="R3" s="167"/>
      <c r="S3" s="168" t="s">
        <v>59</v>
      </c>
      <c r="T3" s="167"/>
      <c r="U3" s="167"/>
      <c r="V3" s="167"/>
      <c r="W3" s="168" t="s">
        <v>58</v>
      </c>
      <c r="X3" s="167"/>
      <c r="Y3" s="167"/>
      <c r="Z3" s="167"/>
      <c r="AA3" s="168" t="s">
        <v>57</v>
      </c>
      <c r="AB3" s="167"/>
      <c r="AC3" s="167"/>
      <c r="AD3" s="167"/>
      <c r="AE3" s="168" t="s">
        <v>56</v>
      </c>
      <c r="AF3" s="167"/>
      <c r="AG3" s="167"/>
      <c r="AH3" s="167"/>
      <c r="AI3" s="168" t="s">
        <v>55</v>
      </c>
      <c r="AJ3" s="167"/>
      <c r="AK3" s="167"/>
      <c r="AL3" s="167"/>
      <c r="AM3" s="168" t="s">
        <v>54</v>
      </c>
      <c r="AN3" s="167"/>
      <c r="AO3" s="167"/>
      <c r="AP3" s="167"/>
      <c r="AQ3" s="168" t="s">
        <v>53</v>
      </c>
      <c r="AR3" s="167"/>
      <c r="AS3" s="167"/>
      <c r="AT3" s="167"/>
      <c r="AU3" s="168" t="s">
        <v>52</v>
      </c>
      <c r="AV3" s="167"/>
      <c r="AW3" s="167"/>
      <c r="AX3" s="167"/>
      <c r="AY3" s="168" t="s">
        <v>51</v>
      </c>
      <c r="AZ3" s="167"/>
      <c r="BA3" s="167"/>
      <c r="BB3" s="167"/>
      <c r="BC3" s="168" t="s">
        <v>50</v>
      </c>
      <c r="BD3" s="167"/>
      <c r="BE3" s="167"/>
      <c r="BF3" s="167"/>
      <c r="BG3" s="168" t="s">
        <v>49</v>
      </c>
      <c r="BH3" s="167"/>
      <c r="BI3" s="167"/>
      <c r="BJ3" s="167"/>
      <c r="BK3" s="168" t="s">
        <v>48</v>
      </c>
      <c r="BL3" s="167"/>
      <c r="BM3" s="167"/>
      <c r="BN3" s="167"/>
      <c r="BO3" s="168" t="s">
        <v>47</v>
      </c>
      <c r="BP3" s="167"/>
      <c r="BQ3" s="167"/>
      <c r="BR3" s="167"/>
      <c r="BS3" s="168" t="s">
        <v>216</v>
      </c>
      <c r="BT3" s="167"/>
      <c r="BU3" s="167"/>
      <c r="BV3" s="167"/>
      <c r="BW3" s="167"/>
      <c r="BX3" s="167"/>
      <c r="BY3" s="167"/>
      <c r="BZ3" s="167"/>
      <c r="CA3" s="167"/>
      <c r="CB3" s="166"/>
    </row>
    <row r="4" spans="1:80" ht="21.15" customHeight="1" x14ac:dyDescent="0.55000000000000004">
      <c r="A4" s="166"/>
      <c r="B4" s="167"/>
      <c r="C4" s="229"/>
      <c r="D4" s="229"/>
      <c r="E4" s="229"/>
      <c r="F4" s="229"/>
      <c r="G4" s="167"/>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c r="BA4" s="167"/>
      <c r="BB4" s="167"/>
      <c r="BC4" s="167"/>
      <c r="BD4" s="167"/>
      <c r="BE4" s="167"/>
      <c r="BF4" s="167"/>
      <c r="BG4" s="167"/>
      <c r="BH4" s="167"/>
      <c r="BI4" s="167"/>
      <c r="BJ4" s="167"/>
      <c r="BK4" s="167"/>
      <c r="BL4" s="167"/>
      <c r="BM4" s="167"/>
      <c r="BN4" s="167"/>
      <c r="BO4" s="167"/>
      <c r="BP4" s="167"/>
      <c r="BQ4" s="167"/>
      <c r="BR4" s="167"/>
      <c r="BS4" s="167"/>
      <c r="BT4" s="167"/>
      <c r="BU4" s="183"/>
      <c r="BV4" s="170" t="s">
        <v>69</v>
      </c>
      <c r="BW4" s="170"/>
      <c r="BX4" s="185"/>
      <c r="BY4" s="167"/>
      <c r="BZ4" s="167"/>
      <c r="CA4" s="167"/>
      <c r="CB4" s="166"/>
    </row>
    <row r="5" spans="1:80" ht="21.15" customHeight="1" x14ac:dyDescent="0.55000000000000004">
      <c r="A5" s="166"/>
      <c r="B5" s="167"/>
      <c r="C5" s="229"/>
      <c r="D5" s="229"/>
      <c r="E5" s="229"/>
      <c r="F5" s="229"/>
      <c r="G5" s="167"/>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c r="BJ5" s="167"/>
      <c r="BK5" s="167"/>
      <c r="BL5" s="167"/>
      <c r="BM5" s="167"/>
      <c r="BN5" s="167"/>
      <c r="BO5" s="167"/>
      <c r="BP5" s="167"/>
      <c r="BQ5" s="167"/>
      <c r="BR5" s="167"/>
      <c r="BS5" s="167"/>
      <c r="BT5" s="167"/>
      <c r="BU5" s="196" t="s">
        <v>234</v>
      </c>
      <c r="BV5" s="186"/>
      <c r="BW5" s="186"/>
      <c r="BX5" s="187"/>
      <c r="BY5" s="167"/>
      <c r="BZ5" s="167"/>
      <c r="CA5" s="167"/>
      <c r="CB5" s="166"/>
    </row>
    <row r="6" spans="1:80" ht="21.15" customHeight="1" thickBot="1" x14ac:dyDescent="0.6">
      <c r="A6" s="166"/>
      <c r="B6" s="167"/>
      <c r="C6" s="229"/>
      <c r="D6" s="229"/>
      <c r="E6" s="229"/>
      <c r="F6" s="229"/>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7"/>
      <c r="BH6" s="167"/>
      <c r="BI6" s="167"/>
      <c r="BJ6" s="167"/>
      <c r="BK6" s="167"/>
      <c r="BL6" s="167"/>
      <c r="BM6" s="167"/>
      <c r="BN6" s="167"/>
      <c r="BO6" s="167"/>
      <c r="BP6" s="167"/>
      <c r="BQ6" s="167"/>
      <c r="BR6" s="167"/>
      <c r="BS6" s="167"/>
      <c r="BT6" s="167"/>
      <c r="BU6" s="188" t="s">
        <v>236</v>
      </c>
      <c r="BV6" s="186"/>
      <c r="BW6" s="186"/>
      <c r="BX6" s="187"/>
      <c r="BY6" s="167"/>
      <c r="BZ6" s="167"/>
      <c r="CA6" s="167"/>
      <c r="CB6" s="166"/>
    </row>
    <row r="7" spans="1:80" ht="21.15" customHeight="1" thickBot="1" x14ac:dyDescent="0.6">
      <c r="A7" s="166"/>
      <c r="B7" s="167"/>
      <c r="C7" s="168" t="s">
        <v>46</v>
      </c>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c r="BA7" s="167"/>
      <c r="BB7" s="167"/>
      <c r="BC7" s="167"/>
      <c r="BD7" s="167"/>
      <c r="BE7" s="167"/>
      <c r="BF7" s="167"/>
      <c r="BG7" s="167"/>
      <c r="BH7" s="167"/>
      <c r="BI7" s="167"/>
      <c r="BJ7" s="167"/>
      <c r="BK7" s="167"/>
      <c r="BL7" s="167"/>
      <c r="BM7" s="167"/>
      <c r="BN7" s="167"/>
      <c r="BO7" s="169">
        <v>1</v>
      </c>
      <c r="BP7" s="170" t="str">
        <f>VLOOKUP(BO7,市町村データ!A2:AX48,MATCH(手順書_全国_人口密度!$G$63, 市町村データ!A1:AX1, 0),FALSE)</f>
        <v>北海道</v>
      </c>
      <c r="BQ7" s="98"/>
      <c r="BR7" s="99"/>
      <c r="BS7" s="171"/>
      <c r="BT7" s="167"/>
      <c r="BU7" s="194" t="s">
        <v>238</v>
      </c>
      <c r="BV7" s="192"/>
      <c r="BW7" s="192"/>
      <c r="BX7" s="193"/>
      <c r="BY7" s="167"/>
      <c r="BZ7" s="167"/>
      <c r="CA7" s="167"/>
      <c r="CB7" s="166"/>
    </row>
    <row r="8" spans="1:80" ht="21.15" customHeight="1" thickBot="1" x14ac:dyDescent="0.6">
      <c r="A8" s="166"/>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c r="BA8" s="167"/>
      <c r="BB8" s="167"/>
      <c r="BC8" s="167"/>
      <c r="BD8" s="167"/>
      <c r="BE8" s="167"/>
      <c r="BF8" s="167"/>
      <c r="BG8" s="167"/>
      <c r="BH8" s="167"/>
      <c r="BI8" s="167"/>
      <c r="BJ8" s="167"/>
      <c r="BK8" s="167"/>
      <c r="BL8" s="167"/>
      <c r="BM8" s="167"/>
      <c r="BN8" s="167"/>
      <c r="BO8" s="132">
        <f>VLOOKUP(BO7,市町村データ!A2:AX48,MATCH(手順書_全国_人口密度!$F$64, 市町村データ!A1:AX1, 0),FALSE)</f>
        <v>66.599999999999994</v>
      </c>
      <c r="BP8" s="197"/>
      <c r="BQ8" s="197"/>
      <c r="BR8" s="100"/>
      <c r="BS8" s="171"/>
      <c r="BT8" s="167"/>
      <c r="BU8" s="167"/>
      <c r="BV8" s="167"/>
      <c r="BW8" s="174"/>
      <c r="BX8" s="167"/>
      <c r="BY8" s="167"/>
      <c r="BZ8" s="167"/>
      <c r="CA8" s="167"/>
      <c r="CB8" s="166"/>
    </row>
    <row r="9" spans="1:80" ht="21.15" customHeight="1" x14ac:dyDescent="0.55000000000000004">
      <c r="A9" s="166"/>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c r="BA9" s="167"/>
      <c r="BB9" s="167"/>
      <c r="BC9" s="167"/>
      <c r="BD9" s="167"/>
      <c r="BE9" s="167"/>
      <c r="BF9" s="167"/>
      <c r="BG9" s="167"/>
      <c r="BH9" s="167"/>
      <c r="BI9" s="167"/>
      <c r="BJ9" s="167"/>
      <c r="BK9" s="167"/>
      <c r="BL9" s="167"/>
      <c r="BM9" s="167"/>
      <c r="BN9" s="167"/>
      <c r="BO9" s="133">
        <f>VLOOKUP(BO7,市町村データ!A2:AX48,MATCH(手順書_全国_人口密度!$F$65, 市町村データ!A1:AX1, 0),FALSE)</f>
        <v>5224614</v>
      </c>
      <c r="BP9" s="197"/>
      <c r="BQ9" s="197"/>
      <c r="BR9" s="100"/>
      <c r="BS9" s="171"/>
      <c r="BT9" s="167"/>
      <c r="BU9" s="198" t="s">
        <v>71</v>
      </c>
      <c r="BV9" s="199"/>
      <c r="BW9" s="199"/>
      <c r="BX9" s="200" t="s">
        <v>70</v>
      </c>
      <c r="BY9" s="201"/>
      <c r="BZ9" s="167"/>
      <c r="CA9" s="167"/>
      <c r="CB9" s="166"/>
    </row>
    <row r="10" spans="1:80" ht="21.15" customHeight="1" thickBot="1" x14ac:dyDescent="0.6">
      <c r="A10" s="166"/>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7"/>
      <c r="BD10" s="167"/>
      <c r="BE10" s="167"/>
      <c r="BF10" s="167"/>
      <c r="BG10" s="167"/>
      <c r="BH10" s="167"/>
      <c r="BI10" s="167"/>
      <c r="BJ10" s="167"/>
      <c r="BK10" s="167"/>
      <c r="BL10" s="167"/>
      <c r="BM10" s="167"/>
      <c r="BN10" s="167"/>
      <c r="BO10" s="218">
        <f>VLOOKUP(BO7,市町村データ!A2:AX48,MATCH(手順書_全国_人口密度!$F$66, 市町村データ!A1:AX1, 0),FALSE)</f>
        <v>83424.44</v>
      </c>
      <c r="BP10" s="96"/>
      <c r="BQ10" s="96"/>
      <c r="BR10" s="97"/>
      <c r="BS10" s="171"/>
      <c r="BT10" s="167"/>
      <c r="BU10" s="203">
        <v>5000</v>
      </c>
      <c r="BV10" s="186"/>
      <c r="BW10" s="186"/>
      <c r="BX10" s="204"/>
      <c r="BY10" s="205"/>
      <c r="BZ10" s="167"/>
      <c r="CA10" s="167"/>
      <c r="CB10" s="166"/>
    </row>
    <row r="11" spans="1:80" ht="21.15" customHeight="1" x14ac:dyDescent="0.55000000000000004">
      <c r="A11" s="166"/>
      <c r="B11" s="167"/>
      <c r="C11" s="168" t="s">
        <v>63</v>
      </c>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9">
        <v>11</v>
      </c>
      <c r="BD11" s="170" t="str">
        <f>VLOOKUP(BC11,市町村データ!A2:AX48,MATCH(手順書_全国_人口密度!$G$63, 市町村データ!A1:AX1, 0),FALSE)</f>
        <v>新潟</v>
      </c>
      <c r="BE11" s="98"/>
      <c r="BF11" s="99"/>
      <c r="BG11" s="169">
        <v>7</v>
      </c>
      <c r="BH11" s="170" t="str">
        <f>VLOOKUP(BG11,市町村データ!A2:AX48,MATCH(手順書_全国_人口密度!$G$63, 市町村データ!A1:AX1, 0),FALSE)</f>
        <v>山形</v>
      </c>
      <c r="BI11" s="98"/>
      <c r="BJ11" s="99"/>
      <c r="BK11" s="169">
        <v>4</v>
      </c>
      <c r="BL11" s="170" t="str">
        <f>VLOOKUP(BK11,市町村データ!A2:AX48,MATCH(手順書_全国_人口密度!$G$63, 市町村データ!A1:AX1, 0),FALSE)</f>
        <v>秋田</v>
      </c>
      <c r="BM11" s="98"/>
      <c r="BN11" s="99"/>
      <c r="BO11" s="169">
        <v>2</v>
      </c>
      <c r="BP11" s="170" t="str">
        <f>VLOOKUP(BO11,市町村データ!A2:AX48,MATCH(手順書_全国_人口密度!$G$63, 市町村データ!A1:AX1, 0),FALSE)</f>
        <v>青森</v>
      </c>
      <c r="BQ11" s="98"/>
      <c r="BR11" s="99"/>
      <c r="BS11" s="171"/>
      <c r="BT11" s="167"/>
      <c r="BU11" s="203">
        <v>2500</v>
      </c>
      <c r="BV11" s="186"/>
      <c r="BW11" s="186"/>
      <c r="BX11" s="206"/>
      <c r="BY11" s="205"/>
      <c r="BZ11" s="167"/>
      <c r="CA11" s="167"/>
      <c r="CB11" s="166"/>
    </row>
    <row r="12" spans="1:80" ht="21.15" customHeight="1" x14ac:dyDescent="0.55000000000000004">
      <c r="A12" s="166"/>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38">
        <f>VLOOKUP(BC11,市町村データ!A2:AX48,MATCH(手順書_全国_人口密度!$F$64, 市町村データ!A1:AX1, 0),FALSE)</f>
        <v>174.9</v>
      </c>
      <c r="BD12" s="197"/>
      <c r="BE12" s="197"/>
      <c r="BF12" s="100"/>
      <c r="BG12" s="134">
        <f>VLOOKUP(BG11,市町村データ!A2:AX48,MATCH(手順書_全国_人口密度!$F$64, 市町村データ!A1:AX1, 0),FALSE)</f>
        <v>114.6</v>
      </c>
      <c r="BH12" s="197"/>
      <c r="BI12" s="197"/>
      <c r="BJ12" s="100"/>
      <c r="BK12" s="132">
        <f>VLOOKUP(BK11,市町村データ!A2:AX48,MATCH(手順書_全国_人口密度!$F$64, 市町村データ!A1:AX1, 0),FALSE)</f>
        <v>82.4</v>
      </c>
      <c r="BL12" s="197"/>
      <c r="BM12" s="197"/>
      <c r="BN12" s="100"/>
      <c r="BO12" s="138">
        <f>VLOOKUP(BO11,市町村データ!A2:AX48,MATCH(手順書_全国_人口密度!$F$64, 市町村データ!A1:AX1, 0),FALSE)</f>
        <v>128.30000000000001</v>
      </c>
      <c r="BP12" s="197"/>
      <c r="BQ12" s="197"/>
      <c r="BR12" s="100"/>
      <c r="BS12" s="171"/>
      <c r="BT12" s="167"/>
      <c r="BU12" s="203">
        <v>1250</v>
      </c>
      <c r="BV12" s="186"/>
      <c r="BW12" s="186"/>
      <c r="BX12" s="207"/>
      <c r="BY12" s="205"/>
      <c r="BZ12" s="167"/>
      <c r="CA12" s="167"/>
      <c r="CB12" s="166"/>
    </row>
    <row r="13" spans="1:80" ht="21.15" customHeight="1" x14ac:dyDescent="0.55000000000000004">
      <c r="A13" s="166"/>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39">
        <f>VLOOKUP(BC11,市町村データ!A2:AX48,MATCH(手順書_全国_人口密度!$F$65, 市町村データ!A1:AX1, 0),FALSE)</f>
        <v>2201272</v>
      </c>
      <c r="BD13" s="197"/>
      <c r="BE13" s="197"/>
      <c r="BF13" s="100"/>
      <c r="BG13" s="136">
        <f>VLOOKUP(BG11,市町村データ!A2:AX48,MATCH(手順書_全国_人口密度!$F$65, 市町村データ!A1:AX1, 0),FALSE)</f>
        <v>1068027</v>
      </c>
      <c r="BH13" s="197"/>
      <c r="BI13" s="197"/>
      <c r="BJ13" s="100"/>
      <c r="BK13" s="133">
        <f>VLOOKUP(BK11,市町村データ!A2:AX48,MATCH(手順書_全国_人口密度!$F$65, 市町村データ!A1:AX1, 0),FALSE)</f>
        <v>959502</v>
      </c>
      <c r="BL13" s="197"/>
      <c r="BM13" s="197"/>
      <c r="BN13" s="100"/>
      <c r="BO13" s="139">
        <f>VLOOKUP(BO11,市町村データ!A2:AX48,MATCH(手順書_全国_人口密度!$F$65, 市町村データ!A1:AX1, 0),FALSE)</f>
        <v>1237984</v>
      </c>
      <c r="BP13" s="197"/>
      <c r="BQ13" s="197"/>
      <c r="BR13" s="100"/>
      <c r="BS13" s="171"/>
      <c r="BT13" s="167"/>
      <c r="BU13" s="202">
        <v>1000</v>
      </c>
      <c r="BV13" s="184"/>
      <c r="BW13" s="184"/>
      <c r="BX13" s="208"/>
      <c r="BY13" s="205"/>
      <c r="BZ13" s="174"/>
      <c r="CA13" s="167"/>
      <c r="CB13" s="166"/>
    </row>
    <row r="14" spans="1:80" ht="21.15" customHeight="1" thickBot="1" x14ac:dyDescent="0.6">
      <c r="A14" s="166"/>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67"/>
      <c r="AR14" s="167"/>
      <c r="AS14" s="167"/>
      <c r="AT14" s="167"/>
      <c r="AU14" s="167"/>
      <c r="AV14" s="167"/>
      <c r="AW14" s="167"/>
      <c r="AX14" s="167"/>
      <c r="AY14" s="167"/>
      <c r="AZ14" s="167"/>
      <c r="BA14" s="167"/>
      <c r="BB14" s="167"/>
      <c r="BC14" s="219">
        <f>VLOOKUP(BC11,市町村データ!A2:AX48,MATCH(手順書_全国_人口密度!$F$66, 市町村データ!A1:AX1, 0),FALSE)</f>
        <v>12583.96</v>
      </c>
      <c r="BD14" s="96"/>
      <c r="BE14" s="96"/>
      <c r="BF14" s="97"/>
      <c r="BG14" s="221">
        <f>VLOOKUP(BG11,市町村データ!A2:AX48,MATCH(手順書_全国_人口密度!$F$66, 市町村データ!A1:AX1, 0),FALSE)</f>
        <v>9323.15</v>
      </c>
      <c r="BH14" s="96"/>
      <c r="BI14" s="96"/>
      <c r="BJ14" s="97"/>
      <c r="BK14" s="218">
        <f>VLOOKUP(BK11,市町村データ!A2:AX48,MATCH(手順書_全国_人口密度!$F$66, 市町村データ!A1:AX1, 0),FALSE)</f>
        <v>11637.52</v>
      </c>
      <c r="BL14" s="96"/>
      <c r="BM14" s="96"/>
      <c r="BN14" s="97"/>
      <c r="BO14" s="219">
        <f>VLOOKUP(BO11,市町村データ!A2:AX48,MATCH(手順書_全国_人口密度!$F$66, 市町村データ!A1:AX1, 0),FALSE)</f>
        <v>9645.64</v>
      </c>
      <c r="BP14" s="96"/>
      <c r="BQ14" s="96"/>
      <c r="BR14" s="97"/>
      <c r="BS14" s="171"/>
      <c r="BT14" s="167"/>
      <c r="BU14" s="203">
        <v>750</v>
      </c>
      <c r="BV14" s="186"/>
      <c r="BW14" s="186"/>
      <c r="BX14" s="209"/>
      <c r="BY14" s="205"/>
      <c r="BZ14" s="174"/>
      <c r="CA14" s="167"/>
      <c r="CB14" s="166"/>
    </row>
    <row r="15" spans="1:80" ht="21.15" customHeight="1" x14ac:dyDescent="0.55000000000000004">
      <c r="A15" s="166"/>
      <c r="B15" s="167"/>
      <c r="C15" s="168" t="s">
        <v>110</v>
      </c>
      <c r="D15" s="167"/>
      <c r="E15" s="167"/>
      <c r="F15" s="167"/>
      <c r="G15" s="167"/>
      <c r="H15" s="167"/>
      <c r="I15" s="167"/>
      <c r="J15" s="167"/>
      <c r="K15" s="167"/>
      <c r="L15" s="167"/>
      <c r="M15" s="167"/>
      <c r="N15" s="167"/>
      <c r="O15" s="167"/>
      <c r="P15" s="167"/>
      <c r="Q15" s="167"/>
      <c r="R15" s="167"/>
      <c r="S15" s="169">
        <v>35</v>
      </c>
      <c r="T15" s="170" t="str">
        <f>VLOOKUP(S15,市町村データ!A2:AX48,MATCH(手順書_全国_人口密度!$G$63, 市町村データ!A1:AX1, 0),FALSE)</f>
        <v>島根</v>
      </c>
      <c r="U15" s="98"/>
      <c r="V15" s="99"/>
      <c r="W15" s="169">
        <v>31</v>
      </c>
      <c r="X15" s="170" t="str">
        <f>VLOOKUP(W15,市町村データ!A2:AX48,MATCH(手順書_全国_人口密度!$G$63, 市町村データ!A1:AX1, 0),FALSE)</f>
        <v>鳥取</v>
      </c>
      <c r="Y15" s="98"/>
      <c r="Z15" s="99"/>
      <c r="AA15" s="171"/>
      <c r="AB15" s="167"/>
      <c r="AC15" s="167"/>
      <c r="AD15" s="167"/>
      <c r="AE15" s="169">
        <v>27</v>
      </c>
      <c r="AF15" s="170" t="str">
        <f>VLOOKUP(AE15,市町村データ!A2:AX48,MATCH(手順書_全国_人口密度!$G$63, 市町村データ!A1:AX1, 0),FALSE)</f>
        <v>京都</v>
      </c>
      <c r="AG15" s="98"/>
      <c r="AH15" s="99"/>
      <c r="AI15" s="169">
        <v>25</v>
      </c>
      <c r="AJ15" s="170" t="str">
        <f>VLOOKUP(AI15,市町村データ!A2:AX48,MATCH(手順書_全国_人口密度!$G$63, 市町村データ!A1:AX1, 0),FALSE)</f>
        <v>福井</v>
      </c>
      <c r="AK15" s="98"/>
      <c r="AL15" s="99"/>
      <c r="AM15" s="169">
        <v>22</v>
      </c>
      <c r="AN15" s="170" t="str">
        <f>VLOOKUP(AM15,市町村データ!A2:AX48,MATCH(手順書_全国_人口密度!$G$63, 市町村データ!A1:AX1, 0),FALSE)</f>
        <v>石川</v>
      </c>
      <c r="AO15" s="98"/>
      <c r="AP15" s="99"/>
      <c r="AQ15" s="169">
        <v>19</v>
      </c>
      <c r="AR15" s="170" t="str">
        <f>VLOOKUP(AQ15,市町村データ!A2:AX48,MATCH(手順書_全国_人口密度!$G$63, 市町村データ!A1:AX1, 0),FALSE)</f>
        <v>富山</v>
      </c>
      <c r="AS15" s="98"/>
      <c r="AT15" s="99"/>
      <c r="AU15" s="171"/>
      <c r="AV15" s="167"/>
      <c r="AW15" s="167"/>
      <c r="AX15" s="167"/>
      <c r="AY15" s="167"/>
      <c r="AZ15" s="167"/>
      <c r="BA15" s="167"/>
      <c r="BB15" s="167"/>
      <c r="BC15" s="169">
        <v>12</v>
      </c>
      <c r="BD15" s="170" t="str">
        <f>VLOOKUP(BC15,市町村データ!A2:AX48,MATCH(手順書_全国_人口密度!$G$63, 市町村データ!A1:AX1, 0),FALSE)</f>
        <v>群馬</v>
      </c>
      <c r="BE15" s="98"/>
      <c r="BF15" s="99"/>
      <c r="BG15" s="169">
        <v>8</v>
      </c>
      <c r="BH15" s="170" t="str">
        <f>VLOOKUP(BG15,市町村データ!A2:AX48,MATCH(手順書_全国_人口密度!$G$63, 市町村データ!A1:AX1, 0),FALSE)</f>
        <v>福島</v>
      </c>
      <c r="BI15" s="98"/>
      <c r="BJ15" s="99"/>
      <c r="BK15" s="169">
        <v>5</v>
      </c>
      <c r="BL15" s="170" t="str">
        <f>VLOOKUP(BK15,市町村データ!A2:AX48,MATCH(手順書_全国_人口密度!$G$63, 市町村データ!A1:AX1, 0),FALSE)</f>
        <v>宮城</v>
      </c>
      <c r="BM15" s="98"/>
      <c r="BN15" s="99"/>
      <c r="BO15" s="169">
        <v>3</v>
      </c>
      <c r="BP15" s="170" t="str">
        <f>VLOOKUP(BO15,市町村データ!A2:AX48,MATCH(手順書_全国_人口密度!$G$63, 市町村データ!A1:AX1, 0),FALSE)</f>
        <v>岩手</v>
      </c>
      <c r="BQ15" s="98"/>
      <c r="BR15" s="99"/>
      <c r="BS15" s="171"/>
      <c r="BT15" s="167"/>
      <c r="BU15" s="203">
        <v>500</v>
      </c>
      <c r="BV15" s="186"/>
      <c r="BW15" s="186"/>
      <c r="BX15" s="210"/>
      <c r="BY15" s="205"/>
      <c r="BZ15" s="174"/>
      <c r="CA15" s="167"/>
      <c r="CB15" s="166"/>
    </row>
    <row r="16" spans="1:80" ht="21.15" customHeight="1" x14ac:dyDescent="0.55000000000000004">
      <c r="A16" s="166"/>
      <c r="B16" s="167"/>
      <c r="C16" s="167"/>
      <c r="D16" s="167"/>
      <c r="E16" s="167"/>
      <c r="F16" s="167"/>
      <c r="G16" s="167"/>
      <c r="H16" s="167"/>
      <c r="I16" s="167"/>
      <c r="J16" s="167"/>
      <c r="K16" s="167"/>
      <c r="L16" s="167"/>
      <c r="M16" s="167"/>
      <c r="N16" s="167"/>
      <c r="O16" s="167"/>
      <c r="P16" s="167"/>
      <c r="Q16" s="167"/>
      <c r="R16" s="167"/>
      <c r="S16" s="134">
        <f>VLOOKUP(S15,市町村データ!A2:AX48,MATCH(手順書_全国_人口密度!$F$64, 市町村データ!A1:AX1, 0),FALSE)</f>
        <v>100.1</v>
      </c>
      <c r="T16" s="197"/>
      <c r="U16" s="197"/>
      <c r="V16" s="100"/>
      <c r="W16" s="138">
        <f>VLOOKUP(W15,市町村データ!A2:AX48,MATCH(手順書_全国_人口密度!$F$64, 市町村データ!A1:AX1, 0),FALSE)</f>
        <v>157.80000000000001</v>
      </c>
      <c r="X16" s="197"/>
      <c r="Y16" s="197"/>
      <c r="Z16" s="100"/>
      <c r="AA16" s="171"/>
      <c r="AB16" s="167"/>
      <c r="AC16" s="167"/>
      <c r="AD16" s="167"/>
      <c r="AE16" s="157">
        <f>VLOOKUP(AE15,市町村データ!A2:AX48,MATCH(手順書_全国_人口密度!$F$64, 市町村データ!A1:AX1, 0),FALSE)</f>
        <v>559</v>
      </c>
      <c r="AF16" s="197"/>
      <c r="AG16" s="197"/>
      <c r="AH16" s="100"/>
      <c r="AI16" s="138">
        <f>VLOOKUP(AI15,市町村データ!A2:AX48,MATCH(手順書_全国_人口密度!$F$64, 市町村データ!A1:AX1, 0),FALSE)</f>
        <v>183</v>
      </c>
      <c r="AJ16" s="197"/>
      <c r="AK16" s="197"/>
      <c r="AL16" s="100"/>
      <c r="AM16" s="159">
        <f>VLOOKUP(AM15,市町村データ!A2:AX48,MATCH(手順書_全国_人口密度!$F$64, 市町村データ!A1:AX1, 0),FALSE)</f>
        <v>270.5</v>
      </c>
      <c r="AN16" s="197"/>
      <c r="AO16" s="197"/>
      <c r="AP16" s="100"/>
      <c r="AQ16" s="138">
        <f>VLOOKUP(AQ15,市町村データ!A2:AX48,MATCH(手順書_全国_人口密度!$F$64, 市町村データ!A1:AX1, 0),FALSE)</f>
        <v>243.6</v>
      </c>
      <c r="AR16" s="197"/>
      <c r="AS16" s="197"/>
      <c r="AT16" s="100"/>
      <c r="AU16" s="171"/>
      <c r="AV16" s="167"/>
      <c r="AW16" s="167"/>
      <c r="AX16" s="167"/>
      <c r="AY16" s="167"/>
      <c r="AZ16" s="167"/>
      <c r="BA16" s="167"/>
      <c r="BB16" s="167"/>
      <c r="BC16" s="159">
        <f>VLOOKUP(BC15,市町村データ!A2:AX48,MATCH(手順書_全国_人口密度!$F$64, 市町村データ!A1:AX1, 0),FALSE)</f>
        <v>304.8</v>
      </c>
      <c r="BD16" s="197"/>
      <c r="BE16" s="197"/>
      <c r="BF16" s="100"/>
      <c r="BG16" s="138">
        <f>VLOOKUP(BG15,市町村データ!A2:AX48,MATCH(手順書_全国_人口密度!$F$64, 市町村データ!A1:AX1, 0),FALSE)</f>
        <v>133</v>
      </c>
      <c r="BH16" s="197"/>
      <c r="BI16" s="197"/>
      <c r="BJ16" s="100"/>
      <c r="BK16" s="159">
        <f>VLOOKUP(BK15,市町村データ!A2:AX48,MATCH(手順書_全国_人口密度!$F$64, 市町村データ!A1:AX1, 0),FALSE)</f>
        <v>316.10000000000002</v>
      </c>
      <c r="BL16" s="197"/>
      <c r="BM16" s="197"/>
      <c r="BN16" s="100"/>
      <c r="BO16" s="132">
        <f>VLOOKUP(BO15,市町村データ!A2:AX48,MATCH(手順書_全国_人口密度!$F$64, 市町村データ!A1:AX1, 0),FALSE)</f>
        <v>79.2</v>
      </c>
      <c r="BP16" s="197"/>
      <c r="BQ16" s="197"/>
      <c r="BR16" s="100"/>
      <c r="BS16" s="171"/>
      <c r="BT16" s="167"/>
      <c r="BU16" s="203">
        <v>250</v>
      </c>
      <c r="BV16" s="186"/>
      <c r="BW16" s="186"/>
      <c r="BX16" s="211"/>
      <c r="BY16" s="205"/>
      <c r="BZ16" s="174"/>
      <c r="CA16" s="167"/>
      <c r="CB16" s="166"/>
    </row>
    <row r="17" spans="1:80" ht="21.15" customHeight="1" x14ac:dyDescent="0.55000000000000004">
      <c r="A17" s="166"/>
      <c r="B17" s="167"/>
      <c r="C17" s="167"/>
      <c r="D17" s="167"/>
      <c r="E17" s="167"/>
      <c r="F17" s="167"/>
      <c r="G17" s="167"/>
      <c r="H17" s="167"/>
      <c r="I17" s="167"/>
      <c r="J17" s="167"/>
      <c r="K17" s="167"/>
      <c r="L17" s="167"/>
      <c r="M17" s="167"/>
      <c r="N17" s="167"/>
      <c r="O17" s="167"/>
      <c r="P17" s="167"/>
      <c r="Q17" s="167"/>
      <c r="R17" s="167"/>
      <c r="S17" s="136">
        <f>VLOOKUP(S15,市町村データ!A2:AX48,MATCH(手順書_全国_人口密度!$F$65, 市町村データ!A1:AX1, 0),FALSE)</f>
        <v>671126</v>
      </c>
      <c r="T17" s="197"/>
      <c r="U17" s="197"/>
      <c r="V17" s="100"/>
      <c r="W17" s="139">
        <f>VLOOKUP(W15,市町村データ!A2:AX48,MATCH(手順書_全国_人口密度!$F$65, 市町村データ!A1:AX1, 0),FALSE)</f>
        <v>553407</v>
      </c>
      <c r="X17" s="197"/>
      <c r="Y17" s="197"/>
      <c r="Z17" s="100"/>
      <c r="AA17" s="171"/>
      <c r="AB17" s="167"/>
      <c r="AC17" s="167"/>
      <c r="AD17" s="167"/>
      <c r="AE17" s="158">
        <f>VLOOKUP(AE15,市町村データ!A2:AX48,MATCH(手順書_全国_人口密度!$F$65, 市町村データ!A1:AX1, 0),FALSE)</f>
        <v>2578087</v>
      </c>
      <c r="AF17" s="197"/>
      <c r="AG17" s="197"/>
      <c r="AH17" s="100"/>
      <c r="AI17" s="139">
        <f>VLOOKUP(AI15,市町村データ!A2:AX48,MATCH(手順書_全国_人口密度!$F$65, 市町村データ!A1:AX1, 0),FALSE)</f>
        <v>766863</v>
      </c>
      <c r="AJ17" s="197"/>
      <c r="AK17" s="197"/>
      <c r="AL17" s="100"/>
      <c r="AM17" s="160">
        <f>VLOOKUP(AM15,市町村データ!A2:AX48,MATCH(手順書_全国_人口密度!$F$65, 市町村データ!A1:AX1, 0),FALSE)</f>
        <v>1132526</v>
      </c>
      <c r="AN17" s="197"/>
      <c r="AO17" s="197"/>
      <c r="AP17" s="100"/>
      <c r="AQ17" s="139">
        <f>VLOOKUP(AQ15,市町村データ!A2:AX48,MATCH(手順書_全国_人口密度!$F$65, 市町村データ!A1:AX1, 0),FALSE)</f>
        <v>1034814</v>
      </c>
      <c r="AR17" s="197"/>
      <c r="AS17" s="197"/>
      <c r="AT17" s="100"/>
      <c r="AU17" s="171"/>
      <c r="AV17" s="167"/>
      <c r="AW17" s="167"/>
      <c r="AX17" s="167"/>
      <c r="AY17" s="167"/>
      <c r="AZ17" s="167"/>
      <c r="BA17" s="167"/>
      <c r="BB17" s="167"/>
      <c r="BC17" s="160">
        <f>VLOOKUP(BC15,市町村データ!A2:AX48,MATCH(手順書_全国_人口密度!$F$65, 市町村データ!A1:AX1, 0),FALSE)</f>
        <v>1939110</v>
      </c>
      <c r="BD17" s="197"/>
      <c r="BE17" s="197"/>
      <c r="BF17" s="100"/>
      <c r="BG17" s="139">
        <f>VLOOKUP(BG15,市町村データ!A2:AX48,MATCH(手順書_全国_人口密度!$F$65, 市町村データ!A1:AX1, 0),FALSE)</f>
        <v>1833152</v>
      </c>
      <c r="BH17" s="197"/>
      <c r="BI17" s="197"/>
      <c r="BJ17" s="100"/>
      <c r="BK17" s="160">
        <f>VLOOKUP(BK15,市町村データ!A2:AX48,MATCH(手順書_全国_人口密度!$F$65, 市町村データ!A1:AX1, 0),FALSE)</f>
        <v>2301996</v>
      </c>
      <c r="BL17" s="197"/>
      <c r="BM17" s="197"/>
      <c r="BN17" s="100"/>
      <c r="BO17" s="133">
        <f>VLOOKUP(BO15,市町村データ!A2:AX48,MATCH(手順書_全国_人口密度!$F$65, 市町村データ!A1:AX1, 0),FALSE)</f>
        <v>1210534</v>
      </c>
      <c r="BP17" s="197"/>
      <c r="BQ17" s="197"/>
      <c r="BR17" s="100"/>
      <c r="BS17" s="171"/>
      <c r="BT17" s="167"/>
      <c r="BU17" s="203">
        <v>125</v>
      </c>
      <c r="BV17" s="186"/>
      <c r="BW17" s="186"/>
      <c r="BX17" s="212"/>
      <c r="BY17" s="205"/>
      <c r="BZ17" s="167"/>
      <c r="CA17" s="167"/>
      <c r="CB17" s="166"/>
    </row>
    <row r="18" spans="1:80" ht="21.15" customHeight="1" thickBot="1" x14ac:dyDescent="0.6">
      <c r="A18" s="166"/>
      <c r="B18" s="167"/>
      <c r="C18" s="167"/>
      <c r="D18" s="167"/>
      <c r="E18" s="167"/>
      <c r="F18" s="167"/>
      <c r="G18" s="167"/>
      <c r="H18" s="167"/>
      <c r="I18" s="167"/>
      <c r="J18" s="167"/>
      <c r="K18" s="167"/>
      <c r="L18" s="167"/>
      <c r="M18" s="167"/>
      <c r="N18" s="167"/>
      <c r="O18" s="167"/>
      <c r="P18" s="167"/>
      <c r="Q18" s="167"/>
      <c r="R18" s="167"/>
      <c r="S18" s="221">
        <f>VLOOKUP(S15,市町村データ!A2:AX48,MATCH(手順書_全国_人口密度!$F$66, 市町村データ!A1:AX1, 0),FALSE)</f>
        <v>6707.89</v>
      </c>
      <c r="T18" s="96"/>
      <c r="U18" s="96"/>
      <c r="V18" s="97"/>
      <c r="W18" s="219">
        <f>VLOOKUP(W15,市町村データ!A2:AX48,MATCH(手順書_全国_人口密度!$F$66, 市町村データ!A1:AX1, 0),FALSE)</f>
        <v>3507.14</v>
      </c>
      <c r="X18" s="96"/>
      <c r="Y18" s="96"/>
      <c r="Z18" s="97"/>
      <c r="AA18" s="171"/>
      <c r="AB18" s="167"/>
      <c r="AC18" s="167"/>
      <c r="AD18" s="167"/>
      <c r="AE18" s="226">
        <f>VLOOKUP(AE15,市町村データ!A2:AX48,MATCH(手順書_全国_人口密度!$F$66, 市町村データ!A1:AX1, 0),FALSE)</f>
        <v>4612.2</v>
      </c>
      <c r="AF18" s="96"/>
      <c r="AG18" s="96"/>
      <c r="AH18" s="97"/>
      <c r="AI18" s="219">
        <f>VLOOKUP(AI15,市町村データ!A2:AX48,MATCH(手順書_全国_人口密度!$F$66, 市町村データ!A1:AX1, 0),FALSE)</f>
        <v>4190.5200000000004</v>
      </c>
      <c r="AJ18" s="96"/>
      <c r="AK18" s="96"/>
      <c r="AL18" s="97"/>
      <c r="AM18" s="220">
        <f>VLOOKUP(AM15,市町村データ!A2:AX48,MATCH(手順書_全国_人口密度!$F$66, 市町村データ!A1:AX1, 0),FALSE)</f>
        <v>4186.21</v>
      </c>
      <c r="AN18" s="96"/>
      <c r="AO18" s="96"/>
      <c r="AP18" s="97"/>
      <c r="AQ18" s="219">
        <f>VLOOKUP(AQ15,市町村データ!A2:AX48,MATCH(手順書_全国_人口密度!$F$66, 市町村データ!A1:AX1, 0),FALSE)</f>
        <v>4247.58</v>
      </c>
      <c r="AR18" s="96"/>
      <c r="AS18" s="96"/>
      <c r="AT18" s="97"/>
      <c r="AU18" s="171"/>
      <c r="AV18" s="167"/>
      <c r="AW18" s="167"/>
      <c r="AX18" s="167"/>
      <c r="AY18" s="167"/>
      <c r="AZ18" s="167"/>
      <c r="BA18" s="167"/>
      <c r="BB18" s="167"/>
      <c r="BC18" s="220">
        <f>VLOOKUP(BC15,市町村データ!A2:AX48,MATCH(手順書_全国_人口密度!$F$66, 市町村データ!A1:AX1, 0),FALSE)</f>
        <v>6362.28</v>
      </c>
      <c r="BD18" s="96"/>
      <c r="BE18" s="96"/>
      <c r="BF18" s="97"/>
      <c r="BG18" s="219">
        <f>VLOOKUP(BG15,市町村データ!A2:AX48,MATCH(手順書_全国_人口密度!$F$66, 市町村データ!A1:AX1, 0),FALSE)</f>
        <v>13784.14</v>
      </c>
      <c r="BH18" s="96"/>
      <c r="BI18" s="96"/>
      <c r="BJ18" s="97"/>
      <c r="BK18" s="220">
        <f>VLOOKUP(BK15,市町村データ!A2:AX48,MATCH(手順書_全国_人口密度!$F$66, 市町村データ!A1:AX1, 0),FALSE)</f>
        <v>7282.29</v>
      </c>
      <c r="BL18" s="96"/>
      <c r="BM18" s="96"/>
      <c r="BN18" s="97"/>
      <c r="BO18" s="218">
        <f>VLOOKUP(BO15,市町村データ!A2:AX48,MATCH(手順書_全国_人口密度!$F$66, 市町村データ!A1:AX1, 0),FALSE)</f>
        <v>15275.01</v>
      </c>
      <c r="BP18" s="96"/>
      <c r="BQ18" s="96"/>
      <c r="BR18" s="97"/>
      <c r="BS18" s="171"/>
      <c r="BT18" s="167"/>
      <c r="BU18" s="203">
        <v>100</v>
      </c>
      <c r="BV18" s="186"/>
      <c r="BW18" s="186"/>
      <c r="BX18" s="213"/>
      <c r="BY18" s="205"/>
      <c r="BZ18" s="167"/>
      <c r="CA18" s="167"/>
      <c r="CB18" s="166"/>
    </row>
    <row r="19" spans="1:80" ht="21.15" customHeight="1" x14ac:dyDescent="0.55000000000000004">
      <c r="A19" s="166"/>
      <c r="B19" s="167"/>
      <c r="C19" s="168" t="s">
        <v>64</v>
      </c>
      <c r="D19" s="167"/>
      <c r="E19" s="167"/>
      <c r="F19" s="167"/>
      <c r="G19" s="169">
        <v>44</v>
      </c>
      <c r="H19" s="170" t="str">
        <f>VLOOKUP(G19,市町村データ!A2:AX48,MATCH(手順書_全国_人口密度!$G$63, 市町村データ!A1:AX1, 0),FALSE)</f>
        <v>佐賀</v>
      </c>
      <c r="I19" s="98"/>
      <c r="J19" s="99"/>
      <c r="K19" s="169">
        <v>40</v>
      </c>
      <c r="L19" s="170" t="str">
        <f>VLOOKUP(K19,市町村データ!A2:AX48,MATCH(手順書_全国_人口密度!$G$63, 市町村データ!A1:AX1, 0),FALSE)</f>
        <v>福岡</v>
      </c>
      <c r="M19" s="98"/>
      <c r="N19" s="99"/>
      <c r="O19" s="169">
        <v>39</v>
      </c>
      <c r="P19" s="170" t="str">
        <f>VLOOKUP(O19,市町村データ!A2:AX48,MATCH(手順書_全国_人口密度!$G$63, 市町村データ!A1:AX1, 0),FALSE)</f>
        <v>山口</v>
      </c>
      <c r="Q19" s="98"/>
      <c r="R19" s="99"/>
      <c r="S19" s="169">
        <v>36</v>
      </c>
      <c r="T19" s="170" t="str">
        <f>VLOOKUP(S19,市町村データ!A2:AX48,MATCH(手順書_全国_人口密度!$G$63, 市町村データ!A1:AX1, 0),FALSE)</f>
        <v>広島</v>
      </c>
      <c r="U19" s="98"/>
      <c r="V19" s="99"/>
      <c r="W19" s="169">
        <v>32</v>
      </c>
      <c r="X19" s="170" t="str">
        <f>VLOOKUP(W19,市町村データ!A2:AX48,MATCH(手順書_全国_人口密度!$G$63, 市町村データ!A1:AX1, 0),FALSE)</f>
        <v>岡山</v>
      </c>
      <c r="Y19" s="98"/>
      <c r="Z19" s="99"/>
      <c r="AA19" s="169">
        <v>30</v>
      </c>
      <c r="AB19" s="170" t="str">
        <f>VLOOKUP(AA19,市町村データ!A2:AX48,MATCH(手順書_全国_人口密度!$G$63, 市町村データ!A1:AX1, 0),FALSE)</f>
        <v>兵庫</v>
      </c>
      <c r="AC19" s="98"/>
      <c r="AD19" s="99"/>
      <c r="AE19" s="169">
        <v>28</v>
      </c>
      <c r="AF19" s="170" t="str">
        <f>VLOOKUP(AE19,市町村データ!A2:AX48,MATCH(手順書_全国_人口密度!$G$63, 市町村データ!A1:AX1, 0),FALSE)</f>
        <v>大阪</v>
      </c>
      <c r="AG19" s="98"/>
      <c r="AH19" s="99"/>
      <c r="AI19" s="169">
        <v>26</v>
      </c>
      <c r="AJ19" s="170" t="str">
        <f>VLOOKUP(AI19,市町村データ!A2:AX48,MATCH(手順書_全国_人口密度!$G$63, 市町村データ!A1:AX1, 0),FALSE)</f>
        <v>奈良</v>
      </c>
      <c r="AK19" s="98"/>
      <c r="AL19" s="99"/>
      <c r="AM19" s="169">
        <v>23</v>
      </c>
      <c r="AN19" s="170" t="str">
        <f>VLOOKUP(AM19,市町村データ!A2:AX48,MATCH(手順書_全国_人口密度!$G$63, 市町村データ!A1:AX1, 0),FALSE)</f>
        <v>滋賀</v>
      </c>
      <c r="AO19" s="98"/>
      <c r="AP19" s="99"/>
      <c r="AQ19" s="169">
        <v>20</v>
      </c>
      <c r="AR19" s="170" t="str">
        <f>VLOOKUP(AQ19,市町村データ!A2:AX48,MATCH(手順書_全国_人口密度!$G$63, 市町村データ!A1:AX1, 0),FALSE)</f>
        <v>岐阜</v>
      </c>
      <c r="AS19" s="98"/>
      <c r="AT19" s="99"/>
      <c r="AU19" s="169">
        <v>17</v>
      </c>
      <c r="AV19" s="170" t="str">
        <f>VLOOKUP(AU19,市町村データ!A2:AX48,MATCH(手順書_全国_人口密度!$G$63, 市町村データ!A1:AX1, 0),FALSE)</f>
        <v>長野</v>
      </c>
      <c r="AW19" s="98"/>
      <c r="AX19" s="99"/>
      <c r="AY19" s="169">
        <v>15</v>
      </c>
      <c r="AZ19" s="170" t="str">
        <f>VLOOKUP(AY19,市町村データ!A2:AX48,MATCH(手順書_全国_人口密度!$G$63, 市町村データ!A1:AX1, 0),FALSE)</f>
        <v>山梨</v>
      </c>
      <c r="BA19" s="98"/>
      <c r="BB19" s="99"/>
      <c r="BC19" s="169">
        <v>13</v>
      </c>
      <c r="BD19" s="170" t="str">
        <f>VLOOKUP(BC19,市町村データ!A2:AX48,MATCH(手順書_全国_人口密度!$G$63, 市町村データ!A1:AX1, 0),FALSE)</f>
        <v>埼玉</v>
      </c>
      <c r="BE19" s="98"/>
      <c r="BF19" s="99"/>
      <c r="BG19" s="169">
        <v>9</v>
      </c>
      <c r="BH19" s="170" t="str">
        <f>VLOOKUP(BG19,市町村データ!A2:AX48,MATCH(手順書_全国_人口密度!$G$63, 市町村データ!A1:AX1, 0),FALSE)</f>
        <v>栃木</v>
      </c>
      <c r="BI19" s="98"/>
      <c r="BJ19" s="99"/>
      <c r="BK19" s="169">
        <v>6</v>
      </c>
      <c r="BL19" s="170" t="str">
        <f>VLOOKUP(BK19,市町村データ!A2:AX48,MATCH(手順書_全国_人口密度!$G$63, 市町村データ!A1:AX1, 0),FALSE)</f>
        <v>茨城</v>
      </c>
      <c r="BM19" s="98"/>
      <c r="BN19" s="99"/>
      <c r="BO19" s="176"/>
      <c r="BP19" s="177"/>
      <c r="BQ19" s="177"/>
      <c r="BR19" s="177"/>
      <c r="BS19" s="167"/>
      <c r="BT19" s="167"/>
      <c r="BU19" s="203">
        <v>50</v>
      </c>
      <c r="BV19" s="186"/>
      <c r="BW19" s="186"/>
      <c r="BX19" s="214"/>
      <c r="BY19" s="205"/>
      <c r="BZ19" s="167"/>
      <c r="CA19" s="167"/>
      <c r="CB19" s="166"/>
    </row>
    <row r="20" spans="1:80" ht="21.15" customHeight="1" thickBot="1" x14ac:dyDescent="0.6">
      <c r="A20" s="166"/>
      <c r="B20" s="167"/>
      <c r="C20" s="167"/>
      <c r="D20" s="167"/>
      <c r="E20" s="167"/>
      <c r="F20" s="167"/>
      <c r="G20" s="159">
        <f>VLOOKUP(G19,市町村データ!A2:AX48,MATCH(手順書_全国_人口密度!$F$64, 市町村データ!A1:AX1, 0),FALSE)</f>
        <v>332.5</v>
      </c>
      <c r="H20" s="197"/>
      <c r="I20" s="197"/>
      <c r="J20" s="100"/>
      <c r="K20" s="155">
        <f>VLOOKUP(K19,市町村データ!A2:AX48,MATCH(手順書_全国_人口密度!$F$64, 市町村データ!A1:AX1, 0),FALSE)</f>
        <v>1029.8</v>
      </c>
      <c r="L20" s="197"/>
      <c r="M20" s="197"/>
      <c r="N20" s="100"/>
      <c r="O20" s="138">
        <f>VLOOKUP(O19,市町村データ!A2:AX48,MATCH(手順書_全国_人口密度!$F$64, 市町村データ!A1:AX1, 0),FALSE)</f>
        <v>219.6</v>
      </c>
      <c r="P20" s="197"/>
      <c r="Q20" s="197"/>
      <c r="R20" s="100"/>
      <c r="S20" s="159">
        <f>VLOOKUP(S19,市町村データ!A2:AX48,MATCH(手順書_全国_人口密度!$F$64, 市町村データ!A1:AX1, 0),FALSE)</f>
        <v>330.2</v>
      </c>
      <c r="T20" s="197"/>
      <c r="U20" s="197"/>
      <c r="V20" s="100"/>
      <c r="W20" s="159">
        <f>VLOOKUP(W19,市町村データ!A2:AX48,MATCH(手順書_全国_人口密度!$F$64, 市町村データ!A1:AX1, 0),FALSE)</f>
        <v>265.39999999999998</v>
      </c>
      <c r="X20" s="197"/>
      <c r="Y20" s="197"/>
      <c r="Z20" s="100"/>
      <c r="AA20" s="157">
        <f>VLOOKUP(AA19,市町村データ!A2:AX48,MATCH(手順書_全国_人口密度!$F$64, 市町村データ!A1:AX1, 0),FALSE)</f>
        <v>650.5</v>
      </c>
      <c r="AB20" s="197"/>
      <c r="AC20" s="197"/>
      <c r="AD20" s="100"/>
      <c r="AE20" s="135">
        <f>VLOOKUP(AE19,市町村データ!A2:AX48,MATCH(手順書_全国_人口密度!$F$64, 市町村データ!A1:AX1, 0),FALSE)</f>
        <v>4638.3999999999996</v>
      </c>
      <c r="AF20" s="197"/>
      <c r="AG20" s="197"/>
      <c r="AH20" s="100"/>
      <c r="AI20" s="159">
        <f>VLOOKUP(AI19,市町村データ!A2:AX48,MATCH(手順書_全国_人口密度!$F$64, 市町村データ!A1:AX1, 0),FALSE)</f>
        <v>358.8</v>
      </c>
      <c r="AJ20" s="197"/>
      <c r="AK20" s="197"/>
      <c r="AL20" s="100"/>
      <c r="AM20" s="159">
        <f>VLOOKUP(AM19,市町村データ!A2:AX48,MATCH(手順書_全国_人口密度!$F$64, 市町村データ!A1:AX1, 0),FALSE)</f>
        <v>351.9</v>
      </c>
      <c r="AN20" s="197"/>
      <c r="AO20" s="197"/>
      <c r="AP20" s="100"/>
      <c r="AQ20" s="138">
        <f>VLOOKUP(AQ19,市町村データ!A2:AX48,MATCH(手順書_全国_人口密度!$F$64, 市町村データ!A1:AX1, 0),FALSE)</f>
        <v>186.3</v>
      </c>
      <c r="AR20" s="197"/>
      <c r="AS20" s="197"/>
      <c r="AT20" s="100"/>
      <c r="AU20" s="138">
        <f>VLOOKUP(AU19,市町村データ!A2:AX48,MATCH(手順書_全国_人口密度!$F$64, 市町村データ!A1:AX1, 0),FALSE)</f>
        <v>151</v>
      </c>
      <c r="AV20" s="197"/>
      <c r="AW20" s="197"/>
      <c r="AX20" s="100"/>
      <c r="AY20" s="138">
        <f>VLOOKUP(AY19,市町村データ!A2:AX48,MATCH(手順書_全国_人口密度!$F$64, 市町村データ!A1:AX1, 0),FALSE)</f>
        <v>181.4</v>
      </c>
      <c r="AZ20" s="197"/>
      <c r="BA20" s="197"/>
      <c r="BB20" s="100"/>
      <c r="BC20" s="154">
        <f>VLOOKUP(BC19,市町村データ!A2:AX48,MATCH(手順書_全国_人口密度!$F$64, 市町村データ!A1:AX1, 0),FALSE)</f>
        <v>1934</v>
      </c>
      <c r="BD20" s="197"/>
      <c r="BE20" s="197"/>
      <c r="BF20" s="100"/>
      <c r="BG20" s="159">
        <f>VLOOKUP(BG19,市町村データ!A2:AX48,MATCH(手順書_全国_人口密度!$F$64, 市町村データ!A1:AX1, 0),FALSE)</f>
        <v>301.7</v>
      </c>
      <c r="BH20" s="197"/>
      <c r="BI20" s="197"/>
      <c r="BJ20" s="100"/>
      <c r="BK20" s="159">
        <f>VLOOKUP(BK19,市町村データ!A2:AX48,MATCH(手順書_全国_人口密度!$F$64, 市町村データ!A1:AX1, 0),FALSE)</f>
        <v>470.2</v>
      </c>
      <c r="BL20" s="197"/>
      <c r="BM20" s="197"/>
      <c r="BN20" s="100"/>
      <c r="BO20" s="171"/>
      <c r="BP20" s="167"/>
      <c r="BQ20" s="167"/>
      <c r="BR20" s="167"/>
      <c r="BS20" s="167"/>
      <c r="BT20" s="167"/>
      <c r="BU20" s="215">
        <v>0</v>
      </c>
      <c r="BV20" s="192"/>
      <c r="BW20" s="192"/>
      <c r="BX20" s="216"/>
      <c r="BY20" s="217"/>
      <c r="BZ20" s="167"/>
      <c r="CA20" s="167"/>
      <c r="CB20" s="166"/>
    </row>
    <row r="21" spans="1:80" ht="21.15" customHeight="1" x14ac:dyDescent="0.55000000000000004">
      <c r="A21" s="166"/>
      <c r="B21" s="167"/>
      <c r="C21" s="167"/>
      <c r="D21" s="167"/>
      <c r="E21" s="167"/>
      <c r="F21" s="167"/>
      <c r="G21" s="160">
        <f>VLOOKUP(G19,市町村データ!A2:AX48,MATCH(手順書_全国_人口密度!$F$65, 市町村データ!A1:AX1, 0),FALSE)</f>
        <v>811442</v>
      </c>
      <c r="H21" s="197"/>
      <c r="I21" s="197"/>
      <c r="J21" s="100"/>
      <c r="K21" s="153">
        <f>VLOOKUP(K19,市町村データ!A2:AX48,MATCH(手順書_全国_人口密度!$F$65, 市町村データ!A1:AX1, 0),FALSE)</f>
        <v>5135214</v>
      </c>
      <c r="L21" s="197"/>
      <c r="M21" s="197"/>
      <c r="N21" s="100"/>
      <c r="O21" s="139">
        <f>VLOOKUP(O19,市町村データ!A2:AX48,MATCH(手順書_全国_人口密度!$F$65, 市町村データ!A1:AX1, 0),FALSE)</f>
        <v>1342059</v>
      </c>
      <c r="P21" s="197"/>
      <c r="Q21" s="197"/>
      <c r="R21" s="100"/>
      <c r="S21" s="160">
        <f>VLOOKUP(S19,市町村データ!A2:AX48,MATCH(手順書_全国_人口密度!$F$65, 市町村データ!A1:AX1, 0),FALSE)</f>
        <v>2799702</v>
      </c>
      <c r="T21" s="197"/>
      <c r="U21" s="197"/>
      <c r="V21" s="100"/>
      <c r="W21" s="160">
        <f>VLOOKUP(W19,市町村データ!A2:AX48,MATCH(手順書_全国_人口密度!$F$65, 市町村データ!A1:AX1, 0),FALSE)</f>
        <v>1888432</v>
      </c>
      <c r="X21" s="197"/>
      <c r="Y21" s="197"/>
      <c r="Z21" s="100"/>
      <c r="AA21" s="158">
        <f>VLOOKUP(AA19,市町村データ!A2:AX48,MATCH(手順書_全国_人口密度!$F$65, 市町村データ!A1:AX1, 0),FALSE)</f>
        <v>5465002</v>
      </c>
      <c r="AB21" s="197"/>
      <c r="AC21" s="197"/>
      <c r="AD21" s="100"/>
      <c r="AE21" s="137">
        <f>VLOOKUP(AE19,市町村データ!A2:AX48,MATCH(手順書_全国_人口密度!$F$65, 市町村データ!A1:AX1, 0),FALSE)</f>
        <v>8837685</v>
      </c>
      <c r="AF21" s="197"/>
      <c r="AG21" s="197"/>
      <c r="AH21" s="100"/>
      <c r="AI21" s="160">
        <f>VLOOKUP(AI19,市町村データ!A2:AX48,MATCH(手順書_全国_人口密度!$F$65, 市町村データ!A1:AX1, 0),FALSE)</f>
        <v>1324473</v>
      </c>
      <c r="AJ21" s="197"/>
      <c r="AK21" s="197"/>
      <c r="AL21" s="100"/>
      <c r="AM21" s="160">
        <f>VLOOKUP(AM19,市町村データ!A2:AX48,MATCH(手順書_全国_人口密度!$F$65, 市町村データ!A1:AX1, 0),FALSE)</f>
        <v>1413610</v>
      </c>
      <c r="AN21" s="197"/>
      <c r="AO21" s="197"/>
      <c r="AP21" s="100"/>
      <c r="AQ21" s="139">
        <f>VLOOKUP(AQ19,市町村データ!A2:AX48,MATCH(手順書_全国_人口密度!$F$65, 市町村データ!A1:AX1, 0),FALSE)</f>
        <v>1978742</v>
      </c>
      <c r="AR21" s="197"/>
      <c r="AS21" s="197"/>
      <c r="AT21" s="100"/>
      <c r="AU21" s="139">
        <f>VLOOKUP(AU19,市町村データ!A2:AX48,MATCH(手順書_全国_人口密度!$F$65, 市町村データ!A1:AX1, 0),FALSE)</f>
        <v>2048011</v>
      </c>
      <c r="AV21" s="197"/>
      <c r="AW21" s="197"/>
      <c r="AX21" s="100"/>
      <c r="AY21" s="139">
        <f>VLOOKUP(AY19,市町村データ!A2:AX48,MATCH(手順書_全国_人口密度!$F$65, 市町村データ!A1:AX1, 0),FALSE)</f>
        <v>809974</v>
      </c>
      <c r="AZ21" s="197"/>
      <c r="BA21" s="197"/>
      <c r="BB21" s="100"/>
      <c r="BC21" s="156">
        <f>VLOOKUP(BC19,市町村データ!A2:AX48,MATCH(手順書_全国_人口密度!$F$65, 市町村データ!A1:AX1, 0),FALSE)</f>
        <v>7344765</v>
      </c>
      <c r="BD21" s="197"/>
      <c r="BE21" s="197"/>
      <c r="BF21" s="100"/>
      <c r="BG21" s="160">
        <f>VLOOKUP(BG19,市町村データ!A2:AX48,MATCH(手順書_全国_人口密度!$F$65, 市町村データ!A1:AX1, 0),FALSE)</f>
        <v>1933146</v>
      </c>
      <c r="BH21" s="197"/>
      <c r="BI21" s="197"/>
      <c r="BJ21" s="100"/>
      <c r="BK21" s="160">
        <f>VLOOKUP(BK19,市町村データ!A2:AX48,MATCH(手順書_全国_人口密度!$F$65, 市町村データ!A1:AX1, 0),FALSE)</f>
        <v>2867009</v>
      </c>
      <c r="BL21" s="197"/>
      <c r="BM21" s="197"/>
      <c r="BN21" s="100"/>
      <c r="BO21" s="171"/>
      <c r="BP21" s="167"/>
      <c r="BQ21" s="167"/>
      <c r="BR21" s="167"/>
      <c r="BS21" s="167"/>
      <c r="BT21" s="167"/>
      <c r="BU21" s="167"/>
      <c r="BV21" s="167"/>
      <c r="BW21" s="167"/>
      <c r="BX21" s="174"/>
      <c r="BY21" s="175"/>
      <c r="BZ21" s="167"/>
      <c r="CA21" s="167"/>
      <c r="CB21" s="166"/>
    </row>
    <row r="22" spans="1:80" ht="21.15" customHeight="1" thickBot="1" x14ac:dyDescent="0.6">
      <c r="A22" s="166"/>
      <c r="B22" s="167"/>
      <c r="C22" s="167"/>
      <c r="D22" s="167"/>
      <c r="E22" s="167"/>
      <c r="F22" s="167"/>
      <c r="G22" s="220">
        <f>VLOOKUP(G19,市町村データ!A2:AX48,MATCH(手順書_全国_人口密度!$F$66, 市町村データ!A1:AX1, 0),FALSE)</f>
        <v>2440.69</v>
      </c>
      <c r="H22" s="96"/>
      <c r="I22" s="96"/>
      <c r="J22" s="97"/>
      <c r="K22" s="223">
        <f>VLOOKUP(K19,市町村データ!A2:AX48,MATCH(手順書_全国_人口密度!$F$66, 市町村データ!A1:AX1, 0),FALSE)</f>
        <v>4986.51</v>
      </c>
      <c r="L22" s="96"/>
      <c r="M22" s="96"/>
      <c r="N22" s="97"/>
      <c r="O22" s="219">
        <f>VLOOKUP(O19,市町村データ!A2:AX48,MATCH(手順書_全国_人口密度!$F$66, 市町村データ!A1:AX1, 0),FALSE)</f>
        <v>6112.54</v>
      </c>
      <c r="P22" s="96"/>
      <c r="Q22" s="96"/>
      <c r="R22" s="97"/>
      <c r="S22" s="220">
        <f>VLOOKUP(S19,市町村データ!A2:AX48,MATCH(手順書_全国_人口密度!$F$66, 市町村データ!A1:AX1, 0),FALSE)</f>
        <v>8479.65</v>
      </c>
      <c r="T22" s="96"/>
      <c r="U22" s="96"/>
      <c r="V22" s="97"/>
      <c r="W22" s="220">
        <f>VLOOKUP(W19,市町村データ!A2:AX48,MATCH(手順書_全国_人口密度!$F$66, 市町村データ!A1:AX1, 0),FALSE)</f>
        <v>7114.33</v>
      </c>
      <c r="X22" s="96"/>
      <c r="Y22" s="96"/>
      <c r="Z22" s="97"/>
      <c r="AA22" s="226">
        <f>VLOOKUP(AA19,市町村データ!A2:AX48,MATCH(手順書_全国_人口密度!$F$66, 市町村データ!A1:AX1, 0),FALSE)</f>
        <v>8401.02</v>
      </c>
      <c r="AB22" s="96"/>
      <c r="AC22" s="96"/>
      <c r="AD22" s="97"/>
      <c r="AE22" s="225">
        <f>VLOOKUP(AE19,市町村データ!A2:AX48,MATCH(手順書_全国_人口密度!$F$66, 市町村データ!A1:AX1, 0),FALSE)</f>
        <v>1905.32</v>
      </c>
      <c r="AF22" s="96"/>
      <c r="AG22" s="96"/>
      <c r="AH22" s="97"/>
      <c r="AI22" s="220">
        <f>VLOOKUP(AI19,市町村データ!A2:AX48,MATCH(手順書_全国_人口密度!$F$66, 市町村データ!A1:AX1, 0),FALSE)</f>
        <v>3690.94</v>
      </c>
      <c r="AJ22" s="96"/>
      <c r="AK22" s="96"/>
      <c r="AL22" s="97"/>
      <c r="AM22" s="220">
        <f>VLOOKUP(AM19,市町村データ!A2:AX48,MATCH(手順書_全国_人口密度!$F$66, 市町村データ!A1:AX1, 0),FALSE)</f>
        <v>4017.38</v>
      </c>
      <c r="AN22" s="96"/>
      <c r="AO22" s="96"/>
      <c r="AP22" s="97"/>
      <c r="AQ22" s="219">
        <f>VLOOKUP(AQ19,市町村データ!A2:AX48,MATCH(手順書_全国_人口密度!$F$66, 市町村データ!A1:AX1, 0),FALSE)</f>
        <v>10621.29</v>
      </c>
      <c r="AR22" s="96"/>
      <c r="AS22" s="96"/>
      <c r="AT22" s="97"/>
      <c r="AU22" s="219">
        <f>VLOOKUP(AU19,市町村データ!A2:AX48,MATCH(手順書_全国_人口密度!$F$66, 市町村データ!A1:AX1, 0),FALSE)</f>
        <v>13561.56</v>
      </c>
      <c r="AV22" s="96"/>
      <c r="AW22" s="96"/>
      <c r="AX22" s="97"/>
      <c r="AY22" s="219">
        <f>VLOOKUP(AY19,市町村データ!A2:AX48,MATCH(手順書_全国_人口密度!$F$66, 市町村データ!A1:AX1, 0),FALSE)</f>
        <v>4465.2700000000004</v>
      </c>
      <c r="AZ22" s="96"/>
      <c r="BA22" s="96"/>
      <c r="BB22" s="97"/>
      <c r="BC22" s="222">
        <f>VLOOKUP(BC19,市町村データ!A2:AX48,MATCH(手順書_全国_人口密度!$F$66, 市町村データ!A1:AX1, 0),FALSE)</f>
        <v>3797.75</v>
      </c>
      <c r="BD22" s="96"/>
      <c r="BE22" s="96"/>
      <c r="BF22" s="97"/>
      <c r="BG22" s="220">
        <f>VLOOKUP(BG19,市町村データ!A2:AX48,MATCH(手順書_全国_人口密度!$F$66, 市町村データ!A1:AX1, 0),FALSE)</f>
        <v>6408.09</v>
      </c>
      <c r="BH22" s="96"/>
      <c r="BI22" s="96"/>
      <c r="BJ22" s="97"/>
      <c r="BK22" s="220">
        <f>VLOOKUP(BK19,市町村データ!A2:AX48,MATCH(手順書_全国_人口密度!$F$66, 市町村データ!A1:AX1, 0),FALSE)</f>
        <v>6097.39</v>
      </c>
      <c r="BL22" s="96"/>
      <c r="BM22" s="96"/>
      <c r="BN22" s="97"/>
      <c r="BO22" s="171"/>
      <c r="BP22" s="167"/>
      <c r="BQ22" s="167"/>
      <c r="BR22" s="167"/>
      <c r="BS22" s="167"/>
      <c r="BT22" s="167"/>
      <c r="BU22" s="167"/>
      <c r="BV22" s="167"/>
      <c r="BW22" s="167"/>
      <c r="BX22" s="174"/>
      <c r="BY22" s="175"/>
      <c r="BZ22" s="167"/>
      <c r="CA22" s="167"/>
      <c r="CB22" s="166"/>
    </row>
    <row r="23" spans="1:80" ht="21.15" customHeight="1" x14ac:dyDescent="0.55000000000000004">
      <c r="A23" s="166"/>
      <c r="B23" s="167"/>
      <c r="C23" s="168" t="s">
        <v>65</v>
      </c>
      <c r="D23" s="167"/>
      <c r="E23" s="167"/>
      <c r="F23" s="167"/>
      <c r="G23" s="169">
        <v>45</v>
      </c>
      <c r="H23" s="170" t="str">
        <f>VLOOKUP(G23,市町村データ!A2:AX48,MATCH(手順書_全国_人口密度!$G$63, 市町村データ!A1:AX1, 0),FALSE)</f>
        <v>長崎</v>
      </c>
      <c r="I23" s="98"/>
      <c r="J23" s="99"/>
      <c r="K23" s="169">
        <v>41</v>
      </c>
      <c r="L23" s="170" t="str">
        <f>VLOOKUP(K23,市町村データ!A2:AX48,MATCH(手順書_全国_人口密度!$G$63, 市町村データ!A1:AX1, 0),FALSE)</f>
        <v>大分</v>
      </c>
      <c r="M23" s="98"/>
      <c r="N23" s="99"/>
      <c r="O23" s="176"/>
      <c r="P23" s="177"/>
      <c r="Q23" s="177"/>
      <c r="R23" s="177"/>
      <c r="S23" s="169">
        <v>37</v>
      </c>
      <c r="T23" s="170" t="str">
        <f>VLOOKUP(S23,市町村データ!A2:AX48,MATCH(手順書_全国_人口密度!$G$63, 市町村データ!A1:AX1, 0),FALSE)</f>
        <v>愛媛</v>
      </c>
      <c r="U23" s="98"/>
      <c r="V23" s="99"/>
      <c r="W23" s="169">
        <v>33</v>
      </c>
      <c r="X23" s="170" t="str">
        <f>VLOOKUP(W23,市町村データ!A2:AX48,MATCH(手順書_全国_人口密度!$G$63, 市町村データ!A1:AX1, 0),FALSE)</f>
        <v>香川</v>
      </c>
      <c r="Y23" s="98"/>
      <c r="Z23" s="99"/>
      <c r="AA23" s="176"/>
      <c r="AB23" s="177"/>
      <c r="AC23" s="177"/>
      <c r="AD23" s="177"/>
      <c r="AE23" s="169">
        <v>29</v>
      </c>
      <c r="AF23" s="170" t="str">
        <f>VLOOKUP(AE23,市町村データ!A2:AX48,MATCH(手順書_全国_人口密度!$G$63, 市町村データ!A1:AX1, 0),FALSE)</f>
        <v>和歌山</v>
      </c>
      <c r="AG23" s="98"/>
      <c r="AH23" s="99"/>
      <c r="AI23" s="176"/>
      <c r="AJ23" s="177"/>
      <c r="AK23" s="177"/>
      <c r="AL23" s="177"/>
      <c r="AM23" s="169">
        <v>24</v>
      </c>
      <c r="AN23" s="170" t="str">
        <f>VLOOKUP(AM23,市町村データ!A2:AX48,MATCH(手順書_全国_人口密度!$G$63, 市町村データ!A1:AX1, 0),FALSE)</f>
        <v>三重</v>
      </c>
      <c r="AO23" s="98"/>
      <c r="AP23" s="99"/>
      <c r="AQ23" s="169">
        <v>21</v>
      </c>
      <c r="AR23" s="170" t="str">
        <f>VLOOKUP(AQ23,市町村データ!A2:AX48,MATCH(手順書_全国_人口密度!$G$63, 市町村データ!A1:AX1, 0),FALSE)</f>
        <v>愛知</v>
      </c>
      <c r="AS23" s="98"/>
      <c r="AT23" s="99"/>
      <c r="AU23" s="169">
        <v>18</v>
      </c>
      <c r="AV23" s="170" t="str">
        <f>VLOOKUP(AU23,市町村データ!A2:AX48,MATCH(手順書_全国_人口密度!$G$63, 市町村データ!A1:AX1, 0),FALSE)</f>
        <v>静岡</v>
      </c>
      <c r="AW23" s="98"/>
      <c r="AX23" s="99"/>
      <c r="AY23" s="169">
        <v>16</v>
      </c>
      <c r="AZ23" s="170" t="str">
        <f>VLOOKUP(AY23,市町村データ!A2:AX48,MATCH(手順書_全国_人口密度!$G$63, 市町村データ!A1:AX1, 0),FALSE)</f>
        <v>神奈川</v>
      </c>
      <c r="BA23" s="98"/>
      <c r="BB23" s="99"/>
      <c r="BC23" s="169">
        <v>14</v>
      </c>
      <c r="BD23" s="170" t="str">
        <f>VLOOKUP(BC23,市町村データ!A2:AX48,MATCH(手順書_全国_人口密度!$G$63, 市町村データ!A1:AX1, 0),FALSE)</f>
        <v>東京</v>
      </c>
      <c r="BE23" s="98"/>
      <c r="BF23" s="99"/>
      <c r="BG23" s="169">
        <v>10</v>
      </c>
      <c r="BH23" s="170" t="str">
        <f>VLOOKUP(BG23,市町村データ!A2:AX48,MATCH(手順書_全国_人口密度!$G$63, 市町村データ!A1:AX1, 0),FALSE)</f>
        <v>千葉</v>
      </c>
      <c r="BI23" s="98"/>
      <c r="BJ23" s="99"/>
      <c r="BK23" s="176"/>
      <c r="BL23" s="177"/>
      <c r="BM23" s="177"/>
      <c r="BN23" s="177"/>
      <c r="BO23" s="167"/>
      <c r="BP23" s="167"/>
      <c r="BQ23" s="167"/>
      <c r="BR23" s="167"/>
      <c r="BS23" s="167"/>
      <c r="BT23" s="167"/>
      <c r="BU23" s="167"/>
      <c r="BV23" s="167"/>
      <c r="BW23" s="167"/>
      <c r="BX23" s="174"/>
      <c r="BY23" s="175"/>
      <c r="BZ23" s="167"/>
      <c r="CA23" s="167"/>
      <c r="CB23" s="166"/>
    </row>
    <row r="24" spans="1:80" ht="21.15" customHeight="1" x14ac:dyDescent="0.55000000000000004">
      <c r="A24" s="166"/>
      <c r="B24" s="167"/>
      <c r="C24" s="167"/>
      <c r="D24" s="167"/>
      <c r="E24" s="167"/>
      <c r="F24" s="167"/>
      <c r="G24" s="159">
        <f>VLOOKUP(G23,市町村データ!A2:AX48,MATCH(手順書_全国_人口密度!$F$64, 市町村データ!A1:AX1, 0),FALSE)</f>
        <v>317.7</v>
      </c>
      <c r="H24" s="197"/>
      <c r="I24" s="197"/>
      <c r="J24" s="100"/>
      <c r="K24" s="138">
        <f>VLOOKUP(K23,市町村データ!A2:AX48,MATCH(手順書_全国_人口密度!$F$64, 市町村データ!A1:AX1, 0),FALSE)</f>
        <v>177.2</v>
      </c>
      <c r="L24" s="197"/>
      <c r="M24" s="197"/>
      <c r="N24" s="100"/>
      <c r="O24" s="171"/>
      <c r="P24" s="167"/>
      <c r="Q24" s="167"/>
      <c r="R24" s="167"/>
      <c r="S24" s="138">
        <f>VLOOKUP(S23,市町村データ!A2:AX48,MATCH(手順書_全国_人口密度!$F$64, 市町村データ!A1:AX1, 0),FALSE)</f>
        <v>235.2</v>
      </c>
      <c r="T24" s="197"/>
      <c r="U24" s="197"/>
      <c r="V24" s="100"/>
      <c r="W24" s="157">
        <f>VLOOKUP(W23,市町村データ!A2:AX48,MATCH(手順書_全国_人口密度!$F$64, 市町村データ!A1:AX1, 0),FALSE)</f>
        <v>506.3</v>
      </c>
      <c r="X24" s="197"/>
      <c r="Y24" s="197"/>
      <c r="Z24" s="100"/>
      <c r="AA24" s="171"/>
      <c r="AB24" s="167"/>
      <c r="AC24" s="167"/>
      <c r="AD24" s="167"/>
      <c r="AE24" s="138">
        <f>VLOOKUP(AE23,市町村データ!A2:AX48,MATCH(手順書_全国_人口密度!$F$64, 市町村データ!A1:AX1, 0),FALSE)</f>
        <v>195.3</v>
      </c>
      <c r="AF24" s="197"/>
      <c r="AG24" s="197"/>
      <c r="AH24" s="100"/>
      <c r="AI24" s="171"/>
      <c r="AJ24" s="167"/>
      <c r="AK24" s="167"/>
      <c r="AL24" s="167"/>
      <c r="AM24" s="159">
        <f>VLOOKUP(AM23,市町村データ!A2:AX48,MATCH(手順書_全国_人口密度!$F$64, 市町村データ!A1:AX1, 0),FALSE)</f>
        <v>306.60000000000002</v>
      </c>
      <c r="AN24" s="197"/>
      <c r="AO24" s="197"/>
      <c r="AP24" s="100"/>
      <c r="AQ24" s="154">
        <f>VLOOKUP(AQ23,市町村データ!A2:AX48,MATCH(手順書_全国_人口密度!$F$64, 市町村データ!A1:AX1, 0),FALSE)</f>
        <v>1458</v>
      </c>
      <c r="AR24" s="197"/>
      <c r="AS24" s="197"/>
      <c r="AT24" s="100"/>
      <c r="AU24" s="159">
        <f>VLOOKUP(AU23,市町村データ!A2:AX48,MATCH(手順書_全国_人口密度!$F$64, 市町村データ!A1:AX1, 0),FALSE)</f>
        <v>467.2</v>
      </c>
      <c r="AV24" s="197"/>
      <c r="AW24" s="197"/>
      <c r="AX24" s="100"/>
      <c r="AY24" s="135">
        <f>VLOOKUP(AY23,市町村データ!A2:AX48,MATCH(手順書_全国_人口密度!$F$64, 市町村データ!A1:AX1, 0),FALSE)</f>
        <v>3823.2</v>
      </c>
      <c r="AZ24" s="197"/>
      <c r="BA24" s="197"/>
      <c r="BB24" s="100"/>
      <c r="BC24" s="142">
        <f>VLOOKUP(BC23,市町村データ!A2:AX48,MATCH(手順書_全国_人口密度!$F$64, 市町村データ!A1:AX1, 0),FALSE)</f>
        <v>6402.6</v>
      </c>
      <c r="BD24" s="197"/>
      <c r="BE24" s="197"/>
      <c r="BF24" s="100"/>
      <c r="BG24" s="155">
        <f>VLOOKUP(BG23,市町村データ!A2:AX48,MATCH(手順書_全国_人口密度!$F$64, 市町村データ!A1:AX1, 0),FALSE)</f>
        <v>1218.5</v>
      </c>
      <c r="BH24" s="197"/>
      <c r="BI24" s="197"/>
      <c r="BJ24" s="100"/>
      <c r="BK24" s="171"/>
      <c r="BL24" s="167"/>
      <c r="BM24" s="167"/>
      <c r="BN24" s="167"/>
      <c r="BO24" s="167"/>
      <c r="BP24" s="167"/>
      <c r="BQ24" s="167"/>
      <c r="BR24" s="167"/>
      <c r="BS24" s="167"/>
      <c r="BT24" s="167"/>
      <c r="BU24" s="167"/>
      <c r="BV24" s="167"/>
      <c r="BW24" s="167"/>
      <c r="BX24" s="174"/>
      <c r="BY24" s="175"/>
      <c r="BZ24" s="167"/>
      <c r="CA24" s="167"/>
      <c r="CB24" s="166"/>
    </row>
    <row r="25" spans="1:80" ht="21.15" customHeight="1" x14ac:dyDescent="0.55000000000000004">
      <c r="A25" s="166"/>
      <c r="B25" s="167"/>
      <c r="C25" s="167"/>
      <c r="D25" s="167"/>
      <c r="E25" s="167"/>
      <c r="F25" s="167"/>
      <c r="G25" s="160">
        <f>VLOOKUP(G23,市町村データ!A2:AX48,MATCH(手順書_全国_人口密度!$F$65, 市町村データ!A1:AX1, 0),FALSE)</f>
        <v>1312317</v>
      </c>
      <c r="H25" s="197"/>
      <c r="I25" s="197"/>
      <c r="J25" s="100"/>
      <c r="K25" s="139">
        <f>VLOOKUP(K23,市町村データ!A2:AX48,MATCH(手順書_全国_人口密度!$F$65, 市町村データ!A1:AX1, 0),FALSE)</f>
        <v>1123852</v>
      </c>
      <c r="L25" s="197"/>
      <c r="M25" s="197"/>
      <c r="N25" s="100"/>
      <c r="O25" s="171"/>
      <c r="P25" s="167"/>
      <c r="Q25" s="167"/>
      <c r="R25" s="167"/>
      <c r="S25" s="139">
        <f>VLOOKUP(S23,市町村データ!A2:AX48,MATCH(手順書_全国_人口密度!$F$65, 市町村データ!A1:AX1, 0),FALSE)</f>
        <v>1334841</v>
      </c>
      <c r="T25" s="197"/>
      <c r="U25" s="197"/>
      <c r="V25" s="100"/>
      <c r="W25" s="158">
        <f>VLOOKUP(W23,市町村データ!A2:AX48,MATCH(手順書_全国_人口密度!$F$65, 市町村データ!A1:AX1, 0),FALSE)</f>
        <v>950244</v>
      </c>
      <c r="X25" s="197"/>
      <c r="Y25" s="197"/>
      <c r="Z25" s="100"/>
      <c r="AA25" s="171"/>
      <c r="AB25" s="167"/>
      <c r="AC25" s="167"/>
      <c r="AD25" s="167"/>
      <c r="AE25" s="139">
        <f>VLOOKUP(AE23,市町村データ!A2:AX48,MATCH(手順書_全国_人口密度!$F$65, 市町村データ!A1:AX1, 0),FALSE)</f>
        <v>922584</v>
      </c>
      <c r="AF25" s="197"/>
      <c r="AG25" s="197"/>
      <c r="AH25" s="100"/>
      <c r="AI25" s="171"/>
      <c r="AJ25" s="167"/>
      <c r="AK25" s="167"/>
      <c r="AL25" s="167"/>
      <c r="AM25" s="160">
        <f>VLOOKUP(AM23,市町村データ!A2:AX48,MATCH(手順書_全国_人口密度!$F$65, 市町村データ!A1:AX1, 0),FALSE)</f>
        <v>1770254</v>
      </c>
      <c r="AN25" s="197"/>
      <c r="AO25" s="197"/>
      <c r="AP25" s="100"/>
      <c r="AQ25" s="156">
        <f>VLOOKUP(AQ23,市町村データ!A2:AX48,MATCH(手順書_全国_人口密度!$F$65, 市町村データ!A1:AX1, 0),FALSE)</f>
        <v>7542415</v>
      </c>
      <c r="AR25" s="197"/>
      <c r="AS25" s="197"/>
      <c r="AT25" s="100"/>
      <c r="AU25" s="160">
        <f>VLOOKUP(AU23,市町村データ!A2:AX48,MATCH(手順書_全国_人口密度!$F$65, 市町村データ!A1:AX1, 0),FALSE)</f>
        <v>3633202</v>
      </c>
      <c r="AV25" s="197"/>
      <c r="AW25" s="197"/>
      <c r="AX25" s="100"/>
      <c r="AY25" s="137">
        <f>VLOOKUP(AY23,市町村データ!A2:AX48,MATCH(手順書_全国_人口密度!$F$65, 市町村データ!A1:AX1, 0),FALSE)</f>
        <v>9237337</v>
      </c>
      <c r="AZ25" s="197"/>
      <c r="BA25" s="197"/>
      <c r="BB25" s="100"/>
      <c r="BC25" s="140">
        <f>VLOOKUP(BC23,市町村データ!A2:AX48,MATCH(手順書_全国_人口密度!$F$65, 市町村データ!A1:AX1, 0),FALSE)</f>
        <v>14047594</v>
      </c>
      <c r="BD25" s="197"/>
      <c r="BE25" s="197"/>
      <c r="BF25" s="100"/>
      <c r="BG25" s="153">
        <f>VLOOKUP(BG23,市町村データ!A2:AX48,MATCH(手順書_全国_人口密度!$F$65, 市町村データ!A1:AX1, 0),FALSE)</f>
        <v>6284480</v>
      </c>
      <c r="BH25" s="197"/>
      <c r="BI25" s="197"/>
      <c r="BJ25" s="100"/>
      <c r="BK25" s="171"/>
      <c r="BL25" s="167"/>
      <c r="BM25" s="167"/>
      <c r="BN25" s="167"/>
      <c r="BO25" s="167"/>
      <c r="BP25" s="167"/>
      <c r="BQ25" s="167"/>
      <c r="BR25" s="167"/>
      <c r="BS25" s="167"/>
      <c r="BT25" s="167"/>
      <c r="BU25" s="167"/>
      <c r="BV25" s="167"/>
      <c r="BW25" s="167"/>
      <c r="BX25" s="174"/>
      <c r="BY25" s="175"/>
      <c r="BZ25" s="167"/>
      <c r="CA25" s="167"/>
      <c r="CB25" s="166"/>
    </row>
    <row r="26" spans="1:80" ht="21.15" customHeight="1" thickBot="1" x14ac:dyDescent="0.6">
      <c r="A26" s="166"/>
      <c r="B26" s="167"/>
      <c r="C26" s="167"/>
      <c r="D26" s="167"/>
      <c r="E26" s="167"/>
      <c r="F26" s="167"/>
      <c r="G26" s="220">
        <f>VLOOKUP(G23,市町村データ!A2:AX48,MATCH(手順書_全国_人口密度!$F$66, 市町村データ!A1:AX1, 0),FALSE)</f>
        <v>4130.9799999999996</v>
      </c>
      <c r="H26" s="96"/>
      <c r="I26" s="96"/>
      <c r="J26" s="97"/>
      <c r="K26" s="219">
        <f>VLOOKUP(K23,市町村データ!A2:AX48,MATCH(手順書_全国_人口密度!$F$66, 市町村データ!A1:AX1, 0),FALSE)</f>
        <v>6340.76</v>
      </c>
      <c r="L26" s="96"/>
      <c r="M26" s="96"/>
      <c r="N26" s="97"/>
      <c r="O26" s="171"/>
      <c r="P26" s="167"/>
      <c r="Q26" s="167"/>
      <c r="R26" s="167"/>
      <c r="S26" s="219">
        <f>VLOOKUP(S23,市町村データ!A2:AX48,MATCH(手順書_全国_人口密度!$F$66, 市町村データ!A1:AX1, 0),FALSE)</f>
        <v>5676.19</v>
      </c>
      <c r="T26" s="96"/>
      <c r="U26" s="96"/>
      <c r="V26" s="97"/>
      <c r="W26" s="226">
        <f>VLOOKUP(W23,市町村データ!A2:AX48,MATCH(手順書_全国_人口密度!$F$66, 市町村データ!A1:AX1, 0),FALSE)</f>
        <v>1876.78</v>
      </c>
      <c r="X26" s="96"/>
      <c r="Y26" s="96"/>
      <c r="Z26" s="97"/>
      <c r="AA26" s="171"/>
      <c r="AB26" s="167"/>
      <c r="AC26" s="167"/>
      <c r="AD26" s="167"/>
      <c r="AE26" s="219">
        <f>VLOOKUP(AE23,市町村データ!A2:AX48,MATCH(手順書_全国_人口密度!$F$66, 市町村データ!A1:AX1, 0),FALSE)</f>
        <v>4724.6499999999996</v>
      </c>
      <c r="AF26" s="96"/>
      <c r="AG26" s="96"/>
      <c r="AH26" s="97"/>
      <c r="AI26" s="171"/>
      <c r="AJ26" s="167"/>
      <c r="AK26" s="167"/>
      <c r="AL26" s="167"/>
      <c r="AM26" s="220">
        <f>VLOOKUP(AM23,市町村データ!A2:AX48,MATCH(手順書_全国_人口密度!$F$66, 市町村データ!A1:AX1, 0),FALSE)</f>
        <v>5774.49</v>
      </c>
      <c r="AN26" s="96"/>
      <c r="AO26" s="96"/>
      <c r="AP26" s="97"/>
      <c r="AQ26" s="222">
        <f>VLOOKUP(AQ23,市町村データ!A2:AX48,MATCH(手順書_全国_人口密度!$F$66, 市町村データ!A1:AX1, 0),FALSE)</f>
        <v>5173.07</v>
      </c>
      <c r="AR26" s="96"/>
      <c r="AS26" s="96"/>
      <c r="AT26" s="97"/>
      <c r="AU26" s="220">
        <f>VLOOKUP(AU23,市町村データ!A2:AX48,MATCH(手順書_全国_人口密度!$F$66, 市町村データ!A1:AX1, 0),FALSE)</f>
        <v>7777.35</v>
      </c>
      <c r="AV26" s="96"/>
      <c r="AW26" s="96"/>
      <c r="AX26" s="97"/>
      <c r="AY26" s="225">
        <f>VLOOKUP(AY23,市町村データ!A2:AX48,MATCH(手順書_全国_人口密度!$F$66, 市町村データ!A1:AX1, 0),FALSE)</f>
        <v>2416.11</v>
      </c>
      <c r="AZ26" s="96"/>
      <c r="BA26" s="96"/>
      <c r="BB26" s="97"/>
      <c r="BC26" s="224">
        <f>VLOOKUP(BC23,市町村データ!A2:AX48,MATCH(手順書_全国_人口密度!$F$66, 市町村データ!A1:AX1, 0),FALSE)</f>
        <v>2194.0300000000002</v>
      </c>
      <c r="BD26" s="96"/>
      <c r="BE26" s="96"/>
      <c r="BF26" s="97"/>
      <c r="BG26" s="223">
        <f>VLOOKUP(BG23,市町村データ!A2:AX48,MATCH(手順書_全国_人口密度!$F$66, 市町村データ!A1:AX1, 0),FALSE)</f>
        <v>5157.57</v>
      </c>
      <c r="BH26" s="96"/>
      <c r="BI26" s="96"/>
      <c r="BJ26" s="97"/>
      <c r="BK26" s="171"/>
      <c r="BL26" s="167"/>
      <c r="BM26" s="167"/>
      <c r="BN26" s="167"/>
      <c r="BO26" s="167"/>
      <c r="BP26" s="167"/>
      <c r="BQ26" s="167"/>
      <c r="BR26" s="167"/>
      <c r="BS26" s="167"/>
      <c r="BT26" s="167"/>
      <c r="BU26" s="167"/>
      <c r="BV26" s="167"/>
      <c r="BW26" s="167"/>
      <c r="BX26" s="174"/>
      <c r="BY26" s="175"/>
      <c r="BZ26" s="167"/>
      <c r="CA26" s="167"/>
      <c r="CB26" s="166"/>
    </row>
    <row r="27" spans="1:80" ht="21.15" customHeight="1" x14ac:dyDescent="0.55000000000000004">
      <c r="A27" s="166"/>
      <c r="B27" s="167"/>
      <c r="C27" s="168" t="s">
        <v>66</v>
      </c>
      <c r="D27" s="167"/>
      <c r="E27" s="167"/>
      <c r="F27" s="167"/>
      <c r="G27" s="169">
        <v>46</v>
      </c>
      <c r="H27" s="170" t="str">
        <f>VLOOKUP(G27,市町村データ!A2:AX48,MATCH(手順書_全国_人口密度!$G$63, 市町村データ!A1:AX1, 0),FALSE)</f>
        <v>熊本</v>
      </c>
      <c r="I27" s="98"/>
      <c r="J27" s="99"/>
      <c r="K27" s="169">
        <v>42</v>
      </c>
      <c r="L27" s="170" t="str">
        <f>VLOOKUP(K27,市町村データ!A2:AX48,MATCH(手順書_全国_人口密度!$G$63, 市町村データ!A1:AX1, 0),FALSE)</f>
        <v>宮崎</v>
      </c>
      <c r="M27" s="98"/>
      <c r="N27" s="99"/>
      <c r="O27" s="171"/>
      <c r="P27" s="167"/>
      <c r="Q27" s="167"/>
      <c r="R27" s="167"/>
      <c r="S27" s="169">
        <v>38</v>
      </c>
      <c r="T27" s="170" t="str">
        <f>VLOOKUP(S27,市町村データ!A2:AX48,MATCH(手順書_全国_人口密度!$G$63, 市町村データ!A1:AX1, 0),FALSE)</f>
        <v>高知</v>
      </c>
      <c r="U27" s="98"/>
      <c r="V27" s="99"/>
      <c r="W27" s="169">
        <v>34</v>
      </c>
      <c r="X27" s="170" t="str">
        <f>VLOOKUP(W27,市町村データ!A2:AX48,MATCH(手順書_全国_人口密度!$G$63, 市町村データ!A1:AX1, 0),FALSE)</f>
        <v>徳島</v>
      </c>
      <c r="Y27" s="98"/>
      <c r="Z27" s="99"/>
      <c r="AA27" s="171"/>
      <c r="AB27" s="167"/>
      <c r="AC27" s="167"/>
      <c r="AD27" s="167"/>
      <c r="AE27" s="177"/>
      <c r="AF27" s="177"/>
      <c r="AG27" s="177"/>
      <c r="AH27" s="177"/>
      <c r="AI27" s="167"/>
      <c r="AJ27" s="167"/>
      <c r="AK27" s="167"/>
      <c r="AL27" s="167"/>
      <c r="AM27" s="177"/>
      <c r="AN27" s="177"/>
      <c r="AO27" s="177"/>
      <c r="AP27" s="177"/>
      <c r="AQ27" s="177"/>
      <c r="AR27" s="177"/>
      <c r="AS27" s="177"/>
      <c r="AT27" s="177"/>
      <c r="AU27" s="177"/>
      <c r="AV27" s="177"/>
      <c r="AW27" s="177"/>
      <c r="AX27" s="177"/>
      <c r="AY27" s="177"/>
      <c r="AZ27" s="177"/>
      <c r="BA27" s="177"/>
      <c r="BB27" s="177"/>
      <c r="BC27" s="177"/>
      <c r="BD27" s="177"/>
      <c r="BE27" s="177"/>
      <c r="BF27" s="177"/>
      <c r="BG27" s="177"/>
      <c r="BH27" s="177"/>
      <c r="BI27" s="177"/>
      <c r="BJ27" s="177"/>
      <c r="BK27" s="167"/>
      <c r="BL27" s="167"/>
      <c r="BM27" s="167"/>
      <c r="BN27" s="167"/>
      <c r="BO27" s="167"/>
      <c r="BP27" s="167"/>
      <c r="BQ27" s="167"/>
      <c r="BR27" s="167"/>
      <c r="BS27" s="167"/>
      <c r="BT27" s="167"/>
      <c r="BU27" s="167"/>
      <c r="BV27" s="167"/>
      <c r="BW27" s="167"/>
      <c r="BX27" s="174"/>
      <c r="BY27" s="175"/>
      <c r="BZ27" s="167"/>
      <c r="CA27" s="167"/>
      <c r="CB27" s="166"/>
    </row>
    <row r="28" spans="1:80" ht="21.15" customHeight="1" x14ac:dyDescent="0.55000000000000004">
      <c r="A28" s="166"/>
      <c r="B28" s="167"/>
      <c r="C28" s="167"/>
      <c r="D28" s="167"/>
      <c r="E28" s="167"/>
      <c r="F28" s="167"/>
      <c r="G28" s="138">
        <f>VLOOKUP(G27,市町村データ!A2:AX48,MATCH(手順書_全国_人口密度!$F$64, 市町村データ!A1:AX1, 0),FALSE)</f>
        <v>234.6</v>
      </c>
      <c r="H28" s="197"/>
      <c r="I28" s="197"/>
      <c r="J28" s="100"/>
      <c r="K28" s="138">
        <f>VLOOKUP(K27,市町村データ!A2:AX48,MATCH(手順書_全国_人口密度!$F$64, 市町村データ!A1:AX1, 0),FALSE)</f>
        <v>138.30000000000001</v>
      </c>
      <c r="L28" s="197"/>
      <c r="M28" s="197"/>
      <c r="N28" s="100"/>
      <c r="O28" s="171"/>
      <c r="P28" s="167"/>
      <c r="Q28" s="167"/>
      <c r="R28" s="167"/>
      <c r="S28" s="132">
        <f>VLOOKUP(S27,市町村データ!A2:AX48,MATCH(手順書_全国_人口密度!$F$64, 市町村データ!A1:AX1, 0),FALSE)</f>
        <v>97.3</v>
      </c>
      <c r="T28" s="197"/>
      <c r="U28" s="197"/>
      <c r="V28" s="100"/>
      <c r="W28" s="138">
        <f>VLOOKUP(W27,市町村データ!A2:AX48,MATCH(手順書_全国_人口密度!$F$64, 市町村データ!A1:AX1, 0),FALSE)</f>
        <v>173.5</v>
      </c>
      <c r="X28" s="197"/>
      <c r="Y28" s="197"/>
      <c r="Z28" s="100"/>
      <c r="AA28" s="171"/>
      <c r="AB28" s="167"/>
      <c r="AC28" s="167"/>
      <c r="AD28" s="167"/>
      <c r="AE28" s="167"/>
      <c r="AF28" s="167"/>
      <c r="AG28" s="167"/>
      <c r="AH28" s="167"/>
      <c r="AI28" s="167"/>
      <c r="AJ28" s="167"/>
      <c r="AK28" s="167"/>
      <c r="AL28" s="167"/>
      <c r="AM28" s="167"/>
      <c r="AN28" s="167"/>
      <c r="AO28" s="167"/>
      <c r="AP28" s="167"/>
      <c r="AQ28" s="167"/>
      <c r="AR28" s="167"/>
      <c r="AS28" s="167"/>
      <c r="AT28" s="167"/>
      <c r="AU28" s="167"/>
      <c r="AV28" s="167"/>
      <c r="AW28" s="167"/>
      <c r="AX28" s="167"/>
      <c r="AY28" s="167"/>
      <c r="AZ28" s="167"/>
      <c r="BA28" s="167"/>
      <c r="BB28" s="167"/>
      <c r="BC28" s="167"/>
      <c r="BD28" s="167"/>
      <c r="BE28" s="167"/>
      <c r="BF28" s="167"/>
      <c r="BG28" s="167"/>
      <c r="BH28" s="167"/>
      <c r="BI28" s="167"/>
      <c r="BJ28" s="167"/>
      <c r="BK28" s="167"/>
      <c r="BL28" s="167"/>
      <c r="BM28" s="167"/>
      <c r="BN28" s="167"/>
      <c r="BO28" s="167"/>
      <c r="BP28" s="167"/>
      <c r="BQ28" s="167"/>
      <c r="BR28" s="167"/>
      <c r="BS28" s="167"/>
      <c r="BT28" s="167"/>
      <c r="BU28" s="167"/>
      <c r="BV28" s="167"/>
      <c r="BW28" s="167"/>
      <c r="BX28" s="167"/>
      <c r="BY28" s="167"/>
      <c r="BZ28" s="167"/>
      <c r="CA28" s="167"/>
      <c r="CB28" s="166"/>
    </row>
    <row r="29" spans="1:80" ht="21.15" customHeight="1" x14ac:dyDescent="0.55000000000000004">
      <c r="A29" s="166"/>
      <c r="B29" s="167"/>
      <c r="C29" s="167"/>
      <c r="D29" s="167"/>
      <c r="E29" s="167"/>
      <c r="F29" s="167"/>
      <c r="G29" s="139">
        <f>VLOOKUP(G27,市町村データ!A2:AX48,MATCH(手順書_全国_人口密度!$F$65, 市町村データ!A1:AX1, 0),FALSE)</f>
        <v>1738301</v>
      </c>
      <c r="H29" s="197"/>
      <c r="I29" s="197"/>
      <c r="J29" s="100"/>
      <c r="K29" s="139">
        <f>VLOOKUP(K27,市町村データ!A2:AX48,MATCH(手順書_全国_人口密度!$F$65, 市町村データ!A1:AX1, 0),FALSE)</f>
        <v>1069576</v>
      </c>
      <c r="L29" s="197"/>
      <c r="M29" s="197"/>
      <c r="N29" s="100"/>
      <c r="O29" s="171"/>
      <c r="P29" s="167"/>
      <c r="Q29" s="167"/>
      <c r="R29" s="167"/>
      <c r="S29" s="133">
        <f>VLOOKUP(S27,市町村データ!A2:AX48,MATCH(手順書_全国_人口密度!$F$65, 市町村データ!A1:AX1, 0),FALSE)</f>
        <v>691527</v>
      </c>
      <c r="T29" s="197"/>
      <c r="U29" s="197"/>
      <c r="V29" s="100"/>
      <c r="W29" s="139">
        <f>VLOOKUP(W27,市町村データ!A2:AX48,MATCH(手順書_全国_人口密度!$F$65, 市町村データ!A1:AX1, 0),FALSE)</f>
        <v>719559</v>
      </c>
      <c r="X29" s="197"/>
      <c r="Y29" s="197"/>
      <c r="Z29" s="100"/>
      <c r="AA29" s="171"/>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c r="BS29" s="167"/>
      <c r="BT29" s="167"/>
      <c r="BU29" s="167"/>
      <c r="BV29" s="167"/>
      <c r="BW29" s="167"/>
      <c r="BX29" s="167"/>
      <c r="BY29" s="167"/>
      <c r="BZ29" s="167"/>
      <c r="CA29" s="167"/>
      <c r="CB29" s="166"/>
    </row>
    <row r="30" spans="1:80" ht="21.15" customHeight="1" thickBot="1" x14ac:dyDescent="0.6">
      <c r="A30" s="166"/>
      <c r="B30" s="167"/>
      <c r="C30" s="167"/>
      <c r="D30" s="167"/>
      <c r="E30" s="167"/>
      <c r="F30" s="167"/>
      <c r="G30" s="219">
        <f>VLOOKUP(G27,市町村データ!A2:AX48,MATCH(手順書_全国_人口密度!$F$66, 市町村データ!A1:AX1, 0),FALSE)</f>
        <v>7409.46</v>
      </c>
      <c r="H30" s="96"/>
      <c r="I30" s="96"/>
      <c r="J30" s="97"/>
      <c r="K30" s="219">
        <f>VLOOKUP(K27,市町村データ!A2:AX48,MATCH(手順書_全国_人口密度!$F$66, 市町村データ!A1:AX1, 0),FALSE)</f>
        <v>7735.22</v>
      </c>
      <c r="L30" s="96"/>
      <c r="M30" s="96"/>
      <c r="N30" s="97"/>
      <c r="O30" s="171"/>
      <c r="P30" s="167"/>
      <c r="Q30" s="167"/>
      <c r="R30" s="167"/>
      <c r="S30" s="218">
        <f>VLOOKUP(S27,市町村データ!A2:AX48,MATCH(手順書_全国_人口密度!$F$66, 市町村データ!A1:AX1, 0),FALSE)</f>
        <v>7103.63</v>
      </c>
      <c r="T30" s="96"/>
      <c r="U30" s="96"/>
      <c r="V30" s="97"/>
      <c r="W30" s="219">
        <f>VLOOKUP(W27,市町村データ!A2:AX48,MATCH(手順書_全国_人口密度!$F$66, 市町村データ!A1:AX1, 0),FALSE)</f>
        <v>4146.75</v>
      </c>
      <c r="X30" s="96"/>
      <c r="Y30" s="96"/>
      <c r="Z30" s="97"/>
      <c r="AA30" s="171"/>
      <c r="AB30" s="167"/>
      <c r="AC30" s="167"/>
      <c r="AD30" s="167"/>
      <c r="AE30" s="167"/>
      <c r="AF30" s="167"/>
      <c r="AG30" s="167"/>
      <c r="AH30" s="167"/>
      <c r="AI30" s="167"/>
      <c r="AJ30" s="167"/>
      <c r="AK30" s="167"/>
      <c r="AL30" s="167"/>
      <c r="AM30" s="167"/>
      <c r="AN30" s="167"/>
      <c r="AO30" s="167"/>
      <c r="AP30" s="167"/>
      <c r="AQ30" s="167"/>
      <c r="AR30" s="167"/>
      <c r="AS30" s="167"/>
      <c r="AT30" s="167"/>
      <c r="AU30" s="167"/>
      <c r="AV30" s="167"/>
      <c r="AW30" s="167"/>
      <c r="AX30" s="167"/>
      <c r="AY30" s="167"/>
      <c r="AZ30" s="167"/>
      <c r="BA30" s="167"/>
      <c r="BB30" s="167"/>
      <c r="BC30" s="167"/>
      <c r="BD30" s="167"/>
      <c r="BE30" s="167"/>
      <c r="BF30" s="167"/>
      <c r="BG30" s="167"/>
      <c r="BH30" s="167"/>
      <c r="BI30" s="167"/>
      <c r="BJ30" s="167"/>
      <c r="BK30" s="167"/>
      <c r="BL30" s="167"/>
      <c r="BM30" s="167"/>
      <c r="BN30" s="167"/>
      <c r="BO30" s="167"/>
      <c r="BP30" s="167"/>
      <c r="BQ30" s="167"/>
      <c r="BR30" s="167"/>
      <c r="BS30" s="167"/>
      <c r="BT30" s="167"/>
      <c r="BU30" s="167"/>
      <c r="BV30" s="167"/>
      <c r="BW30" s="167"/>
      <c r="BX30" s="167"/>
      <c r="BY30" s="167"/>
      <c r="BZ30" s="167"/>
      <c r="CA30" s="167"/>
      <c r="CB30" s="166"/>
    </row>
    <row r="31" spans="1:80" ht="21.15" customHeight="1" x14ac:dyDescent="0.55000000000000004">
      <c r="A31" s="166"/>
      <c r="B31" s="167"/>
      <c r="C31" s="168" t="s">
        <v>67</v>
      </c>
      <c r="D31" s="167"/>
      <c r="E31" s="167"/>
      <c r="F31" s="167"/>
      <c r="G31" s="169">
        <v>47</v>
      </c>
      <c r="H31" s="170" t="str">
        <f>VLOOKUP(G31,市町村データ!A2:AX48,MATCH(手順書_全国_人口密度!$G$63, 市町村データ!A1:AX1, 0),FALSE)</f>
        <v>沖縄</v>
      </c>
      <c r="I31" s="98"/>
      <c r="J31" s="99"/>
      <c r="K31" s="169">
        <v>43</v>
      </c>
      <c r="L31" s="170" t="str">
        <f>VLOOKUP(K31,市町村データ!A2:AX48,MATCH(手順書_全国_人口密度!$G$63, 市町村データ!A1:AX1, 0),FALSE)</f>
        <v>鹿児島</v>
      </c>
      <c r="M31" s="98"/>
      <c r="N31" s="99"/>
      <c r="O31" s="171"/>
      <c r="P31" s="167"/>
      <c r="Q31" s="167"/>
      <c r="R31" s="167"/>
      <c r="S31" s="177"/>
      <c r="T31" s="177"/>
      <c r="U31" s="177"/>
      <c r="V31" s="177"/>
      <c r="W31" s="177"/>
      <c r="X31" s="177"/>
      <c r="Y31" s="177"/>
      <c r="Z31" s="17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c r="BA31" s="167"/>
      <c r="BB31" s="167"/>
      <c r="BC31" s="167"/>
      <c r="BD31" s="167"/>
      <c r="BE31" s="167"/>
      <c r="BF31" s="167"/>
      <c r="BG31" s="167"/>
      <c r="BH31" s="167"/>
      <c r="BI31" s="167"/>
      <c r="BJ31" s="167"/>
      <c r="BK31" s="167"/>
      <c r="BL31" s="167"/>
      <c r="BM31" s="167"/>
      <c r="BN31" s="167"/>
      <c r="BO31" s="167"/>
      <c r="BP31" s="167"/>
      <c r="BQ31" s="167"/>
      <c r="BR31" s="167"/>
      <c r="BS31" s="167"/>
      <c r="BT31" s="167"/>
      <c r="BU31" s="167"/>
      <c r="BV31" s="167"/>
      <c r="BW31" s="167"/>
      <c r="BX31" s="167"/>
      <c r="BY31" s="167"/>
      <c r="BZ31" s="167"/>
      <c r="CA31" s="167"/>
      <c r="CB31" s="166"/>
    </row>
    <row r="32" spans="1:80" ht="21.15" customHeight="1" x14ac:dyDescent="0.55000000000000004">
      <c r="A32" s="166"/>
      <c r="B32" s="167"/>
      <c r="C32" s="167"/>
      <c r="D32" s="167"/>
      <c r="E32" s="167"/>
      <c r="F32" s="167"/>
      <c r="G32" s="157">
        <f>VLOOKUP(G31,市町村データ!A2:AX48,MATCH(手順書_全国_人口密度!$F$64, 市町村データ!A1:AX1, 0),FALSE)</f>
        <v>642.9</v>
      </c>
      <c r="H32" s="197"/>
      <c r="I32" s="197"/>
      <c r="J32" s="100"/>
      <c r="K32" s="138">
        <f>VLOOKUP(K31,市町村データ!A2:AX48,MATCH(手順書_全国_人口密度!$F$64, 市町村データ!A1:AX1, 0),FALSE)</f>
        <v>172.9</v>
      </c>
      <c r="L32" s="197"/>
      <c r="M32" s="197"/>
      <c r="N32" s="100"/>
      <c r="O32" s="171"/>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c r="BS32" s="167"/>
      <c r="BT32" s="167"/>
      <c r="BU32" s="167"/>
      <c r="BV32" s="167"/>
      <c r="BW32" s="167"/>
      <c r="BX32" s="167"/>
      <c r="BY32" s="167"/>
      <c r="BZ32" s="167"/>
      <c r="CA32" s="167"/>
      <c r="CB32" s="166"/>
    </row>
    <row r="33" spans="1:80" ht="21.15" customHeight="1" x14ac:dyDescent="0.55000000000000004">
      <c r="A33" s="166"/>
      <c r="B33" s="167"/>
      <c r="C33" s="167"/>
      <c r="D33" s="167"/>
      <c r="E33" s="167"/>
      <c r="F33" s="167"/>
      <c r="G33" s="158">
        <f>VLOOKUP(G31,市町村データ!A2:AX48,MATCH(手順書_全国_人口密度!$F$65, 市町村データ!A1:AX1, 0),FALSE)</f>
        <v>1467480</v>
      </c>
      <c r="H33" s="197"/>
      <c r="I33" s="197"/>
      <c r="J33" s="100"/>
      <c r="K33" s="139">
        <f>VLOOKUP(K31,市町村データ!A2:AX48,MATCH(手順書_全国_人口密度!$F$65, 市町村データ!A1:AX1, 0),FALSE)</f>
        <v>1588256</v>
      </c>
      <c r="L33" s="197"/>
      <c r="M33" s="197"/>
      <c r="N33" s="100"/>
      <c r="O33" s="171"/>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c r="BS33" s="167"/>
      <c r="BT33" s="167"/>
      <c r="BU33" s="167"/>
      <c r="BV33" s="167"/>
      <c r="BW33" s="167"/>
      <c r="BX33" s="167"/>
      <c r="BY33" s="167"/>
      <c r="BZ33" s="167"/>
      <c r="CA33" s="167"/>
      <c r="CB33" s="166"/>
    </row>
    <row r="34" spans="1:80" ht="21.15" customHeight="1" thickBot="1" x14ac:dyDescent="0.6">
      <c r="A34" s="166"/>
      <c r="B34" s="167"/>
      <c r="C34" s="167"/>
      <c r="D34" s="167"/>
      <c r="E34" s="167"/>
      <c r="F34" s="167"/>
      <c r="G34" s="226">
        <f>VLOOKUP(G31,市町村データ!A2:AX48,MATCH(手順書_全国_人口密度!$F$66, 市町村データ!A1:AX1, 0),FALSE)</f>
        <v>2282.59</v>
      </c>
      <c r="H34" s="96"/>
      <c r="I34" s="96"/>
      <c r="J34" s="97"/>
      <c r="K34" s="219">
        <f>VLOOKUP(K31,市町村データ!A2:AX48,MATCH(手順書_全国_人口密度!$F$66, 市町村データ!A1:AX1, 0),FALSE)</f>
        <v>9187.06</v>
      </c>
      <c r="L34" s="96"/>
      <c r="M34" s="96"/>
      <c r="N34" s="97"/>
      <c r="O34" s="171"/>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c r="BS34" s="167"/>
      <c r="BT34" s="167"/>
      <c r="BU34" s="167"/>
      <c r="BV34" s="167"/>
      <c r="BW34" s="167"/>
      <c r="BX34" s="167"/>
      <c r="BY34" s="167"/>
      <c r="BZ34" s="167"/>
      <c r="CA34" s="167"/>
      <c r="CB34" s="166"/>
    </row>
    <row r="35" spans="1:80" ht="21.15" customHeight="1" x14ac:dyDescent="0.55000000000000004">
      <c r="A35" s="166"/>
      <c r="B35" s="167"/>
      <c r="C35" s="168" t="s">
        <v>68</v>
      </c>
      <c r="D35" s="167"/>
      <c r="E35" s="167"/>
      <c r="F35" s="167"/>
      <c r="G35" s="177"/>
      <c r="H35" s="177"/>
      <c r="I35" s="177"/>
      <c r="J35" s="177"/>
      <c r="K35" s="177"/>
      <c r="L35" s="177"/>
      <c r="M35" s="177"/>
      <c r="N35" s="17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78"/>
      <c r="AN35" s="167"/>
      <c r="AO35" s="167"/>
      <c r="AP35" s="167"/>
      <c r="AQ35" s="178"/>
      <c r="AR35" s="167"/>
      <c r="AS35" s="167"/>
      <c r="AT35" s="167"/>
      <c r="AU35" s="178"/>
      <c r="AV35" s="167"/>
      <c r="AW35" s="167"/>
      <c r="AX35" s="167"/>
      <c r="AY35" s="178"/>
      <c r="AZ35" s="167"/>
      <c r="BA35" s="167"/>
      <c r="BB35" s="167"/>
      <c r="BC35" s="178"/>
      <c r="BD35" s="167"/>
      <c r="BE35" s="167"/>
      <c r="BF35" s="167"/>
      <c r="BG35" s="178"/>
      <c r="BH35" s="167"/>
      <c r="BI35" s="167"/>
      <c r="BJ35" s="167"/>
      <c r="BK35" s="178"/>
      <c r="BL35" s="167"/>
      <c r="BM35" s="167"/>
      <c r="BN35" s="167"/>
      <c r="BO35" s="178"/>
      <c r="BP35" s="167"/>
      <c r="BQ35" s="167"/>
      <c r="BR35" s="167"/>
      <c r="BS35" s="178"/>
      <c r="BT35" s="167"/>
      <c r="BU35" s="167"/>
      <c r="BV35" s="167"/>
      <c r="BW35" s="167"/>
      <c r="BX35" s="167"/>
      <c r="BY35" s="167"/>
      <c r="BZ35" s="167"/>
      <c r="CA35" s="167"/>
      <c r="CB35" s="166"/>
    </row>
    <row r="36" spans="1:80" ht="21.15" customHeight="1" x14ac:dyDescent="0.55000000000000004">
      <c r="A36" s="166"/>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67"/>
      <c r="BX36" s="167"/>
      <c r="BY36" s="167"/>
      <c r="BZ36" s="167"/>
      <c r="CA36" s="167"/>
      <c r="CB36" s="166"/>
    </row>
    <row r="37" spans="1:80" ht="21.15" customHeight="1" x14ac:dyDescent="0.55000000000000004">
      <c r="A37" s="166"/>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80"/>
      <c r="AN37" s="180"/>
      <c r="AO37" s="180"/>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0"/>
      <c r="BO37" s="180"/>
      <c r="BP37" s="180"/>
      <c r="BQ37" s="180"/>
      <c r="BR37" s="180"/>
      <c r="BS37" s="180"/>
      <c r="BT37" s="180"/>
      <c r="BU37" s="180"/>
      <c r="BV37" s="180"/>
      <c r="BW37" s="167"/>
      <c r="BX37" s="167"/>
      <c r="BY37" s="167"/>
      <c r="BZ37" s="167"/>
      <c r="CA37" s="167"/>
      <c r="CB37" s="166"/>
    </row>
    <row r="38" spans="1:80" ht="21.15" customHeight="1" x14ac:dyDescent="0.55000000000000004">
      <c r="A38" s="166"/>
      <c r="B38" s="167" t="s">
        <v>138</v>
      </c>
      <c r="C38" s="167"/>
      <c r="D38" s="167"/>
      <c r="E38" s="167"/>
      <c r="F38" s="167"/>
      <c r="G38" s="181"/>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82"/>
      <c r="AN38" s="182"/>
      <c r="AO38" s="182"/>
      <c r="AP38" s="182"/>
      <c r="AQ38" s="182"/>
      <c r="AR38" s="182"/>
      <c r="AS38" s="182"/>
      <c r="AT38" s="182"/>
      <c r="AU38" s="182"/>
      <c r="AV38" s="182"/>
      <c r="AW38" s="182"/>
      <c r="AX38" s="182"/>
      <c r="AY38" s="182"/>
      <c r="AZ38" s="182"/>
      <c r="BA38" s="182"/>
      <c r="BB38" s="182"/>
      <c r="BC38" s="182"/>
      <c r="BD38" s="182"/>
      <c r="BE38" s="182"/>
      <c r="BF38" s="182"/>
      <c r="BG38" s="182"/>
      <c r="BH38" s="182"/>
      <c r="BI38" s="182"/>
      <c r="BJ38" s="182"/>
      <c r="BK38" s="182"/>
      <c r="BL38" s="182"/>
      <c r="BM38" s="182"/>
      <c r="BN38" s="182"/>
      <c r="BO38" s="182"/>
      <c r="BP38" s="182"/>
      <c r="BQ38" s="182"/>
      <c r="BR38" s="182"/>
      <c r="BS38" s="182"/>
      <c r="BT38" s="182"/>
      <c r="BU38" s="182"/>
      <c r="BV38" s="182"/>
      <c r="BW38" s="167"/>
      <c r="BX38" s="167"/>
      <c r="BY38" s="167"/>
      <c r="BZ38" s="167"/>
      <c r="CA38" s="167"/>
      <c r="CB38" s="166"/>
    </row>
    <row r="39" spans="1:80" ht="21.15" customHeight="1" x14ac:dyDescent="0.55000000000000004">
      <c r="A39" s="166"/>
      <c r="B39" s="167" t="s">
        <v>137</v>
      </c>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c r="BS39" s="167"/>
      <c r="BT39" s="167"/>
      <c r="BU39" s="167"/>
      <c r="BV39" s="167"/>
      <c r="BW39" s="167"/>
      <c r="BX39" s="167"/>
      <c r="BY39" s="167"/>
      <c r="BZ39" s="167"/>
      <c r="CA39" s="167"/>
      <c r="CB39" s="166"/>
    </row>
    <row r="40" spans="1:80" ht="21.15" customHeight="1" x14ac:dyDescent="0.55000000000000004">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c r="CA40" s="166"/>
      <c r="CB40" s="166"/>
    </row>
  </sheetData>
  <mergeCells count="216">
    <mergeCell ref="BU20:BW20"/>
    <mergeCell ref="BX20:BY20"/>
    <mergeCell ref="BU17:BW17"/>
    <mergeCell ref="BX17:BY17"/>
    <mergeCell ref="BU18:BW18"/>
    <mergeCell ref="BX18:BY18"/>
    <mergeCell ref="BU19:BW19"/>
    <mergeCell ref="BX19:BY19"/>
    <mergeCell ref="BU14:BW14"/>
    <mergeCell ref="BX14:BY14"/>
    <mergeCell ref="BU15:BW15"/>
    <mergeCell ref="BX15:BY15"/>
    <mergeCell ref="BU16:BW16"/>
    <mergeCell ref="BX16:BY16"/>
    <mergeCell ref="BU11:BW11"/>
    <mergeCell ref="BX11:BY11"/>
    <mergeCell ref="BU12:BW12"/>
    <mergeCell ref="BX12:BY12"/>
    <mergeCell ref="BU13:BW13"/>
    <mergeCell ref="BX13:BY13"/>
    <mergeCell ref="G34:J34"/>
    <mergeCell ref="K34:N34"/>
    <mergeCell ref="BV4:BX4"/>
    <mergeCell ref="BU5:BX5"/>
    <mergeCell ref="BU6:BX6"/>
    <mergeCell ref="BU7:BX7"/>
    <mergeCell ref="BU9:BW9"/>
    <mergeCell ref="BX9:BY9"/>
    <mergeCell ref="BU10:BW10"/>
    <mergeCell ref="BX10:BY10"/>
    <mergeCell ref="H31:J31"/>
    <mergeCell ref="L31:N31"/>
    <mergeCell ref="G32:J32"/>
    <mergeCell ref="K32:N32"/>
    <mergeCell ref="G33:J33"/>
    <mergeCell ref="K33:N33"/>
    <mergeCell ref="G29:J29"/>
    <mergeCell ref="K29:N29"/>
    <mergeCell ref="S29:V29"/>
    <mergeCell ref="W29:Z29"/>
    <mergeCell ref="G30:J30"/>
    <mergeCell ref="K30:N30"/>
    <mergeCell ref="S30:V30"/>
    <mergeCell ref="W30:Z30"/>
    <mergeCell ref="H27:J27"/>
    <mergeCell ref="L27:N27"/>
    <mergeCell ref="T27:V27"/>
    <mergeCell ref="X27:Z27"/>
    <mergeCell ref="G28:J28"/>
    <mergeCell ref="K28:N28"/>
    <mergeCell ref="S28:V28"/>
    <mergeCell ref="W28:Z28"/>
    <mergeCell ref="AM26:AP26"/>
    <mergeCell ref="AQ26:AT26"/>
    <mergeCell ref="AU26:AX26"/>
    <mergeCell ref="AY26:BB26"/>
    <mergeCell ref="BC26:BF26"/>
    <mergeCell ref="BG26:BJ26"/>
    <mergeCell ref="AQ25:AT25"/>
    <mergeCell ref="AU25:AX25"/>
    <mergeCell ref="AY25:BB25"/>
    <mergeCell ref="BC25:BF25"/>
    <mergeCell ref="BG25:BJ25"/>
    <mergeCell ref="G26:J26"/>
    <mergeCell ref="K26:N26"/>
    <mergeCell ref="S26:V26"/>
    <mergeCell ref="W26:Z26"/>
    <mergeCell ref="AE26:AH26"/>
    <mergeCell ref="G25:J25"/>
    <mergeCell ref="K25:N25"/>
    <mergeCell ref="S25:V25"/>
    <mergeCell ref="W25:Z25"/>
    <mergeCell ref="AE25:AH25"/>
    <mergeCell ref="AM25:AP25"/>
    <mergeCell ref="AM24:AP24"/>
    <mergeCell ref="AQ24:AT24"/>
    <mergeCell ref="AU24:AX24"/>
    <mergeCell ref="AY24:BB24"/>
    <mergeCell ref="BC24:BF24"/>
    <mergeCell ref="BG24:BJ24"/>
    <mergeCell ref="AR23:AT23"/>
    <mergeCell ref="AV23:AX23"/>
    <mergeCell ref="AZ23:BB23"/>
    <mergeCell ref="BD23:BF23"/>
    <mergeCell ref="BH23:BJ23"/>
    <mergeCell ref="G24:J24"/>
    <mergeCell ref="K24:N24"/>
    <mergeCell ref="S24:V24"/>
    <mergeCell ref="W24:Z24"/>
    <mergeCell ref="AE24:AH24"/>
    <mergeCell ref="H23:J23"/>
    <mergeCell ref="L23:N23"/>
    <mergeCell ref="T23:V23"/>
    <mergeCell ref="X23:Z23"/>
    <mergeCell ref="AF23:AH23"/>
    <mergeCell ref="AN23:AP23"/>
    <mergeCell ref="AQ22:AT22"/>
    <mergeCell ref="AU22:AX22"/>
    <mergeCell ref="AY22:BB22"/>
    <mergeCell ref="BC22:BF22"/>
    <mergeCell ref="BG22:BJ22"/>
    <mergeCell ref="BK22:BN22"/>
    <mergeCell ref="BK21:BN21"/>
    <mergeCell ref="G22:J22"/>
    <mergeCell ref="K22:N22"/>
    <mergeCell ref="O22:R22"/>
    <mergeCell ref="S22:V22"/>
    <mergeCell ref="W22:Z22"/>
    <mergeCell ref="AA22:AD22"/>
    <mergeCell ref="AE22:AH22"/>
    <mergeCell ref="AI22:AL22"/>
    <mergeCell ref="AM22:AP22"/>
    <mergeCell ref="AM21:AP21"/>
    <mergeCell ref="AQ21:AT21"/>
    <mergeCell ref="AU21:AX21"/>
    <mergeCell ref="AY21:BB21"/>
    <mergeCell ref="BC21:BF21"/>
    <mergeCell ref="BG21:BJ21"/>
    <mergeCell ref="BG20:BJ20"/>
    <mergeCell ref="BK20:BN20"/>
    <mergeCell ref="G21:J21"/>
    <mergeCell ref="K21:N21"/>
    <mergeCell ref="O21:R21"/>
    <mergeCell ref="S21:V21"/>
    <mergeCell ref="W21:Z21"/>
    <mergeCell ref="AA21:AD21"/>
    <mergeCell ref="AE21:AH21"/>
    <mergeCell ref="AI21:AL21"/>
    <mergeCell ref="AI20:AL20"/>
    <mergeCell ref="AM20:AP20"/>
    <mergeCell ref="AQ20:AT20"/>
    <mergeCell ref="AU20:AX20"/>
    <mergeCell ref="AY20:BB20"/>
    <mergeCell ref="BC20:BF20"/>
    <mergeCell ref="BD19:BF19"/>
    <mergeCell ref="BH19:BJ19"/>
    <mergeCell ref="BL19:BN19"/>
    <mergeCell ref="G20:J20"/>
    <mergeCell ref="K20:N20"/>
    <mergeCell ref="O20:R20"/>
    <mergeCell ref="S20:V20"/>
    <mergeCell ref="W20:Z20"/>
    <mergeCell ref="AA20:AD20"/>
    <mergeCell ref="AE20:AH20"/>
    <mergeCell ref="AF19:AH19"/>
    <mergeCell ref="AJ19:AL19"/>
    <mergeCell ref="AN19:AP19"/>
    <mergeCell ref="AR19:AT19"/>
    <mergeCell ref="AV19:AX19"/>
    <mergeCell ref="AZ19:BB19"/>
    <mergeCell ref="BC18:BF18"/>
    <mergeCell ref="BG18:BJ18"/>
    <mergeCell ref="BK18:BN18"/>
    <mergeCell ref="BO18:BR18"/>
    <mergeCell ref="H19:J19"/>
    <mergeCell ref="L19:N19"/>
    <mergeCell ref="P19:R19"/>
    <mergeCell ref="T19:V19"/>
    <mergeCell ref="X19:Z19"/>
    <mergeCell ref="AB19:AD19"/>
    <mergeCell ref="BC17:BF17"/>
    <mergeCell ref="BG17:BJ17"/>
    <mergeCell ref="BK17:BN17"/>
    <mergeCell ref="BO17:BR17"/>
    <mergeCell ref="S18:V18"/>
    <mergeCell ref="W18:Z18"/>
    <mergeCell ref="AE18:AH18"/>
    <mergeCell ref="AI18:AL18"/>
    <mergeCell ref="AM18:AP18"/>
    <mergeCell ref="AQ18:AT18"/>
    <mergeCell ref="BC16:BF16"/>
    <mergeCell ref="BG16:BJ16"/>
    <mergeCell ref="BK16:BN16"/>
    <mergeCell ref="BO16:BR16"/>
    <mergeCell ref="S17:V17"/>
    <mergeCell ref="W17:Z17"/>
    <mergeCell ref="AE17:AH17"/>
    <mergeCell ref="AI17:AL17"/>
    <mergeCell ref="AM17:AP17"/>
    <mergeCell ref="AQ17:AT17"/>
    <mergeCell ref="BD15:BF15"/>
    <mergeCell ref="BH15:BJ15"/>
    <mergeCell ref="BL15:BN15"/>
    <mergeCell ref="BP15:BR15"/>
    <mergeCell ref="S16:V16"/>
    <mergeCell ref="W16:Z16"/>
    <mergeCell ref="AE16:AH16"/>
    <mergeCell ref="AI16:AL16"/>
    <mergeCell ref="AM16:AP16"/>
    <mergeCell ref="AQ16:AT16"/>
    <mergeCell ref="BC14:BF14"/>
    <mergeCell ref="BG14:BJ14"/>
    <mergeCell ref="BK14:BN14"/>
    <mergeCell ref="BO14:BR14"/>
    <mergeCell ref="T15:V15"/>
    <mergeCell ref="X15:Z15"/>
    <mergeCell ref="AF15:AH15"/>
    <mergeCell ref="AJ15:AL15"/>
    <mergeCell ref="AN15:AP15"/>
    <mergeCell ref="AR15:AT15"/>
    <mergeCell ref="BC12:BF12"/>
    <mergeCell ref="BG12:BJ12"/>
    <mergeCell ref="BK12:BN12"/>
    <mergeCell ref="BO12:BR12"/>
    <mergeCell ref="BC13:BF13"/>
    <mergeCell ref="BG13:BJ13"/>
    <mergeCell ref="BK13:BN13"/>
    <mergeCell ref="BO13:BR13"/>
    <mergeCell ref="BP7:BR7"/>
    <mergeCell ref="BO8:BR8"/>
    <mergeCell ref="BO9:BR9"/>
    <mergeCell ref="BO10:BR10"/>
    <mergeCell ref="BD11:BF11"/>
    <mergeCell ref="BH11:BJ11"/>
    <mergeCell ref="BL11:BN11"/>
    <mergeCell ref="BP11:BR11"/>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手順書_はじめに</vt:lpstr>
      <vt:lpstr>自動生成_地図データ</vt:lpstr>
      <vt:lpstr>CHANGELOG</vt:lpstr>
      <vt:lpstr>地図テンプレート_全国</vt:lpstr>
      <vt:lpstr>市町村データ</vt:lpstr>
      <vt:lpstr>手順書_1_市町村なまえ</vt:lpstr>
      <vt:lpstr>自動生成_全国_市町村なまえ</vt:lpstr>
      <vt:lpstr>手順書_全国_人口</vt:lpstr>
      <vt:lpstr>自動生成_全国_人口</vt:lpstr>
      <vt:lpstr>手順書_全国_人口密度</vt:lpstr>
      <vt:lpstr>自動生成_全国_人口密度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2025-06-14T15:50:16Z</dcterms:modified>
</cp:coreProperties>
</file>