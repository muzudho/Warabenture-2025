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153B320C-4014-4163-982A-13274B28CB88}" xr6:coauthVersionLast="47" xr6:coauthVersionMax="47" xr10:uidLastSave="{00000000-0000-0000-0000-000000000000}"/>
  <bookViews>
    <workbookView xWindow="-27435" yWindow="9300" windowWidth="26835" windowHeight="13065" tabRatio="589" xr2:uid="{F917344C-C780-48F4-9CB5-33E5B2D23EE5}"/>
  </bookViews>
  <sheets>
    <sheet name="手順書_はじめに" sheetId="179" r:id="rId1"/>
    <sheet name="自動生成_地図データ" sheetId="307" r:id="rId2"/>
    <sheet name="CHANGELOG" sheetId="276" r:id="rId3"/>
    <sheet name="地図テンプレート_1" sheetId="9" r:id="rId4"/>
    <sheet name="地図テンプレート_2" sheetId="49" r:id="rId5"/>
    <sheet name="市町村データ" sheetId="5" r:id="rId6"/>
    <sheet name="手順書_市町村なまえ" sheetId="116" r:id="rId7"/>
    <sheet name="自動生成_市町村なまえ" sheetId="308" r:id="rId8"/>
    <sheet name="手順書_人口密度" sheetId="114" r:id="rId9"/>
    <sheet name="自動生成_人口密度" sheetId="309" r:id="rId10"/>
    <sheet name="手順書_人口" sheetId="13" r:id="rId11"/>
    <sheet name="自動生成_人口" sheetId="310" r:id="rId12"/>
  </sheets>
  <functionGroups builtInGroupCount="19"/>
  <definedNames>
    <definedName name="_xlnm._FilterDatabase" localSheetId="5" hidden="1">市町村データ!$A$1:$AX$75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30" i="310" l="1"/>
  <c r="BC29" i="310"/>
  <c r="BC28" i="310"/>
  <c r="BD27" i="310"/>
  <c r="BS38" i="310"/>
  <c r="BS37" i="310"/>
  <c r="BS36" i="310"/>
  <c r="BT35" i="310"/>
  <c r="BO38" i="310"/>
  <c r="BO37" i="310"/>
  <c r="BO36" i="310"/>
  <c r="BP35" i="310"/>
  <c r="BK38" i="310"/>
  <c r="BK37" i="310"/>
  <c r="BK36" i="310"/>
  <c r="BL35" i="310"/>
  <c r="BG38" i="310"/>
  <c r="BG37" i="310"/>
  <c r="BG36" i="310"/>
  <c r="BH35" i="310"/>
  <c r="BC38" i="310"/>
  <c r="BC37" i="310"/>
  <c r="BC36" i="310"/>
  <c r="BD35" i="310"/>
  <c r="AY38" i="310"/>
  <c r="AY37" i="310"/>
  <c r="AY36" i="310"/>
  <c r="AZ35" i="310"/>
  <c r="AU38" i="310"/>
  <c r="AU37" i="310"/>
  <c r="AU36" i="310"/>
  <c r="AV35" i="310"/>
  <c r="AQ38" i="310"/>
  <c r="AQ37" i="310"/>
  <c r="AQ36" i="310"/>
  <c r="AR35" i="310"/>
  <c r="AM38" i="310"/>
  <c r="AM37" i="310"/>
  <c r="AM36" i="310"/>
  <c r="AN35" i="310"/>
  <c r="BS34" i="310"/>
  <c r="BS33" i="310"/>
  <c r="BS32" i="310"/>
  <c r="BT31" i="310"/>
  <c r="AU34" i="310"/>
  <c r="AU33" i="310"/>
  <c r="AU32" i="310"/>
  <c r="AV31" i="310"/>
  <c r="AQ34" i="310"/>
  <c r="AQ33" i="310"/>
  <c r="AQ32" i="310"/>
  <c r="AR31" i="310"/>
  <c r="AM34" i="310"/>
  <c r="AM33" i="310"/>
  <c r="AM32" i="310"/>
  <c r="AN31" i="310"/>
  <c r="BS30" i="310"/>
  <c r="BS29" i="310"/>
  <c r="BS28" i="310"/>
  <c r="BT27" i="310"/>
  <c r="BK30" i="310"/>
  <c r="BK29" i="310"/>
  <c r="BK28" i="310"/>
  <c r="BL27" i="310"/>
  <c r="AU30" i="310"/>
  <c r="AU29" i="310"/>
  <c r="AU28" i="310"/>
  <c r="AV27" i="310"/>
  <c r="AQ30" i="310"/>
  <c r="AQ29" i="310"/>
  <c r="AQ28" i="310"/>
  <c r="AR27" i="310"/>
  <c r="AM30" i="310"/>
  <c r="AM29" i="310"/>
  <c r="AM28" i="310"/>
  <c r="AN27" i="310"/>
  <c r="AI30" i="310"/>
  <c r="AI29" i="310"/>
  <c r="AI28" i="310"/>
  <c r="AJ27" i="310"/>
  <c r="S30" i="310"/>
  <c r="S29" i="310"/>
  <c r="S28" i="310"/>
  <c r="T27" i="310"/>
  <c r="G30" i="310"/>
  <c r="G29" i="310"/>
  <c r="G28" i="310"/>
  <c r="H27" i="310"/>
  <c r="BS26" i="310"/>
  <c r="BS25" i="310"/>
  <c r="BS24" i="310"/>
  <c r="BT23" i="310"/>
  <c r="BK26" i="310"/>
  <c r="BK25" i="310"/>
  <c r="BK24" i="310"/>
  <c r="BL23" i="310"/>
  <c r="AM26" i="310"/>
  <c r="AM25" i="310"/>
  <c r="AM24" i="310"/>
  <c r="AN23" i="310"/>
  <c r="AI26" i="310"/>
  <c r="AI25" i="310"/>
  <c r="AI24" i="310"/>
  <c r="AJ23" i="310"/>
  <c r="AE26" i="310"/>
  <c r="AE25" i="310"/>
  <c r="AE24" i="310"/>
  <c r="AF23" i="310"/>
  <c r="AA26" i="310"/>
  <c r="AA25" i="310"/>
  <c r="AA24" i="310"/>
  <c r="AB23" i="310"/>
  <c r="S26" i="310"/>
  <c r="S25" i="310"/>
  <c r="S24" i="310"/>
  <c r="T23" i="310"/>
  <c r="G26" i="310"/>
  <c r="G25" i="310"/>
  <c r="G24" i="310"/>
  <c r="H23" i="310"/>
  <c r="BO22" i="310"/>
  <c r="BO21" i="310"/>
  <c r="BO20" i="310"/>
  <c r="BP19" i="310"/>
  <c r="BK22" i="310"/>
  <c r="BK21" i="310"/>
  <c r="BK20" i="310"/>
  <c r="BL19" i="310"/>
  <c r="BG22" i="310"/>
  <c r="BG21" i="310"/>
  <c r="BG20" i="310"/>
  <c r="BH19" i="310"/>
  <c r="BC22" i="310"/>
  <c r="BC21" i="310"/>
  <c r="BC20" i="310"/>
  <c r="BD19" i="310"/>
  <c r="AY22" i="310"/>
  <c r="AY21" i="310"/>
  <c r="AY20" i="310"/>
  <c r="AZ19" i="310"/>
  <c r="AU22" i="310"/>
  <c r="AU21" i="310"/>
  <c r="AU20" i="310"/>
  <c r="AV19" i="310"/>
  <c r="AQ22" i="310"/>
  <c r="AQ21" i="310"/>
  <c r="AQ20" i="310"/>
  <c r="AR19" i="310"/>
  <c r="AM22" i="310"/>
  <c r="AM21" i="310"/>
  <c r="AM20" i="310"/>
  <c r="AN19" i="310"/>
  <c r="AI22" i="310"/>
  <c r="AI21" i="310"/>
  <c r="AI20" i="310"/>
  <c r="AJ19" i="310"/>
  <c r="AA22" i="310"/>
  <c r="AA21" i="310"/>
  <c r="AA20" i="310"/>
  <c r="AB19" i="310"/>
  <c r="W22" i="310"/>
  <c r="W21" i="310"/>
  <c r="W20" i="310"/>
  <c r="X19" i="310"/>
  <c r="O22" i="310"/>
  <c r="O21" i="310"/>
  <c r="O20" i="310"/>
  <c r="P19" i="310"/>
  <c r="K22" i="310"/>
  <c r="K21" i="310"/>
  <c r="K20" i="310"/>
  <c r="L19" i="310"/>
  <c r="BO18" i="310"/>
  <c r="BO17" i="310"/>
  <c r="BO16" i="310"/>
  <c r="BP15" i="310"/>
  <c r="AU18" i="310"/>
  <c r="AU17" i="310"/>
  <c r="AU16" i="310"/>
  <c r="AV15" i="310"/>
  <c r="AQ18" i="310"/>
  <c r="AQ17" i="310"/>
  <c r="AQ16" i="310"/>
  <c r="AR15" i="310"/>
  <c r="AM18" i="310"/>
  <c r="AM17" i="310"/>
  <c r="AM16" i="310"/>
  <c r="AN15" i="310"/>
  <c r="AI18" i="310"/>
  <c r="AI17" i="310"/>
  <c r="AI16" i="310"/>
  <c r="AJ15" i="310"/>
  <c r="AE18" i="310"/>
  <c r="AE17" i="310"/>
  <c r="AE16" i="310"/>
  <c r="AF15" i="310"/>
  <c r="AA18" i="310"/>
  <c r="AA17" i="310"/>
  <c r="AA16" i="310"/>
  <c r="AB15" i="310"/>
  <c r="W18" i="310"/>
  <c r="W17" i="310"/>
  <c r="W16" i="310"/>
  <c r="X15" i="310"/>
  <c r="S18" i="310"/>
  <c r="S17" i="310"/>
  <c r="S16" i="310"/>
  <c r="T15" i="310"/>
  <c r="O18" i="310"/>
  <c r="O17" i="310"/>
  <c r="O16" i="310"/>
  <c r="P15" i="310"/>
  <c r="AU14" i="310"/>
  <c r="AU13" i="310"/>
  <c r="AU12" i="310"/>
  <c r="AV11" i="310"/>
  <c r="AQ14" i="310"/>
  <c r="AQ13" i="310"/>
  <c r="AQ12" i="310"/>
  <c r="AR11" i="310"/>
  <c r="O14" i="310"/>
  <c r="O13" i="310"/>
  <c r="O12" i="310"/>
  <c r="P11" i="310"/>
  <c r="G14" i="310"/>
  <c r="G13" i="310"/>
  <c r="G12" i="310"/>
  <c r="H11" i="310"/>
  <c r="AU10" i="310"/>
  <c r="AU9" i="310"/>
  <c r="AU8" i="310"/>
  <c r="AV7" i="310"/>
  <c r="AQ10" i="310"/>
  <c r="AQ9" i="310"/>
  <c r="AQ8" i="310"/>
  <c r="AR7" i="310"/>
  <c r="W10" i="310"/>
  <c r="W9" i="310"/>
  <c r="W8" i="310"/>
  <c r="X7" i="310"/>
  <c r="O10" i="310"/>
  <c r="O9" i="310"/>
  <c r="O8" i="310"/>
  <c r="P7" i="310"/>
  <c r="K10" i="310"/>
  <c r="K9" i="310"/>
  <c r="K8" i="310"/>
  <c r="L7" i="310"/>
  <c r="G10" i="310"/>
  <c r="G9" i="310"/>
  <c r="G8" i="310"/>
  <c r="H7" i="310"/>
  <c r="BC30" i="309"/>
  <c r="BC29" i="309"/>
  <c r="BC28" i="309"/>
  <c r="BD27" i="309"/>
  <c r="BS38" i="309"/>
  <c r="BS37" i="309"/>
  <c r="BS36" i="309"/>
  <c r="BT35" i="309"/>
  <c r="BO38" i="309"/>
  <c r="BO37" i="309"/>
  <c r="BO36" i="309"/>
  <c r="BP35" i="309"/>
  <c r="BK38" i="309"/>
  <c r="BK37" i="309"/>
  <c r="BK36" i="309"/>
  <c r="BL35" i="309"/>
  <c r="BG38" i="309"/>
  <c r="BG37" i="309"/>
  <c r="BG36" i="309"/>
  <c r="BH35" i="309"/>
  <c r="BC38" i="309"/>
  <c r="BC37" i="309"/>
  <c r="BC36" i="309"/>
  <c r="BD35" i="309"/>
  <c r="AY38" i="309"/>
  <c r="AY37" i="309"/>
  <c r="AY36" i="309"/>
  <c r="AZ35" i="309"/>
  <c r="AU38" i="309"/>
  <c r="AU37" i="309"/>
  <c r="AU36" i="309"/>
  <c r="AV35" i="309"/>
  <c r="AQ38" i="309"/>
  <c r="AQ37" i="309"/>
  <c r="AQ36" i="309"/>
  <c r="AR35" i="309"/>
  <c r="AM38" i="309"/>
  <c r="AM37" i="309"/>
  <c r="AM36" i="309"/>
  <c r="AN35" i="309"/>
  <c r="BS34" i="309"/>
  <c r="BS33" i="309"/>
  <c r="BS32" i="309"/>
  <c r="BT31" i="309"/>
  <c r="AU34" i="309"/>
  <c r="AU33" i="309"/>
  <c r="AU32" i="309"/>
  <c r="AV31" i="309"/>
  <c r="AQ34" i="309"/>
  <c r="AQ33" i="309"/>
  <c r="AQ32" i="309"/>
  <c r="AR31" i="309"/>
  <c r="AM34" i="309"/>
  <c r="AM33" i="309"/>
  <c r="AM32" i="309"/>
  <c r="AN31" i="309"/>
  <c r="BS30" i="309"/>
  <c r="BS29" i="309"/>
  <c r="BS28" i="309"/>
  <c r="BT27" i="309"/>
  <c r="BK30" i="309"/>
  <c r="BK29" i="309"/>
  <c r="BK28" i="309"/>
  <c r="BL27" i="309"/>
  <c r="AU30" i="309"/>
  <c r="AU29" i="309"/>
  <c r="AU28" i="309"/>
  <c r="AV27" i="309"/>
  <c r="AQ30" i="309"/>
  <c r="AQ29" i="309"/>
  <c r="AQ28" i="309"/>
  <c r="AR27" i="309"/>
  <c r="AM30" i="309"/>
  <c r="AM29" i="309"/>
  <c r="AM28" i="309"/>
  <c r="AN27" i="309"/>
  <c r="AI30" i="309"/>
  <c r="AI29" i="309"/>
  <c r="AI28" i="309"/>
  <c r="AJ27" i="309"/>
  <c r="S30" i="309"/>
  <c r="S29" i="309"/>
  <c r="S28" i="309"/>
  <c r="T27" i="309"/>
  <c r="G30" i="309"/>
  <c r="G29" i="309"/>
  <c r="G28" i="309"/>
  <c r="H27" i="309"/>
  <c r="BS26" i="309"/>
  <c r="BS25" i="309"/>
  <c r="BS24" i="309"/>
  <c r="BT23" i="309"/>
  <c r="BK26" i="309"/>
  <c r="BK25" i="309"/>
  <c r="BK24" i="309"/>
  <c r="BL23" i="309"/>
  <c r="AM26" i="309"/>
  <c r="AM25" i="309"/>
  <c r="AM24" i="309"/>
  <c r="AN23" i="309"/>
  <c r="AI26" i="309"/>
  <c r="AI25" i="309"/>
  <c r="AI24" i="309"/>
  <c r="AJ23" i="309"/>
  <c r="AE26" i="309"/>
  <c r="AE25" i="309"/>
  <c r="AE24" i="309"/>
  <c r="AF23" i="309"/>
  <c r="AA26" i="309"/>
  <c r="AA25" i="309"/>
  <c r="AA24" i="309"/>
  <c r="AB23" i="309"/>
  <c r="S26" i="309"/>
  <c r="S25" i="309"/>
  <c r="S24" i="309"/>
  <c r="T23" i="309"/>
  <c r="G26" i="309"/>
  <c r="G25" i="309"/>
  <c r="G24" i="309"/>
  <c r="H23" i="309"/>
  <c r="BO22" i="309"/>
  <c r="BO21" i="309"/>
  <c r="BO20" i="309"/>
  <c r="BP19" i="309"/>
  <c r="BK22" i="309"/>
  <c r="BK21" i="309"/>
  <c r="BK20" i="309"/>
  <c r="BL19" i="309"/>
  <c r="BG22" i="309"/>
  <c r="BG21" i="309"/>
  <c r="BG20" i="309"/>
  <c r="BH19" i="309"/>
  <c r="BC22" i="309"/>
  <c r="BC21" i="309"/>
  <c r="BC20" i="309"/>
  <c r="BD19" i="309"/>
  <c r="AY22" i="309"/>
  <c r="AY21" i="309"/>
  <c r="AY20" i="309"/>
  <c r="AZ19" i="309"/>
  <c r="AU22" i="309"/>
  <c r="AU21" i="309"/>
  <c r="AU20" i="309"/>
  <c r="AV19" i="309"/>
  <c r="AQ22" i="309"/>
  <c r="AQ21" i="309"/>
  <c r="AQ20" i="309"/>
  <c r="AR19" i="309"/>
  <c r="AM22" i="309"/>
  <c r="AM21" i="309"/>
  <c r="AM20" i="309"/>
  <c r="AN19" i="309"/>
  <c r="AI22" i="309"/>
  <c r="AI21" i="309"/>
  <c r="AI20" i="309"/>
  <c r="AJ19" i="309"/>
  <c r="AA22" i="309"/>
  <c r="AA21" i="309"/>
  <c r="AA20" i="309"/>
  <c r="AB19" i="309"/>
  <c r="W22" i="309"/>
  <c r="W21" i="309"/>
  <c r="W20" i="309"/>
  <c r="X19" i="309"/>
  <c r="O22" i="309"/>
  <c r="O21" i="309"/>
  <c r="O20" i="309"/>
  <c r="P19" i="309"/>
  <c r="K22" i="309"/>
  <c r="K21" i="309"/>
  <c r="K20" i="309"/>
  <c r="L19" i="309"/>
  <c r="BO18" i="309"/>
  <c r="BO17" i="309"/>
  <c r="BO16" i="309"/>
  <c r="BP15" i="309"/>
  <c r="AU18" i="309"/>
  <c r="AU17" i="309"/>
  <c r="AU16" i="309"/>
  <c r="AV15" i="309"/>
  <c r="AQ18" i="309"/>
  <c r="AQ17" i="309"/>
  <c r="AQ16" i="309"/>
  <c r="AR15" i="309"/>
  <c r="AM18" i="309"/>
  <c r="AM17" i="309"/>
  <c r="AM16" i="309"/>
  <c r="AN15" i="309"/>
  <c r="AI18" i="309"/>
  <c r="AI17" i="309"/>
  <c r="AI16" i="309"/>
  <c r="AJ15" i="309"/>
  <c r="AE18" i="309"/>
  <c r="AE17" i="309"/>
  <c r="AE16" i="309"/>
  <c r="AF15" i="309"/>
  <c r="AA18" i="309"/>
  <c r="AA17" i="309"/>
  <c r="AA16" i="309"/>
  <c r="AB15" i="309"/>
  <c r="W18" i="309"/>
  <c r="W17" i="309"/>
  <c r="W16" i="309"/>
  <c r="X15" i="309"/>
  <c r="S18" i="309"/>
  <c r="S17" i="309"/>
  <c r="S16" i="309"/>
  <c r="T15" i="309"/>
  <c r="O18" i="309"/>
  <c r="O17" i="309"/>
  <c r="O16" i="309"/>
  <c r="P15" i="309"/>
  <c r="AU14" i="309"/>
  <c r="AU13" i="309"/>
  <c r="AU12" i="309"/>
  <c r="AV11" i="309"/>
  <c r="AQ14" i="309"/>
  <c r="AQ13" i="309"/>
  <c r="AQ12" i="309"/>
  <c r="AR11" i="309"/>
  <c r="O14" i="309"/>
  <c r="O13" i="309"/>
  <c r="O12" i="309"/>
  <c r="P11" i="309"/>
  <c r="G14" i="309"/>
  <c r="G13" i="309"/>
  <c r="G12" i="309"/>
  <c r="H11" i="309"/>
  <c r="AU10" i="309"/>
  <c r="AU9" i="309"/>
  <c r="AU8" i="309"/>
  <c r="AV7" i="309"/>
  <c r="AQ10" i="309"/>
  <c r="AQ9" i="309"/>
  <c r="AQ8" i="309"/>
  <c r="AR7" i="309"/>
  <c r="W10" i="309"/>
  <c r="W9" i="309"/>
  <c r="W8" i="309"/>
  <c r="X7" i="309"/>
  <c r="O10" i="309"/>
  <c r="O9" i="309"/>
  <c r="O8" i="309"/>
  <c r="P7" i="309"/>
  <c r="K10" i="309"/>
  <c r="K9" i="309"/>
  <c r="K8" i="309"/>
  <c r="L7" i="309"/>
  <c r="G10" i="309"/>
  <c r="G9" i="309"/>
  <c r="G8" i="309"/>
  <c r="H7" i="309"/>
  <c r="BS36" i="308"/>
  <c r="BT35" i="308"/>
  <c r="BO36" i="308"/>
  <c r="BP35" i="308"/>
  <c r="BK36" i="308"/>
  <c r="BL35" i="308"/>
  <c r="BG36" i="308"/>
  <c r="BH35" i="308"/>
  <c r="BC36" i="308"/>
  <c r="BD35" i="308"/>
  <c r="AY36" i="308"/>
  <c r="AZ35" i="308"/>
  <c r="AU36" i="308"/>
  <c r="AV35" i="308"/>
  <c r="AQ36" i="308"/>
  <c r="AR35" i="308"/>
  <c r="AM36" i="308"/>
  <c r="AN35" i="308"/>
  <c r="BS32" i="308"/>
  <c r="BT31" i="308"/>
  <c r="BG32" i="308"/>
  <c r="BH31" i="308"/>
  <c r="BC32" i="308"/>
  <c r="BD31" i="308"/>
  <c r="AY32" i="308"/>
  <c r="AZ31" i="308"/>
  <c r="AU32" i="308"/>
  <c r="AV31" i="308"/>
  <c r="AQ32" i="308"/>
  <c r="AR31" i="308"/>
  <c r="AM32" i="308"/>
  <c r="AN31" i="308"/>
  <c r="BS28" i="308"/>
  <c r="BT27" i="308"/>
  <c r="BK28" i="308"/>
  <c r="BL27" i="308"/>
  <c r="BG28" i="308"/>
  <c r="BH27" i="308"/>
  <c r="BC28" i="308"/>
  <c r="BD27" i="308"/>
  <c r="AY28" i="308"/>
  <c r="AZ27" i="308"/>
  <c r="AU28" i="308"/>
  <c r="AV27" i="308"/>
  <c r="AQ28" i="308"/>
  <c r="AR27" i="308"/>
  <c r="AM28" i="308"/>
  <c r="AN27" i="308"/>
  <c r="AI28" i="308"/>
  <c r="AJ27" i="308"/>
  <c r="S28" i="308"/>
  <c r="T27" i="308"/>
  <c r="G28" i="308"/>
  <c r="H27" i="308"/>
  <c r="BS24" i="308"/>
  <c r="BT23" i="308"/>
  <c r="BK24" i="308"/>
  <c r="BL23" i="308"/>
  <c r="BG24" i="308"/>
  <c r="BH23" i="308"/>
  <c r="BC24" i="308"/>
  <c r="BD23" i="308"/>
  <c r="AY24" i="308"/>
  <c r="AZ23" i="308"/>
  <c r="AU24" i="308"/>
  <c r="AV23" i="308"/>
  <c r="AM24" i="308"/>
  <c r="AN23" i="308"/>
  <c r="AI24" i="308"/>
  <c r="AJ23" i="308"/>
  <c r="AE24" i="308"/>
  <c r="AF23" i="308"/>
  <c r="AA24" i="308"/>
  <c r="AB23" i="308"/>
  <c r="S24" i="308"/>
  <c r="T23" i="308"/>
  <c r="G24" i="308"/>
  <c r="H23" i="308"/>
  <c r="BO20" i="308"/>
  <c r="BP19" i="308"/>
  <c r="BK20" i="308"/>
  <c r="BL19" i="308"/>
  <c r="BG20" i="308"/>
  <c r="BH19" i="308"/>
  <c r="BC20" i="308"/>
  <c r="BD19" i="308"/>
  <c r="AY20" i="308"/>
  <c r="AZ19" i="308"/>
  <c r="AU20" i="308"/>
  <c r="AV19" i="308"/>
  <c r="AQ20" i="308"/>
  <c r="AR19" i="308"/>
  <c r="AM20" i="308"/>
  <c r="AN19" i="308"/>
  <c r="AI20" i="308"/>
  <c r="AJ19" i="308"/>
  <c r="AA20" i="308"/>
  <c r="AB19" i="308"/>
  <c r="W20" i="308"/>
  <c r="X19" i="308"/>
  <c r="O20" i="308"/>
  <c r="P19" i="308"/>
  <c r="K20" i="308"/>
  <c r="L19" i="308"/>
  <c r="BO16" i="308"/>
  <c r="BP15" i="308"/>
  <c r="AU16" i="308"/>
  <c r="AV15" i="308"/>
  <c r="AQ16" i="308"/>
  <c r="AR15" i="308"/>
  <c r="AM16" i="308"/>
  <c r="AN15" i="308"/>
  <c r="AI16" i="308"/>
  <c r="AJ15" i="308"/>
  <c r="AE16" i="308"/>
  <c r="AF15" i="308"/>
  <c r="AA16" i="308"/>
  <c r="AB15" i="308"/>
  <c r="W16" i="308"/>
  <c r="X15" i="308"/>
  <c r="S16" i="308"/>
  <c r="T15" i="308"/>
  <c r="O16" i="308"/>
  <c r="P15" i="308"/>
  <c r="AU12" i="308"/>
  <c r="AV11" i="308"/>
  <c r="AQ12" i="308"/>
  <c r="AR11" i="308"/>
  <c r="O12" i="308"/>
  <c r="P11" i="308"/>
  <c r="G12" i="308"/>
  <c r="H11" i="308"/>
  <c r="AU8" i="308"/>
  <c r="AV7" i="308"/>
  <c r="AQ8" i="308"/>
  <c r="AR7" i="308"/>
  <c r="W8" i="308"/>
  <c r="X7" i="308"/>
  <c r="O8" i="308"/>
  <c r="P7" i="308"/>
  <c r="K8" i="308"/>
  <c r="L7" i="308"/>
  <c r="G8" i="308"/>
  <c r="H7" i="308"/>
</calcChain>
</file>

<file path=xl/sharedStrings.xml><?xml version="1.0" encoding="utf-8"?>
<sst xmlns="http://schemas.openxmlformats.org/spreadsheetml/2006/main" count="1053" uniqueCount="621">
  <si>
    <t>長瀞町</t>
    <phoneticPr fontId="1"/>
  </si>
  <si>
    <t>ながとろまち</t>
    <phoneticPr fontId="1"/>
  </si>
  <si>
    <t>上里町</t>
    <phoneticPr fontId="1"/>
  </si>
  <si>
    <t>かみさとまち</t>
    <phoneticPr fontId="1"/>
  </si>
  <si>
    <t>本庄市</t>
    <phoneticPr fontId="1"/>
  </si>
  <si>
    <t>ほんじょうし</t>
    <phoneticPr fontId="1"/>
  </si>
  <si>
    <t>深谷市</t>
    <phoneticPr fontId="1"/>
  </si>
  <si>
    <t>ふかやし</t>
    <phoneticPr fontId="1"/>
  </si>
  <si>
    <t>神川町</t>
    <phoneticPr fontId="1"/>
  </si>
  <si>
    <t>かみかわまち</t>
    <phoneticPr fontId="1"/>
  </si>
  <si>
    <t>美里町</t>
    <phoneticPr fontId="1"/>
  </si>
  <si>
    <t>みさとまち</t>
    <phoneticPr fontId="1"/>
  </si>
  <si>
    <t>みなのまち</t>
    <phoneticPr fontId="1"/>
  </si>
  <si>
    <t>ひがしちちぶむら</t>
    <phoneticPr fontId="1"/>
  </si>
  <si>
    <t>よりいまち</t>
    <phoneticPr fontId="1"/>
  </si>
  <si>
    <t>おがのまち</t>
    <phoneticPr fontId="1"/>
  </si>
  <si>
    <t>ちちぶし</t>
    <phoneticPr fontId="1"/>
  </si>
  <si>
    <t>よこぜまち</t>
    <phoneticPr fontId="1"/>
  </si>
  <si>
    <t>くまがやし</t>
  </si>
  <si>
    <t>おがわまち</t>
    <phoneticPr fontId="1"/>
  </si>
  <si>
    <t>らんざんまち</t>
    <phoneticPr fontId="1"/>
  </si>
  <si>
    <t>なめがわまち</t>
    <phoneticPr fontId="1"/>
  </si>
  <si>
    <t>ひがしまつやまし</t>
    <phoneticPr fontId="1"/>
  </si>
  <si>
    <t>ぎょうだし</t>
  </si>
  <si>
    <t>こうのすし</t>
    <phoneticPr fontId="1"/>
  </si>
  <si>
    <t>よしみまち</t>
    <phoneticPr fontId="1"/>
  </si>
  <si>
    <t>きたもとし</t>
    <phoneticPr fontId="1"/>
  </si>
  <si>
    <t>はにゅうし</t>
    <phoneticPr fontId="1"/>
  </si>
  <si>
    <t>かぞし</t>
    <phoneticPr fontId="1"/>
  </si>
  <si>
    <t>くきし</t>
  </si>
  <si>
    <t>さってし</t>
    <phoneticPr fontId="1"/>
  </si>
  <si>
    <t>ときがわまち</t>
    <phoneticPr fontId="1"/>
  </si>
  <si>
    <t>はとやままち</t>
    <phoneticPr fontId="1"/>
  </si>
  <si>
    <t>おごせまち</t>
    <phoneticPr fontId="1"/>
  </si>
  <si>
    <t>さかどし</t>
    <phoneticPr fontId="1"/>
  </si>
  <si>
    <t>もろやままち</t>
    <phoneticPr fontId="1"/>
  </si>
  <si>
    <t>つるがしまし</t>
    <phoneticPr fontId="1"/>
  </si>
  <si>
    <t>ひだかし</t>
    <phoneticPr fontId="1"/>
  </si>
  <si>
    <t>さやまし</t>
  </si>
  <si>
    <t>いるまし</t>
  </si>
  <si>
    <t>はんのうし</t>
    <phoneticPr fontId="1"/>
  </si>
  <si>
    <t>かわじままち</t>
    <phoneticPr fontId="1"/>
  </si>
  <si>
    <t>かわごえし</t>
    <phoneticPr fontId="1"/>
  </si>
  <si>
    <t>おけがわし</t>
    <phoneticPr fontId="1"/>
  </si>
  <si>
    <t>ふじみのし</t>
    <phoneticPr fontId="1"/>
  </si>
  <si>
    <t>みよしまち</t>
  </si>
  <si>
    <t>ところざわし</t>
  </si>
  <si>
    <t>所沢市</t>
  </si>
  <si>
    <t>あげおし</t>
    <phoneticPr fontId="1"/>
  </si>
  <si>
    <t>いなまち</t>
    <phoneticPr fontId="1"/>
  </si>
  <si>
    <t>はすだし</t>
    <phoneticPr fontId="1"/>
  </si>
  <si>
    <t>しらおかし</t>
    <phoneticPr fontId="1"/>
  </si>
  <si>
    <t>みやしろまち</t>
    <phoneticPr fontId="1"/>
  </si>
  <si>
    <t>すぎとまち</t>
    <phoneticPr fontId="1"/>
  </si>
  <si>
    <t>かすかべし</t>
    <phoneticPr fontId="1"/>
  </si>
  <si>
    <t>こしがやし</t>
  </si>
  <si>
    <t>まつぶしまち</t>
    <phoneticPr fontId="1"/>
  </si>
  <si>
    <t>よしかわし</t>
  </si>
  <si>
    <t>吉川市</t>
  </si>
  <si>
    <t>みさとし</t>
  </si>
  <si>
    <t>やしおし</t>
  </si>
  <si>
    <t>八潮市</t>
  </si>
  <si>
    <t>そうかし</t>
  </si>
  <si>
    <t>草加市</t>
  </si>
  <si>
    <t>かわぐちし</t>
  </si>
  <si>
    <t>川口市</t>
  </si>
  <si>
    <t>わらびし</t>
  </si>
  <si>
    <t>蕨市</t>
  </si>
  <si>
    <t>とだし</t>
  </si>
  <si>
    <t>戸田市</t>
  </si>
  <si>
    <t>わこうし</t>
  </si>
  <si>
    <t>和光市</t>
  </si>
  <si>
    <t>あさかし</t>
  </si>
  <si>
    <t>朝霞市</t>
  </si>
  <si>
    <t>新座市</t>
  </si>
  <si>
    <t>にいざし</t>
  </si>
  <si>
    <t>しきし</t>
  </si>
  <si>
    <t>ふじみし</t>
    <phoneticPr fontId="1"/>
  </si>
  <si>
    <t>さいたまし</t>
    <phoneticPr fontId="1"/>
  </si>
  <si>
    <t>さいたま市</t>
    <rPh sb="4" eb="5">
      <t>シ</t>
    </rPh>
    <phoneticPr fontId="1"/>
  </si>
  <si>
    <t>にしく</t>
    <phoneticPr fontId="1"/>
  </si>
  <si>
    <t>きたく</t>
    <phoneticPr fontId="1"/>
  </si>
  <si>
    <t>みぬまく</t>
  </si>
  <si>
    <t>いわつきく</t>
  </si>
  <si>
    <t>ちゅうおうく</t>
    <phoneticPr fontId="1"/>
  </si>
  <si>
    <t>おおみやく</t>
    <phoneticPr fontId="1"/>
  </si>
  <si>
    <t>うらわく</t>
    <phoneticPr fontId="1"/>
  </si>
  <si>
    <t>浦和区</t>
    <rPh sb="0" eb="3">
      <t>ウラワク</t>
    </rPh>
    <phoneticPr fontId="1"/>
  </si>
  <si>
    <t>さくらく</t>
  </si>
  <si>
    <t>みなみく</t>
  </si>
  <si>
    <t>みどりく</t>
  </si>
  <si>
    <t>熊谷市</t>
    <phoneticPr fontId="1"/>
  </si>
  <si>
    <t>秩父市</t>
    <phoneticPr fontId="1"/>
  </si>
  <si>
    <t>行田市</t>
    <phoneticPr fontId="1"/>
  </si>
  <si>
    <t>羽生市</t>
    <phoneticPr fontId="1"/>
  </si>
  <si>
    <t>鴻巣市</t>
    <phoneticPr fontId="1"/>
  </si>
  <si>
    <t>加須市</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</si>
  <si>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</si>
  <si>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</si>
  <si>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</si>
  <si>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</si>
  <si>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</si>
  <si>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</si>
  <si>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</si>
  <si>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</si>
  <si>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</si>
  <si>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</si>
  <si>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</si>
  <si>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</si>
  <si>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</si>
  <si>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</si>
  <si>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phoneticPr fontId="1"/>
  </si>
  <si>
    <t>桶川市</t>
    <phoneticPr fontId="1"/>
  </si>
  <si>
    <t>上尾市</t>
    <phoneticPr fontId="1"/>
  </si>
  <si>
    <t>伊奈町</t>
    <phoneticPr fontId="1"/>
  </si>
  <si>
    <t>蓮田市</t>
    <phoneticPr fontId="1"/>
  </si>
  <si>
    <t>白岡市</t>
    <phoneticPr fontId="1"/>
  </si>
  <si>
    <t>宮代町</t>
    <phoneticPr fontId="1"/>
  </si>
  <si>
    <t>杉戸町</t>
    <phoneticPr fontId="1"/>
  </si>
  <si>
    <t>横瀬町</t>
    <phoneticPr fontId="1"/>
  </si>
  <si>
    <t>越生町</t>
    <phoneticPr fontId="1"/>
  </si>
  <si>
    <t>毛呂山町</t>
    <phoneticPr fontId="1"/>
  </si>
  <si>
    <t>鶴ヶ島市</t>
    <phoneticPr fontId="1"/>
  </si>
  <si>
    <t>川越市</t>
    <phoneticPr fontId="1"/>
  </si>
  <si>
    <t>西区</t>
    <phoneticPr fontId="1"/>
  </si>
  <si>
    <t>北区</t>
    <phoneticPr fontId="1"/>
  </si>
  <si>
    <t>見沼区</t>
    <phoneticPr fontId="1"/>
  </si>
  <si>
    <t>岩槻区</t>
    <phoneticPr fontId="1"/>
  </si>
  <si>
    <t>春日部市</t>
    <phoneticPr fontId="1"/>
  </si>
  <si>
    <t>松伏町</t>
    <phoneticPr fontId="1"/>
  </si>
  <si>
    <t>小鹿野町</t>
    <phoneticPr fontId="1"/>
  </si>
  <si>
    <t>飯能市</t>
    <phoneticPr fontId="1"/>
  </si>
  <si>
    <t>日高市</t>
    <phoneticPr fontId="1"/>
  </si>
  <si>
    <t>狭山市</t>
    <phoneticPr fontId="1"/>
  </si>
  <si>
    <t>ふじみ野市</t>
    <phoneticPr fontId="1"/>
  </si>
  <si>
    <t>富士見市</t>
    <phoneticPr fontId="1"/>
  </si>
  <si>
    <t>中央区</t>
    <phoneticPr fontId="1"/>
  </si>
  <si>
    <t>大宮区</t>
    <phoneticPr fontId="1"/>
  </si>
  <si>
    <t>越谷市</t>
    <phoneticPr fontId="1"/>
  </si>
  <si>
    <t>入間市</t>
    <phoneticPr fontId="1"/>
  </si>
  <si>
    <t>三芳町</t>
    <phoneticPr fontId="1"/>
  </si>
  <si>
    <t>志木市</t>
    <phoneticPr fontId="1"/>
  </si>
  <si>
    <t>桜区</t>
    <phoneticPr fontId="1"/>
  </si>
  <si>
    <t>南区</t>
    <phoneticPr fontId="1"/>
  </si>
  <si>
    <t>緑区</t>
    <phoneticPr fontId="1"/>
  </si>
  <si>
    <t>三郷市</t>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</si>
  <si>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</si>
  <si>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</si>
  <si>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</si>
  <si>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</si>
  <si>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</si>
  <si>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</si>
  <si>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</si>
  <si>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</si>
  <si>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</si>
  <si>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</si>
  <si>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</si>
  <si>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</si>
  <si>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</si>
  <si>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</si>
  <si>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</si>
  <si>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</si>
  <si>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</si>
  <si>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</si>
  <si>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</si>
  <si>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</si>
  <si>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</si>
  <si>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</si>
  <si>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</si>
  <si>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</si>
  <si>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</si>
  <si>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は</t>
    <phoneticPr fontId="1"/>
  </si>
  <si>
    <t>名前</t>
    <rPh sb="0" eb="2">
      <t>ナマエ</t>
    </rPh>
    <phoneticPr fontId="1"/>
  </si>
  <si>
    <t>なまえ</t>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</si>
  <si>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</si>
  <si>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</si>
  <si>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</si>
  <si>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</si>
  <si>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</si>
  <si>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</si>
  <si>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</si>
  <si>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</si>
  <si>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</si>
  <si>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</si>
  <si>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</si>
  <si>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</si>
  <si>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</si>
  <si>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</si>
  <si>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</si>
  <si>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</si>
  <si>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</si>
  <si>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</si>
  <si>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</si>
  <si>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</si>
  <si>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</si>
  <si>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</si>
  <si>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</si>
  <si>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</si>
  <si>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</si>
  <si>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</si>
  <si>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</si>
  <si>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</si>
  <si>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</si>
  <si>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</si>
  <si>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</si>
  <si>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</si>
  <si>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</si>
  <si>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</si>
  <si>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</si>
  <si>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</si>
  <si>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</si>
  <si>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</si>
  <si>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</si>
  <si>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</si>
  <si>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</si>
  <si>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</si>
  <si>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</si>
  <si>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</si>
  <si>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</si>
  <si>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</si>
  <si>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</si>
  <si>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</si>
  <si>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</si>
  <si>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</si>
  <si>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は</t>
  </si>
  <si>
    <t>名前</t>
  </si>
  <si>
    <t>人口密度（人/km2）</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</si>
  <si>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</si>
  <si>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</si>
  <si>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</si>
  <si>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</si>
  <si>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</si>
  <si>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</si>
  <si>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</si>
  <si>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</si>
  <si>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</si>
  <si>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</si>
  <si>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</si>
  <si>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</si>
  <si>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</si>
  <si>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</si>
  <si>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</si>
  <si>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</si>
  <si>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</si>
  <si>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</si>
  <si>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</si>
  <si>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</si>
  <si>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</si>
  <si>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</si>
  <si>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</si>
  <si>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</si>
  <si>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</si>
  <si>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</si>
  <si>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</si>
  <si>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</si>
  <si>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O11</t>
  </si>
  <si>
    <t>AQ11</t>
  </si>
  <si>
    <t>AU11</t>
  </si>
  <si>
    <t>O15</t>
  </si>
  <si>
    <t>S15</t>
  </si>
  <si>
    <t>W15</t>
  </si>
  <si>
    <t>AA15</t>
  </si>
  <si>
    <t>AE15</t>
  </si>
  <si>
    <t>AI15</t>
  </si>
  <si>
    <t>AM15</t>
  </si>
  <si>
    <t>AQ15</t>
  </si>
  <si>
    <t>AU15</t>
  </si>
  <si>
    <t>BO15</t>
  </si>
  <si>
    <t>K19</t>
  </si>
  <si>
    <t>O19</t>
  </si>
  <si>
    <t>W19</t>
  </si>
  <si>
    <t>AA19</t>
  </si>
  <si>
    <t>AI19</t>
  </si>
  <si>
    <t>AM19</t>
  </si>
  <si>
    <t>AQ19</t>
  </si>
  <si>
    <t>AU19</t>
  </si>
  <si>
    <t>AY19</t>
  </si>
  <si>
    <t>BC19</t>
  </si>
  <si>
    <t>BG19</t>
  </si>
  <si>
    <t>BK19</t>
  </si>
  <si>
    <t>BO19</t>
  </si>
  <si>
    <t>G23</t>
  </si>
  <si>
    <t>S23</t>
  </si>
  <si>
    <t>AA23</t>
  </si>
  <si>
    <t>AE23</t>
  </si>
  <si>
    <t>AI23</t>
  </si>
  <si>
    <t>AM23</t>
  </si>
  <si>
    <t>AU23</t>
  </si>
  <si>
    <t>AY23</t>
  </si>
  <si>
    <t>BC23</t>
  </si>
  <si>
    <t>BG23</t>
  </si>
  <si>
    <t>BK23</t>
  </si>
  <si>
    <t>BS23</t>
  </si>
  <si>
    <t>G27</t>
  </si>
  <si>
    <t>S27</t>
  </si>
  <si>
    <t>AI27</t>
  </si>
  <si>
    <t>AM27</t>
  </si>
  <si>
    <t>AQ27</t>
  </si>
  <si>
    <t>AU27</t>
  </si>
  <si>
    <t>AY27</t>
  </si>
  <si>
    <t>BC27</t>
  </si>
  <si>
    <t>BG27</t>
  </si>
  <si>
    <t>BK27</t>
  </si>
  <si>
    <t>BS27</t>
  </si>
  <si>
    <t>AM31</t>
  </si>
  <si>
    <t>AQ31</t>
  </si>
  <si>
    <t>AU31</t>
  </si>
  <si>
    <t>AY31</t>
  </si>
  <si>
    <t>BC31</t>
  </si>
  <si>
    <t>BG31</t>
  </si>
  <si>
    <t>BS31</t>
  </si>
  <si>
    <t>AM35</t>
  </si>
  <si>
    <t>AQ35</t>
  </si>
  <si>
    <t>AU35</t>
  </si>
  <si>
    <t>AY35</t>
  </si>
  <si>
    <t>BC35</t>
  </si>
  <si>
    <t>BG35</t>
  </si>
  <si>
    <t>BK35</t>
  </si>
  <si>
    <t>BO35</t>
  </si>
  <si>
    <t>BS35</t>
  </si>
  <si>
    <t>A1:CB40</t>
    <phoneticPr fontId="1"/>
  </si>
  <si>
    <t>G7</t>
  </si>
  <si>
    <t>K7</t>
  </si>
  <si>
    <t>O7</t>
  </si>
  <si>
    <t>W7</t>
  </si>
  <si>
    <t>AQ7</t>
  </si>
  <si>
    <t>AU7</t>
  </si>
  <si>
    <t>A1</t>
    <phoneticPr fontId="1"/>
  </si>
  <si>
    <t>EOF</t>
    <phoneticPr fontId="1"/>
  </si>
  <si>
    <t>A1:CD40</t>
    <phoneticPr fontId="1"/>
  </si>
  <si>
    <t>C</t>
  </si>
  <si>
    <t>面積（km2）</t>
  </si>
  <si>
    <t>C3</t>
    <phoneticPr fontId="1"/>
  </si>
  <si>
    <t>BX7</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</si>
  <si>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</si>
  <si>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</si>
  <si>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</si>
  <si>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</si>
  <si>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</si>
  <si>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</si>
  <si>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</si>
  <si>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</si>
  <si>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</si>
  <si>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</si>
  <si>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</si>
  <si>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</si>
  <si>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</si>
  <si>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</si>
  <si>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</si>
  <si>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</si>
  <si>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</si>
  <si>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</si>
  <si>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</si>
  <si>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</si>
  <si>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</si>
  <si>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</si>
  <si>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</si>
  <si>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</si>
  <si>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</si>
  <si>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</si>
  <si>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</si>
  <si>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</si>
  <si>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</si>
  <si>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埼玉県</t>
    <phoneticPr fontId="1"/>
  </si>
  <si>
    <t>さいたまけん</t>
    <phoneticPr fontId="1"/>
  </si>
  <si>
    <t>ZZ</t>
    <phoneticPr fontId="1"/>
  </si>
  <si>
    <t>11000_埼玉県</t>
    <phoneticPr fontId="1"/>
  </si>
  <si>
    <t>11100_さいたま市</t>
  </si>
  <si>
    <t>11101_さいたま市西区</t>
  </si>
  <si>
    <t>11102_さいたま市北区</t>
  </si>
  <si>
    <t>11103_さいたま市大宮区</t>
  </si>
  <si>
    <t>11104_さいたま市見沼区</t>
  </si>
  <si>
    <t>11105_さいたま市中央区</t>
  </si>
  <si>
    <t>11106_さいたま市桜区</t>
  </si>
  <si>
    <t>11107_さいたま市浦和区</t>
  </si>
  <si>
    <t>11108_さいたま市南区</t>
  </si>
  <si>
    <t>都道府県・市区町村名</t>
    <rPh sb="0" eb="4">
      <t>トドウフケン</t>
    </rPh>
    <rPh sb="5" eb="7">
      <t>シク</t>
    </rPh>
    <rPh sb="7" eb="9">
      <t>チョウソン</t>
    </rPh>
    <rPh sb="9" eb="10">
      <t>メイ</t>
    </rPh>
    <phoneticPr fontId="1"/>
  </si>
  <si>
    <t>11109_さいたま市緑区</t>
    <phoneticPr fontId="1"/>
  </si>
  <si>
    <t>11110_さいたま市岩槻区</t>
    <phoneticPr fontId="1"/>
  </si>
  <si>
    <t>11201_川越市</t>
  </si>
  <si>
    <t>11202_熊谷市</t>
  </si>
  <si>
    <t>11203_川口市</t>
  </si>
  <si>
    <t>11206_行田市</t>
  </si>
  <si>
    <t>11207_秩父市</t>
  </si>
  <si>
    <t>11208_所沢市</t>
  </si>
  <si>
    <t>11209_飯能市</t>
  </si>
  <si>
    <t>11210_加須市</t>
  </si>
  <si>
    <t>11211_本庄市</t>
    <phoneticPr fontId="1"/>
  </si>
  <si>
    <t>11212_東松山市</t>
  </si>
  <si>
    <t>11214_春日部市</t>
  </si>
  <si>
    <t>11215_狭山市</t>
  </si>
  <si>
    <t>11216_羽生市</t>
  </si>
  <si>
    <t>11217_鴻巣市</t>
  </si>
  <si>
    <t>11218_深谷市</t>
  </si>
  <si>
    <t>11219_上尾市</t>
  </si>
  <si>
    <t>11221_草加市</t>
  </si>
  <si>
    <t>11222_越谷市</t>
  </si>
  <si>
    <t>11223_蕨市</t>
  </si>
  <si>
    <t>11224_戸田市</t>
  </si>
  <si>
    <t>11225_入間市</t>
  </si>
  <si>
    <t>11227_朝霞市</t>
  </si>
  <si>
    <t>11228_志木市</t>
  </si>
  <si>
    <t>11229_和光市</t>
  </si>
  <si>
    <t>11230_新座市</t>
  </si>
  <si>
    <t>11231_桶川市</t>
  </si>
  <si>
    <t>11232_久喜市</t>
  </si>
  <si>
    <t>11233_北本市</t>
  </si>
  <si>
    <t>11234_八潮市</t>
  </si>
  <si>
    <t>11235_富士見市</t>
  </si>
  <si>
    <t>11237_三郷市</t>
  </si>
  <si>
    <t>11238_蓮田市</t>
  </si>
  <si>
    <t>11239_坂戸市</t>
  </si>
  <si>
    <t>11240_幸手市</t>
  </si>
  <si>
    <t>11241_鶴ヶ島市</t>
  </si>
  <si>
    <t>11242_日高市</t>
  </si>
  <si>
    <t>11243_吉川市</t>
  </si>
  <si>
    <t>11245_ふじみ野市</t>
  </si>
  <si>
    <t>11246_白岡市</t>
  </si>
  <si>
    <t>11301_伊奈町</t>
  </si>
  <si>
    <t>11324_三芳町</t>
  </si>
  <si>
    <t>11326_毛呂山町</t>
  </si>
  <si>
    <t>11327_越生町</t>
  </si>
  <si>
    <t>11341_滑川町</t>
  </si>
  <si>
    <t>11342_嵐山町</t>
  </si>
  <si>
    <t>11343_小川町</t>
  </si>
  <si>
    <t>11346_川島町</t>
  </si>
  <si>
    <t>11347_吉見町</t>
  </si>
  <si>
    <t>11348_鳩山町</t>
  </si>
  <si>
    <t>11349_ときがわ町</t>
  </si>
  <si>
    <t>11361_横瀬町</t>
  </si>
  <si>
    <t>11362_皆野町</t>
  </si>
  <si>
    <t>11363_長瀞町</t>
  </si>
  <si>
    <t>11365_小鹿野町</t>
  </si>
  <si>
    <t>11369_東秩父村</t>
  </si>
  <si>
    <t>11381_美里町</t>
  </si>
  <si>
    <t>11383_神川町</t>
  </si>
  <si>
    <t>11385_上里町</t>
  </si>
  <si>
    <t>11408_寄居町</t>
  </si>
  <si>
    <t>11442_宮代町</t>
  </si>
  <si>
    <t>11464_杉戸町</t>
  </si>
  <si>
    <t>11465_松伏町</t>
  </si>
  <si>
    <t>Saitama-ken</t>
  </si>
  <si>
    <t>Saitama-shi</t>
  </si>
  <si>
    <t>Saitama-shi Nishi-ku</t>
  </si>
  <si>
    <t>Saitama-shi Kita-ku</t>
  </si>
  <si>
    <t>Saitama-shi Omiya-ku</t>
  </si>
  <si>
    <t>Saitama-shi Minuma-ku</t>
  </si>
  <si>
    <t>Saitama-shi Chuo-ku</t>
  </si>
  <si>
    <t>Saitama-shi Sakura-ku</t>
  </si>
  <si>
    <t>Saitama-shi Urawa-ku</t>
  </si>
  <si>
    <t>Saitama-shi Minami-ku</t>
  </si>
  <si>
    <t>Saitama-shi Midori-ku</t>
  </si>
  <si>
    <t>Saitama-shi Iwatsuki-ku</t>
  </si>
  <si>
    <t>Kawagoe-shi</t>
  </si>
  <si>
    <t>Kumagaya-shi</t>
  </si>
  <si>
    <t>Kawaguchi-shi</t>
  </si>
  <si>
    <t>Gyoda-shi</t>
  </si>
  <si>
    <t>Chichibu-shi</t>
  </si>
  <si>
    <t>Tokorozawa-shi</t>
  </si>
  <si>
    <t>Hanno-shi</t>
  </si>
  <si>
    <t>Kazo-shi</t>
  </si>
  <si>
    <t>Honjo-shi</t>
  </si>
  <si>
    <t>Higashimatsuyama-shi</t>
  </si>
  <si>
    <t>Kasukabe-shi</t>
  </si>
  <si>
    <t>Sayama-shi</t>
  </si>
  <si>
    <t>Hanyu-shi</t>
  </si>
  <si>
    <t>Konosu-shi</t>
  </si>
  <si>
    <t>Fukaya-shi</t>
  </si>
  <si>
    <t>Ageo-shi</t>
  </si>
  <si>
    <t>Soka-shi</t>
  </si>
  <si>
    <t>Koshigaya-shi</t>
  </si>
  <si>
    <t>Warabi-shi</t>
  </si>
  <si>
    <t>Toda-shi</t>
  </si>
  <si>
    <t>Iruma-shi</t>
  </si>
  <si>
    <t>Asaka-shi</t>
  </si>
  <si>
    <t>Shiki-shi</t>
  </si>
  <si>
    <t>Wako-shi</t>
  </si>
  <si>
    <t>Niiza-shi</t>
  </si>
  <si>
    <t>Okegawa-shi</t>
  </si>
  <si>
    <t>Kuki-shi</t>
  </si>
  <si>
    <t>Kitamoto-shi</t>
  </si>
  <si>
    <t>Yashio-shi</t>
  </si>
  <si>
    <t>Fujimi-shi</t>
  </si>
  <si>
    <t>Misato-shi</t>
  </si>
  <si>
    <t>Hasuda-shi</t>
  </si>
  <si>
    <t>Sakado-shi</t>
  </si>
  <si>
    <t>Satte-shi</t>
  </si>
  <si>
    <t>Tsurugashima-shi</t>
  </si>
  <si>
    <t>Hidaka-shi</t>
  </si>
  <si>
    <t>Yoshikawa-shi</t>
  </si>
  <si>
    <t>Fujimino-shi</t>
  </si>
  <si>
    <t>Shiraoka-shi</t>
  </si>
  <si>
    <t>Ina-machi</t>
  </si>
  <si>
    <t>Miyoshi-machi</t>
  </si>
  <si>
    <t>Moroyama-machi</t>
  </si>
  <si>
    <t>Ogose-machi</t>
  </si>
  <si>
    <t>Namegawa-machi</t>
  </si>
  <si>
    <t>Ranzan-machi</t>
  </si>
  <si>
    <t>Ogawa-machi</t>
  </si>
  <si>
    <t>Kawajima-machi</t>
  </si>
  <si>
    <t>Yoshimi-machi</t>
  </si>
  <si>
    <t>Hatoyama-machi</t>
  </si>
  <si>
    <t>Tokigawa-machi</t>
  </si>
  <si>
    <t>Yokoze-machi</t>
  </si>
  <si>
    <t>Minano-machi</t>
  </si>
  <si>
    <t>Nagatoro-machi</t>
  </si>
  <si>
    <t>Ogano-machi</t>
  </si>
  <si>
    <t>Higashichichibu-mura</t>
  </si>
  <si>
    <t>Misato-machi</t>
  </si>
  <si>
    <t>Kamikawa-machi</t>
  </si>
  <si>
    <t>Kamisato-machi</t>
  </si>
  <si>
    <t>Yorii-machi</t>
  </si>
  <si>
    <t>Miyashiro-machi</t>
  </si>
  <si>
    <t>Sugito-machi</t>
  </si>
  <si>
    <t>Matsubushi-machi</t>
  </si>
  <si>
    <t>男（人）</t>
    <rPh sb="2" eb="3">
      <t>ヒト</t>
    </rPh>
    <phoneticPr fontId="36"/>
  </si>
  <si>
    <t>女（人）</t>
    <rPh sb="2" eb="3">
      <t>ヒト</t>
    </rPh>
    <phoneticPr fontId="36"/>
  </si>
  <si>
    <t>2015年（平成27年）の人口（組替）（人）</t>
    <rPh sb="20" eb="21">
      <t>ヒト</t>
    </rPh>
    <phoneticPr fontId="36"/>
  </si>
  <si>
    <t>5年間の人口増減数（人）</t>
    <rPh sb="10" eb="11">
      <t>ヒト</t>
    </rPh>
    <phoneticPr fontId="36"/>
  </si>
  <si>
    <t>5年間の人口増減率（％）</t>
    <phoneticPr fontId="36"/>
  </si>
  <si>
    <t>人口密度（人/km2）</t>
    <rPh sb="5" eb="6">
      <t>ニン</t>
    </rPh>
    <phoneticPr fontId="36"/>
  </si>
  <si>
    <t>平均年齢（歳）</t>
    <rPh sb="5" eb="6">
      <t>サイ</t>
    </rPh>
    <phoneticPr fontId="36"/>
  </si>
  <si>
    <t>年齢中位数（歳）</t>
    <rPh sb="6" eb="7">
      <t>サイ</t>
    </rPh>
    <phoneticPr fontId="36"/>
  </si>
  <si>
    <t>15歳未満（人）</t>
    <rPh sb="6" eb="7">
      <t>ヒト</t>
    </rPh>
    <phoneticPr fontId="36"/>
  </si>
  <si>
    <t>15～64歳（人）</t>
    <rPh sb="7" eb="8">
      <t>ヒト</t>
    </rPh>
    <phoneticPr fontId="36"/>
  </si>
  <si>
    <t>65歳以上（人）</t>
    <rPh sb="6" eb="7">
      <t>ヒト</t>
    </rPh>
    <phoneticPr fontId="36"/>
  </si>
  <si>
    <t>15歳未満（％）</t>
    <phoneticPr fontId="36"/>
  </si>
  <si>
    <t>15～64歳（％）</t>
    <phoneticPr fontId="36"/>
  </si>
  <si>
    <t>65歳以上（％）</t>
    <phoneticPr fontId="36"/>
  </si>
  <si>
    <t>人口性比</t>
    <phoneticPr fontId="1"/>
  </si>
  <si>
    <t>日本人（人）</t>
    <rPh sb="4" eb="5">
      <t>ヒト</t>
    </rPh>
    <phoneticPr fontId="36"/>
  </si>
  <si>
    <t>外国人（人）</t>
    <rPh sb="4" eb="5">
      <t>ヒト</t>
    </rPh>
    <phoneticPr fontId="36"/>
  </si>
  <si>
    <t>総世帯（世帯）</t>
    <rPh sb="4" eb="6">
      <t>セタイ</t>
    </rPh>
    <phoneticPr fontId="36"/>
  </si>
  <si>
    <t>一般世帯（世帯）</t>
    <rPh sb="5" eb="7">
      <t>セタイ</t>
    </rPh>
    <phoneticPr fontId="36"/>
  </si>
  <si>
    <t>施設等の世帯（世帯）</t>
    <rPh sb="7" eb="9">
      <t>セタイ</t>
    </rPh>
    <phoneticPr fontId="36"/>
  </si>
  <si>
    <t>2015年（平成27年）の世帯数（組替）（世帯）</t>
    <rPh sb="21" eb="23">
      <t>セタイ</t>
    </rPh>
    <phoneticPr fontId="36"/>
  </si>
  <si>
    <t>うち核家族世帯（世帯）</t>
    <rPh sb="8" eb="10">
      <t>セタイ</t>
    </rPh>
    <phoneticPr fontId="36"/>
  </si>
  <si>
    <t>夫婦のみの世帯（世帯）</t>
    <rPh sb="8" eb="10">
      <t>セタイ</t>
    </rPh>
    <phoneticPr fontId="36"/>
  </si>
  <si>
    <t>夫婦と子供から成る世帯（世帯）</t>
    <rPh sb="12" eb="14">
      <t>セタイ</t>
    </rPh>
    <phoneticPr fontId="36"/>
  </si>
  <si>
    <t>男親と子供から成る世帯（世帯）</t>
    <rPh sb="12" eb="14">
      <t>セタイ</t>
    </rPh>
    <phoneticPr fontId="36"/>
  </si>
  <si>
    <t>女親と子供から成る世帯（世帯）</t>
    <rPh sb="12" eb="14">
      <t>セタイ</t>
    </rPh>
    <phoneticPr fontId="36"/>
  </si>
  <si>
    <t>うち単独世帯（世帯）</t>
    <rPh sb="7" eb="9">
      <t>セタイ</t>
    </rPh>
    <phoneticPr fontId="36"/>
  </si>
  <si>
    <t>うち65歳以上の単独世帯（世帯）</t>
    <rPh sb="13" eb="15">
      <t>セタイ</t>
    </rPh>
    <phoneticPr fontId="36"/>
  </si>
  <si>
    <t>（再掲）夫65歳以上，妻60歳以上の夫婦のみの世帯（世帯）</t>
    <rPh sb="26" eb="28">
      <t>セタイ</t>
    </rPh>
    <phoneticPr fontId="36"/>
  </si>
  <si>
    <t>（再掲）3世代世帯（世帯）</t>
    <rPh sb="10" eb="12">
      <t>セタイ</t>
    </rPh>
    <phoneticPr fontId="36"/>
  </si>
  <si>
    <t>都道府県・市区町村名（英語）</t>
    <rPh sb="0" eb="4">
      <t>トドウフケン</t>
    </rPh>
    <rPh sb="5" eb="7">
      <t>シク</t>
    </rPh>
    <rPh sb="7" eb="9">
      <t>チョウソン</t>
    </rPh>
    <rPh sb="9" eb="10">
      <t>メイ</t>
    </rPh>
    <rPh sb="11" eb="13">
      <t>エイゴ</t>
    </rPh>
    <phoneticPr fontId="35"/>
  </si>
  <si>
    <t>人口（人）</t>
    <phoneticPr fontId="1"/>
  </si>
  <si>
    <t>面積（km2）</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</si>
  <si>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</si>
  <si>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</si>
  <si>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</si>
  <si>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</si>
  <si>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</si>
  <si>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</si>
  <si>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</si>
  <si>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</si>
  <si>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</si>
  <si>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</si>
  <si>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</si>
  <si>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</si>
  <si>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</si>
  <si>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ヒートマップ 3.0.1　＞　手順書　＞　はじめに</t>
    <rPh sb="15" eb="18">
      <t>テジュンショ</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</si>
  <si>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</si>
  <si>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</si>
  <si>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</si>
  <si>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</si>
  <si>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</si>
  <si>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</si>
  <si>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川島町</t>
  </si>
  <si>
    <t>桶川市</t>
  </si>
  <si>
    <t>上尾市</t>
  </si>
  <si>
    <t>伊奈町</t>
  </si>
  <si>
    <t>蓮田市</t>
  </si>
  <si>
    <t>白岡市</t>
  </si>
  <si>
    <t>宮代町</t>
  </si>
  <si>
    <t>杉戸町</t>
  </si>
  <si>
    <t>秩父市</t>
  </si>
  <si>
    <t>横瀬町</t>
  </si>
  <si>
    <t>越生町</t>
  </si>
  <si>
    <t>毛呂山町</t>
  </si>
  <si>
    <t>鶴ヶ島市</t>
  </si>
  <si>
    <t>川越市</t>
  </si>
  <si>
    <t>西区</t>
  </si>
  <si>
    <t>北区</t>
  </si>
  <si>
    <t>見沼区</t>
  </si>
  <si>
    <t>岩槻区</t>
  </si>
  <si>
    <t>春日部市</t>
  </si>
  <si>
    <t>松伏町</t>
  </si>
  <si>
    <t>小鹿野町</t>
  </si>
  <si>
    <t>飯能市</t>
  </si>
  <si>
    <t>日高市</t>
  </si>
  <si>
    <t>狭山市</t>
  </si>
  <si>
    <t>ふじみ野市</t>
  </si>
  <si>
    <t>富士見市</t>
  </si>
  <si>
    <t>中央区</t>
  </si>
  <si>
    <t>大宮区</t>
  </si>
  <si>
    <t>越谷市</t>
  </si>
  <si>
    <t>入間市</t>
  </si>
  <si>
    <t>三芳町</t>
  </si>
  <si>
    <t>志木市</t>
  </si>
  <si>
    <t>桜区</t>
  </si>
  <si>
    <t>南区</t>
  </si>
  <si>
    <t>緑区</t>
  </si>
  <si>
    <t>三郷市</t>
  </si>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</sst>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000"/>
    <numFmt numFmtId="179" formatCode="0.0_ "/>
    <numFmt numFmtId="180" formatCode="#,##0.0"/>
    <numFmt numFmtId="181" formatCode="#,##0.0;[Red]\-#,##0.0"/>
    <numFmt numFmtId="182" formatCode="#,##0.0_ "/>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8"/>
      <name val="ＭＳ ゴシック"/>
      <family val="3"/>
      <charset val="128"/>
    </font>
    <font>
      <sz val="6"/>
      <name val="ＭＳ Ｐゴシック"/>
      <family val="3"/>
      <charset val="128"/>
    </font>
    <font>
      <sz val="6"/>
      <name val="ＭＳ 明朝"/>
      <family val="1"/>
      <charset val="128"/>
    </font>
    <font>
      <sz val="9"/>
      <color theme="0"/>
      <name val="ＭＳ ゴシック"/>
      <family val="3"/>
      <charset val="128"/>
    </font>
  </fonts>
  <fills count="36">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084BA2"/>
        <bgColor indexed="64"/>
      </patternFill>
    </fill>
    <fill>
      <patternFill patternType="solid">
        <fgColor rgb="FFD5E3F6"/>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4" fillId="0" borderId="0"/>
  </cellStyleXfs>
  <cellXfs count="273">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4" fillId="0" borderId="2" xfId="0" applyFont="1" applyBorder="1">
      <alignment vertical="center"/>
    </xf>
    <xf numFmtId="0" fontId="4" fillId="0" borderId="4" xfId="0" applyFont="1" applyBorder="1">
      <alignment vertical="center"/>
    </xf>
    <xf numFmtId="0" fontId="4" fillId="0" borderId="5" xfId="0" applyFont="1" applyBorder="1">
      <alignment vertical="center"/>
    </xf>
    <xf numFmtId="0" fontId="4" fillId="0" borderId="3" xfId="0" applyFont="1" applyBorder="1">
      <alignment vertical="center"/>
    </xf>
    <xf numFmtId="0" fontId="4" fillId="0" borderId="6" xfId="0" applyFont="1" applyBorder="1">
      <alignment vertical="center"/>
    </xf>
    <xf numFmtId="0" fontId="4" fillId="0" borderId="7" xfId="0" applyFont="1" applyBorder="1">
      <alignment vertical="center"/>
    </xf>
    <xf numFmtId="0" fontId="5" fillId="2" borderId="2" xfId="0" applyFont="1" applyFill="1" applyBorder="1" applyAlignment="1">
      <alignment horizontal="center" vertical="center"/>
    </xf>
    <xf numFmtId="0" fontId="4" fillId="0" borderId="8" xfId="0" applyFont="1" applyBorder="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1" fillId="0" borderId="0" xfId="0" applyFont="1">
      <alignment vertical="center"/>
    </xf>
    <xf numFmtId="0" fontId="11" fillId="0" borderId="4" xfId="0" applyFont="1" applyBorder="1">
      <alignment vertical="center"/>
    </xf>
    <xf numFmtId="176" fontId="10" fillId="5" borderId="0" xfId="0" applyNumberFormat="1" applyFont="1" applyFill="1">
      <alignment vertical="center"/>
    </xf>
    <xf numFmtId="0" fontId="10" fillId="5" borderId="0" xfId="0" applyFont="1" applyFill="1">
      <alignment vertical="center"/>
    </xf>
    <xf numFmtId="0" fontId="10" fillId="5" borderId="0" xfId="0" applyFont="1" applyFill="1" applyAlignment="1">
      <alignment horizontal="righ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9" fillId="2" borderId="0" xfId="0" applyFont="1" applyFill="1" applyAlignment="1">
      <alignment horizontal="center"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49" fontId="33" fillId="0" borderId="0" xfId="0" applyNumberFormat="1" applyFont="1">
      <alignment vertical="center"/>
    </xf>
    <xf numFmtId="38" fontId="33" fillId="0" borderId="0" xfId="2" applyFont="1" applyFill="1" applyBorder="1" applyAlignment="1">
      <alignment horizontal="right" vertical="center"/>
    </xf>
    <xf numFmtId="49" fontId="33" fillId="35" borderId="0" xfId="0" applyNumberFormat="1" applyFont="1" applyFill="1">
      <alignment vertical="center"/>
    </xf>
    <xf numFmtId="180"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1"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0" fontId="21" fillId="4" borderId="0" xfId="0" applyFont="1" applyFill="1" applyAlignment="1">
      <alignment horizontal="right" vertical="center"/>
    </xf>
    <xf numFmtId="0" fontId="21" fillId="34" borderId="0" xfId="0" applyFont="1" applyFill="1" applyAlignment="1">
      <alignment horizontal="right" vertical="center"/>
    </xf>
    <xf numFmtId="0" fontId="8" fillId="4" borderId="0" xfId="0" applyFont="1" applyFill="1">
      <alignment vertical="center"/>
    </xf>
    <xf numFmtId="178" fontId="37" fillId="34" borderId="0" xfId="3" applyNumberFormat="1" applyFont="1" applyFill="1" applyAlignment="1">
      <alignment horizontal="center" vertical="center" wrapText="1"/>
    </xf>
    <xf numFmtId="0" fontId="5" fillId="2" borderId="0" xfId="0" applyFont="1" applyFill="1" applyAlignment="1">
      <alignment horizontal="right" vertical="center"/>
    </xf>
    <xf numFmtId="182" fontId="33" fillId="0" borderId="0" xfId="0" applyNumberFormat="1" applyFont="1" applyAlignment="1">
      <alignment horizontal="right" vertical="center"/>
    </xf>
    <xf numFmtId="38" fontId="37" fillId="34" borderId="0" xfId="2" applyFont="1" applyFill="1" applyBorder="1" applyAlignment="1">
      <alignment horizontal="center" vertical="center"/>
    </xf>
    <xf numFmtId="0" fontId="37" fillId="34" borderId="0" xfId="0" applyFont="1" applyFill="1" applyAlignment="1">
      <alignment horizontal="center" vertical="center"/>
    </xf>
    <xf numFmtId="179" fontId="37" fillId="34" borderId="0" xfId="0" applyNumberFormat="1" applyFont="1" applyFill="1" applyAlignment="1">
      <alignment horizontal="center" vertical="center"/>
    </xf>
    <xf numFmtId="40" fontId="37" fillId="34" borderId="0" xfId="2" applyNumberFormat="1" applyFont="1" applyFill="1" applyBorder="1" applyAlignment="1">
      <alignment horizontal="center" vertical="center"/>
    </xf>
    <xf numFmtId="181" fontId="37" fillId="34" borderId="0" xfId="2" applyNumberFormat="1" applyFont="1" applyFill="1" applyBorder="1" applyAlignment="1">
      <alignment horizontal="center" vertical="center"/>
    </xf>
    <xf numFmtId="182" fontId="37" fillId="34" borderId="0" xfId="0" applyNumberFormat="1" applyFont="1" applyFill="1" applyAlignment="1">
      <alignment horizontal="center"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4" fillId="0" borderId="14" xfId="0" applyFont="1" applyBorder="1">
      <alignment vertical="center"/>
    </xf>
    <xf numFmtId="0" fontId="24" fillId="0" borderId="13" xfId="0" applyFont="1" applyBorder="1">
      <alignment vertical="center"/>
    </xf>
    <xf numFmtId="0" fontId="24" fillId="0" borderId="0" xfId="0" applyFont="1" applyAlignment="1">
      <alignment horizontal="right" vertical="center"/>
    </xf>
    <xf numFmtId="38" fontId="24" fillId="0" borderId="0" xfId="0" applyNumberFormat="1" applyFont="1">
      <alignment vertical="center"/>
    </xf>
    <xf numFmtId="0" fontId="5" fillId="21" borderId="14" xfId="0" applyFont="1" applyFill="1" applyBorder="1" applyAlignment="1">
      <alignment horizontal="center" vertical="center"/>
    </xf>
    <xf numFmtId="0" fontId="5" fillId="21" borderId="13" xfId="0" applyFont="1" applyFill="1" applyBorder="1" applyAlignment="1">
      <alignment horizontal="center" vertical="center"/>
    </xf>
    <xf numFmtId="0" fontId="5" fillId="21" borderId="0" xfId="0" applyFont="1" applyFill="1" applyAlignment="1">
      <alignment horizontal="center" vertical="center"/>
    </xf>
    <xf numFmtId="0" fontId="24" fillId="0" borderId="16" xfId="0" applyFont="1" applyBorder="1">
      <alignment vertical="center"/>
    </xf>
    <xf numFmtId="0" fontId="26" fillId="0" borderId="0" xfId="0" applyFont="1">
      <alignment vertical="center"/>
    </xf>
    <xf numFmtId="0" fontId="27" fillId="0" borderId="0" xfId="0" applyFont="1">
      <alignment vertical="center"/>
    </xf>
    <xf numFmtId="0" fontId="24" fillId="19" borderId="16" xfId="0" applyFont="1" applyFill="1" applyBorder="1">
      <alignment vertical="center"/>
    </xf>
    <xf numFmtId="0" fontId="5" fillId="0" borderId="16" xfId="0" applyFont="1" applyBorder="1" applyAlignment="1">
      <alignment horizontal="center" vertical="center"/>
    </xf>
    <xf numFmtId="0" fontId="5" fillId="0" borderId="14" xfId="0" applyFont="1" applyBorder="1" applyAlignment="1">
      <alignment horizontal="center" vertical="center"/>
    </xf>
    <xf numFmtId="0" fontId="26" fillId="0" borderId="13" xfId="0" applyFont="1" applyBorder="1">
      <alignment vertical="center"/>
    </xf>
    <xf numFmtId="0" fontId="5" fillId="0" borderId="13" xfId="0" applyFont="1" applyBorder="1" applyAlignment="1">
      <alignment horizontal="center" vertical="center"/>
    </xf>
    <xf numFmtId="0" fontId="26" fillId="21" borderId="0" xfId="0" applyFont="1" applyFill="1" applyAlignment="1">
      <alignment horizontal="center"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12" fillId="0" borderId="0" xfId="0" applyFont="1" applyAlignment="1">
      <alignment horizontal="left" vertical="center"/>
    </xf>
    <xf numFmtId="0" fontId="4" fillId="0" borderId="0" xfId="0" applyFont="1" applyAlignment="1">
      <alignment horizontal="left" vertical="center"/>
    </xf>
    <xf numFmtId="0" fontId="12" fillId="0" borderId="4" xfId="0" applyFont="1" applyBorder="1" applyAlignment="1">
      <alignment horizontal="left" vertical="center"/>
    </xf>
    <xf numFmtId="0" fontId="12" fillId="0" borderId="5" xfId="0" applyFont="1" applyBorder="1" applyAlignment="1">
      <alignment horizontal="left"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0" fontId="24" fillId="0" borderId="14" xfId="0" applyFont="1" applyBorder="1" applyAlignment="1">
      <alignment horizontal="lef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3" fontId="12" fillId="0" borderId="13" xfId="0" applyNumberFormat="1"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righ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2" fillId="0" borderId="12" xfId="0" applyFont="1" applyBorder="1" applyAlignment="1">
      <alignment horizontal="right" vertical="center"/>
    </xf>
    <xf numFmtId="3" fontId="12" fillId="0" borderId="0" xfId="0" applyNumberFormat="1" applyFont="1" applyAlignment="1">
      <alignment horizontal="right" vertical="center"/>
    </xf>
    <xf numFmtId="0" fontId="24" fillId="0" borderId="0" xfId="0" applyFont="1" applyAlignment="1">
      <alignment horizontal="left" vertical="center"/>
    </xf>
    <xf numFmtId="0" fontId="12" fillId="0" borderId="13" xfId="0" applyFont="1" applyBorder="1" applyAlignment="1">
      <alignment horizontal="right" vertical="center"/>
    </xf>
    <xf numFmtId="0" fontId="12" fillId="0" borderId="0" xfId="0" applyFont="1" applyAlignment="1">
      <alignment horizontal="righ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6" fontId="10" fillId="0" borderId="4" xfId="0" applyNumberFormat="1" applyFont="1" applyBorder="1" applyAlignment="1">
      <alignment horizontal="right"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11" borderId="0" xfId="0" applyNumberFormat="1" applyFont="1" applyFill="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8" fontId="24" fillId="0" borderId="13" xfId="0" applyNumberFormat="1" applyFont="1" applyBorder="1" applyAlignment="1">
      <alignment horizontal="right" vertical="center"/>
    </xf>
    <xf numFmtId="0" fontId="24" fillId="0" borderId="0" xfId="0" applyFont="1" applyAlignment="1">
      <alignment horizontal="right" vertical="center"/>
    </xf>
    <xf numFmtId="0" fontId="24" fillId="32" borderId="0" xfId="0" applyFont="1" applyFill="1" applyAlignment="1">
      <alignment horizontal="center" vertical="center"/>
    </xf>
    <xf numFmtId="0" fontId="24" fillId="0" borderId="17" xfId="0" applyFont="1" applyBorder="1" applyAlignment="1">
      <alignment horizontal="center" vertical="center"/>
    </xf>
    <xf numFmtId="38" fontId="24" fillId="0" borderId="18" xfId="0" applyNumberFormat="1" applyFont="1" applyBorder="1" applyAlignment="1">
      <alignment horizontal="right" vertical="center"/>
    </xf>
    <xf numFmtId="0" fontId="24" fillId="0" borderId="12" xfId="0" applyFont="1" applyBorder="1" applyAlignment="1">
      <alignment horizontal="right" vertical="center"/>
    </xf>
    <xf numFmtId="0" fontId="24" fillId="0" borderId="12" xfId="0" applyFont="1" applyBorder="1" applyAlignment="1">
      <alignment horizontal="center" vertical="center"/>
    </xf>
    <xf numFmtId="0" fontId="24" fillId="0" borderId="19" xfId="0" applyFont="1" applyBorder="1" applyAlignment="1">
      <alignment horizontal="center" vertical="center"/>
    </xf>
    <xf numFmtId="0" fontId="24" fillId="29" borderId="0" xfId="0" applyFont="1" applyFill="1" applyAlignment="1">
      <alignment horizontal="center" vertical="center"/>
    </xf>
    <xf numFmtId="0" fontId="24" fillId="19" borderId="17" xfId="0" applyFont="1" applyFill="1" applyBorder="1" applyAlignment="1">
      <alignment horizontal="center" vertical="center"/>
    </xf>
    <xf numFmtId="0" fontId="24" fillId="30" borderId="0" xfId="0" applyFont="1" applyFill="1" applyAlignment="1">
      <alignment horizontal="center" vertical="center"/>
    </xf>
    <xf numFmtId="0" fontId="24" fillId="31" borderId="0" xfId="0" applyFont="1" applyFill="1" applyAlignment="1">
      <alignment horizontal="center" vertical="center"/>
    </xf>
    <xf numFmtId="38" fontId="24" fillId="0" borderId="13" xfId="0" applyNumberFormat="1" applyFont="1" applyBorder="1">
      <alignment vertical="center"/>
    </xf>
    <xf numFmtId="0" fontId="24" fillId="0" borderId="0" xfId="0" applyFont="1">
      <alignment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24" fillId="28"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8" fillId="25" borderId="0" xfId="0" applyFont="1" applyFill="1" applyAlignment="1">
      <alignment horizontal="center" vertical="center"/>
    </xf>
    <xf numFmtId="177" fontId="26"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4" fillId="19" borderId="14" xfId="0" applyFont="1" applyFill="1" applyBorder="1" applyAlignment="1">
      <alignment horizontal="right" vertical="center"/>
    </xf>
    <xf numFmtId="0" fontId="21" fillId="22" borderId="14" xfId="0" applyFont="1" applyFill="1" applyBorder="1" applyAlignment="1">
      <alignment horizontal="center" vertical="center"/>
    </xf>
    <xf numFmtId="0" fontId="24" fillId="19" borderId="15" xfId="0" applyFont="1" applyFill="1" applyBorder="1" applyAlignment="1">
      <alignment horizontal="center" vertical="center"/>
    </xf>
    <xf numFmtId="3" fontId="12" fillId="9" borderId="13" xfId="0" applyNumberFormat="1" applyFont="1" applyFill="1" applyBorder="1" applyAlignment="1">
      <alignment horizontal="right" vertical="center"/>
    </xf>
    <xf numFmtId="0" fontId="12" fillId="17" borderId="18" xfId="0" applyFont="1" applyFill="1" applyBorder="1" applyAlignment="1">
      <alignment horizontal="right" vertical="center"/>
    </xf>
    <xf numFmtId="0" fontId="12" fillId="7" borderId="18" xfId="0" applyFont="1" applyFill="1" applyBorder="1" applyAlignment="1">
      <alignment horizontal="right" vertical="center"/>
    </xf>
    <xf numFmtId="0" fontId="12" fillId="6" borderId="18" xfId="0" applyFont="1" applyFill="1" applyBorder="1" applyAlignment="1">
      <alignment horizontal="right" vertical="center"/>
    </xf>
    <xf numFmtId="0" fontId="12" fillId="16" borderId="18" xfId="0" applyFont="1" applyFill="1" applyBorder="1" applyAlignment="1">
      <alignment horizontal="right" vertical="center"/>
    </xf>
    <xf numFmtId="0" fontId="12" fillId="9" borderId="18" xfId="0" applyFont="1" applyFill="1" applyBorder="1" applyAlignment="1">
      <alignment horizontal="right" vertical="center"/>
    </xf>
    <xf numFmtId="3" fontId="13" fillId="16"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2" fillId="6"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0" fontId="12" fillId="12" borderId="18" xfId="0" applyFont="1" applyFill="1" applyBorder="1" applyAlignment="1">
      <alignment horizontal="right" vertical="center"/>
    </xf>
    <xf numFmtId="0" fontId="12" fillId="13" borderId="18" xfId="0" applyFont="1" applyFill="1" applyBorder="1" applyAlignment="1">
      <alignment horizontal="right" vertical="center"/>
    </xf>
    <xf numFmtId="0" fontId="12" fillId="15" borderId="18" xfId="0" applyFont="1" applyFill="1" applyBorder="1" applyAlignment="1">
      <alignment horizontal="right" vertical="center"/>
    </xf>
    <xf numFmtId="3" fontId="13" fillId="12"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5" borderId="13" xfId="0" applyNumberFormat="1" applyFont="1" applyFill="1" applyBorder="1" applyAlignment="1">
      <alignment horizontal="right" vertical="center"/>
    </xf>
    <xf numFmtId="0" fontId="12" fillId="33" borderId="18" xfId="0" applyFont="1" applyFill="1" applyBorder="1" applyAlignment="1">
      <alignment horizontal="right" vertical="center"/>
    </xf>
    <xf numFmtId="0" fontId="12" fillId="33" borderId="13" xfId="0" applyFont="1" applyFill="1" applyBorder="1" applyAlignment="1">
      <alignment horizontal="right" vertical="center"/>
    </xf>
    <xf numFmtId="0" fontId="12" fillId="14" borderId="18" xfId="0" applyFont="1" applyFill="1" applyBorder="1" applyAlignment="1">
      <alignment horizontal="right" vertical="center"/>
    </xf>
    <xf numFmtId="0" fontId="12" fillId="8" borderId="0" xfId="0" applyFont="1" applyFill="1" applyAlignment="1">
      <alignment horizontal="right" vertical="center"/>
    </xf>
    <xf numFmtId="0" fontId="12" fillId="9" borderId="13" xfId="0" applyFont="1" applyFill="1" applyBorder="1" applyAlignment="1">
      <alignment horizontal="right" vertical="center"/>
    </xf>
    <xf numFmtId="3" fontId="12" fillId="33"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2" fillId="8" borderId="0" xfId="0" applyNumberFormat="1" applyFont="1" applyFill="1" applyAlignment="1">
      <alignment horizontal="right" vertical="center"/>
    </xf>
    <xf numFmtId="3" fontId="13" fillId="33"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3" fillId="8" borderId="0" xfId="0" applyNumberFormat="1" applyFont="1" applyFill="1" applyAlignment="1">
      <alignment horizontal="right" vertical="center"/>
    </xf>
    <xf numFmtId="0" fontId="12" fillId="14" borderId="13" xfId="0" applyFont="1" applyFill="1" applyBorder="1" applyAlignment="1">
      <alignment horizontal="right" vertical="center"/>
    </xf>
    <xf numFmtId="3" fontId="13" fillId="8" borderId="13" xfId="0" applyNumberFormat="1" applyFont="1" applyFill="1" applyBorder="1" applyAlignment="1">
      <alignment horizontal="right" vertical="center"/>
    </xf>
    <xf numFmtId="0" fontId="12" fillId="8" borderId="18" xfId="0" applyFont="1" applyFill="1" applyBorder="1" applyAlignment="1">
      <alignment horizontal="right" vertical="center"/>
    </xf>
    <xf numFmtId="3" fontId="12" fillId="8" borderId="13" xfId="0" applyNumberFormat="1" applyFont="1" applyFill="1" applyBorder="1" applyAlignment="1">
      <alignment horizontal="right" vertical="center"/>
    </xf>
    <xf numFmtId="0" fontId="12" fillId="8" borderId="13" xfId="0" applyFont="1" applyFill="1" applyBorder="1" applyAlignment="1">
      <alignment horizontal="right" vertical="center"/>
    </xf>
    <xf numFmtId="0" fontId="12" fillId="6" borderId="0" xfId="0" applyFont="1" applyFill="1" applyAlignment="1">
      <alignment horizontal="right" vertical="center"/>
    </xf>
    <xf numFmtId="0" fontId="12" fillId="15" borderId="13" xfId="0" applyFont="1" applyFill="1" applyBorder="1" applyAlignment="1">
      <alignment horizontal="right" vertical="center"/>
    </xf>
    <xf numFmtId="3" fontId="13" fillId="6" borderId="0" xfId="0" applyNumberFormat="1" applyFont="1" applyFill="1" applyAlignment="1">
      <alignment horizontal="right" vertical="center"/>
    </xf>
    <xf numFmtId="3" fontId="12" fillId="6" borderId="0" xfId="0" applyNumberFormat="1" applyFont="1" applyFill="1" applyAlignment="1">
      <alignment horizontal="right" vertical="center"/>
    </xf>
    <xf numFmtId="0" fontId="12" fillId="12" borderId="13" xfId="0" applyFont="1" applyFill="1" applyBorder="1" applyAlignment="1">
      <alignment horizontal="right" vertical="center"/>
    </xf>
    <xf numFmtId="0" fontId="12" fillId="7" borderId="13" xfId="0" applyFont="1" applyFill="1" applyBorder="1" applyAlignment="1">
      <alignment horizontal="right" vertical="center"/>
    </xf>
  </cellXfs>
  <cellStyles count="4">
    <cellStyle name="ハイパーリンク" xfId="1" builtinId="8"/>
    <cellStyle name="桁区切り" xfId="2" builtinId="6"/>
    <cellStyle name="標準" xfId="0" builtinId="0"/>
    <cellStyle name="標準_SSDS_ShiTemp" xfId="3" xr:uid="{4C749A11-EDEF-4063-84E9-703F5D7D9D39}"/>
  </cellStyles>
  <dxfs count="0"/>
  <tableStyles count="0" defaultTableStyle="TableStyleMedium2" defaultPivotStyle="PivotStyleLight16"/>
  <colors>
    <mruColors>
      <color rgb="FF084BA2"/>
      <color rgb="FFD5E3F6"/>
      <color rgb="FF86DFCB"/>
      <color rgb="FF8833AA"/>
      <color rgb="FF0F8472"/>
      <color rgb="FFFFFFFF"/>
      <color rgb="FF98FFFC"/>
      <color rgb="FFFF7766"/>
      <color rgb="FFFF8877"/>
      <color rgb="FFFC9A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0.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108</xdr:row>
      <xdr:rowOff>0</xdr:rowOff>
    </xdr:from>
    <xdr:to>
      <xdr:col>44</xdr:col>
      <xdr:colOff>218700</xdr:colOff>
      <xdr:row>119</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88</xdr:row>
      <xdr:rowOff>0</xdr:rowOff>
    </xdr:from>
    <xdr:to>
      <xdr:col>13</xdr:col>
      <xdr:colOff>235623</xdr:colOff>
      <xdr:row>101</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99</xdr:row>
      <xdr:rowOff>160545</xdr:rowOff>
    </xdr:from>
    <xdr:to>
      <xdr:col>14</xdr:col>
      <xdr:colOff>24848</xdr:colOff>
      <xdr:row>100</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102</xdr:row>
      <xdr:rowOff>198782</xdr:rowOff>
    </xdr:from>
    <xdr:to>
      <xdr:col>35</xdr:col>
      <xdr:colOff>240194</xdr:colOff>
      <xdr:row>104</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100</xdr:row>
      <xdr:rowOff>201957</xdr:rowOff>
    </xdr:from>
    <xdr:to>
      <xdr:col>21</xdr:col>
      <xdr:colOff>88554</xdr:colOff>
      <xdr:row>102</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118</xdr:row>
      <xdr:rowOff>57288</xdr:rowOff>
    </xdr:from>
    <xdr:to>
      <xdr:col>24</xdr:col>
      <xdr:colOff>36445</xdr:colOff>
      <xdr:row>119</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120</xdr:row>
      <xdr:rowOff>187325</xdr:rowOff>
    </xdr:from>
    <xdr:to>
      <xdr:col>32</xdr:col>
      <xdr:colOff>198783</xdr:colOff>
      <xdr:row>122</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119</xdr:row>
      <xdr:rowOff>95527</xdr:rowOff>
    </xdr:from>
    <xdr:to>
      <xdr:col>22</xdr:col>
      <xdr:colOff>183807</xdr:colOff>
      <xdr:row>120</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844550</xdr:colOff>
      <xdr:row>3</xdr:row>
      <xdr:rowOff>228599</xdr:rowOff>
    </xdr:from>
    <xdr:to>
      <xdr:col>10</xdr:col>
      <xdr:colOff>66675</xdr:colOff>
      <xdr:row>9</xdr:row>
      <xdr:rowOff>69848</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4368800" y="914399"/>
          <a:ext cx="9375775" cy="1212849"/>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35</xdr:row>
      <xdr:rowOff>9525</xdr:rowOff>
    </xdr:from>
    <xdr:to>
      <xdr:col>13</xdr:col>
      <xdr:colOff>257231</xdr:colOff>
      <xdr:row>43</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112</xdr:row>
      <xdr:rowOff>0</xdr:rowOff>
    </xdr:from>
    <xdr:to>
      <xdr:col>34</xdr:col>
      <xdr:colOff>126267</xdr:colOff>
      <xdr:row>127</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107</xdr:row>
          <xdr:rowOff>184150</xdr:rowOff>
        </xdr:from>
        <xdr:to>
          <xdr:col>12</xdr:col>
          <xdr:colOff>139700</xdr:colOff>
          <xdr:row>110</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36</xdr:row>
      <xdr:rowOff>152400</xdr:rowOff>
    </xdr:from>
    <xdr:to>
      <xdr:col>9</xdr:col>
      <xdr:colOff>104775</xdr:colOff>
      <xdr:row>39</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39</xdr:row>
      <xdr:rowOff>66675</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126</xdr:row>
      <xdr:rowOff>179022</xdr:rowOff>
    </xdr:from>
    <xdr:to>
      <xdr:col>18</xdr:col>
      <xdr:colOff>131885</xdr:colOff>
      <xdr:row>127</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129</xdr:row>
      <xdr:rowOff>11479</xdr:rowOff>
    </xdr:from>
    <xdr:to>
      <xdr:col>16</xdr:col>
      <xdr:colOff>153865</xdr:colOff>
      <xdr:row>129</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127</xdr:row>
      <xdr:rowOff>117230</xdr:rowOff>
    </xdr:from>
    <xdr:to>
      <xdr:col>17</xdr:col>
      <xdr:colOff>24057</xdr:colOff>
      <xdr:row>129</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72</xdr:row>
      <xdr:rowOff>222250</xdr:rowOff>
    </xdr:from>
    <xdr:to>
      <xdr:col>13</xdr:col>
      <xdr:colOff>6350</xdr:colOff>
      <xdr:row>75</xdr:row>
      <xdr:rowOff>38100</xdr:rowOff>
    </xdr:to>
    <xdr:sp macro="" textlink="">
      <xdr:nvSpPr>
        <xdr:cNvPr id="2" name="正方形/長方形 1">
          <a:extLst>
            <a:ext uri="{FF2B5EF4-FFF2-40B4-BE49-F238E27FC236}">
              <a16:creationId xmlns:a16="http://schemas.microsoft.com/office/drawing/2014/main" id="{C4F80DCB-494E-4709-BADE-57DF4496E4AD}"/>
            </a:ext>
          </a:extLst>
        </xdr:cNvPr>
        <xdr:cNvSpPr/>
      </xdr:nvSpPr>
      <xdr:spPr>
        <a:xfrm>
          <a:off x="1308100" y="17557750"/>
          <a:ext cx="2165350" cy="6159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171450</xdr:colOff>
      <xdr:row>96</xdr:row>
      <xdr:rowOff>50800</xdr:rowOff>
    </xdr:from>
    <xdr:to>
      <xdr:col>25</xdr:col>
      <xdr:colOff>95250</xdr:colOff>
      <xdr:row>98</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74</xdr:row>
      <xdr:rowOff>254000</xdr:rowOff>
    </xdr:from>
    <xdr:to>
      <xdr:col>20</xdr:col>
      <xdr:colOff>133350</xdr:colOff>
      <xdr:row>96</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72</xdr:row>
      <xdr:rowOff>254000</xdr:rowOff>
    </xdr:from>
    <xdr:to>
      <xdr:col>11</xdr:col>
      <xdr:colOff>31750</xdr:colOff>
      <xdr:row>74</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99</xdr:row>
      <xdr:rowOff>69850</xdr:rowOff>
    </xdr:from>
    <xdr:to>
      <xdr:col>14</xdr:col>
      <xdr:colOff>120650</xdr:colOff>
      <xdr:row>101</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74</xdr:row>
      <xdr:rowOff>44450</xdr:rowOff>
    </xdr:from>
    <xdr:to>
      <xdr:col>9</xdr:col>
      <xdr:colOff>155575</xdr:colOff>
      <xdr:row>99</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73</xdr:row>
      <xdr:rowOff>260350</xdr:rowOff>
    </xdr:from>
    <xdr:to>
      <xdr:col>12</xdr:col>
      <xdr:colOff>209550</xdr:colOff>
      <xdr:row>74</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52</xdr:row>
      <xdr:rowOff>219074</xdr:rowOff>
    </xdr:from>
    <xdr:to>
      <xdr:col>9</xdr:col>
      <xdr:colOff>38101</xdr:colOff>
      <xdr:row>57</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46</xdr:row>
      <xdr:rowOff>26132</xdr:rowOff>
    </xdr:from>
    <xdr:to>
      <xdr:col>9</xdr:col>
      <xdr:colOff>125657</xdr:colOff>
      <xdr:row>52</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47</xdr:row>
      <xdr:rowOff>259617</xdr:rowOff>
    </xdr:from>
    <xdr:to>
      <xdr:col>19</xdr:col>
      <xdr:colOff>251070</xdr:colOff>
      <xdr:row>52</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49</xdr:row>
      <xdr:rowOff>76200</xdr:rowOff>
    </xdr:from>
    <xdr:to>
      <xdr:col>18</xdr:col>
      <xdr:colOff>85725</xdr:colOff>
      <xdr:row>51</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190500</xdr:rowOff>
    </xdr:from>
    <xdr:to>
      <xdr:col>7</xdr:col>
      <xdr:colOff>158750</xdr:colOff>
      <xdr:row>37</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133350</xdr:rowOff>
    </xdr:from>
    <xdr:to>
      <xdr:col>17</xdr:col>
      <xdr:colOff>12700</xdr:colOff>
      <xdr:row>49</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57150</xdr:rowOff>
    </xdr:from>
    <xdr:to>
      <xdr:col>25</xdr:col>
      <xdr:colOff>120650</xdr:colOff>
      <xdr:row>60</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57150</xdr:rowOff>
    </xdr:from>
    <xdr:to>
      <xdr:col>8</xdr:col>
      <xdr:colOff>228599</xdr:colOff>
      <xdr:row>56</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228600</xdr:rowOff>
    </xdr:from>
    <xdr:to>
      <xdr:col>20</xdr:col>
      <xdr:colOff>166688</xdr:colOff>
      <xdr:row>58</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28575</xdr:colOff>
      <xdr:row>35</xdr:row>
      <xdr:rowOff>28575</xdr:rowOff>
    </xdr:from>
    <xdr:to>
      <xdr:col>13</xdr:col>
      <xdr:colOff>263580</xdr:colOff>
      <xdr:row>43</xdr:row>
      <xdr:rowOff>238125</xdr:rowOff>
    </xdr:to>
    <xdr:pic>
      <xdr:nvPicPr>
        <xdr:cNvPr id="52" name="図 51">
          <a:extLst>
            <a:ext uri="{FF2B5EF4-FFF2-40B4-BE49-F238E27FC236}">
              <a16:creationId xmlns:a16="http://schemas.microsoft.com/office/drawing/2014/main" id="{D142BFAA-C897-4DD6-A847-0223472536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126267</xdr:colOff>
      <xdr:row>147</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67</xdr:row>
      <xdr:rowOff>0</xdr:rowOff>
    </xdr:from>
    <xdr:to>
      <xdr:col>17</xdr:col>
      <xdr:colOff>29308</xdr:colOff>
      <xdr:row>84</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8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36</xdr:row>
      <xdr:rowOff>190499</xdr:rowOff>
    </xdr:from>
    <xdr:to>
      <xdr:col>9</xdr:col>
      <xdr:colOff>122361</xdr:colOff>
      <xdr:row>39</xdr:row>
      <xdr:rowOff>95250</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39</xdr:row>
      <xdr:rowOff>95250</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71</xdr:row>
      <xdr:rowOff>263768</xdr:rowOff>
    </xdr:from>
    <xdr:to>
      <xdr:col>15</xdr:col>
      <xdr:colOff>183175</xdr:colOff>
      <xdr:row>81</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85</xdr:row>
      <xdr:rowOff>10503</xdr:rowOff>
    </xdr:from>
    <xdr:to>
      <xdr:col>14</xdr:col>
      <xdr:colOff>171450</xdr:colOff>
      <xdr:row>85</xdr:row>
      <xdr:rowOff>247650</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835150" y="208131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81</xdr:row>
      <xdr:rowOff>80595</xdr:rowOff>
    </xdr:from>
    <xdr:to>
      <xdr:col>13</xdr:col>
      <xdr:colOff>168521</xdr:colOff>
      <xdr:row>85</xdr:row>
      <xdr:rowOff>10503</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flipH="1">
          <a:off x="2870200" y="198163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146</xdr:row>
      <xdr:rowOff>180973</xdr:rowOff>
    </xdr:from>
    <xdr:to>
      <xdr:col>22</xdr:col>
      <xdr:colOff>139212</xdr:colOff>
      <xdr:row>147</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149</xdr:row>
      <xdr:rowOff>21981</xdr:rowOff>
    </xdr:from>
    <xdr:to>
      <xdr:col>16</xdr:col>
      <xdr:colOff>157040</xdr:colOff>
      <xdr:row>149</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147</xdr:row>
      <xdr:rowOff>102577</xdr:rowOff>
    </xdr:from>
    <xdr:to>
      <xdr:col>21</xdr:col>
      <xdr:colOff>82673</xdr:colOff>
      <xdr:row>149</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72</xdr:row>
      <xdr:rowOff>21249</xdr:rowOff>
    </xdr:from>
    <xdr:to>
      <xdr:col>12</xdr:col>
      <xdr:colOff>176578</xdr:colOff>
      <xdr:row>73</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87</xdr:row>
      <xdr:rowOff>73269</xdr:rowOff>
    </xdr:from>
    <xdr:to>
      <xdr:col>19</xdr:col>
      <xdr:colOff>180732</xdr:colOff>
      <xdr:row>89</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73</xdr:row>
      <xdr:rowOff>34193</xdr:rowOff>
    </xdr:from>
    <xdr:to>
      <xdr:col>17</xdr:col>
      <xdr:colOff>192943</xdr:colOff>
      <xdr:row>87</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46071" y="17636393"/>
          <a:ext cx="1480772" cy="40395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89</xdr:row>
      <xdr:rowOff>241300</xdr:rowOff>
    </xdr:from>
    <xdr:to>
      <xdr:col>25</xdr:col>
      <xdr:colOff>114300</xdr:colOff>
      <xdr:row>91</xdr:row>
      <xdr:rowOff>12700</xdr:rowOff>
    </xdr:to>
    <xdr:sp macro="" textlink="">
      <xdr:nvSpPr>
        <xdr:cNvPr id="26" name="正方形/長方形 25">
          <a:extLst>
            <a:ext uri="{FF2B5EF4-FFF2-40B4-BE49-F238E27FC236}">
              <a16:creationId xmlns:a16="http://schemas.microsoft.com/office/drawing/2014/main" id="{30D17A34-5EDE-4B32-845E-74DDB3B61913}"/>
            </a:ext>
          </a:extLst>
        </xdr:cNvPr>
        <xdr:cNvSpPr/>
      </xdr:nvSpPr>
      <xdr:spPr>
        <a:xfrm>
          <a:off x="1574800" y="221107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85</xdr:row>
      <xdr:rowOff>247650</xdr:rowOff>
    </xdr:from>
    <xdr:to>
      <xdr:col>15</xdr:col>
      <xdr:colOff>177800</xdr:colOff>
      <xdr:row>89</xdr:row>
      <xdr:rowOff>241300</xdr:rowOff>
    </xdr:to>
    <xdr:cxnSp macro="">
      <xdr:nvCxnSpPr>
        <xdr:cNvPr id="27" name="直線コネクタ 26">
          <a:extLst>
            <a:ext uri="{FF2B5EF4-FFF2-40B4-BE49-F238E27FC236}">
              <a16:creationId xmlns:a16="http://schemas.microsoft.com/office/drawing/2014/main" id="{D602B084-A12E-4FF9-AAB6-4E51C03E3790}"/>
            </a:ext>
          </a:extLst>
        </xdr:cNvPr>
        <xdr:cNvCxnSpPr>
          <a:stCxn id="29" idx="2"/>
          <a:endCxn id="26" idx="0"/>
        </xdr:cNvCxnSpPr>
      </xdr:nvCxnSpPr>
      <xdr:spPr>
        <a:xfrm>
          <a:off x="2870200" y="210502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92</xdr:row>
      <xdr:rowOff>247650</xdr:rowOff>
    </xdr:from>
    <xdr:to>
      <xdr:col>11</xdr:col>
      <xdr:colOff>44450</xdr:colOff>
      <xdr:row>105</xdr:row>
      <xdr:rowOff>38100</xdr:rowOff>
    </xdr:to>
    <xdr:sp macro="" textlink="">
      <xdr:nvSpPr>
        <xdr:cNvPr id="34" name="正方形/長方形 33">
          <a:extLst>
            <a:ext uri="{FF2B5EF4-FFF2-40B4-BE49-F238E27FC236}">
              <a16:creationId xmlns:a16="http://schemas.microsoft.com/office/drawing/2014/main" id="{486AD3BA-9D5A-405C-9563-62C3805CE00B}"/>
            </a:ext>
          </a:extLst>
        </xdr:cNvPr>
        <xdr:cNvSpPr/>
      </xdr:nvSpPr>
      <xdr:spPr>
        <a:xfrm>
          <a:off x="1562100" y="22917150"/>
          <a:ext cx="141605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8" name="正方形/長方形 37">
          <a:extLst>
            <a:ext uri="{FF2B5EF4-FFF2-40B4-BE49-F238E27FC236}">
              <a16:creationId xmlns:a16="http://schemas.microsoft.com/office/drawing/2014/main" id="{22BCFB4A-D96C-4F1C-9F21-E0B3E4A95C35}"/>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105</xdr:row>
      <xdr:rowOff>38100</xdr:rowOff>
    </xdr:from>
    <xdr:to>
      <xdr:col>9</xdr:col>
      <xdr:colOff>142875</xdr:colOff>
      <xdr:row>119</xdr:row>
      <xdr:rowOff>50800</xdr:rowOff>
    </xdr:to>
    <xdr:cxnSp macro="">
      <xdr:nvCxnSpPr>
        <xdr:cNvPr id="39" name="直線コネクタ 38">
          <a:extLst>
            <a:ext uri="{FF2B5EF4-FFF2-40B4-BE49-F238E27FC236}">
              <a16:creationId xmlns:a16="http://schemas.microsoft.com/office/drawing/2014/main" id="{956E4DA9-EA18-4866-ADFA-119C84A666AA}"/>
            </a:ext>
          </a:extLst>
        </xdr:cNvPr>
        <xdr:cNvCxnSpPr>
          <a:stCxn id="34" idx="2"/>
          <a:endCxn id="38" idx="0"/>
        </xdr:cNvCxnSpPr>
      </xdr:nvCxnSpPr>
      <xdr:spPr>
        <a:xfrm>
          <a:off x="2270125" y="26174700"/>
          <a:ext cx="273050" cy="37465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116</xdr:row>
      <xdr:rowOff>57150</xdr:rowOff>
    </xdr:from>
    <xdr:to>
      <xdr:col>25</xdr:col>
      <xdr:colOff>88900</xdr:colOff>
      <xdr:row>118</xdr:row>
      <xdr:rowOff>215900</xdr:rowOff>
    </xdr:to>
    <xdr:sp macro="" textlink="">
      <xdr:nvSpPr>
        <xdr:cNvPr id="15" name="正方形/長方形 14">
          <a:extLst>
            <a:ext uri="{FF2B5EF4-FFF2-40B4-BE49-F238E27FC236}">
              <a16:creationId xmlns:a16="http://schemas.microsoft.com/office/drawing/2014/main" id="{1A27223C-7610-4611-B031-0D966E21107F}"/>
            </a:ext>
          </a:extLst>
        </xdr:cNvPr>
        <xdr:cNvSpPr/>
      </xdr:nvSpPr>
      <xdr:spPr>
        <a:xfrm>
          <a:off x="4184650" y="291274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139700</xdr:colOff>
      <xdr:row>105</xdr:row>
      <xdr:rowOff>6350</xdr:rowOff>
    </xdr:from>
    <xdr:to>
      <xdr:col>20</xdr:col>
      <xdr:colOff>136525</xdr:colOff>
      <xdr:row>116</xdr:row>
      <xdr:rowOff>57150</xdr:rowOff>
    </xdr:to>
    <xdr:cxnSp macro="">
      <xdr:nvCxnSpPr>
        <xdr:cNvPr id="19" name="直線コネクタ 18">
          <a:extLst>
            <a:ext uri="{FF2B5EF4-FFF2-40B4-BE49-F238E27FC236}">
              <a16:creationId xmlns:a16="http://schemas.microsoft.com/office/drawing/2014/main" id="{9F9D3DD5-3B06-4E54-8ECE-A79999D410B3}"/>
            </a:ext>
          </a:extLst>
        </xdr:cNvPr>
        <xdr:cNvCxnSpPr>
          <a:stCxn id="50" idx="2"/>
          <a:endCxn id="15" idx="0"/>
        </xdr:cNvCxnSpPr>
      </xdr:nvCxnSpPr>
      <xdr:spPr>
        <a:xfrm>
          <a:off x="3340100" y="26142950"/>
          <a:ext cx="2130425" cy="29845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92</xdr:row>
      <xdr:rowOff>228600</xdr:rowOff>
    </xdr:from>
    <xdr:to>
      <xdr:col>13</xdr:col>
      <xdr:colOff>25400</xdr:colOff>
      <xdr:row>105</xdr:row>
      <xdr:rowOff>69850</xdr:rowOff>
    </xdr:to>
    <xdr:sp macro="" textlink="">
      <xdr:nvSpPr>
        <xdr:cNvPr id="25" name="正方形/長方形 24">
          <a:extLst>
            <a:ext uri="{FF2B5EF4-FFF2-40B4-BE49-F238E27FC236}">
              <a16:creationId xmlns:a16="http://schemas.microsoft.com/office/drawing/2014/main" id="{5FDF3AB2-1AB4-4D6B-8EA5-973C186357B3}"/>
            </a:ext>
          </a:extLst>
        </xdr:cNvPr>
        <xdr:cNvSpPr/>
      </xdr:nvSpPr>
      <xdr:spPr>
        <a:xfrm>
          <a:off x="1308100" y="22898100"/>
          <a:ext cx="2184400" cy="33083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38100</xdr:colOff>
      <xdr:row>104</xdr:row>
      <xdr:rowOff>12700</xdr:rowOff>
    </xdr:from>
    <xdr:to>
      <xdr:col>12</xdr:col>
      <xdr:colOff>241300</xdr:colOff>
      <xdr:row>105</xdr:row>
      <xdr:rowOff>6350</xdr:rowOff>
    </xdr:to>
    <xdr:sp macro="" textlink="">
      <xdr:nvSpPr>
        <xdr:cNvPr id="50" name="正方形/長方形 49">
          <a:extLst>
            <a:ext uri="{FF2B5EF4-FFF2-40B4-BE49-F238E27FC236}">
              <a16:creationId xmlns:a16="http://schemas.microsoft.com/office/drawing/2014/main" id="{408910AE-CB57-4D7B-AB2C-21CE5E426CF6}"/>
            </a:ext>
          </a:extLst>
        </xdr:cNvPr>
        <xdr:cNvSpPr/>
      </xdr:nvSpPr>
      <xdr:spPr>
        <a:xfrm>
          <a:off x="3238500" y="2588260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52</xdr:row>
      <xdr:rowOff>215900</xdr:rowOff>
    </xdr:from>
    <xdr:to>
      <xdr:col>9</xdr:col>
      <xdr:colOff>38100</xdr:colOff>
      <xdr:row>57</xdr:row>
      <xdr:rowOff>47625</xdr:rowOff>
    </xdr:to>
    <xdr:sp macro="" textlink="">
      <xdr:nvSpPr>
        <xdr:cNvPr id="55" name="正方形/長方形 54">
          <a:extLst>
            <a:ext uri="{FF2B5EF4-FFF2-40B4-BE49-F238E27FC236}">
              <a16:creationId xmlns:a16="http://schemas.microsoft.com/office/drawing/2014/main" id="{FF25199B-4C8B-494D-AF9B-CA4FB14201CE}"/>
            </a:ext>
          </a:extLst>
        </xdr:cNvPr>
        <xdr:cNvSpPr/>
      </xdr:nvSpPr>
      <xdr:spPr>
        <a:xfrm>
          <a:off x="1276350" y="135509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46</xdr:row>
      <xdr:rowOff>26132</xdr:rowOff>
    </xdr:from>
    <xdr:to>
      <xdr:col>9</xdr:col>
      <xdr:colOff>125047</xdr:colOff>
      <xdr:row>52</xdr:row>
      <xdr:rowOff>219075</xdr:rowOff>
    </xdr:to>
    <xdr:cxnSp macro="">
      <xdr:nvCxnSpPr>
        <xdr:cNvPr id="56" name="直線コネクタ 55">
          <a:extLst>
            <a:ext uri="{FF2B5EF4-FFF2-40B4-BE49-F238E27FC236}">
              <a16:creationId xmlns:a16="http://schemas.microsoft.com/office/drawing/2014/main" id="{74C2B964-4056-40DF-BE8C-F87C97AE48AC}"/>
            </a:ext>
          </a:extLst>
        </xdr:cNvPr>
        <xdr:cNvCxnSpPr>
          <a:stCxn id="16" idx="2"/>
          <a:endCxn id="55" idx="0"/>
        </xdr:cNvCxnSpPr>
      </xdr:nvCxnSpPr>
      <xdr:spPr>
        <a:xfrm flipH="1">
          <a:off x="1857375" y="12294332"/>
          <a:ext cx="667972" cy="12597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62</xdr:row>
      <xdr:rowOff>0</xdr:rowOff>
    </xdr:from>
    <xdr:to>
      <xdr:col>24</xdr:col>
      <xdr:colOff>38100</xdr:colOff>
      <xdr:row>63</xdr:row>
      <xdr:rowOff>1</xdr:rowOff>
    </xdr:to>
    <xdr:sp macro="" textlink="">
      <xdr:nvSpPr>
        <xdr:cNvPr id="59" name="正方形/長方形 58">
          <a:extLst>
            <a:ext uri="{FF2B5EF4-FFF2-40B4-BE49-F238E27FC236}">
              <a16:creationId xmlns:a16="http://schemas.microsoft.com/office/drawing/2014/main" id="{E92AC006-3903-442D-9893-0AEEB56957F5}"/>
            </a:ext>
          </a:extLst>
        </xdr:cNvPr>
        <xdr:cNvSpPr/>
      </xdr:nvSpPr>
      <xdr:spPr>
        <a:xfrm>
          <a:off x="1581150" y="170688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55</xdr:row>
      <xdr:rowOff>28575</xdr:rowOff>
    </xdr:from>
    <xdr:to>
      <xdr:col>15</xdr:col>
      <xdr:colOff>9525</xdr:colOff>
      <xdr:row>62</xdr:row>
      <xdr:rowOff>0</xdr:rowOff>
    </xdr:to>
    <xdr:cxnSp macro="">
      <xdr:nvCxnSpPr>
        <xdr:cNvPr id="60" name="直線コネクタ 59">
          <a:extLst>
            <a:ext uri="{FF2B5EF4-FFF2-40B4-BE49-F238E27FC236}">
              <a16:creationId xmlns:a16="http://schemas.microsoft.com/office/drawing/2014/main" id="{B18FCB28-D4C3-464D-B2E4-7F3F458D9D57}"/>
            </a:ext>
          </a:extLst>
        </xdr:cNvPr>
        <xdr:cNvCxnSpPr>
          <a:stCxn id="71688" idx="2"/>
          <a:endCxn id="59" idx="0"/>
        </xdr:cNvCxnSpPr>
      </xdr:nvCxnSpPr>
      <xdr:spPr>
        <a:xfrm>
          <a:off x="1862138" y="14697075"/>
          <a:ext cx="2147887" cy="23717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47</xdr:row>
      <xdr:rowOff>259617</xdr:rowOff>
    </xdr:from>
    <xdr:to>
      <xdr:col>19</xdr:col>
      <xdr:colOff>251070</xdr:colOff>
      <xdr:row>52</xdr:row>
      <xdr:rowOff>219075</xdr:rowOff>
    </xdr:to>
    <xdr:cxnSp macro="">
      <xdr:nvCxnSpPr>
        <xdr:cNvPr id="63" name="直線コネクタ 62">
          <a:extLst>
            <a:ext uri="{FF2B5EF4-FFF2-40B4-BE49-F238E27FC236}">
              <a16:creationId xmlns:a16="http://schemas.microsoft.com/office/drawing/2014/main" id="{2B1F4195-05FA-4DB0-84E8-1F42076A4B26}"/>
            </a:ext>
          </a:extLst>
        </xdr:cNvPr>
        <xdr:cNvCxnSpPr>
          <a:stCxn id="22" idx="2"/>
          <a:endCxn id="55" idx="0"/>
        </xdr:cNvCxnSpPr>
      </xdr:nvCxnSpPr>
      <xdr:spPr>
        <a:xfrm flipH="1">
          <a:off x="1857375" y="12794517"/>
          <a:ext cx="3460995" cy="7595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49</xdr:row>
      <xdr:rowOff>76199</xdr:rowOff>
    </xdr:from>
    <xdr:to>
      <xdr:col>18</xdr:col>
      <xdr:colOff>101600</xdr:colOff>
      <xdr:row>51</xdr:row>
      <xdr:rowOff>107948</xdr:rowOff>
    </xdr:to>
    <xdr:sp macro="" textlink="">
      <xdr:nvSpPr>
        <xdr:cNvPr id="71683" name="正方形/長方形 71682">
          <a:extLst>
            <a:ext uri="{FF2B5EF4-FFF2-40B4-BE49-F238E27FC236}">
              <a16:creationId xmlns:a16="http://schemas.microsoft.com/office/drawing/2014/main" id="{073992A8-08DD-40A3-B53C-9A9DBC9C2680}"/>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200025</xdr:rowOff>
    </xdr:from>
    <xdr:to>
      <xdr:col>7</xdr:col>
      <xdr:colOff>158750</xdr:colOff>
      <xdr:row>37</xdr:row>
      <xdr:rowOff>142875</xdr:rowOff>
    </xdr:to>
    <xdr:sp macro="" textlink="">
      <xdr:nvSpPr>
        <xdr:cNvPr id="71684" name="正方形/長方形 71683">
          <a:extLst>
            <a:ext uri="{FF2B5EF4-FFF2-40B4-BE49-F238E27FC236}">
              <a16:creationId xmlns:a16="http://schemas.microsoft.com/office/drawing/2014/main" id="{859B247A-4D34-47D9-93F1-FFBC7BEA0E78}"/>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139700</xdr:rowOff>
    </xdr:from>
    <xdr:to>
      <xdr:col>17</xdr:col>
      <xdr:colOff>17463</xdr:colOff>
      <xdr:row>49</xdr:row>
      <xdr:rowOff>76199</xdr:rowOff>
    </xdr:to>
    <xdr:cxnSp macro="">
      <xdr:nvCxnSpPr>
        <xdr:cNvPr id="71685" name="直線コネクタ 71684">
          <a:extLst>
            <a:ext uri="{FF2B5EF4-FFF2-40B4-BE49-F238E27FC236}">
              <a16:creationId xmlns:a16="http://schemas.microsoft.com/office/drawing/2014/main" id="{6AE8E763-B2C3-4F12-9229-F20CB6F0F69C}"/>
            </a:ext>
          </a:extLst>
        </xdr:cNvPr>
        <xdr:cNvCxnSpPr>
          <a:stCxn id="71684" idx="2"/>
          <a:endCxn id="71683"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54</xdr:row>
      <xdr:rowOff>0</xdr:rowOff>
    </xdr:from>
    <xdr:to>
      <xdr:col>8</xdr:col>
      <xdr:colOff>196850</xdr:colOff>
      <xdr:row>55</xdr:row>
      <xdr:rowOff>25400</xdr:rowOff>
    </xdr:to>
    <xdr:sp macro="" textlink="">
      <xdr:nvSpPr>
        <xdr:cNvPr id="71688" name="正方形/長方形 71687">
          <a:extLst>
            <a:ext uri="{FF2B5EF4-FFF2-40B4-BE49-F238E27FC236}">
              <a16:creationId xmlns:a16="http://schemas.microsoft.com/office/drawing/2014/main" id="{CF17EE88-A391-481A-A98B-2C262E815D06}"/>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58</xdr:row>
      <xdr:rowOff>66675</xdr:rowOff>
    </xdr:from>
    <xdr:to>
      <xdr:col>25</xdr:col>
      <xdr:colOff>120650</xdr:colOff>
      <xdr:row>60</xdr:row>
      <xdr:rowOff>206375</xdr:rowOff>
    </xdr:to>
    <xdr:sp macro="" textlink="">
      <xdr:nvSpPr>
        <xdr:cNvPr id="71691" name="正方形/長方形 71690">
          <a:extLst>
            <a:ext uri="{FF2B5EF4-FFF2-40B4-BE49-F238E27FC236}">
              <a16:creationId xmlns:a16="http://schemas.microsoft.com/office/drawing/2014/main" id="{26B56194-B02A-4390-9DD0-50A4FBA6BE3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38100</xdr:rowOff>
    </xdr:from>
    <xdr:to>
      <xdr:col>8</xdr:col>
      <xdr:colOff>228599</xdr:colOff>
      <xdr:row>56</xdr:row>
      <xdr:rowOff>209550</xdr:rowOff>
    </xdr:to>
    <xdr:sp macro="" textlink="">
      <xdr:nvSpPr>
        <xdr:cNvPr id="71692" name="正方形/長方形 71691">
          <a:extLst>
            <a:ext uri="{FF2B5EF4-FFF2-40B4-BE49-F238E27FC236}">
              <a16:creationId xmlns:a16="http://schemas.microsoft.com/office/drawing/2014/main" id="{3071DDA8-7A62-40D4-AF2B-6DC653EC1170}"/>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209550</xdr:rowOff>
    </xdr:from>
    <xdr:to>
      <xdr:col>20</xdr:col>
      <xdr:colOff>169863</xdr:colOff>
      <xdr:row>58</xdr:row>
      <xdr:rowOff>63500</xdr:rowOff>
    </xdr:to>
    <xdr:cxnSp macro="">
      <xdr:nvCxnSpPr>
        <xdr:cNvPr id="71693" name="直線コネクタ 71692">
          <a:extLst>
            <a:ext uri="{FF2B5EF4-FFF2-40B4-BE49-F238E27FC236}">
              <a16:creationId xmlns:a16="http://schemas.microsoft.com/office/drawing/2014/main" id="{851F637C-4532-4CE3-8CAE-B3DDF03EC7C3}"/>
            </a:ext>
          </a:extLst>
        </xdr:cNvPr>
        <xdr:cNvCxnSpPr>
          <a:stCxn id="71692" idx="2"/>
          <a:endCxn id="71691"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52</xdr:row>
      <xdr:rowOff>0</xdr:rowOff>
    </xdr:from>
    <xdr:to>
      <xdr:col>5</xdr:col>
      <xdr:colOff>9525</xdr:colOff>
      <xdr:row>58</xdr:row>
      <xdr:rowOff>9525</xdr:rowOff>
    </xdr:to>
    <xdr:pic>
      <xdr:nvPicPr>
        <xdr:cNvPr id="71696" name="図 71695">
          <a:extLst>
            <a:ext uri="{FF2B5EF4-FFF2-40B4-BE49-F238E27FC236}">
              <a16:creationId xmlns:a16="http://schemas.microsoft.com/office/drawing/2014/main" id="{14A48E60-47A0-CE3C-422F-A50E27BF5B9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3050" cy="160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38100</xdr:colOff>
      <xdr:row>35</xdr:row>
      <xdr:rowOff>47625</xdr:rowOff>
    </xdr:from>
    <xdr:to>
      <xdr:col>14</xdr:col>
      <xdr:colOff>9580</xdr:colOff>
      <xdr:row>43</xdr:row>
      <xdr:rowOff>254000</xdr:rowOff>
    </xdr:to>
    <xdr:pic>
      <xdr:nvPicPr>
        <xdr:cNvPr id="50" name="図 49">
          <a:extLst>
            <a:ext uri="{FF2B5EF4-FFF2-40B4-BE49-F238E27FC236}">
              <a16:creationId xmlns:a16="http://schemas.microsoft.com/office/drawing/2014/main" id="{CEA82BA6-BCF4-4051-8E34-6C081D44DC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938212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123092</xdr:colOff>
      <xdr:row>147</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67</xdr:row>
      <xdr:rowOff>0</xdr:rowOff>
    </xdr:from>
    <xdr:to>
      <xdr:col>17</xdr:col>
      <xdr:colOff>26133</xdr:colOff>
      <xdr:row>84</xdr:row>
      <xdr:rowOff>26922</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126267</xdr:colOff>
      <xdr:row>24</xdr:row>
      <xdr:rowOff>105561</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219074</xdr:colOff>
      <xdr:row>36</xdr:row>
      <xdr:rowOff>190500</xdr:rowOff>
    </xdr:from>
    <xdr:to>
      <xdr:col>9</xdr:col>
      <xdr:colOff>120649</xdr:colOff>
      <xdr:row>39</xdr:row>
      <xdr:rowOff>114300</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819274" y="9791700"/>
          <a:ext cx="701675" cy="7239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36512</xdr:colOff>
      <xdr:row>39</xdr:row>
      <xdr:rowOff>114300</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2170112" y="10515600"/>
          <a:ext cx="349495" cy="145683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71</xdr:row>
      <xdr:rowOff>263768</xdr:rowOff>
    </xdr:from>
    <xdr:to>
      <xdr:col>15</xdr:col>
      <xdr:colOff>175848</xdr:colOff>
      <xdr:row>81</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85</xdr:row>
      <xdr:rowOff>14654</xdr:rowOff>
    </xdr:from>
    <xdr:to>
      <xdr:col>14</xdr:col>
      <xdr:colOff>171450</xdr:colOff>
      <xdr:row>86</xdr:row>
      <xdr:rowOff>31749</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854200" y="20817254"/>
          <a:ext cx="2051050" cy="28379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81</xdr:row>
      <xdr:rowOff>65941</xdr:rowOff>
    </xdr:from>
    <xdr:to>
      <xdr:col>13</xdr:col>
      <xdr:colOff>168032</xdr:colOff>
      <xdr:row>85</xdr:row>
      <xdr:rowOff>14654</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flipH="1">
          <a:off x="2879725" y="19801741"/>
          <a:ext cx="755407" cy="101551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146</xdr:row>
      <xdr:rowOff>161192</xdr:rowOff>
    </xdr:from>
    <xdr:to>
      <xdr:col>25</xdr:col>
      <xdr:colOff>201980</xdr:colOff>
      <xdr:row>147</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149</xdr:row>
      <xdr:rowOff>14654</xdr:rowOff>
    </xdr:from>
    <xdr:to>
      <xdr:col>16</xdr:col>
      <xdr:colOff>149713</xdr:colOff>
      <xdr:row>149</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147</xdr:row>
      <xdr:rowOff>84748</xdr:rowOff>
    </xdr:from>
    <xdr:to>
      <xdr:col>24</xdr:col>
      <xdr:colOff>195752</xdr:colOff>
      <xdr:row>149</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72</xdr:row>
      <xdr:rowOff>21981</xdr:rowOff>
    </xdr:from>
    <xdr:to>
      <xdr:col>12</xdr:col>
      <xdr:colOff>178286</xdr:colOff>
      <xdr:row>73</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87</xdr:row>
      <xdr:rowOff>53731</xdr:rowOff>
    </xdr:from>
    <xdr:to>
      <xdr:col>19</xdr:col>
      <xdr:colOff>185616</xdr:colOff>
      <xdr:row>89</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48966</xdr:colOff>
      <xdr:row>73</xdr:row>
      <xdr:rowOff>28575</xdr:rowOff>
    </xdr:from>
    <xdr:to>
      <xdr:col>17</xdr:col>
      <xdr:colOff>197827</xdr:colOff>
      <xdr:row>87</xdr:row>
      <xdr:rowOff>53731</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49366" y="17630775"/>
          <a:ext cx="1482361" cy="402565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254000</xdr:colOff>
      <xdr:row>89</xdr:row>
      <xdr:rowOff>228600</xdr:rowOff>
    </xdr:from>
    <xdr:to>
      <xdr:col>25</xdr:col>
      <xdr:colOff>76200</xdr:colOff>
      <xdr:row>91</xdr:row>
      <xdr:rowOff>31750</xdr:rowOff>
    </xdr:to>
    <xdr:sp macro="" textlink="">
      <xdr:nvSpPr>
        <xdr:cNvPr id="25" name="正方形/長方形 24">
          <a:extLst>
            <a:ext uri="{FF2B5EF4-FFF2-40B4-BE49-F238E27FC236}">
              <a16:creationId xmlns:a16="http://schemas.microsoft.com/office/drawing/2014/main" id="{F43EFA59-D344-4CF9-B51D-845A7FD3F831}"/>
            </a:ext>
          </a:extLst>
        </xdr:cNvPr>
        <xdr:cNvSpPr/>
      </xdr:nvSpPr>
      <xdr:spPr>
        <a:xfrm>
          <a:off x="1587500" y="22364700"/>
          <a:ext cx="5156200" cy="336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86</xdr:row>
      <xdr:rowOff>31749</xdr:rowOff>
    </xdr:from>
    <xdr:to>
      <xdr:col>15</xdr:col>
      <xdr:colOff>165100</xdr:colOff>
      <xdr:row>89</xdr:row>
      <xdr:rowOff>228600</xdr:rowOff>
    </xdr:to>
    <xdr:cxnSp macro="">
      <xdr:nvCxnSpPr>
        <xdr:cNvPr id="26" name="直線コネクタ 25">
          <a:extLst>
            <a:ext uri="{FF2B5EF4-FFF2-40B4-BE49-F238E27FC236}">
              <a16:creationId xmlns:a16="http://schemas.microsoft.com/office/drawing/2014/main" id="{912CB32C-A547-4157-8D75-F766F560ED02}"/>
            </a:ext>
          </a:extLst>
        </xdr:cNvPr>
        <xdr:cNvCxnSpPr>
          <a:stCxn id="28" idx="2"/>
          <a:endCxn id="25" idx="0"/>
        </xdr:cNvCxnSpPr>
      </xdr:nvCxnSpPr>
      <xdr:spPr>
        <a:xfrm>
          <a:off x="2879725" y="21101049"/>
          <a:ext cx="1285875" cy="99695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215900</xdr:colOff>
      <xdr:row>92</xdr:row>
      <xdr:rowOff>241300</xdr:rowOff>
    </xdr:from>
    <xdr:to>
      <xdr:col>11</xdr:col>
      <xdr:colOff>25400</xdr:colOff>
      <xdr:row>105</xdr:row>
      <xdr:rowOff>31750</xdr:rowOff>
    </xdr:to>
    <xdr:sp macro="" textlink="">
      <xdr:nvSpPr>
        <xdr:cNvPr id="33" name="正方形/長方形 32">
          <a:extLst>
            <a:ext uri="{FF2B5EF4-FFF2-40B4-BE49-F238E27FC236}">
              <a16:creationId xmlns:a16="http://schemas.microsoft.com/office/drawing/2014/main" id="{AB55614C-3F43-4C7A-B7EC-7101D914D4DC}"/>
            </a:ext>
          </a:extLst>
        </xdr:cNvPr>
        <xdr:cNvSpPr/>
      </xdr:nvSpPr>
      <xdr:spPr>
        <a:xfrm>
          <a:off x="1549400" y="22910800"/>
          <a:ext cx="140970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7" name="正方形/長方形 36">
          <a:extLst>
            <a:ext uri="{FF2B5EF4-FFF2-40B4-BE49-F238E27FC236}">
              <a16:creationId xmlns:a16="http://schemas.microsoft.com/office/drawing/2014/main" id="{15AEB948-2966-4BD5-86BB-6F89CD4FFAF1}"/>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120650</xdr:colOff>
      <xdr:row>105</xdr:row>
      <xdr:rowOff>31750</xdr:rowOff>
    </xdr:from>
    <xdr:to>
      <xdr:col>9</xdr:col>
      <xdr:colOff>142875</xdr:colOff>
      <xdr:row>119</xdr:row>
      <xdr:rowOff>50800</xdr:rowOff>
    </xdr:to>
    <xdr:cxnSp macro="">
      <xdr:nvCxnSpPr>
        <xdr:cNvPr id="38" name="直線コネクタ 37">
          <a:extLst>
            <a:ext uri="{FF2B5EF4-FFF2-40B4-BE49-F238E27FC236}">
              <a16:creationId xmlns:a16="http://schemas.microsoft.com/office/drawing/2014/main" id="{B8A84D35-CAC3-4E48-AB11-BAFEC91A2DFD}"/>
            </a:ext>
          </a:extLst>
        </xdr:cNvPr>
        <xdr:cNvCxnSpPr>
          <a:stCxn id="33" idx="2"/>
          <a:endCxn id="37" idx="0"/>
        </xdr:cNvCxnSpPr>
      </xdr:nvCxnSpPr>
      <xdr:spPr>
        <a:xfrm>
          <a:off x="2254250" y="26168350"/>
          <a:ext cx="288925" cy="37528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92</xdr:row>
      <xdr:rowOff>222250</xdr:rowOff>
    </xdr:from>
    <xdr:to>
      <xdr:col>13</xdr:col>
      <xdr:colOff>25400</xdr:colOff>
      <xdr:row>105</xdr:row>
      <xdr:rowOff>69850</xdr:rowOff>
    </xdr:to>
    <xdr:sp macro="" textlink="">
      <xdr:nvSpPr>
        <xdr:cNvPr id="15" name="正方形/長方形 14">
          <a:extLst>
            <a:ext uri="{FF2B5EF4-FFF2-40B4-BE49-F238E27FC236}">
              <a16:creationId xmlns:a16="http://schemas.microsoft.com/office/drawing/2014/main" id="{662A95AF-B360-4D45-A712-2BA9A1C3A3ED}"/>
            </a:ext>
          </a:extLst>
        </xdr:cNvPr>
        <xdr:cNvSpPr/>
      </xdr:nvSpPr>
      <xdr:spPr>
        <a:xfrm>
          <a:off x="1320800" y="22891750"/>
          <a:ext cx="2171700" cy="331470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203200</xdr:colOff>
      <xdr:row>116</xdr:row>
      <xdr:rowOff>44450</xdr:rowOff>
    </xdr:from>
    <xdr:to>
      <xdr:col>25</xdr:col>
      <xdr:colOff>57150</xdr:colOff>
      <xdr:row>118</xdr:row>
      <xdr:rowOff>228600</xdr:rowOff>
    </xdr:to>
    <xdr:sp macro="" textlink="">
      <xdr:nvSpPr>
        <xdr:cNvPr id="19" name="正方形/長方形 18">
          <a:extLst>
            <a:ext uri="{FF2B5EF4-FFF2-40B4-BE49-F238E27FC236}">
              <a16:creationId xmlns:a16="http://schemas.microsoft.com/office/drawing/2014/main" id="{A1016942-762C-41E7-982D-4A93BA93D93B}"/>
            </a:ext>
          </a:extLst>
        </xdr:cNvPr>
        <xdr:cNvSpPr/>
      </xdr:nvSpPr>
      <xdr:spPr>
        <a:xfrm>
          <a:off x="4203700" y="29114750"/>
          <a:ext cx="2520950" cy="7175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114300</xdr:colOff>
      <xdr:row>105</xdr:row>
      <xdr:rowOff>19050</xdr:rowOff>
    </xdr:from>
    <xdr:to>
      <xdr:col>20</xdr:col>
      <xdr:colOff>130175</xdr:colOff>
      <xdr:row>116</xdr:row>
      <xdr:rowOff>44450</xdr:rowOff>
    </xdr:to>
    <xdr:cxnSp macro="">
      <xdr:nvCxnSpPr>
        <xdr:cNvPr id="20" name="直線コネクタ 19">
          <a:extLst>
            <a:ext uri="{FF2B5EF4-FFF2-40B4-BE49-F238E27FC236}">
              <a16:creationId xmlns:a16="http://schemas.microsoft.com/office/drawing/2014/main" id="{30E15486-C891-4419-9B91-12406133D3A0}"/>
            </a:ext>
          </a:extLst>
        </xdr:cNvPr>
        <xdr:cNvCxnSpPr>
          <a:cxnSpLocks/>
          <a:stCxn id="47" idx="2"/>
          <a:endCxn id="19" idx="0"/>
        </xdr:cNvCxnSpPr>
      </xdr:nvCxnSpPr>
      <xdr:spPr>
        <a:xfrm>
          <a:off x="3314700" y="26155650"/>
          <a:ext cx="2149475" cy="29591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104</xdr:row>
      <xdr:rowOff>12700</xdr:rowOff>
    </xdr:from>
    <xdr:to>
      <xdr:col>12</xdr:col>
      <xdr:colOff>228600</xdr:colOff>
      <xdr:row>105</xdr:row>
      <xdr:rowOff>19050</xdr:rowOff>
    </xdr:to>
    <xdr:sp macro="" textlink="">
      <xdr:nvSpPr>
        <xdr:cNvPr id="47" name="正方形/長方形 46">
          <a:extLst>
            <a:ext uri="{FF2B5EF4-FFF2-40B4-BE49-F238E27FC236}">
              <a16:creationId xmlns:a16="http://schemas.microsoft.com/office/drawing/2014/main" id="{B45CC08D-738E-47CB-ACB1-B36D2FB94FC7}"/>
            </a:ext>
          </a:extLst>
        </xdr:cNvPr>
        <xdr:cNvSpPr/>
      </xdr:nvSpPr>
      <xdr:spPr>
        <a:xfrm>
          <a:off x="3200400" y="25882600"/>
          <a:ext cx="228600" cy="2730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247649</xdr:colOff>
      <xdr:row>52</xdr:row>
      <xdr:rowOff>215900</xdr:rowOff>
    </xdr:from>
    <xdr:to>
      <xdr:col>9</xdr:col>
      <xdr:colOff>57148</xdr:colOff>
      <xdr:row>57</xdr:row>
      <xdr:rowOff>57150</xdr:rowOff>
    </xdr:to>
    <xdr:sp macro="" textlink="">
      <xdr:nvSpPr>
        <xdr:cNvPr id="53" name="正方形/長方形 52">
          <a:extLst>
            <a:ext uri="{FF2B5EF4-FFF2-40B4-BE49-F238E27FC236}">
              <a16:creationId xmlns:a16="http://schemas.microsoft.com/office/drawing/2014/main" id="{C95301B2-E440-4BAD-A97C-CD9E69884FDC}"/>
            </a:ext>
          </a:extLst>
        </xdr:cNvPr>
        <xdr:cNvSpPr/>
      </xdr:nvSpPr>
      <xdr:spPr>
        <a:xfrm>
          <a:off x="1314449" y="14084300"/>
          <a:ext cx="1142999" cy="11747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19049</xdr:colOff>
      <xdr:row>46</xdr:row>
      <xdr:rowOff>37611</xdr:rowOff>
    </xdr:from>
    <xdr:to>
      <xdr:col>9</xdr:col>
      <xdr:colOff>119307</xdr:colOff>
      <xdr:row>52</xdr:row>
      <xdr:rowOff>215900</xdr:rowOff>
    </xdr:to>
    <xdr:cxnSp macro="">
      <xdr:nvCxnSpPr>
        <xdr:cNvPr id="54" name="直線コネクタ 53">
          <a:extLst>
            <a:ext uri="{FF2B5EF4-FFF2-40B4-BE49-F238E27FC236}">
              <a16:creationId xmlns:a16="http://schemas.microsoft.com/office/drawing/2014/main" id="{942B96EC-486D-4761-A589-200F2FCB412D}"/>
            </a:ext>
          </a:extLst>
        </xdr:cNvPr>
        <xdr:cNvCxnSpPr>
          <a:stCxn id="16" idx="2"/>
          <a:endCxn id="53" idx="0"/>
        </xdr:cNvCxnSpPr>
      </xdr:nvCxnSpPr>
      <xdr:spPr>
        <a:xfrm flipH="1">
          <a:off x="1885949" y="12305811"/>
          <a:ext cx="633658" cy="177848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62</xdr:row>
      <xdr:rowOff>0</xdr:rowOff>
    </xdr:from>
    <xdr:to>
      <xdr:col>24</xdr:col>
      <xdr:colOff>9525</xdr:colOff>
      <xdr:row>63</xdr:row>
      <xdr:rowOff>0</xdr:rowOff>
    </xdr:to>
    <xdr:sp macro="" textlink="">
      <xdr:nvSpPr>
        <xdr:cNvPr id="57" name="正方形/長方形 56">
          <a:extLst>
            <a:ext uri="{FF2B5EF4-FFF2-40B4-BE49-F238E27FC236}">
              <a16:creationId xmlns:a16="http://schemas.microsoft.com/office/drawing/2014/main" id="{C845F79F-23CE-476B-8ED8-96FA032F942B}"/>
            </a:ext>
          </a:extLst>
        </xdr:cNvPr>
        <xdr:cNvSpPr/>
      </xdr:nvSpPr>
      <xdr:spPr>
        <a:xfrm>
          <a:off x="1568450" y="15201900"/>
          <a:ext cx="4841875" cy="2667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1587</xdr:colOff>
      <xdr:row>56</xdr:row>
      <xdr:rowOff>12699</xdr:rowOff>
    </xdr:from>
    <xdr:to>
      <xdr:col>14</xdr:col>
      <xdr:colOff>255588</xdr:colOff>
      <xdr:row>62</xdr:row>
      <xdr:rowOff>0</xdr:rowOff>
    </xdr:to>
    <xdr:cxnSp macro="">
      <xdr:nvCxnSpPr>
        <xdr:cNvPr id="58" name="直線コネクタ 57">
          <a:extLst>
            <a:ext uri="{FF2B5EF4-FFF2-40B4-BE49-F238E27FC236}">
              <a16:creationId xmlns:a16="http://schemas.microsoft.com/office/drawing/2014/main" id="{5457E5E7-DEDE-4A8A-B15D-870E7BF466E9}"/>
            </a:ext>
          </a:extLst>
        </xdr:cNvPr>
        <xdr:cNvCxnSpPr>
          <a:stCxn id="27654" idx="2"/>
          <a:endCxn id="57" idx="0"/>
        </xdr:cNvCxnSpPr>
      </xdr:nvCxnSpPr>
      <xdr:spPr>
        <a:xfrm>
          <a:off x="1868487" y="14947899"/>
          <a:ext cx="2120901" cy="1854201"/>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19049</xdr:colOff>
      <xdr:row>47</xdr:row>
      <xdr:rowOff>259617</xdr:rowOff>
    </xdr:from>
    <xdr:to>
      <xdr:col>19</xdr:col>
      <xdr:colOff>251070</xdr:colOff>
      <xdr:row>52</xdr:row>
      <xdr:rowOff>215900</xdr:rowOff>
    </xdr:to>
    <xdr:cxnSp macro="">
      <xdr:nvCxnSpPr>
        <xdr:cNvPr id="61" name="直線コネクタ 60">
          <a:extLst>
            <a:ext uri="{FF2B5EF4-FFF2-40B4-BE49-F238E27FC236}">
              <a16:creationId xmlns:a16="http://schemas.microsoft.com/office/drawing/2014/main" id="{817223E6-0431-42DE-9C16-3513CBF37A58}"/>
            </a:ext>
          </a:extLst>
        </xdr:cNvPr>
        <xdr:cNvCxnSpPr>
          <a:stCxn id="22" idx="2"/>
          <a:endCxn id="53" idx="0"/>
        </xdr:cNvCxnSpPr>
      </xdr:nvCxnSpPr>
      <xdr:spPr>
        <a:xfrm flipH="1">
          <a:off x="1885949" y="12794517"/>
          <a:ext cx="3432421" cy="128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254001</xdr:colOff>
      <xdr:row>36</xdr:row>
      <xdr:rowOff>209551</xdr:rowOff>
    </xdr:from>
    <xdr:to>
      <xdr:col>7</xdr:col>
      <xdr:colOff>190501</xdr:colOff>
      <xdr:row>37</xdr:row>
      <xdr:rowOff>152401</xdr:rowOff>
    </xdr:to>
    <xdr:sp macro="" textlink="">
      <xdr:nvSpPr>
        <xdr:cNvPr id="27648" name="正方形/長方形 27647">
          <a:extLst>
            <a:ext uri="{FF2B5EF4-FFF2-40B4-BE49-F238E27FC236}">
              <a16:creationId xmlns:a16="http://schemas.microsoft.com/office/drawing/2014/main" id="{98768D20-9758-4115-86B0-CA4082583A4D}"/>
            </a:ext>
          </a:extLst>
        </xdr:cNvPr>
        <xdr:cNvSpPr/>
      </xdr:nvSpPr>
      <xdr:spPr>
        <a:xfrm>
          <a:off x="1854201" y="9810751"/>
          <a:ext cx="20320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49</xdr:row>
      <xdr:rowOff>38100</xdr:rowOff>
    </xdr:from>
    <xdr:to>
      <xdr:col>18</xdr:col>
      <xdr:colOff>76200</xdr:colOff>
      <xdr:row>51</xdr:row>
      <xdr:rowOff>76200</xdr:rowOff>
    </xdr:to>
    <xdr:sp macro="" textlink="">
      <xdr:nvSpPr>
        <xdr:cNvPr id="27650" name="正方形/長方形 27649">
          <a:extLst>
            <a:ext uri="{FF2B5EF4-FFF2-40B4-BE49-F238E27FC236}">
              <a16:creationId xmlns:a16="http://schemas.microsoft.com/office/drawing/2014/main" id="{B5353680-2EA0-4813-ADA7-6601656658E9}"/>
            </a:ext>
          </a:extLst>
        </xdr:cNvPr>
        <xdr:cNvSpPr/>
      </xdr:nvSpPr>
      <xdr:spPr>
        <a:xfrm>
          <a:off x="4216400" y="13106400"/>
          <a:ext cx="660400" cy="5715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90489</xdr:colOff>
      <xdr:row>37</xdr:row>
      <xdr:rowOff>152401</xdr:rowOff>
    </xdr:from>
    <xdr:to>
      <xdr:col>17</xdr:col>
      <xdr:colOff>14288</xdr:colOff>
      <xdr:row>49</xdr:row>
      <xdr:rowOff>38100</xdr:rowOff>
    </xdr:to>
    <xdr:cxnSp macro="">
      <xdr:nvCxnSpPr>
        <xdr:cNvPr id="27651" name="直線コネクタ 27650">
          <a:extLst>
            <a:ext uri="{FF2B5EF4-FFF2-40B4-BE49-F238E27FC236}">
              <a16:creationId xmlns:a16="http://schemas.microsoft.com/office/drawing/2014/main" id="{2A772F23-4C03-411A-B8A1-3C867D6403A0}"/>
            </a:ext>
          </a:extLst>
        </xdr:cNvPr>
        <xdr:cNvCxnSpPr>
          <a:stCxn id="27648" idx="2"/>
          <a:endCxn id="27650" idx="0"/>
        </xdr:cNvCxnSpPr>
      </xdr:nvCxnSpPr>
      <xdr:spPr>
        <a:xfrm>
          <a:off x="1957389" y="10020301"/>
          <a:ext cx="2590799" cy="30860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63499</xdr:colOff>
      <xdr:row>54</xdr:row>
      <xdr:rowOff>253999</xdr:rowOff>
    </xdr:from>
    <xdr:to>
      <xdr:col>8</xdr:col>
      <xdr:colOff>200024</xdr:colOff>
      <xdr:row>56</xdr:row>
      <xdr:rowOff>9524</xdr:rowOff>
    </xdr:to>
    <xdr:sp macro="" textlink="">
      <xdr:nvSpPr>
        <xdr:cNvPr id="27654" name="正方形/長方形 27653">
          <a:extLst>
            <a:ext uri="{FF2B5EF4-FFF2-40B4-BE49-F238E27FC236}">
              <a16:creationId xmlns:a16="http://schemas.microsoft.com/office/drawing/2014/main" id="{E224A103-07D1-4EB7-9530-595859D1C0FB}"/>
            </a:ext>
          </a:extLst>
        </xdr:cNvPr>
        <xdr:cNvSpPr/>
      </xdr:nvSpPr>
      <xdr:spPr>
        <a:xfrm>
          <a:off x="1396999" y="14655799"/>
          <a:ext cx="936625" cy="288925"/>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58</xdr:row>
      <xdr:rowOff>63499</xdr:rowOff>
    </xdr:from>
    <xdr:to>
      <xdr:col>25</xdr:col>
      <xdr:colOff>123825</xdr:colOff>
      <xdr:row>60</xdr:row>
      <xdr:rowOff>200024</xdr:rowOff>
    </xdr:to>
    <xdr:sp macro="" textlink="">
      <xdr:nvSpPr>
        <xdr:cNvPr id="27661" name="正方形/長方形 27660">
          <a:extLst>
            <a:ext uri="{FF2B5EF4-FFF2-40B4-BE49-F238E27FC236}">
              <a16:creationId xmlns:a16="http://schemas.microsoft.com/office/drawing/2014/main" id="{B0F59F44-5312-4476-99FF-E0996331737C}"/>
            </a:ext>
          </a:extLst>
        </xdr:cNvPr>
        <xdr:cNvSpPr/>
      </xdr:nvSpPr>
      <xdr:spPr>
        <a:xfrm>
          <a:off x="4216400" y="15532099"/>
          <a:ext cx="2574925" cy="669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238126</xdr:colOff>
      <xdr:row>56</xdr:row>
      <xdr:rowOff>47626</xdr:rowOff>
    </xdr:from>
    <xdr:to>
      <xdr:col>8</xdr:col>
      <xdr:colOff>200025</xdr:colOff>
      <xdr:row>56</xdr:row>
      <xdr:rowOff>219076</xdr:rowOff>
    </xdr:to>
    <xdr:sp macro="" textlink="">
      <xdr:nvSpPr>
        <xdr:cNvPr id="27662" name="正方形/長方形 27661">
          <a:extLst>
            <a:ext uri="{FF2B5EF4-FFF2-40B4-BE49-F238E27FC236}">
              <a16:creationId xmlns:a16="http://schemas.microsoft.com/office/drawing/2014/main" id="{43027C57-B505-4F7B-9325-20C3A0B3C287}"/>
            </a:ext>
          </a:extLst>
        </xdr:cNvPr>
        <xdr:cNvSpPr/>
      </xdr:nvSpPr>
      <xdr:spPr>
        <a:xfrm>
          <a:off x="2105026" y="14982826"/>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82551</xdr:colOff>
      <xdr:row>56</xdr:row>
      <xdr:rowOff>215901</xdr:rowOff>
    </xdr:from>
    <xdr:to>
      <xdr:col>20</xdr:col>
      <xdr:colOff>169863</xdr:colOff>
      <xdr:row>58</xdr:row>
      <xdr:rowOff>66674</xdr:rowOff>
    </xdr:to>
    <xdr:cxnSp macro="">
      <xdr:nvCxnSpPr>
        <xdr:cNvPr id="27663" name="直線コネクタ 27662">
          <a:extLst>
            <a:ext uri="{FF2B5EF4-FFF2-40B4-BE49-F238E27FC236}">
              <a16:creationId xmlns:a16="http://schemas.microsoft.com/office/drawing/2014/main" id="{84E09742-2010-444C-8C44-7C15B4627764}"/>
            </a:ext>
          </a:extLst>
        </xdr:cNvPr>
        <xdr:cNvCxnSpPr>
          <a:stCxn id="27662" idx="2"/>
          <a:endCxn id="27661" idx="0"/>
        </xdr:cNvCxnSpPr>
      </xdr:nvCxnSpPr>
      <xdr:spPr>
        <a:xfrm>
          <a:off x="2216151" y="15151101"/>
          <a:ext cx="3287712" cy="38417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G1" s="57" t="s">
        <v>555</v>
      </c>
      <c r="R1" s="57" t="s">
        <v>556</v>
      </c>
      <c r="AF1" s="57" t="s">
        <v>554</v>
      </c>
    </row>
    <row r="2" spans="1:33" ht="21" customHeight="1" x14ac:dyDescent="0.55000000000000004">
      <c r="B2" s="31" t="s">
        <v>561</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334</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22" spans="4:33" ht="21" customHeight="1" x14ac:dyDescent="0.55000000000000004">
      <c r="F22" s="32" t="s">
        <v>335</v>
      </c>
      <c r="G22" s="23" t="s">
        <v>560</v>
      </c>
    </row>
    <row r="23" spans="4:33" ht="21" customHeight="1" x14ac:dyDescent="0.55000000000000004">
      <c r="G23" s="23" t="s">
        <v>559</v>
      </c>
    </row>
    <row r="26" spans="4:33" ht="21" customHeight="1" x14ac:dyDescent="0.55000000000000004">
      <c r="D26" s="31" t="s">
        <v>182</v>
      </c>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row>
    <row r="45" spans="6:14" ht="21" customHeight="1" x14ac:dyDescent="0.55000000000000004">
      <c r="F45" s="32"/>
      <c r="H45" s="49" t="s">
        <v>243</v>
      </c>
      <c r="I45" s="49"/>
      <c r="J45" s="49"/>
      <c r="K45" s="49"/>
      <c r="L45" s="49"/>
      <c r="M45" s="49"/>
      <c r="N45" s="23" t="s">
        <v>336</v>
      </c>
    </row>
    <row r="47" spans="6:14" ht="21" customHeight="1" x14ac:dyDescent="0.55000000000000004">
      <c r="H47" s="23" t="s">
        <v>337</v>
      </c>
    </row>
    <row r="48" spans="6:14" ht="21" customHeight="1" x14ac:dyDescent="0.55000000000000004">
      <c r="K48" s="3">
        <v>1</v>
      </c>
    </row>
    <row r="49" spans="1:33" ht="21" customHeight="1" x14ac:dyDescent="0.55000000000000004">
      <c r="H49" s="23" t="s">
        <v>551</v>
      </c>
    </row>
    <row r="51" spans="1:33" ht="21" customHeight="1" x14ac:dyDescent="0.55000000000000004">
      <c r="F51" s="23" t="s">
        <v>231</v>
      </c>
    </row>
    <row r="52" spans="1:33" ht="21" customHeight="1" x14ac:dyDescent="0.55000000000000004">
      <c r="F52" s="23" t="s">
        <v>338</v>
      </c>
    </row>
    <row r="55" spans="1:33" ht="21" customHeight="1" x14ac:dyDescent="0.55000000000000004">
      <c r="D55" s="31" t="s">
        <v>183</v>
      </c>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row>
    <row r="57" spans="1:33" ht="21" customHeight="1" x14ac:dyDescent="0.55000000000000004">
      <c r="F57" s="32" t="s">
        <v>180</v>
      </c>
      <c r="G57" s="23" t="s">
        <v>244</v>
      </c>
      <c r="I57" s="49" t="s">
        <v>253</v>
      </c>
      <c r="J57" s="49"/>
      <c r="K57" s="49"/>
      <c r="L57" s="49"/>
      <c r="M57" s="49"/>
      <c r="N57" s="49"/>
      <c r="O57" s="23" t="s">
        <v>245</v>
      </c>
    </row>
    <row r="58" spans="1:33" ht="21" customHeight="1" x14ac:dyDescent="0.55000000000000004">
      <c r="F58" s="32"/>
      <c r="G58" s="23" t="s">
        <v>232</v>
      </c>
    </row>
    <row r="59" spans="1:33" ht="21" customHeight="1" thickBot="1" x14ac:dyDescent="0.45">
      <c r="G59" s="45" t="s">
        <v>194</v>
      </c>
      <c r="R59" s="45" t="s">
        <v>195</v>
      </c>
    </row>
    <row r="60" spans="1:33" ht="21" customHeight="1" thickTop="1" thickBot="1" x14ac:dyDescent="0.6">
      <c r="A60" s="57" t="s">
        <v>346</v>
      </c>
      <c r="F60" s="51">
        <v>1</v>
      </c>
      <c r="G60" s="105" t="s">
        <v>237</v>
      </c>
      <c r="H60" s="106"/>
      <c r="I60" s="106"/>
      <c r="J60" s="106"/>
      <c r="K60" s="106"/>
      <c r="L60" s="106"/>
      <c r="M60" s="106"/>
      <c r="N60" s="106"/>
      <c r="O60" s="106"/>
      <c r="P60" s="107"/>
      <c r="R60" s="105" t="s">
        <v>320</v>
      </c>
      <c r="S60" s="106"/>
      <c r="T60" s="106"/>
      <c r="U60" s="107"/>
    </row>
    <row r="61" spans="1:33" ht="21" customHeight="1" thickTop="1" thickBot="1" x14ac:dyDescent="0.45">
      <c r="G61" s="45" t="s">
        <v>194</v>
      </c>
      <c r="R61" s="45" t="s">
        <v>195</v>
      </c>
    </row>
    <row r="62" spans="1:33" ht="21" customHeight="1" thickTop="1" thickBot="1" x14ac:dyDescent="0.6">
      <c r="A62" s="57" t="s">
        <v>347</v>
      </c>
      <c r="F62" s="51">
        <v>2</v>
      </c>
      <c r="G62" s="105" t="s">
        <v>238</v>
      </c>
      <c r="H62" s="106"/>
      <c r="I62" s="106"/>
      <c r="J62" s="106"/>
      <c r="K62" s="106"/>
      <c r="L62" s="106"/>
      <c r="M62" s="106"/>
      <c r="N62" s="106"/>
      <c r="O62" s="106"/>
      <c r="P62" s="107"/>
      <c r="R62" s="105" t="s">
        <v>329</v>
      </c>
      <c r="S62" s="106"/>
      <c r="T62" s="106"/>
      <c r="U62" s="107"/>
    </row>
    <row r="63" spans="1:33" ht="21" customHeight="1" thickTop="1" thickBot="1" x14ac:dyDescent="0.45">
      <c r="G63" s="45" t="s">
        <v>194</v>
      </c>
      <c r="R63" s="45" t="s">
        <v>195</v>
      </c>
    </row>
    <row r="64" spans="1:33" ht="21" customHeight="1" thickTop="1" thickBot="1" x14ac:dyDescent="0.6">
      <c r="A64" s="57" t="s">
        <v>348</v>
      </c>
      <c r="F64" s="51">
        <v>3</v>
      </c>
      <c r="G64" s="105"/>
      <c r="H64" s="106"/>
      <c r="I64" s="106"/>
      <c r="J64" s="106"/>
      <c r="K64" s="106"/>
      <c r="L64" s="106"/>
      <c r="M64" s="106"/>
      <c r="N64" s="106"/>
      <c r="O64" s="106"/>
      <c r="P64" s="107"/>
      <c r="R64" s="105"/>
      <c r="S64" s="106"/>
      <c r="T64" s="106"/>
      <c r="U64" s="107"/>
    </row>
    <row r="65" spans="1:21" ht="21" customHeight="1" thickTop="1" thickBot="1" x14ac:dyDescent="0.45">
      <c r="G65" s="45" t="s">
        <v>194</v>
      </c>
      <c r="R65" s="45" t="s">
        <v>195</v>
      </c>
    </row>
    <row r="66" spans="1:21" ht="21" customHeight="1" thickTop="1" thickBot="1" x14ac:dyDescent="0.6">
      <c r="A66" s="57" t="s">
        <v>349</v>
      </c>
      <c r="F66" s="51">
        <v>4</v>
      </c>
      <c r="G66" s="105"/>
      <c r="H66" s="106"/>
      <c r="I66" s="106"/>
      <c r="J66" s="106"/>
      <c r="K66" s="106"/>
      <c r="L66" s="106"/>
      <c r="M66" s="106"/>
      <c r="N66" s="106"/>
      <c r="O66" s="106"/>
      <c r="P66" s="107"/>
      <c r="R66" s="105"/>
      <c r="S66" s="106"/>
      <c r="T66" s="106"/>
      <c r="U66" s="107"/>
    </row>
    <row r="67" spans="1:21" ht="21" customHeight="1" thickTop="1" thickBot="1" x14ac:dyDescent="0.45">
      <c r="G67" s="45" t="s">
        <v>194</v>
      </c>
      <c r="R67" s="45" t="s">
        <v>195</v>
      </c>
    </row>
    <row r="68" spans="1:21" ht="21" customHeight="1" thickTop="1" thickBot="1" x14ac:dyDescent="0.6">
      <c r="A68" s="57" t="s">
        <v>350</v>
      </c>
      <c r="F68" s="51">
        <v>5</v>
      </c>
      <c r="G68" s="105"/>
      <c r="H68" s="106"/>
      <c r="I68" s="106"/>
      <c r="J68" s="106"/>
      <c r="K68" s="106"/>
      <c r="L68" s="106"/>
      <c r="M68" s="106"/>
      <c r="N68" s="106"/>
      <c r="O68" s="106"/>
      <c r="P68" s="107"/>
      <c r="R68" s="105"/>
      <c r="S68" s="106"/>
      <c r="T68" s="106"/>
      <c r="U68" s="107"/>
    </row>
    <row r="69" spans="1:21" ht="21" customHeight="1" thickTop="1" thickBot="1" x14ac:dyDescent="0.45">
      <c r="G69" s="45" t="s">
        <v>194</v>
      </c>
      <c r="R69" s="45" t="s">
        <v>195</v>
      </c>
    </row>
    <row r="70" spans="1:21" ht="21" customHeight="1" thickTop="1" thickBot="1" x14ac:dyDescent="0.6">
      <c r="A70" s="57" t="s">
        <v>351</v>
      </c>
      <c r="F70" s="51">
        <v>6</v>
      </c>
      <c r="G70" s="105"/>
      <c r="H70" s="106"/>
      <c r="I70" s="106"/>
      <c r="J70" s="106"/>
      <c r="K70" s="106"/>
      <c r="L70" s="106"/>
      <c r="M70" s="106"/>
      <c r="N70" s="106"/>
      <c r="O70" s="106"/>
      <c r="P70" s="107"/>
      <c r="R70" s="105"/>
      <c r="S70" s="106"/>
      <c r="T70" s="106"/>
      <c r="U70" s="107"/>
    </row>
    <row r="71" spans="1:21" ht="21" customHeight="1" thickTop="1" thickBot="1" x14ac:dyDescent="0.45">
      <c r="G71" s="45" t="s">
        <v>194</v>
      </c>
      <c r="R71" s="45" t="s">
        <v>195</v>
      </c>
    </row>
    <row r="72" spans="1:21" ht="21" customHeight="1" thickTop="1" thickBot="1" x14ac:dyDescent="0.6">
      <c r="A72" s="57" t="s">
        <v>352</v>
      </c>
      <c r="F72" s="51">
        <v>7</v>
      </c>
      <c r="G72" s="105"/>
      <c r="H72" s="106"/>
      <c r="I72" s="106"/>
      <c r="J72" s="106"/>
      <c r="K72" s="106"/>
      <c r="L72" s="106"/>
      <c r="M72" s="106"/>
      <c r="N72" s="106"/>
      <c r="O72" s="106"/>
      <c r="P72" s="107"/>
      <c r="R72" s="105"/>
      <c r="S72" s="106"/>
      <c r="T72" s="106"/>
      <c r="U72" s="107"/>
    </row>
    <row r="73" spans="1:21" ht="21" customHeight="1" thickTop="1" thickBot="1" x14ac:dyDescent="0.45">
      <c r="G73" s="45" t="s">
        <v>194</v>
      </c>
      <c r="R73" s="45" t="s">
        <v>195</v>
      </c>
    </row>
    <row r="74" spans="1:21" ht="21" customHeight="1" thickTop="1" thickBot="1" x14ac:dyDescent="0.6">
      <c r="A74" s="57" t="s">
        <v>353</v>
      </c>
      <c r="F74" s="51">
        <v>8</v>
      </c>
      <c r="G74" s="105"/>
      <c r="H74" s="106"/>
      <c r="I74" s="106"/>
      <c r="J74" s="106"/>
      <c r="K74" s="106"/>
      <c r="L74" s="106"/>
      <c r="M74" s="106"/>
      <c r="N74" s="106"/>
      <c r="O74" s="106"/>
      <c r="P74" s="107"/>
      <c r="R74" s="105"/>
      <c r="S74" s="106"/>
      <c r="T74" s="106"/>
      <c r="U74" s="107"/>
    </row>
    <row r="75" spans="1:21" ht="21" customHeight="1" thickTop="1" thickBot="1" x14ac:dyDescent="0.45">
      <c r="G75" s="45" t="s">
        <v>194</v>
      </c>
      <c r="R75" s="45" t="s">
        <v>195</v>
      </c>
    </row>
    <row r="76" spans="1:21" ht="21" customHeight="1" thickTop="1" thickBot="1" x14ac:dyDescent="0.6">
      <c r="A76" s="57" t="s">
        <v>354</v>
      </c>
      <c r="F76" s="51">
        <v>9</v>
      </c>
      <c r="G76" s="105"/>
      <c r="H76" s="106"/>
      <c r="I76" s="106"/>
      <c r="J76" s="106"/>
      <c r="K76" s="106"/>
      <c r="L76" s="106"/>
      <c r="M76" s="106"/>
      <c r="N76" s="106"/>
      <c r="O76" s="106"/>
      <c r="P76" s="107"/>
      <c r="R76" s="105"/>
      <c r="S76" s="106"/>
      <c r="T76" s="106"/>
      <c r="U76" s="107"/>
    </row>
    <row r="77" spans="1:21" ht="21" customHeight="1" thickTop="1" thickBot="1" x14ac:dyDescent="0.45">
      <c r="G77" s="45" t="s">
        <v>194</v>
      </c>
      <c r="R77" s="45" t="s">
        <v>195</v>
      </c>
    </row>
    <row r="78" spans="1:21" ht="21" customHeight="1" thickTop="1" thickBot="1" x14ac:dyDescent="0.6">
      <c r="A78" s="57" t="s">
        <v>355</v>
      </c>
      <c r="F78" s="51">
        <v>10</v>
      </c>
      <c r="G78" s="105"/>
      <c r="H78" s="106"/>
      <c r="I78" s="106"/>
      <c r="J78" s="106"/>
      <c r="K78" s="106"/>
      <c r="L78" s="106"/>
      <c r="M78" s="106"/>
      <c r="N78" s="106"/>
      <c r="O78" s="106"/>
      <c r="P78" s="107"/>
      <c r="R78" s="105"/>
      <c r="S78" s="106"/>
      <c r="T78" s="106"/>
      <c r="U78" s="107"/>
    </row>
    <row r="79" spans="1:21" ht="21" customHeight="1" thickTop="1" x14ac:dyDescent="0.55000000000000004"/>
    <row r="81" spans="4:33" ht="21" customHeight="1" x14ac:dyDescent="0.55000000000000004">
      <c r="D81" s="31" t="s">
        <v>183</v>
      </c>
      <c r="E81" s="30"/>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row>
    <row r="83" spans="4:33" ht="21" customHeight="1" thickBot="1" x14ac:dyDescent="0.6">
      <c r="F83" s="32" t="s">
        <v>180</v>
      </c>
      <c r="G83" s="23" t="s">
        <v>181</v>
      </c>
    </row>
    <row r="84" spans="4:33" ht="21" customHeight="1" x14ac:dyDescent="0.55000000000000004">
      <c r="F84" s="33"/>
      <c r="G84" s="34"/>
      <c r="H84" s="34"/>
      <c r="I84" s="34"/>
      <c r="J84" s="34"/>
      <c r="K84" s="34"/>
      <c r="L84" s="34"/>
      <c r="M84" s="34"/>
      <c r="N84" s="35"/>
    </row>
    <row r="85" spans="4:33" ht="21" customHeight="1" x14ac:dyDescent="0.55000000000000004">
      <c r="F85" s="36"/>
      <c r="N85" s="37"/>
    </row>
    <row r="86" spans="4:33" ht="21" customHeight="1" x14ac:dyDescent="0.55000000000000004">
      <c r="F86" s="36"/>
      <c r="N86" s="37"/>
    </row>
    <row r="87" spans="4:33" ht="21" customHeight="1" thickBot="1" x14ac:dyDescent="0.6">
      <c r="F87" s="38"/>
      <c r="G87" s="39"/>
      <c r="H87" s="39"/>
      <c r="I87" s="39"/>
      <c r="J87" s="39"/>
      <c r="K87" s="39"/>
      <c r="L87" s="39"/>
      <c r="M87" s="39"/>
      <c r="N87" s="40"/>
    </row>
    <row r="104" spans="4:33" ht="21" customHeight="1" x14ac:dyDescent="0.55000000000000004">
      <c r="G104" s="32"/>
      <c r="H104" s="54" t="s">
        <v>246</v>
      </c>
      <c r="I104" s="54"/>
      <c r="J104" s="54"/>
      <c r="K104" s="54"/>
      <c r="L104" s="54"/>
      <c r="M104" s="54"/>
      <c r="N104" s="23" t="s">
        <v>553</v>
      </c>
    </row>
    <row r="107" spans="4:33" ht="21" customHeight="1" x14ac:dyDescent="0.55000000000000004">
      <c r="D107" s="31" t="s">
        <v>185</v>
      </c>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row>
    <row r="122" spans="6:12" ht="21" customHeight="1" x14ac:dyDescent="0.55000000000000004">
      <c r="G122" s="32"/>
      <c r="H122" s="49" t="s">
        <v>247</v>
      </c>
      <c r="I122" s="49"/>
      <c r="J122" s="49"/>
      <c r="K122" s="49"/>
      <c r="L122" s="23" t="s">
        <v>549</v>
      </c>
    </row>
    <row r="123" spans="6:12" ht="21" customHeight="1" x14ac:dyDescent="0.55000000000000004">
      <c r="G123" s="32"/>
    </row>
    <row r="124" spans="6:12" ht="21" customHeight="1" x14ac:dyDescent="0.55000000000000004">
      <c r="F124" s="23" t="s">
        <v>230</v>
      </c>
    </row>
    <row r="126" spans="6:12" ht="21" customHeight="1" x14ac:dyDescent="0.55000000000000004">
      <c r="F126" s="52" t="s">
        <v>233</v>
      </c>
      <c r="H126" s="23" t="s">
        <v>550</v>
      </c>
    </row>
    <row r="129" spans="1:33" ht="21" customHeight="1" x14ac:dyDescent="0.55000000000000004">
      <c r="D129" s="31" t="s">
        <v>186</v>
      </c>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row>
    <row r="137" spans="1:33" ht="21" customHeight="1" x14ac:dyDescent="0.55000000000000004">
      <c r="F137" s="23" t="s">
        <v>234</v>
      </c>
    </row>
    <row r="138" spans="1:33" ht="21" customHeight="1" x14ac:dyDescent="0.55000000000000004">
      <c r="G138" s="53" t="s">
        <v>235</v>
      </c>
      <c r="H138" s="55" t="s">
        <v>248</v>
      </c>
      <c r="I138" s="46"/>
      <c r="J138" s="46"/>
      <c r="K138" s="46"/>
      <c r="L138" s="46"/>
      <c r="M138" s="46"/>
      <c r="N138" s="23" t="s">
        <v>249</v>
      </c>
    </row>
    <row r="139" spans="1:33" ht="21" customHeight="1" x14ac:dyDescent="0.55000000000000004">
      <c r="G139" s="53" t="s">
        <v>235</v>
      </c>
      <c r="H139" s="55" t="s">
        <v>250</v>
      </c>
      <c r="I139" s="56"/>
      <c r="J139" s="56"/>
      <c r="K139" s="56"/>
      <c r="L139" s="56"/>
      <c r="M139" s="23" t="s">
        <v>249</v>
      </c>
    </row>
    <row r="140" spans="1:33" ht="21" customHeight="1" x14ac:dyDescent="0.55000000000000004">
      <c r="G140" s="53" t="s">
        <v>235</v>
      </c>
      <c r="H140" s="55" t="s">
        <v>251</v>
      </c>
      <c r="I140" s="46"/>
      <c r="J140" s="46"/>
      <c r="K140" s="46"/>
      <c r="L140" s="23" t="s">
        <v>249</v>
      </c>
    </row>
    <row r="141" spans="1:33" ht="21" customHeight="1" x14ac:dyDescent="0.55000000000000004">
      <c r="F141" s="23" t="s">
        <v>236</v>
      </c>
    </row>
    <row r="143" spans="1:33" ht="21" customHeight="1" x14ac:dyDescent="0.55000000000000004">
      <c r="B143" s="23" t="s">
        <v>178</v>
      </c>
    </row>
    <row r="144" spans="1:33" ht="21" customHeight="1" x14ac:dyDescent="0.55000000000000004">
      <c r="A144" s="57" t="s">
        <v>328</v>
      </c>
    </row>
  </sheetData>
  <mergeCells count="20">
    <mergeCell ref="G62:P62"/>
    <mergeCell ref="R62:U62"/>
    <mergeCell ref="G60:P60"/>
    <mergeCell ref="R60:U60"/>
    <mergeCell ref="G64:P64"/>
    <mergeCell ref="R64:U64"/>
    <mergeCell ref="G66:P66"/>
    <mergeCell ref="R66:U66"/>
    <mergeCell ref="G68:P68"/>
    <mergeCell ref="R68:U68"/>
    <mergeCell ref="G70:P70"/>
    <mergeCell ref="R70:U70"/>
    <mergeCell ref="G78:P78"/>
    <mergeCell ref="R78:U78"/>
    <mergeCell ref="G72:P72"/>
    <mergeCell ref="R72:U72"/>
    <mergeCell ref="G74:P74"/>
    <mergeCell ref="R74:U74"/>
    <mergeCell ref="G76:P76"/>
    <mergeCell ref="R76:U7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B2B02-21C4-4188-A54E-86F097513188}">
  <sheetPr codeName="Sheet1"/>
  <dimension ref="A1:B74"/>
  <sheetViews>
    <sheetView workbookViewId="0"/>
  </sheetViews>
  <sheetFormatPr defaultRowHeight="18" x14ac:dyDescent="0.55000000000000004"/>
  <sheetData>
    <row r="1" spans="1:2" x14ac:dyDescent="0.55000000000000004">
      <c r="A1" s="47" t="s">
        <v>552</v>
      </c>
      <c r="B1" s="47" t="s">
        <v>199</v>
      </c>
    </row>
    <row r="2" spans="1:2" x14ac:dyDescent="0.55000000000000004">
      <c r="A2" s="50">
        <v>1</v>
      </c>
      <c r="B2" t="s">
        <v>321</v>
      </c>
    </row>
    <row r="3" spans="1:2" x14ac:dyDescent="0.55000000000000004">
      <c r="A3" s="50">
        <v>2</v>
      </c>
      <c r="B3" t="s">
        <v>322</v>
      </c>
    </row>
    <row r="4" spans="1:2" x14ac:dyDescent="0.55000000000000004">
      <c r="A4" s="50">
        <v>3</v>
      </c>
      <c r="B4" t="s">
        <v>323</v>
      </c>
    </row>
    <row r="5" spans="1:2" x14ac:dyDescent="0.55000000000000004">
      <c r="A5" s="50">
        <v>4</v>
      </c>
      <c r="B5" t="s">
        <v>324</v>
      </c>
    </row>
    <row r="6" spans="1:2" x14ac:dyDescent="0.55000000000000004">
      <c r="A6" s="50">
        <v>5</v>
      </c>
      <c r="B6" t="s">
        <v>325</v>
      </c>
    </row>
    <row r="7" spans="1:2" x14ac:dyDescent="0.55000000000000004">
      <c r="A7" s="50">
        <v>6</v>
      </c>
      <c r="B7" t="s">
        <v>326</v>
      </c>
    </row>
    <row r="8" spans="1:2" x14ac:dyDescent="0.55000000000000004">
      <c r="A8" s="50">
        <v>7</v>
      </c>
      <c r="B8" t="s">
        <v>254</v>
      </c>
    </row>
    <row r="9" spans="1:2" x14ac:dyDescent="0.55000000000000004">
      <c r="A9" s="50">
        <v>8</v>
      </c>
      <c r="B9" t="s">
        <v>255</v>
      </c>
    </row>
    <row r="10" spans="1:2" x14ac:dyDescent="0.55000000000000004">
      <c r="A10" s="50">
        <v>9</v>
      </c>
      <c r="B10" t="s">
        <v>256</v>
      </c>
    </row>
    <row r="11" spans="1:2" x14ac:dyDescent="0.55000000000000004">
      <c r="A11" s="50">
        <v>10</v>
      </c>
      <c r="B11" t="s">
        <v>257</v>
      </c>
    </row>
    <row r="12" spans="1:2" x14ac:dyDescent="0.55000000000000004">
      <c r="A12" s="50">
        <v>11</v>
      </c>
      <c r="B12" t="s">
        <v>258</v>
      </c>
    </row>
    <row r="13" spans="1:2" x14ac:dyDescent="0.55000000000000004">
      <c r="A13" s="50">
        <v>12</v>
      </c>
      <c r="B13" t="s">
        <v>259</v>
      </c>
    </row>
    <row r="14" spans="1:2" x14ac:dyDescent="0.55000000000000004">
      <c r="A14" s="50">
        <v>13</v>
      </c>
      <c r="B14" t="s">
        <v>260</v>
      </c>
    </row>
    <row r="15" spans="1:2" x14ac:dyDescent="0.55000000000000004">
      <c r="A15" s="50">
        <v>14</v>
      </c>
      <c r="B15" t="s">
        <v>261</v>
      </c>
    </row>
    <row r="16" spans="1:2" x14ac:dyDescent="0.55000000000000004">
      <c r="A16" s="50">
        <v>15</v>
      </c>
      <c r="B16" t="s">
        <v>262</v>
      </c>
    </row>
    <row r="17" spans="1:2" x14ac:dyDescent="0.55000000000000004">
      <c r="A17" s="50">
        <v>16</v>
      </c>
      <c r="B17" t="s">
        <v>263</v>
      </c>
    </row>
    <row r="18" spans="1:2" x14ac:dyDescent="0.55000000000000004">
      <c r="A18" s="50">
        <v>17</v>
      </c>
      <c r="B18" t="s">
        <v>264</v>
      </c>
    </row>
    <row r="19" spans="1:2" x14ac:dyDescent="0.55000000000000004">
      <c r="A19" s="50">
        <v>18</v>
      </c>
      <c r="B19" t="s">
        <v>265</v>
      </c>
    </row>
    <row r="20" spans="1:2" x14ac:dyDescent="0.55000000000000004">
      <c r="A20" s="50">
        <v>19</v>
      </c>
      <c r="B20" t="s">
        <v>266</v>
      </c>
    </row>
    <row r="21" spans="1:2" x14ac:dyDescent="0.55000000000000004">
      <c r="A21" s="50">
        <v>20</v>
      </c>
      <c r="B21" t="s">
        <v>267</v>
      </c>
    </row>
    <row r="22" spans="1:2" x14ac:dyDescent="0.55000000000000004">
      <c r="A22" s="50">
        <v>21</v>
      </c>
      <c r="B22" t="s">
        <v>268</v>
      </c>
    </row>
    <row r="23" spans="1:2" x14ac:dyDescent="0.55000000000000004">
      <c r="A23" s="50">
        <v>22</v>
      </c>
      <c r="B23" t="s">
        <v>269</v>
      </c>
    </row>
    <row r="24" spans="1:2" x14ac:dyDescent="0.55000000000000004">
      <c r="A24" s="50">
        <v>23</v>
      </c>
      <c r="B24" t="s">
        <v>270</v>
      </c>
    </row>
    <row r="25" spans="1:2" x14ac:dyDescent="0.55000000000000004">
      <c r="A25" s="50">
        <v>24</v>
      </c>
      <c r="B25" t="s">
        <v>271</v>
      </c>
    </row>
    <row r="26" spans="1:2" x14ac:dyDescent="0.55000000000000004">
      <c r="A26" s="50">
        <v>25</v>
      </c>
      <c r="B26" t="s">
        <v>272</v>
      </c>
    </row>
    <row r="27" spans="1:2" x14ac:dyDescent="0.55000000000000004">
      <c r="A27" s="50">
        <v>26</v>
      </c>
      <c r="B27" t="s">
        <v>273</v>
      </c>
    </row>
    <row r="28" spans="1:2" x14ac:dyDescent="0.55000000000000004">
      <c r="A28" s="50">
        <v>27</v>
      </c>
      <c r="B28" t="s">
        <v>274</v>
      </c>
    </row>
    <row r="29" spans="1:2" x14ac:dyDescent="0.55000000000000004">
      <c r="A29" s="50">
        <v>28</v>
      </c>
      <c r="B29" t="s">
        <v>275</v>
      </c>
    </row>
    <row r="30" spans="1:2" x14ac:dyDescent="0.55000000000000004">
      <c r="A30" s="50">
        <v>29</v>
      </c>
      <c r="B30" t="s">
        <v>276</v>
      </c>
    </row>
    <row r="31" spans="1:2" x14ac:dyDescent="0.55000000000000004">
      <c r="A31" s="50">
        <v>30</v>
      </c>
      <c r="B31" t="s">
        <v>277</v>
      </c>
    </row>
    <row r="32" spans="1:2" x14ac:dyDescent="0.55000000000000004">
      <c r="A32" s="50">
        <v>31</v>
      </c>
      <c r="B32" t="s">
        <v>278</v>
      </c>
    </row>
    <row r="33" spans="1:2" x14ac:dyDescent="0.55000000000000004">
      <c r="A33" s="50">
        <v>32</v>
      </c>
      <c r="B33" t="s">
        <v>279</v>
      </c>
    </row>
    <row r="34" spans="1:2" x14ac:dyDescent="0.55000000000000004">
      <c r="A34" s="50">
        <v>33</v>
      </c>
      <c r="B34" t="s">
        <v>280</v>
      </c>
    </row>
    <row r="35" spans="1:2" x14ac:dyDescent="0.55000000000000004">
      <c r="A35" s="50">
        <v>34</v>
      </c>
      <c r="B35" t="s">
        <v>281</v>
      </c>
    </row>
    <row r="36" spans="1:2" x14ac:dyDescent="0.55000000000000004">
      <c r="A36" s="50">
        <v>35</v>
      </c>
      <c r="B36" t="s">
        <v>282</v>
      </c>
    </row>
    <row r="37" spans="1:2" x14ac:dyDescent="0.55000000000000004">
      <c r="A37" s="50">
        <v>36</v>
      </c>
      <c r="B37" t="s">
        <v>283</v>
      </c>
    </row>
    <row r="38" spans="1:2" x14ac:dyDescent="0.55000000000000004">
      <c r="A38" s="50">
        <v>37</v>
      </c>
      <c r="B38" t="s">
        <v>284</v>
      </c>
    </row>
    <row r="39" spans="1:2" x14ac:dyDescent="0.55000000000000004">
      <c r="A39" s="50">
        <v>38</v>
      </c>
      <c r="B39" t="s">
        <v>285</v>
      </c>
    </row>
    <row r="40" spans="1:2" x14ac:dyDescent="0.55000000000000004">
      <c r="A40" s="50">
        <v>39</v>
      </c>
      <c r="B40" t="s">
        <v>286</v>
      </c>
    </row>
    <row r="41" spans="1:2" x14ac:dyDescent="0.55000000000000004">
      <c r="A41" s="50">
        <v>40</v>
      </c>
      <c r="B41" t="s">
        <v>287</v>
      </c>
    </row>
    <row r="42" spans="1:2" x14ac:dyDescent="0.55000000000000004">
      <c r="A42" s="50">
        <v>41</v>
      </c>
      <c r="B42" t="s">
        <v>288</v>
      </c>
    </row>
    <row r="43" spans="1:2" x14ac:dyDescent="0.55000000000000004">
      <c r="A43" s="50">
        <v>42</v>
      </c>
      <c r="B43" t="s">
        <v>289</v>
      </c>
    </row>
    <row r="44" spans="1:2" x14ac:dyDescent="0.55000000000000004">
      <c r="A44" s="50">
        <v>43</v>
      </c>
      <c r="B44" t="s">
        <v>290</v>
      </c>
    </row>
    <row r="45" spans="1:2" x14ac:dyDescent="0.55000000000000004">
      <c r="A45" s="50">
        <v>44</v>
      </c>
      <c r="B45" t="s">
        <v>291</v>
      </c>
    </row>
    <row r="46" spans="1:2" x14ac:dyDescent="0.55000000000000004">
      <c r="A46" s="50">
        <v>45</v>
      </c>
      <c r="B46" t="s">
        <v>292</v>
      </c>
    </row>
    <row r="47" spans="1:2" x14ac:dyDescent="0.55000000000000004">
      <c r="A47" s="50">
        <v>46</v>
      </c>
      <c r="B47" t="s">
        <v>293</v>
      </c>
    </row>
    <row r="48" spans="1:2" x14ac:dyDescent="0.55000000000000004">
      <c r="A48" s="50">
        <v>47</v>
      </c>
      <c r="B48" t="s">
        <v>294</v>
      </c>
    </row>
    <row r="49" spans="1:2" x14ac:dyDescent="0.55000000000000004">
      <c r="A49" s="50">
        <v>48</v>
      </c>
      <c r="B49" t="s">
        <v>295</v>
      </c>
    </row>
    <row r="50" spans="1:2" x14ac:dyDescent="0.55000000000000004">
      <c r="A50" s="50">
        <v>49</v>
      </c>
      <c r="B50" t="s">
        <v>296</v>
      </c>
    </row>
    <row r="51" spans="1:2" x14ac:dyDescent="0.55000000000000004">
      <c r="A51" s="50">
        <v>50</v>
      </c>
      <c r="B51" t="s">
        <v>297</v>
      </c>
    </row>
    <row r="52" spans="1:2" x14ac:dyDescent="0.55000000000000004">
      <c r="A52" s="50">
        <v>51</v>
      </c>
      <c r="B52" t="s">
        <v>298</v>
      </c>
    </row>
    <row r="53" spans="1:2" x14ac:dyDescent="0.55000000000000004">
      <c r="A53" s="50">
        <v>52</v>
      </c>
      <c r="B53" t="s">
        <v>299</v>
      </c>
    </row>
    <row r="54" spans="1:2" x14ac:dyDescent="0.55000000000000004">
      <c r="A54" s="50">
        <v>53</v>
      </c>
      <c r="B54" t="s">
        <v>300</v>
      </c>
    </row>
    <row r="55" spans="1:2" x14ac:dyDescent="0.55000000000000004">
      <c r="A55" s="50">
        <v>54</v>
      </c>
      <c r="B55" t="s">
        <v>301</v>
      </c>
    </row>
    <row r="56" spans="1:2" x14ac:dyDescent="0.55000000000000004">
      <c r="A56" s="50">
        <v>55</v>
      </c>
      <c r="B56" t="s">
        <v>302</v>
      </c>
    </row>
    <row r="57" spans="1:2" x14ac:dyDescent="0.55000000000000004">
      <c r="A57" s="50">
        <v>56</v>
      </c>
      <c r="B57" t="s">
        <v>303</v>
      </c>
    </row>
    <row r="58" spans="1:2" x14ac:dyDescent="0.55000000000000004">
      <c r="A58" s="50">
        <v>57</v>
      </c>
      <c r="B58" t="s">
        <v>304</v>
      </c>
    </row>
    <row r="59" spans="1:2" x14ac:dyDescent="0.55000000000000004">
      <c r="A59" s="50">
        <v>58</v>
      </c>
      <c r="B59" t="s">
        <v>305</v>
      </c>
    </row>
    <row r="60" spans="1:2" x14ac:dyDescent="0.55000000000000004">
      <c r="A60" s="50">
        <v>59</v>
      </c>
      <c r="B60" t="s">
        <v>306</v>
      </c>
    </row>
    <row r="61" spans="1:2" x14ac:dyDescent="0.55000000000000004">
      <c r="A61" s="50">
        <v>60</v>
      </c>
      <c r="B61" t="s">
        <v>307</v>
      </c>
    </row>
    <row r="62" spans="1:2" x14ac:dyDescent="0.55000000000000004">
      <c r="A62" s="50">
        <v>61</v>
      </c>
      <c r="B62" t="s">
        <v>308</v>
      </c>
    </row>
    <row r="63" spans="1:2" x14ac:dyDescent="0.55000000000000004">
      <c r="A63" s="50">
        <v>62</v>
      </c>
      <c r="B63" t="s">
        <v>309</v>
      </c>
    </row>
    <row r="64" spans="1:2" x14ac:dyDescent="0.55000000000000004">
      <c r="A64" s="50">
        <v>63</v>
      </c>
      <c r="B64" t="s">
        <v>310</v>
      </c>
    </row>
    <row r="65" spans="1:2" x14ac:dyDescent="0.55000000000000004">
      <c r="A65" s="50">
        <v>64</v>
      </c>
      <c r="B65" t="s">
        <v>311</v>
      </c>
    </row>
    <row r="66" spans="1:2" x14ac:dyDescent="0.55000000000000004">
      <c r="A66" s="50">
        <v>65</v>
      </c>
      <c r="B66" t="s">
        <v>312</v>
      </c>
    </row>
    <row r="67" spans="1:2" x14ac:dyDescent="0.55000000000000004">
      <c r="A67" s="50">
        <v>66</v>
      </c>
      <c r="B67" t="s">
        <v>313</v>
      </c>
    </row>
    <row r="68" spans="1:2" x14ac:dyDescent="0.55000000000000004">
      <c r="A68" s="50">
        <v>67</v>
      </c>
      <c r="B68" t="s">
        <v>314</v>
      </c>
    </row>
    <row r="69" spans="1:2" x14ac:dyDescent="0.55000000000000004">
      <c r="A69" s="50">
        <v>68</v>
      </c>
      <c r="B69" t="s">
        <v>315</v>
      </c>
    </row>
    <row r="70" spans="1:2" x14ac:dyDescent="0.55000000000000004">
      <c r="A70" s="50">
        <v>69</v>
      </c>
      <c r="B70" t="s">
        <v>316</v>
      </c>
    </row>
    <row r="71" spans="1:2" x14ac:dyDescent="0.55000000000000004">
      <c r="A71" s="50">
        <v>70</v>
      </c>
      <c r="B71" t="s">
        <v>317</v>
      </c>
    </row>
    <row r="72" spans="1:2" x14ac:dyDescent="0.55000000000000004">
      <c r="A72" s="50">
        <v>71</v>
      </c>
      <c r="B72" t="s">
        <v>318</v>
      </c>
    </row>
    <row r="73" spans="1:2" x14ac:dyDescent="0.55000000000000004">
      <c r="A73" s="50">
        <v>72</v>
      </c>
      <c r="B73" t="s">
        <v>319</v>
      </c>
    </row>
    <row r="74" spans="1:2" x14ac:dyDescent="0.55000000000000004">
      <c r="A74" s="50" t="s">
        <v>200</v>
      </c>
      <c r="B74" t="s">
        <v>300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3"/>
  <sheetViews>
    <sheetView workbookViewId="0"/>
  </sheetViews>
  <sheetFormatPr defaultRowHeight="18" x14ac:dyDescent="0.55000000000000004"/>
  <cols>
    <col min="1" max="1" width="14.9140625" style="84" customWidth="1"/>
    <col min="2" max="2" width="10.58203125" style="84" bestFit="1" customWidth="1"/>
    <col min="3" max="3" width="8.6640625" style="84"/>
    <col min="4" max="4" width="145.83203125" bestFit="1" customWidth="1"/>
  </cols>
  <sheetData>
    <row r="1" spans="1:4" x14ac:dyDescent="0.55000000000000004">
      <c r="A1" s="71" t="s">
        <v>562</v>
      </c>
      <c r="B1" s="71" t="s">
        <v>566</v>
      </c>
      <c r="C1" s="71" t="s">
        <v>563</v>
      </c>
      <c r="D1" s="71" t="s">
        <v>565</v>
      </c>
    </row>
    <row r="2" spans="1:4" ht="63" customHeight="1" x14ac:dyDescent="0.55000000000000004">
      <c r="A2" s="83">
        <v>45819.20416666667</v>
      </c>
      <c r="B2" s="84" t="s">
        <v>619</v>
      </c>
      <c r="C2" s="84" t="s">
        <v>564</v>
      </c>
      <c r="D2" s="82" t="s">
        <v>620</v>
      </c>
    </row>
    <row r="3" spans="1:4" ht="36" x14ac:dyDescent="0.55000000000000004">
      <c r="A3" s="83">
        <v>45818.286111111112</v>
      </c>
      <c r="B3" s="83" t="s">
        <v>567</v>
      </c>
      <c r="C3" s="84" t="s">
        <v>564</v>
      </c>
      <c r="D3" s="82" t="s">
        <v>604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zoomScaleNormal="100" workbookViewId="0"/>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41"/>
    </row>
    <row r="2" spans="1:81" ht="21" customHeight="1" x14ac:dyDescent="0.55000000000000004">
      <c r="A2" s="5"/>
      <c r="CB2" s="5"/>
      <c r="CC2" s="41"/>
    </row>
    <row r="3" spans="1:81"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B3" s="5"/>
      <c r="CC3" s="41"/>
    </row>
    <row r="4" spans="1:81" ht="21" customHeight="1" x14ac:dyDescent="0.55000000000000004">
      <c r="A4" s="5"/>
      <c r="C4" s="29"/>
      <c r="D4" s="29"/>
      <c r="E4" s="29"/>
      <c r="F4" s="29"/>
      <c r="CB4" s="5"/>
      <c r="CC4" s="41"/>
    </row>
    <row r="5" spans="1:81" ht="21" customHeight="1" x14ac:dyDescent="0.55000000000000004">
      <c r="A5" s="5"/>
      <c r="C5" s="29"/>
      <c r="D5" s="29"/>
      <c r="E5" s="29"/>
      <c r="F5" s="29"/>
      <c r="CB5" s="5"/>
      <c r="CC5" s="41"/>
    </row>
    <row r="6" spans="1:81" ht="21" customHeight="1" thickBot="1" x14ac:dyDescent="0.6">
      <c r="A6" s="5"/>
      <c r="C6" s="29"/>
      <c r="D6" s="29"/>
      <c r="E6" s="29"/>
      <c r="F6" s="29"/>
      <c r="CB6" s="5"/>
      <c r="CC6" s="41"/>
    </row>
    <row r="7" spans="1:81" ht="21" customHeight="1" x14ac:dyDescent="0.55000000000000004">
      <c r="A7" s="5"/>
      <c r="C7" s="1" t="s">
        <v>163</v>
      </c>
      <c r="G7" s="4">
        <v>1</v>
      </c>
      <c r="H7" s="117" t="s">
        <v>2</v>
      </c>
      <c r="I7" s="117"/>
      <c r="J7" s="118"/>
      <c r="K7" s="4">
        <v>2</v>
      </c>
      <c r="L7" s="117" t="s">
        <v>4</v>
      </c>
      <c r="M7" s="117"/>
      <c r="N7" s="118"/>
      <c r="O7" s="4">
        <v>3</v>
      </c>
      <c r="P7" s="117" t="s">
        <v>6</v>
      </c>
      <c r="Q7" s="117"/>
      <c r="R7" s="117"/>
      <c r="S7" s="6"/>
      <c r="T7" s="6"/>
      <c r="U7" s="6"/>
      <c r="V7" s="6"/>
      <c r="W7" s="4">
        <v>4</v>
      </c>
      <c r="X7" s="117" t="s">
        <v>91</v>
      </c>
      <c r="Y7" s="117"/>
      <c r="Z7" s="117"/>
      <c r="AA7" s="6"/>
      <c r="AB7" s="6"/>
      <c r="AC7" s="6"/>
      <c r="AD7" s="6"/>
      <c r="AE7" s="6"/>
      <c r="AF7" s="6"/>
      <c r="AG7" s="6"/>
      <c r="AH7" s="6"/>
      <c r="AI7" s="6"/>
      <c r="AJ7" s="6"/>
      <c r="AK7" s="6"/>
      <c r="AL7" s="6"/>
      <c r="AM7" s="6"/>
      <c r="AN7" s="6"/>
      <c r="AO7" s="6"/>
      <c r="AP7" s="6"/>
      <c r="AQ7" s="4">
        <v>5</v>
      </c>
      <c r="AR7" s="117" t="s">
        <v>93</v>
      </c>
      <c r="AS7" s="117"/>
      <c r="AT7" s="118"/>
      <c r="AU7" s="4">
        <v>6</v>
      </c>
      <c r="AV7" s="117" t="s">
        <v>94</v>
      </c>
      <c r="AW7" s="117"/>
      <c r="AX7" s="118"/>
      <c r="BO7" s="19"/>
      <c r="BX7" s="22"/>
      <c r="BY7" s="22"/>
      <c r="BZ7" s="22"/>
      <c r="CB7" s="5"/>
      <c r="CC7" s="41"/>
    </row>
    <row r="8" spans="1:81" ht="21" customHeight="1" x14ac:dyDescent="0.55000000000000004">
      <c r="A8" s="5"/>
      <c r="G8" s="108"/>
      <c r="H8" s="109"/>
      <c r="I8" s="109"/>
      <c r="J8" s="110"/>
      <c r="K8" s="108"/>
      <c r="L8" s="109"/>
      <c r="M8" s="109"/>
      <c r="N8" s="110"/>
      <c r="O8" s="108"/>
      <c r="P8" s="109"/>
      <c r="Q8" s="109"/>
      <c r="R8" s="109"/>
      <c r="W8" s="108"/>
      <c r="X8" s="109"/>
      <c r="Y8" s="109"/>
      <c r="Z8" s="109"/>
      <c r="AQ8" s="108"/>
      <c r="AR8" s="109"/>
      <c r="AS8" s="109"/>
      <c r="AT8" s="109"/>
      <c r="AU8" s="108"/>
      <c r="AV8" s="109"/>
      <c r="AW8" s="109"/>
      <c r="AX8" s="110"/>
      <c r="BW8" s="21"/>
      <c r="BX8" s="22"/>
      <c r="BY8" s="22"/>
      <c r="BZ8" s="22"/>
      <c r="CB8" s="5"/>
      <c r="CC8" s="41"/>
    </row>
    <row r="9" spans="1:81" ht="21" customHeight="1" x14ac:dyDescent="0.55000000000000004">
      <c r="A9" s="5"/>
      <c r="G9" s="111"/>
      <c r="H9" s="112"/>
      <c r="I9" s="112"/>
      <c r="J9" s="113"/>
      <c r="K9" s="111"/>
      <c r="L9" s="112"/>
      <c r="M9" s="112"/>
      <c r="N9" s="113"/>
      <c r="O9" s="111"/>
      <c r="P9" s="112"/>
      <c r="Q9" s="112"/>
      <c r="R9" s="112"/>
      <c r="W9" s="111"/>
      <c r="X9" s="112"/>
      <c r="Y9" s="112"/>
      <c r="Z9" s="112"/>
      <c r="AQ9" s="111"/>
      <c r="AR9" s="112"/>
      <c r="AS9" s="112"/>
      <c r="AT9" s="112"/>
      <c r="AU9" s="111"/>
      <c r="AV9" s="112"/>
      <c r="AW9" s="112"/>
      <c r="AX9" s="113"/>
      <c r="BW9" s="21"/>
      <c r="BX9" s="22"/>
      <c r="BY9" s="22"/>
      <c r="BZ9" s="22"/>
      <c r="CB9" s="5"/>
      <c r="CC9" s="41"/>
    </row>
    <row r="10" spans="1:81" ht="21" customHeight="1" thickBot="1" x14ac:dyDescent="0.6">
      <c r="A10" s="5"/>
      <c r="G10" s="114"/>
      <c r="H10" s="115"/>
      <c r="I10" s="115"/>
      <c r="J10" s="116"/>
      <c r="K10" s="121"/>
      <c r="L10" s="119"/>
      <c r="M10" s="119"/>
      <c r="N10" s="122"/>
      <c r="O10" s="114"/>
      <c r="P10" s="115"/>
      <c r="Q10" s="115"/>
      <c r="R10" s="115"/>
      <c r="W10" s="121"/>
      <c r="X10" s="119"/>
      <c r="Y10" s="119"/>
      <c r="Z10" s="119"/>
      <c r="AQ10" s="114"/>
      <c r="AR10" s="115"/>
      <c r="AS10" s="115"/>
      <c r="AT10" s="115"/>
      <c r="AU10" s="114"/>
      <c r="AV10" s="115"/>
      <c r="AW10" s="115"/>
      <c r="AX10" s="116"/>
      <c r="BW10" s="21"/>
      <c r="BX10" s="22"/>
      <c r="BY10" s="22"/>
      <c r="BZ10" s="22"/>
      <c r="CB10" s="5"/>
      <c r="CC10" s="41"/>
    </row>
    <row r="11" spans="1:81" ht="21" customHeight="1" x14ac:dyDescent="0.55000000000000004">
      <c r="A11" s="5"/>
      <c r="C11" s="1" t="s">
        <v>164</v>
      </c>
      <c r="G11" s="4">
        <v>7</v>
      </c>
      <c r="H11" s="117" t="s">
        <v>8</v>
      </c>
      <c r="I11" s="117"/>
      <c r="J11" s="118"/>
      <c r="O11" s="4">
        <v>8</v>
      </c>
      <c r="P11" s="117" t="s">
        <v>10</v>
      </c>
      <c r="Q11" s="117"/>
      <c r="R11" s="118"/>
      <c r="W11" s="7"/>
      <c r="AQ11" s="4">
        <v>9</v>
      </c>
      <c r="AR11" s="117" t="s">
        <v>95</v>
      </c>
      <c r="AS11" s="117"/>
      <c r="AT11" s="118"/>
      <c r="AU11" s="4">
        <v>10</v>
      </c>
      <c r="AV11" s="117" t="s">
        <v>96</v>
      </c>
      <c r="AW11" s="117"/>
      <c r="AX11" s="117"/>
      <c r="AY11" s="6"/>
      <c r="AZ11" s="6"/>
      <c r="BA11" s="6"/>
      <c r="BB11" s="6"/>
      <c r="BC11" s="6"/>
      <c r="BD11" s="6"/>
      <c r="BE11" s="6"/>
      <c r="BF11" s="6"/>
      <c r="BG11" s="6"/>
      <c r="BH11" s="6"/>
      <c r="BI11" s="6"/>
      <c r="BJ11" s="6"/>
      <c r="BK11" s="6"/>
      <c r="BL11" s="6"/>
      <c r="BM11" s="6"/>
      <c r="BN11" s="9"/>
      <c r="BW11" s="21"/>
      <c r="BX11" s="22"/>
      <c r="BY11" s="22"/>
      <c r="BZ11" s="22"/>
      <c r="CB11" s="5"/>
      <c r="CC11" s="41"/>
    </row>
    <row r="12" spans="1:81" ht="21" customHeight="1" x14ac:dyDescent="0.55000000000000004">
      <c r="A12" s="5"/>
      <c r="G12" s="108"/>
      <c r="H12" s="109"/>
      <c r="I12" s="109"/>
      <c r="J12" s="110"/>
      <c r="O12" s="108"/>
      <c r="P12" s="109"/>
      <c r="Q12" s="109"/>
      <c r="R12" s="110"/>
      <c r="W12" s="7"/>
      <c r="AQ12" s="108"/>
      <c r="AR12" s="109"/>
      <c r="AS12" s="109"/>
      <c r="AT12" s="110"/>
      <c r="AU12" s="108"/>
      <c r="AV12" s="109"/>
      <c r="AW12" s="109"/>
      <c r="AX12" s="109"/>
      <c r="BN12" s="8"/>
      <c r="BW12" s="21"/>
      <c r="BX12" s="22"/>
      <c r="BY12" s="22"/>
      <c r="BZ12" s="22"/>
      <c r="CB12" s="5"/>
      <c r="CC12" s="41"/>
    </row>
    <row r="13" spans="1:81" ht="21" customHeight="1" x14ac:dyDescent="0.55000000000000004">
      <c r="A13" s="5"/>
      <c r="G13" s="111"/>
      <c r="H13" s="112"/>
      <c r="I13" s="112"/>
      <c r="J13" s="113"/>
      <c r="O13" s="111"/>
      <c r="P13" s="112"/>
      <c r="Q13" s="112"/>
      <c r="R13" s="113"/>
      <c r="W13" s="7"/>
      <c r="AQ13" s="111"/>
      <c r="AR13" s="112"/>
      <c r="AS13" s="112"/>
      <c r="AT13" s="113"/>
      <c r="AU13" s="111"/>
      <c r="AV13" s="112"/>
      <c r="AW13" s="112"/>
      <c r="AX13" s="112"/>
      <c r="BN13" s="8"/>
      <c r="BW13" s="21"/>
      <c r="BX13" s="21"/>
      <c r="BY13" s="44"/>
      <c r="BZ13" s="21"/>
      <c r="CB13" s="5"/>
      <c r="CC13" s="41"/>
    </row>
    <row r="14" spans="1:81" ht="21" customHeight="1" thickBot="1" x14ac:dyDescent="0.6">
      <c r="A14" s="5"/>
      <c r="G14" s="121"/>
      <c r="H14" s="119"/>
      <c r="I14" s="119"/>
      <c r="J14" s="122"/>
      <c r="O14" s="114"/>
      <c r="P14" s="115"/>
      <c r="Q14" s="115"/>
      <c r="R14" s="116"/>
      <c r="W14" s="7"/>
      <c r="AQ14" s="114"/>
      <c r="AR14" s="115"/>
      <c r="AS14" s="115"/>
      <c r="AT14" s="116"/>
      <c r="AU14" s="114"/>
      <c r="AV14" s="115"/>
      <c r="AW14" s="115"/>
      <c r="AX14" s="115"/>
      <c r="BN14" s="8"/>
      <c r="BW14" s="21"/>
      <c r="BX14" s="21"/>
      <c r="BY14" s="44"/>
      <c r="BZ14" s="21"/>
      <c r="CB14" s="5"/>
      <c r="CC14" s="41"/>
    </row>
    <row r="15" spans="1:81" ht="21" customHeight="1" x14ac:dyDescent="0.55000000000000004">
      <c r="A15" s="5"/>
      <c r="C15" s="1" t="s">
        <v>165</v>
      </c>
      <c r="G15" s="7"/>
      <c r="J15" s="8"/>
      <c r="O15" s="4">
        <v>11</v>
      </c>
      <c r="P15" s="117" t="s">
        <v>0</v>
      </c>
      <c r="Q15" s="117"/>
      <c r="R15" s="118"/>
      <c r="S15" s="4">
        <v>12</v>
      </c>
      <c r="T15" s="117" t="s">
        <v>97</v>
      </c>
      <c r="U15" s="117"/>
      <c r="V15" s="118"/>
      <c r="W15" s="4">
        <v>13</v>
      </c>
      <c r="X15" s="117" t="s">
        <v>98</v>
      </c>
      <c r="Y15" s="117"/>
      <c r="Z15" s="118"/>
      <c r="AA15" s="4">
        <v>14</v>
      </c>
      <c r="AB15" s="117" t="s">
        <v>99</v>
      </c>
      <c r="AC15" s="117"/>
      <c r="AD15" s="118"/>
      <c r="AE15" s="4">
        <v>15</v>
      </c>
      <c r="AF15" s="117" t="s">
        <v>100</v>
      </c>
      <c r="AG15" s="117"/>
      <c r="AH15" s="118"/>
      <c r="AI15" s="4">
        <v>16</v>
      </c>
      <c r="AJ15" s="117" t="s">
        <v>101</v>
      </c>
      <c r="AK15" s="117"/>
      <c r="AL15" s="118"/>
      <c r="AM15" s="4">
        <v>17</v>
      </c>
      <c r="AN15" s="117" t="s">
        <v>102</v>
      </c>
      <c r="AO15" s="117"/>
      <c r="AP15" s="118"/>
      <c r="AQ15" s="4">
        <v>18</v>
      </c>
      <c r="AR15" s="117" t="s">
        <v>103</v>
      </c>
      <c r="AS15" s="117"/>
      <c r="AT15" s="118"/>
      <c r="AU15" s="4">
        <v>19</v>
      </c>
      <c r="AV15" s="117" t="s">
        <v>104</v>
      </c>
      <c r="AW15" s="117"/>
      <c r="AX15" s="117"/>
      <c r="AY15" s="6"/>
      <c r="AZ15" s="6"/>
      <c r="BA15" s="6"/>
      <c r="BB15" s="6"/>
      <c r="BC15" s="6"/>
      <c r="BD15" s="6"/>
      <c r="BE15" s="6"/>
      <c r="BF15" s="6"/>
      <c r="BG15" s="6"/>
      <c r="BH15" s="6"/>
      <c r="BI15" s="6"/>
      <c r="BJ15" s="6"/>
      <c r="BK15" s="6"/>
      <c r="BL15" s="6"/>
      <c r="BM15" s="6"/>
      <c r="BN15" s="6"/>
      <c r="BO15" s="4">
        <v>20</v>
      </c>
      <c r="BP15" s="117" t="s">
        <v>105</v>
      </c>
      <c r="BQ15" s="117"/>
      <c r="BR15" s="118"/>
      <c r="BW15" s="21"/>
      <c r="BX15" s="21"/>
      <c r="BY15" s="44"/>
      <c r="BZ15" s="21"/>
      <c r="CB15" s="5"/>
      <c r="CC15" s="41"/>
    </row>
    <row r="16" spans="1:81" ht="21" customHeight="1" x14ac:dyDescent="0.55000000000000004">
      <c r="A16" s="5"/>
      <c r="G16" s="7"/>
      <c r="J16" s="8"/>
      <c r="O16" s="108"/>
      <c r="P16" s="109"/>
      <c r="Q16" s="109"/>
      <c r="R16" s="110"/>
      <c r="S16" s="108"/>
      <c r="T16" s="109"/>
      <c r="U16" s="109"/>
      <c r="V16" s="110"/>
      <c r="W16" s="108"/>
      <c r="X16" s="109"/>
      <c r="Y16" s="109"/>
      <c r="Z16" s="110"/>
      <c r="AA16" s="108"/>
      <c r="AB16" s="109"/>
      <c r="AC16" s="109"/>
      <c r="AD16" s="110"/>
      <c r="AE16" s="108"/>
      <c r="AF16" s="109"/>
      <c r="AG16" s="109"/>
      <c r="AH16" s="110"/>
      <c r="AI16" s="108"/>
      <c r="AJ16" s="109"/>
      <c r="AK16" s="109"/>
      <c r="AL16" s="110"/>
      <c r="AM16" s="108"/>
      <c r="AN16" s="109"/>
      <c r="AO16" s="109"/>
      <c r="AP16" s="110"/>
      <c r="AQ16" s="108"/>
      <c r="AR16" s="109"/>
      <c r="AS16" s="109"/>
      <c r="AT16" s="110"/>
      <c r="AU16" s="108"/>
      <c r="AV16" s="109"/>
      <c r="AW16" s="109"/>
      <c r="AX16" s="109"/>
      <c r="BO16" s="108"/>
      <c r="BP16" s="109"/>
      <c r="BQ16" s="109"/>
      <c r="BR16" s="110"/>
      <c r="BW16" s="21"/>
      <c r="BX16" s="21"/>
      <c r="BY16" s="44"/>
      <c r="BZ16" s="21"/>
      <c r="CB16" s="5"/>
      <c r="CC16" s="41"/>
    </row>
    <row r="17" spans="1:81" ht="21" customHeight="1" x14ac:dyDescent="0.55000000000000004">
      <c r="A17" s="5"/>
      <c r="G17" s="7"/>
      <c r="J17" s="8"/>
      <c r="O17" s="111"/>
      <c r="P17" s="112"/>
      <c r="Q17" s="112"/>
      <c r="R17" s="113"/>
      <c r="S17" s="111"/>
      <c r="T17" s="112"/>
      <c r="U17" s="112"/>
      <c r="V17" s="113"/>
      <c r="W17" s="111"/>
      <c r="X17" s="112"/>
      <c r="Y17" s="112"/>
      <c r="Z17" s="113"/>
      <c r="AA17" s="111"/>
      <c r="AB17" s="112"/>
      <c r="AC17" s="112"/>
      <c r="AD17" s="113"/>
      <c r="AE17" s="111"/>
      <c r="AF17" s="112"/>
      <c r="AG17" s="112"/>
      <c r="AH17" s="113"/>
      <c r="AI17" s="111"/>
      <c r="AJ17" s="112"/>
      <c r="AK17" s="112"/>
      <c r="AL17" s="113"/>
      <c r="AM17" s="111"/>
      <c r="AN17" s="112"/>
      <c r="AO17" s="112"/>
      <c r="AP17" s="113"/>
      <c r="AQ17" s="111"/>
      <c r="AR17" s="112"/>
      <c r="AS17" s="112"/>
      <c r="AT17" s="113"/>
      <c r="AU17" s="111"/>
      <c r="AV17" s="112"/>
      <c r="AW17" s="112"/>
      <c r="AX17" s="112"/>
      <c r="BO17" s="111"/>
      <c r="BP17" s="112"/>
      <c r="BQ17" s="112"/>
      <c r="BR17" s="113"/>
      <c r="BW17" s="22"/>
      <c r="BX17" s="22"/>
      <c r="BY17" s="44"/>
      <c r="BZ17" s="22"/>
      <c r="CB17" s="5"/>
      <c r="CC17" s="41"/>
    </row>
    <row r="18" spans="1:81" ht="21" customHeight="1" thickBot="1" x14ac:dyDescent="0.6">
      <c r="A18" s="5"/>
      <c r="G18" s="7"/>
      <c r="J18" s="8"/>
      <c r="O18" s="114"/>
      <c r="P18" s="115"/>
      <c r="Q18" s="115"/>
      <c r="R18" s="116"/>
      <c r="S18" s="114"/>
      <c r="T18" s="115"/>
      <c r="U18" s="115"/>
      <c r="V18" s="116"/>
      <c r="W18" s="114"/>
      <c r="X18" s="115"/>
      <c r="Y18" s="115"/>
      <c r="Z18" s="116"/>
      <c r="AA18" s="114"/>
      <c r="AB18" s="115"/>
      <c r="AC18" s="115"/>
      <c r="AD18" s="116"/>
      <c r="AE18" s="114"/>
      <c r="AF18" s="115"/>
      <c r="AG18" s="115"/>
      <c r="AH18" s="116"/>
      <c r="AI18" s="114"/>
      <c r="AJ18" s="115"/>
      <c r="AK18" s="115"/>
      <c r="AL18" s="116"/>
      <c r="AM18" s="114"/>
      <c r="AN18" s="115"/>
      <c r="AO18" s="115"/>
      <c r="AP18" s="116"/>
      <c r="AQ18" s="114"/>
      <c r="AR18" s="115"/>
      <c r="AS18" s="115"/>
      <c r="AT18" s="116"/>
      <c r="AU18" s="114"/>
      <c r="AV18" s="115"/>
      <c r="AW18" s="115"/>
      <c r="AX18" s="115"/>
      <c r="BO18" s="114"/>
      <c r="BP18" s="115"/>
      <c r="BQ18" s="115"/>
      <c r="BR18" s="116"/>
      <c r="BW18" s="22"/>
      <c r="BX18" s="22"/>
      <c r="BY18" s="44"/>
      <c r="BZ18" s="22"/>
      <c r="CB18" s="5"/>
      <c r="CC18" s="41"/>
    </row>
    <row r="19" spans="1:81" ht="21" customHeight="1" x14ac:dyDescent="0.55000000000000004">
      <c r="A19" s="5"/>
      <c r="C19" s="1" t="s">
        <v>166</v>
      </c>
      <c r="G19" s="7"/>
      <c r="K19" s="4">
        <v>21</v>
      </c>
      <c r="L19" s="117" t="s">
        <v>106</v>
      </c>
      <c r="M19" s="117"/>
      <c r="N19" s="118"/>
      <c r="O19" s="4">
        <v>22</v>
      </c>
      <c r="P19" s="117" t="s">
        <v>107</v>
      </c>
      <c r="Q19" s="117"/>
      <c r="R19" s="117"/>
      <c r="S19" s="6"/>
      <c r="T19" s="6"/>
      <c r="U19" s="6"/>
      <c r="V19" s="6"/>
      <c r="W19" s="4">
        <v>23</v>
      </c>
      <c r="X19" s="117" t="s">
        <v>108</v>
      </c>
      <c r="Y19" s="117"/>
      <c r="Z19" s="118"/>
      <c r="AA19" s="4">
        <v>24</v>
      </c>
      <c r="AB19" s="117" t="s">
        <v>109</v>
      </c>
      <c r="AC19" s="117"/>
      <c r="AD19" s="117"/>
      <c r="AE19" s="6"/>
      <c r="AF19" s="6"/>
      <c r="AG19" s="6"/>
      <c r="AH19" s="6"/>
      <c r="AI19" s="4">
        <v>25</v>
      </c>
      <c r="AJ19" s="117" t="s">
        <v>110</v>
      </c>
      <c r="AK19" s="117"/>
      <c r="AL19" s="118"/>
      <c r="AM19" s="4">
        <v>26</v>
      </c>
      <c r="AN19" s="117" t="s">
        <v>568</v>
      </c>
      <c r="AO19" s="117"/>
      <c r="AP19" s="118"/>
      <c r="AQ19" s="4">
        <v>27</v>
      </c>
      <c r="AR19" s="117" t="s">
        <v>569</v>
      </c>
      <c r="AS19" s="117"/>
      <c r="AT19" s="118"/>
      <c r="AU19" s="4">
        <v>28</v>
      </c>
      <c r="AV19" s="117" t="s">
        <v>570</v>
      </c>
      <c r="AW19" s="117"/>
      <c r="AX19" s="118"/>
      <c r="AY19" s="4">
        <v>29</v>
      </c>
      <c r="AZ19" s="117" t="s">
        <v>571</v>
      </c>
      <c r="BA19" s="117"/>
      <c r="BB19" s="118"/>
      <c r="BC19" s="4">
        <v>30</v>
      </c>
      <c r="BD19" s="117" t="s">
        <v>572</v>
      </c>
      <c r="BE19" s="117"/>
      <c r="BF19" s="118"/>
      <c r="BG19" s="4">
        <v>31</v>
      </c>
      <c r="BH19" s="117" t="s">
        <v>573</v>
      </c>
      <c r="BI19" s="117"/>
      <c r="BJ19" s="118"/>
      <c r="BK19" s="4">
        <v>32</v>
      </c>
      <c r="BL19" s="117" t="s">
        <v>574</v>
      </c>
      <c r="BM19" s="117"/>
      <c r="BN19" s="118"/>
      <c r="BO19" s="4">
        <v>33</v>
      </c>
      <c r="BP19" s="117" t="s">
        <v>575</v>
      </c>
      <c r="BQ19" s="117"/>
      <c r="BR19" s="118"/>
      <c r="BX19" s="21"/>
      <c r="BY19" s="44"/>
      <c r="BZ19" s="22"/>
      <c r="CB19" s="5"/>
      <c r="CC19" s="41"/>
    </row>
    <row r="20" spans="1:81" ht="21" customHeight="1" x14ac:dyDescent="0.55000000000000004">
      <c r="A20" s="5"/>
      <c r="G20" s="7"/>
      <c r="K20" s="108"/>
      <c r="L20" s="109"/>
      <c r="M20" s="109"/>
      <c r="N20" s="110"/>
      <c r="O20" s="108"/>
      <c r="P20" s="109"/>
      <c r="Q20" s="109"/>
      <c r="R20" s="109"/>
      <c r="V20" s="8"/>
      <c r="W20" s="108"/>
      <c r="X20" s="109"/>
      <c r="Y20" s="109"/>
      <c r="Z20" s="110"/>
      <c r="AA20" s="108"/>
      <c r="AB20" s="109"/>
      <c r="AC20" s="109"/>
      <c r="AD20" s="109"/>
      <c r="AI20" s="108"/>
      <c r="AJ20" s="109"/>
      <c r="AK20" s="109"/>
      <c r="AL20" s="110"/>
      <c r="AM20" s="108"/>
      <c r="AN20" s="109"/>
      <c r="AO20" s="109"/>
      <c r="AP20" s="110"/>
      <c r="AQ20" s="108"/>
      <c r="AR20" s="109"/>
      <c r="AS20" s="109"/>
      <c r="AT20" s="110"/>
      <c r="AU20" s="108"/>
      <c r="AV20" s="109"/>
      <c r="AW20" s="109"/>
      <c r="AX20" s="110"/>
      <c r="AY20" s="108"/>
      <c r="AZ20" s="109"/>
      <c r="BA20" s="109"/>
      <c r="BB20" s="110"/>
      <c r="BC20" s="108"/>
      <c r="BD20" s="109"/>
      <c r="BE20" s="109"/>
      <c r="BF20" s="110"/>
      <c r="BG20" s="108"/>
      <c r="BH20" s="109"/>
      <c r="BI20" s="109"/>
      <c r="BJ20" s="110"/>
      <c r="BK20" s="108"/>
      <c r="BL20" s="109"/>
      <c r="BM20" s="109"/>
      <c r="BN20" s="110"/>
      <c r="BO20" s="108"/>
      <c r="BP20" s="109"/>
      <c r="BQ20" s="109"/>
      <c r="BR20" s="110"/>
      <c r="BX20" s="21"/>
      <c r="BY20" s="44"/>
      <c r="BZ20" s="22"/>
      <c r="CB20" s="5"/>
      <c r="CC20" s="41"/>
    </row>
    <row r="21" spans="1:81" ht="21" customHeight="1" x14ac:dyDescent="0.55000000000000004">
      <c r="A21" s="5"/>
      <c r="G21" s="7"/>
      <c r="K21" s="111"/>
      <c r="L21" s="112"/>
      <c r="M21" s="112"/>
      <c r="N21" s="113"/>
      <c r="O21" s="111"/>
      <c r="P21" s="112"/>
      <c r="Q21" s="112"/>
      <c r="R21" s="112"/>
      <c r="V21" s="8"/>
      <c r="W21" s="111"/>
      <c r="X21" s="112"/>
      <c r="Y21" s="112"/>
      <c r="Z21" s="113"/>
      <c r="AA21" s="111"/>
      <c r="AB21" s="112"/>
      <c r="AC21" s="112"/>
      <c r="AD21" s="112"/>
      <c r="AI21" s="111"/>
      <c r="AJ21" s="112"/>
      <c r="AK21" s="112"/>
      <c r="AL21" s="113"/>
      <c r="AM21" s="111"/>
      <c r="AN21" s="112"/>
      <c r="AO21" s="112"/>
      <c r="AP21" s="113"/>
      <c r="AQ21" s="111"/>
      <c r="AR21" s="112"/>
      <c r="AS21" s="112"/>
      <c r="AT21" s="113"/>
      <c r="AU21" s="111"/>
      <c r="AV21" s="112"/>
      <c r="AW21" s="112"/>
      <c r="AX21" s="113"/>
      <c r="AY21" s="111"/>
      <c r="AZ21" s="112"/>
      <c r="BA21" s="112"/>
      <c r="BB21" s="113"/>
      <c r="BC21" s="111"/>
      <c r="BD21" s="112"/>
      <c r="BE21" s="112"/>
      <c r="BF21" s="113"/>
      <c r="BG21" s="111"/>
      <c r="BH21" s="112"/>
      <c r="BI21" s="112"/>
      <c r="BJ21" s="113"/>
      <c r="BK21" s="111"/>
      <c r="BL21" s="112"/>
      <c r="BM21" s="112"/>
      <c r="BN21" s="113"/>
      <c r="BO21" s="111"/>
      <c r="BP21" s="112"/>
      <c r="BQ21" s="112"/>
      <c r="BR21" s="113"/>
      <c r="BX21" s="21"/>
      <c r="BY21" s="44"/>
      <c r="BZ21" s="22"/>
      <c r="CB21" s="5"/>
      <c r="CC21" s="41"/>
    </row>
    <row r="22" spans="1:81" ht="21" customHeight="1" thickBot="1" x14ac:dyDescent="0.6">
      <c r="A22" s="5"/>
      <c r="G22" s="10"/>
      <c r="H22" s="11"/>
      <c r="I22" s="11"/>
      <c r="J22" s="11"/>
      <c r="K22" s="114"/>
      <c r="L22" s="115"/>
      <c r="M22" s="115"/>
      <c r="N22" s="116"/>
      <c r="O22" s="114"/>
      <c r="P22" s="115"/>
      <c r="Q22" s="115"/>
      <c r="R22" s="115"/>
      <c r="S22" s="11"/>
      <c r="T22" s="11"/>
      <c r="U22" s="11"/>
      <c r="V22" s="13"/>
      <c r="W22" s="121"/>
      <c r="X22" s="119"/>
      <c r="Y22" s="119"/>
      <c r="Z22" s="122"/>
      <c r="AA22" s="114"/>
      <c r="AB22" s="115"/>
      <c r="AC22" s="115"/>
      <c r="AD22" s="115"/>
      <c r="AI22" s="114"/>
      <c r="AJ22" s="115"/>
      <c r="AK22" s="115"/>
      <c r="AL22" s="116"/>
      <c r="AM22" s="114"/>
      <c r="AN22" s="115"/>
      <c r="AO22" s="115"/>
      <c r="AP22" s="116"/>
      <c r="AQ22" s="114"/>
      <c r="AR22" s="115"/>
      <c r="AS22" s="115"/>
      <c r="AT22" s="116"/>
      <c r="AU22" s="114"/>
      <c r="AV22" s="115"/>
      <c r="AW22" s="115"/>
      <c r="AX22" s="116"/>
      <c r="AY22" s="114"/>
      <c r="AZ22" s="115"/>
      <c r="BA22" s="115"/>
      <c r="BB22" s="116"/>
      <c r="BC22" s="114"/>
      <c r="BD22" s="115"/>
      <c r="BE22" s="115"/>
      <c r="BF22" s="116"/>
      <c r="BG22" s="114"/>
      <c r="BH22" s="115"/>
      <c r="BI22" s="115"/>
      <c r="BJ22" s="116"/>
      <c r="BK22" s="114"/>
      <c r="BL22" s="115"/>
      <c r="BM22" s="115"/>
      <c r="BN22" s="116"/>
      <c r="BO22" s="114"/>
      <c r="BP22" s="115"/>
      <c r="BQ22" s="115"/>
      <c r="BR22" s="116"/>
      <c r="BX22" s="21"/>
      <c r="BY22" s="44"/>
      <c r="BZ22" s="22"/>
      <c r="CB22" s="5"/>
      <c r="CC22" s="41"/>
    </row>
    <row r="23" spans="1:81" ht="21" customHeight="1" x14ac:dyDescent="0.55000000000000004">
      <c r="A23" s="5"/>
      <c r="C23" s="1" t="s">
        <v>167</v>
      </c>
      <c r="G23" s="4">
        <v>34</v>
      </c>
      <c r="H23" s="117" t="s">
        <v>576</v>
      </c>
      <c r="I23" s="117"/>
      <c r="J23" s="117"/>
      <c r="K23" s="6"/>
      <c r="L23" s="6"/>
      <c r="M23" s="6"/>
      <c r="N23" s="6"/>
      <c r="O23" s="6"/>
      <c r="P23" s="6"/>
      <c r="Q23" s="6"/>
      <c r="R23" s="9"/>
      <c r="S23" s="4">
        <v>35</v>
      </c>
      <c r="T23" s="117" t="s">
        <v>577</v>
      </c>
      <c r="U23" s="117"/>
      <c r="V23" s="118"/>
      <c r="AA23" s="4">
        <v>36</v>
      </c>
      <c r="AB23" s="117" t="s">
        <v>578</v>
      </c>
      <c r="AC23" s="117"/>
      <c r="AD23" s="118"/>
      <c r="AE23" s="4">
        <v>37</v>
      </c>
      <c r="AF23" s="117" t="s">
        <v>579</v>
      </c>
      <c r="AG23" s="117"/>
      <c r="AH23" s="118"/>
      <c r="AI23" s="4">
        <v>38</v>
      </c>
      <c r="AJ23" s="117" t="s">
        <v>580</v>
      </c>
      <c r="AK23" s="117"/>
      <c r="AL23" s="118"/>
      <c r="AM23" s="4">
        <v>39</v>
      </c>
      <c r="AN23" s="117" t="s">
        <v>581</v>
      </c>
      <c r="AO23" s="117"/>
      <c r="AP23" s="117"/>
      <c r="AQ23" s="6"/>
      <c r="AR23" s="6"/>
      <c r="AS23" s="6"/>
      <c r="AT23" s="6"/>
      <c r="AU23" s="4">
        <v>40</v>
      </c>
      <c r="AV23" s="117" t="s">
        <v>582</v>
      </c>
      <c r="AW23" s="117"/>
      <c r="AX23" s="117"/>
      <c r="AY23" s="12">
        <v>41</v>
      </c>
      <c r="AZ23" s="117" t="s">
        <v>583</v>
      </c>
      <c r="BA23" s="117"/>
      <c r="BB23" s="117"/>
      <c r="BC23" s="12">
        <v>42</v>
      </c>
      <c r="BD23" s="117" t="s">
        <v>584</v>
      </c>
      <c r="BE23" s="117"/>
      <c r="BF23" s="117"/>
      <c r="BG23" s="12">
        <v>43</v>
      </c>
      <c r="BH23" s="117" t="s">
        <v>585</v>
      </c>
      <c r="BI23" s="117"/>
      <c r="BJ23" s="118"/>
      <c r="BK23" s="12">
        <v>44</v>
      </c>
      <c r="BL23" s="117" t="s">
        <v>586</v>
      </c>
      <c r="BM23" s="117"/>
      <c r="BN23" s="117"/>
      <c r="BO23" s="6"/>
      <c r="BP23" s="6"/>
      <c r="BQ23" s="6"/>
      <c r="BR23" s="9"/>
      <c r="BS23" s="4">
        <v>45</v>
      </c>
      <c r="BT23" s="117" t="s">
        <v>587</v>
      </c>
      <c r="BU23" s="117"/>
      <c r="BV23" s="118"/>
      <c r="BX23" s="21"/>
      <c r="BY23" s="44"/>
      <c r="BZ23" s="22"/>
      <c r="CB23" s="5"/>
      <c r="CC23" s="41"/>
    </row>
    <row r="24" spans="1:81" ht="21" customHeight="1" x14ac:dyDescent="0.55000000000000004">
      <c r="A24" s="5"/>
      <c r="G24" s="108"/>
      <c r="H24" s="109"/>
      <c r="I24" s="109"/>
      <c r="J24" s="109"/>
      <c r="R24" s="8"/>
      <c r="S24" s="108"/>
      <c r="T24" s="109"/>
      <c r="U24" s="109"/>
      <c r="V24" s="110"/>
      <c r="W24" s="7"/>
      <c r="Z24" s="8"/>
      <c r="AA24" s="108"/>
      <c r="AB24" s="109"/>
      <c r="AC24" s="109"/>
      <c r="AD24" s="110"/>
      <c r="AE24" s="108"/>
      <c r="AF24" s="109"/>
      <c r="AG24" s="109"/>
      <c r="AH24" s="110"/>
      <c r="AI24" s="108"/>
      <c r="AJ24" s="109"/>
      <c r="AK24" s="109"/>
      <c r="AL24" s="110"/>
      <c r="AM24" s="108"/>
      <c r="AN24" s="109"/>
      <c r="AO24" s="109"/>
      <c r="AP24" s="109"/>
      <c r="AU24" s="108"/>
      <c r="AV24" s="109"/>
      <c r="AW24" s="109"/>
      <c r="AX24" s="109"/>
      <c r="AY24" s="109"/>
      <c r="AZ24" s="109"/>
      <c r="BA24" s="109"/>
      <c r="BB24" s="109"/>
      <c r="BC24" s="109"/>
      <c r="BD24" s="109"/>
      <c r="BE24" s="109"/>
      <c r="BF24" s="109"/>
      <c r="BG24" s="109"/>
      <c r="BH24" s="109"/>
      <c r="BI24" s="109"/>
      <c r="BJ24" s="109"/>
      <c r="BK24" s="108"/>
      <c r="BL24" s="109"/>
      <c r="BM24" s="109"/>
      <c r="BN24" s="109"/>
      <c r="BR24" s="8"/>
      <c r="BS24" s="108"/>
      <c r="BT24" s="109"/>
      <c r="BU24" s="109"/>
      <c r="BV24" s="110"/>
      <c r="BX24" s="21"/>
      <c r="BY24" s="44"/>
      <c r="BZ24" s="22"/>
      <c r="CB24" s="5"/>
      <c r="CC24" s="41"/>
    </row>
    <row r="25" spans="1:81" ht="21" customHeight="1" x14ac:dyDescent="0.55000000000000004">
      <c r="A25" s="5"/>
      <c r="G25" s="111"/>
      <c r="H25" s="112"/>
      <c r="I25" s="112"/>
      <c r="J25" s="112"/>
      <c r="R25" s="8"/>
      <c r="S25" s="111"/>
      <c r="T25" s="112"/>
      <c r="U25" s="112"/>
      <c r="V25" s="113"/>
      <c r="W25" s="7"/>
      <c r="Z25" s="8"/>
      <c r="AA25" s="111"/>
      <c r="AB25" s="112"/>
      <c r="AC25" s="112"/>
      <c r="AD25" s="113"/>
      <c r="AE25" s="111"/>
      <c r="AF25" s="112"/>
      <c r="AG25" s="112"/>
      <c r="AH25" s="113"/>
      <c r="AI25" s="111"/>
      <c r="AJ25" s="112"/>
      <c r="AK25" s="112"/>
      <c r="AL25" s="113"/>
      <c r="AM25" s="111"/>
      <c r="AN25" s="112"/>
      <c r="AO25" s="112"/>
      <c r="AP25" s="112"/>
      <c r="AU25" s="111"/>
      <c r="AV25" s="112"/>
      <c r="AW25" s="112"/>
      <c r="AX25" s="112"/>
      <c r="AY25" s="112"/>
      <c r="AZ25" s="112"/>
      <c r="BA25" s="112"/>
      <c r="BB25" s="112"/>
      <c r="BC25" s="112"/>
      <c r="BD25" s="112"/>
      <c r="BE25" s="112"/>
      <c r="BF25" s="112"/>
      <c r="BG25" s="112"/>
      <c r="BH25" s="112"/>
      <c r="BI25" s="112"/>
      <c r="BJ25" s="112"/>
      <c r="BK25" s="111"/>
      <c r="BL25" s="112"/>
      <c r="BM25" s="112"/>
      <c r="BN25" s="112"/>
      <c r="BR25" s="8"/>
      <c r="BS25" s="111"/>
      <c r="BT25" s="112"/>
      <c r="BU25" s="112"/>
      <c r="BV25" s="113"/>
      <c r="BX25" s="21"/>
      <c r="BY25" s="44"/>
      <c r="BZ25" s="22"/>
      <c r="CB25" s="5"/>
      <c r="CC25" s="41"/>
    </row>
    <row r="26" spans="1:81" ht="21" customHeight="1" thickBot="1" x14ac:dyDescent="0.6">
      <c r="A26" s="5"/>
      <c r="G26" s="114"/>
      <c r="H26" s="115"/>
      <c r="I26" s="115"/>
      <c r="J26" s="115"/>
      <c r="R26" s="8"/>
      <c r="S26" s="114"/>
      <c r="T26" s="115"/>
      <c r="U26" s="115"/>
      <c r="V26" s="116"/>
      <c r="W26" s="10"/>
      <c r="X26" s="11"/>
      <c r="Y26" s="11"/>
      <c r="Z26" s="13"/>
      <c r="AA26" s="114"/>
      <c r="AB26" s="115"/>
      <c r="AC26" s="115"/>
      <c r="AD26" s="116"/>
      <c r="AE26" s="114"/>
      <c r="AF26" s="115"/>
      <c r="AG26" s="115"/>
      <c r="AH26" s="116"/>
      <c r="AI26" s="114"/>
      <c r="AJ26" s="115"/>
      <c r="AK26" s="115"/>
      <c r="AL26" s="116"/>
      <c r="AM26" s="114"/>
      <c r="AN26" s="115"/>
      <c r="AO26" s="115"/>
      <c r="AP26" s="115"/>
      <c r="AU26" s="114"/>
      <c r="AV26" s="115"/>
      <c r="AW26" s="115"/>
      <c r="AX26" s="115"/>
      <c r="AY26" s="119"/>
      <c r="AZ26" s="119"/>
      <c r="BA26" s="119"/>
      <c r="BB26" s="119"/>
      <c r="BC26" s="119"/>
      <c r="BD26" s="119"/>
      <c r="BE26" s="119"/>
      <c r="BF26" s="119"/>
      <c r="BG26" s="119"/>
      <c r="BH26" s="119"/>
      <c r="BI26" s="119"/>
      <c r="BJ26" s="119"/>
      <c r="BK26" s="114"/>
      <c r="BL26" s="115"/>
      <c r="BM26" s="115"/>
      <c r="BN26" s="115"/>
      <c r="BO26" s="11"/>
      <c r="BP26" s="11"/>
      <c r="BQ26" s="11"/>
      <c r="BR26" s="13"/>
      <c r="BS26" s="114"/>
      <c r="BT26" s="115"/>
      <c r="BU26" s="115"/>
      <c r="BV26" s="116"/>
      <c r="BX26" s="21"/>
      <c r="BY26" s="44"/>
      <c r="BZ26" s="22"/>
      <c r="CB26" s="5"/>
      <c r="CC26" s="41"/>
    </row>
    <row r="27" spans="1:81" ht="21" customHeight="1" x14ac:dyDescent="0.55000000000000004">
      <c r="A27" s="5"/>
      <c r="C27" s="1" t="s">
        <v>168</v>
      </c>
      <c r="G27" s="4">
        <v>46</v>
      </c>
      <c r="H27" s="117" t="s">
        <v>588</v>
      </c>
      <c r="I27" s="117"/>
      <c r="J27" s="118"/>
      <c r="R27" s="8"/>
      <c r="S27" s="4">
        <v>47</v>
      </c>
      <c r="T27" s="117" t="s">
        <v>589</v>
      </c>
      <c r="U27" s="117"/>
      <c r="V27" s="117"/>
      <c r="W27" s="6"/>
      <c r="X27" s="6"/>
      <c r="Y27" s="6"/>
      <c r="Z27" s="6"/>
      <c r="AA27" s="6"/>
      <c r="AB27" s="6"/>
      <c r="AC27" s="6"/>
      <c r="AD27" s="6"/>
      <c r="AE27" s="6"/>
      <c r="AF27" s="6"/>
      <c r="AG27" s="6"/>
      <c r="AH27" s="6"/>
      <c r="AI27" s="4">
        <v>48</v>
      </c>
      <c r="AJ27" s="117" t="s">
        <v>590</v>
      </c>
      <c r="AK27" s="117"/>
      <c r="AL27" s="118"/>
      <c r="AM27" s="4">
        <v>49</v>
      </c>
      <c r="AN27" s="117" t="s">
        <v>591</v>
      </c>
      <c r="AO27" s="117"/>
      <c r="AP27" s="118"/>
      <c r="AQ27" s="4">
        <v>50</v>
      </c>
      <c r="AR27" s="117" t="s">
        <v>592</v>
      </c>
      <c r="AS27" s="117"/>
      <c r="AT27" s="118"/>
      <c r="AU27" s="4">
        <v>51</v>
      </c>
      <c r="AV27" s="117" t="s">
        <v>593</v>
      </c>
      <c r="AW27" s="117"/>
      <c r="AX27" s="118"/>
      <c r="AY27" s="14">
        <v>52</v>
      </c>
      <c r="AZ27" s="120" t="s">
        <v>594</v>
      </c>
      <c r="BA27" s="120"/>
      <c r="BB27" s="120"/>
      <c r="BC27" s="3">
        <v>53</v>
      </c>
      <c r="BD27" s="120" t="s">
        <v>595</v>
      </c>
      <c r="BE27" s="120"/>
      <c r="BF27" s="120"/>
      <c r="BG27" s="3">
        <v>54</v>
      </c>
      <c r="BH27" s="120" t="s">
        <v>87</v>
      </c>
      <c r="BI27" s="120"/>
      <c r="BJ27" s="120"/>
      <c r="BK27" s="4">
        <v>55</v>
      </c>
      <c r="BL27" s="117" t="s">
        <v>596</v>
      </c>
      <c r="BM27" s="117"/>
      <c r="BN27" s="117"/>
      <c r="BS27" s="4">
        <v>56</v>
      </c>
      <c r="BT27" s="117" t="s">
        <v>58</v>
      </c>
      <c r="BU27" s="117"/>
      <c r="BV27" s="118"/>
      <c r="BX27" s="21"/>
      <c r="BY27" s="44"/>
      <c r="BZ27" s="22"/>
      <c r="CB27" s="5"/>
      <c r="CC27" s="41"/>
    </row>
    <row r="28" spans="1:81" ht="21" customHeight="1" x14ac:dyDescent="0.55000000000000004">
      <c r="A28" s="5"/>
      <c r="G28" s="108"/>
      <c r="H28" s="109"/>
      <c r="I28" s="109"/>
      <c r="J28" s="110"/>
      <c r="R28" s="8"/>
      <c r="S28" s="108"/>
      <c r="T28" s="109"/>
      <c r="U28" s="109"/>
      <c r="V28" s="109"/>
      <c r="AI28" s="108"/>
      <c r="AJ28" s="109"/>
      <c r="AK28" s="109"/>
      <c r="AL28" s="110"/>
      <c r="AM28" s="108"/>
      <c r="AN28" s="109"/>
      <c r="AO28" s="109"/>
      <c r="AP28" s="110"/>
      <c r="AQ28" s="108"/>
      <c r="AR28" s="109"/>
      <c r="AS28" s="109"/>
      <c r="AT28" s="110"/>
      <c r="AU28" s="108"/>
      <c r="AV28" s="109"/>
      <c r="AW28" s="109"/>
      <c r="AX28" s="110"/>
      <c r="AY28" s="108"/>
      <c r="AZ28" s="109"/>
      <c r="BA28" s="109"/>
      <c r="BB28" s="109"/>
      <c r="BC28" s="109"/>
      <c r="BD28" s="109"/>
      <c r="BE28" s="109"/>
      <c r="BF28" s="109"/>
      <c r="BG28" s="109"/>
      <c r="BH28" s="109"/>
      <c r="BI28" s="109"/>
      <c r="BJ28" s="109"/>
      <c r="BK28" s="108"/>
      <c r="BL28" s="109"/>
      <c r="BM28" s="109"/>
      <c r="BN28" s="109"/>
      <c r="BS28" s="108"/>
      <c r="BT28" s="109"/>
      <c r="BU28" s="109"/>
      <c r="BV28" s="110"/>
      <c r="CB28" s="5"/>
      <c r="CC28" s="41"/>
    </row>
    <row r="29" spans="1:81" ht="21" customHeight="1" x14ac:dyDescent="0.55000000000000004">
      <c r="A29" s="5"/>
      <c r="G29" s="111"/>
      <c r="H29" s="112"/>
      <c r="I29" s="112"/>
      <c r="J29" s="113"/>
      <c r="R29" s="8"/>
      <c r="S29" s="111"/>
      <c r="T29" s="112"/>
      <c r="U29" s="112"/>
      <c r="V29" s="112"/>
      <c r="AI29" s="111"/>
      <c r="AJ29" s="112"/>
      <c r="AK29" s="112"/>
      <c r="AL29" s="113"/>
      <c r="AM29" s="111"/>
      <c r="AN29" s="112"/>
      <c r="AO29" s="112"/>
      <c r="AP29" s="113"/>
      <c r="AQ29" s="111"/>
      <c r="AR29" s="112"/>
      <c r="AS29" s="112"/>
      <c r="AT29" s="113"/>
      <c r="AU29" s="111"/>
      <c r="AV29" s="112"/>
      <c r="AW29" s="112"/>
      <c r="AX29" s="113"/>
      <c r="AY29" s="111"/>
      <c r="AZ29" s="112"/>
      <c r="BA29" s="112"/>
      <c r="BB29" s="112"/>
      <c r="BC29" s="112"/>
      <c r="BD29" s="112"/>
      <c r="BE29" s="112"/>
      <c r="BF29" s="112"/>
      <c r="BG29" s="112"/>
      <c r="BH29" s="112"/>
      <c r="BI29" s="112"/>
      <c r="BJ29" s="112"/>
      <c r="BK29" s="111"/>
      <c r="BL29" s="112"/>
      <c r="BM29" s="112"/>
      <c r="BN29" s="112"/>
      <c r="BS29" s="111"/>
      <c r="BT29" s="112"/>
      <c r="BU29" s="112"/>
      <c r="BV29" s="113"/>
      <c r="CB29" s="5"/>
      <c r="CC29" s="41"/>
    </row>
    <row r="30" spans="1:81" ht="21" customHeight="1" thickBot="1" x14ac:dyDescent="0.6">
      <c r="A30" s="5"/>
      <c r="G30" s="114"/>
      <c r="H30" s="115"/>
      <c r="I30" s="115"/>
      <c r="J30" s="116"/>
      <c r="R30" s="8"/>
      <c r="S30" s="121"/>
      <c r="T30" s="119"/>
      <c r="U30" s="119"/>
      <c r="V30" s="119"/>
      <c r="AI30" s="114"/>
      <c r="AJ30" s="115"/>
      <c r="AK30" s="115"/>
      <c r="AL30" s="116"/>
      <c r="AM30" s="114"/>
      <c r="AN30" s="115"/>
      <c r="AO30" s="115"/>
      <c r="AP30" s="116"/>
      <c r="AQ30" s="114"/>
      <c r="AR30" s="115"/>
      <c r="AS30" s="115"/>
      <c r="AT30" s="116"/>
      <c r="AU30" s="114"/>
      <c r="AV30" s="115"/>
      <c r="AW30" s="115"/>
      <c r="AX30" s="116"/>
      <c r="AY30" s="121"/>
      <c r="AZ30" s="119"/>
      <c r="BA30" s="119"/>
      <c r="BB30" s="119"/>
      <c r="BC30" s="119"/>
      <c r="BD30" s="119"/>
      <c r="BE30" s="119"/>
      <c r="BF30" s="119"/>
      <c r="BG30" s="119"/>
      <c r="BH30" s="119"/>
      <c r="BI30" s="119"/>
      <c r="BJ30" s="119"/>
      <c r="BK30" s="121"/>
      <c r="BL30" s="119"/>
      <c r="BM30" s="119"/>
      <c r="BN30" s="119"/>
      <c r="BS30" s="114"/>
      <c r="BT30" s="115"/>
      <c r="BU30" s="115"/>
      <c r="BV30" s="116"/>
      <c r="CB30" s="5"/>
      <c r="CC30" s="41"/>
    </row>
    <row r="31" spans="1:81" ht="21" customHeight="1" x14ac:dyDescent="0.55000000000000004">
      <c r="A31" s="5"/>
      <c r="C31" s="1" t="s">
        <v>169</v>
      </c>
      <c r="G31" s="7"/>
      <c r="R31" s="8"/>
      <c r="S31" s="7"/>
      <c r="AM31" s="4">
        <v>57</v>
      </c>
      <c r="AN31" s="117" t="s">
        <v>597</v>
      </c>
      <c r="AO31" s="117"/>
      <c r="AP31" s="118"/>
      <c r="AQ31" s="4">
        <v>58</v>
      </c>
      <c r="AR31" s="117" t="s">
        <v>598</v>
      </c>
      <c r="AS31" s="117"/>
      <c r="AT31" s="118"/>
      <c r="AU31" s="4">
        <v>59</v>
      </c>
      <c r="AV31" s="117" t="s">
        <v>599</v>
      </c>
      <c r="AW31" s="117"/>
      <c r="AX31" s="118"/>
      <c r="AY31" s="14">
        <v>60</v>
      </c>
      <c r="AZ31" s="120" t="s">
        <v>600</v>
      </c>
      <c r="BA31" s="120"/>
      <c r="BB31" s="120"/>
      <c r="BC31" s="3">
        <v>61</v>
      </c>
      <c r="BD31" s="120" t="s">
        <v>601</v>
      </c>
      <c r="BE31" s="120"/>
      <c r="BF31" s="120"/>
      <c r="BG31" s="3">
        <v>62</v>
      </c>
      <c r="BH31" s="120" t="s">
        <v>602</v>
      </c>
      <c r="BI31" s="120"/>
      <c r="BJ31" s="120"/>
      <c r="BK31" s="7"/>
      <c r="BS31" s="4">
        <v>63</v>
      </c>
      <c r="BT31" s="117" t="s">
        <v>603</v>
      </c>
      <c r="BU31" s="117"/>
      <c r="BV31" s="118"/>
      <c r="CB31" s="5"/>
      <c r="CC31" s="41"/>
    </row>
    <row r="32" spans="1:81" ht="21" customHeight="1" x14ac:dyDescent="0.55000000000000004">
      <c r="A32" s="5"/>
      <c r="G32" s="7"/>
      <c r="R32" s="8"/>
      <c r="S32" s="7"/>
      <c r="AM32" s="108"/>
      <c r="AN32" s="109"/>
      <c r="AO32" s="109"/>
      <c r="AP32" s="110"/>
      <c r="AQ32" s="108"/>
      <c r="AR32" s="109"/>
      <c r="AS32" s="109"/>
      <c r="AT32" s="110"/>
      <c r="AU32" s="108"/>
      <c r="AV32" s="109"/>
      <c r="AW32" s="109"/>
      <c r="AX32" s="110"/>
      <c r="AY32" s="108"/>
      <c r="AZ32" s="109"/>
      <c r="BA32" s="109"/>
      <c r="BB32" s="109"/>
      <c r="BC32" s="109"/>
      <c r="BD32" s="109"/>
      <c r="BE32" s="109"/>
      <c r="BF32" s="109"/>
      <c r="BG32" s="109"/>
      <c r="BH32" s="109"/>
      <c r="BI32" s="109"/>
      <c r="BJ32" s="109"/>
      <c r="BK32" s="7"/>
      <c r="BS32" s="108"/>
      <c r="BT32" s="109"/>
      <c r="BU32" s="109"/>
      <c r="BV32" s="110"/>
      <c r="CB32" s="5"/>
      <c r="CC32" s="41"/>
    </row>
    <row r="33" spans="1:81" ht="21" customHeight="1" x14ac:dyDescent="0.55000000000000004">
      <c r="A33" s="5"/>
      <c r="G33" s="7"/>
      <c r="R33" s="8"/>
      <c r="S33" s="7"/>
      <c r="AI33" s="24"/>
      <c r="AM33" s="111"/>
      <c r="AN33" s="112"/>
      <c r="AO33" s="112"/>
      <c r="AP33" s="113"/>
      <c r="AQ33" s="111"/>
      <c r="AR33" s="112"/>
      <c r="AS33" s="112"/>
      <c r="AT33" s="113"/>
      <c r="AU33" s="111"/>
      <c r="AV33" s="112"/>
      <c r="AW33" s="112"/>
      <c r="AX33" s="113"/>
      <c r="AY33" s="111"/>
      <c r="AZ33" s="112"/>
      <c r="BA33" s="112"/>
      <c r="BB33" s="112"/>
      <c r="BC33" s="112"/>
      <c r="BD33" s="112"/>
      <c r="BE33" s="112"/>
      <c r="BF33" s="112"/>
      <c r="BG33" s="112"/>
      <c r="BH33" s="112"/>
      <c r="BI33" s="112"/>
      <c r="BJ33" s="112"/>
      <c r="BK33" s="7"/>
      <c r="BS33" s="111"/>
      <c r="BT33" s="112"/>
      <c r="BU33" s="112"/>
      <c r="BV33" s="113"/>
      <c r="CB33" s="5"/>
      <c r="CC33" s="41"/>
    </row>
    <row r="34" spans="1:81"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4"/>
      <c r="AN34" s="115"/>
      <c r="AO34" s="115"/>
      <c r="AP34" s="116"/>
      <c r="AQ34" s="114"/>
      <c r="AR34" s="115"/>
      <c r="AS34" s="115"/>
      <c r="AT34" s="116"/>
      <c r="AU34" s="114"/>
      <c r="AV34" s="115"/>
      <c r="AW34" s="115"/>
      <c r="AX34" s="116"/>
      <c r="AY34" s="114"/>
      <c r="AZ34" s="115"/>
      <c r="BA34" s="115"/>
      <c r="BB34" s="115"/>
      <c r="BC34" s="119"/>
      <c r="BD34" s="119"/>
      <c r="BE34" s="119"/>
      <c r="BF34" s="119"/>
      <c r="BG34" s="119"/>
      <c r="BH34" s="119"/>
      <c r="BI34" s="119"/>
      <c r="BJ34" s="119"/>
      <c r="BK34" s="7"/>
      <c r="BS34" s="114"/>
      <c r="BT34" s="115"/>
      <c r="BU34" s="115"/>
      <c r="BV34" s="116"/>
      <c r="CB34" s="5"/>
      <c r="CC34" s="41"/>
    </row>
    <row r="35" spans="1:81" ht="21" customHeight="1" x14ac:dyDescent="0.55000000000000004">
      <c r="A35" s="5"/>
      <c r="C35" s="1" t="s">
        <v>170</v>
      </c>
      <c r="AM35" s="4">
        <v>64</v>
      </c>
      <c r="AN35" s="117" t="s">
        <v>47</v>
      </c>
      <c r="AO35" s="117"/>
      <c r="AP35" s="118"/>
      <c r="AQ35" s="4">
        <v>65</v>
      </c>
      <c r="AR35" s="117" t="s">
        <v>74</v>
      </c>
      <c r="AS35" s="117"/>
      <c r="AT35" s="118"/>
      <c r="AU35" s="4">
        <v>66</v>
      </c>
      <c r="AV35" s="117" t="s">
        <v>73</v>
      </c>
      <c r="AW35" s="117"/>
      <c r="AX35" s="118"/>
      <c r="AY35" s="4">
        <v>67</v>
      </c>
      <c r="AZ35" s="117" t="s">
        <v>71</v>
      </c>
      <c r="BA35" s="117"/>
      <c r="BB35" s="118"/>
      <c r="BC35" s="4">
        <v>68</v>
      </c>
      <c r="BD35" s="117" t="s">
        <v>69</v>
      </c>
      <c r="BE35" s="117"/>
      <c r="BF35" s="118"/>
      <c r="BG35" s="4">
        <v>69</v>
      </c>
      <c r="BH35" s="117" t="s">
        <v>67</v>
      </c>
      <c r="BI35" s="117"/>
      <c r="BJ35" s="118"/>
      <c r="BK35" s="4">
        <v>70</v>
      </c>
      <c r="BL35" s="117" t="s">
        <v>65</v>
      </c>
      <c r="BM35" s="117"/>
      <c r="BN35" s="118"/>
      <c r="BO35" s="4">
        <v>71</v>
      </c>
      <c r="BP35" s="117" t="s">
        <v>63</v>
      </c>
      <c r="BQ35" s="117"/>
      <c r="BR35" s="118"/>
      <c r="BS35" s="4">
        <v>72</v>
      </c>
      <c r="BT35" s="117" t="s">
        <v>61</v>
      </c>
      <c r="BU35" s="117"/>
      <c r="BV35" s="118"/>
      <c r="CB35" s="5"/>
      <c r="CC35" s="41"/>
    </row>
    <row r="36" spans="1:81" ht="21" customHeight="1" x14ac:dyDescent="0.55000000000000004">
      <c r="A36" s="5"/>
      <c r="AM36" s="108"/>
      <c r="AN36" s="109"/>
      <c r="AO36" s="109"/>
      <c r="AP36" s="110"/>
      <c r="AQ36" s="108"/>
      <c r="AR36" s="109"/>
      <c r="AS36" s="109"/>
      <c r="AT36" s="110"/>
      <c r="AU36" s="108"/>
      <c r="AV36" s="109"/>
      <c r="AW36" s="109"/>
      <c r="AX36" s="110"/>
      <c r="AY36" s="108"/>
      <c r="AZ36" s="109"/>
      <c r="BA36" s="109"/>
      <c r="BB36" s="110"/>
      <c r="BC36" s="108"/>
      <c r="BD36" s="109"/>
      <c r="BE36" s="109"/>
      <c r="BF36" s="110"/>
      <c r="BG36" s="108"/>
      <c r="BH36" s="109"/>
      <c r="BI36" s="109"/>
      <c r="BJ36" s="110"/>
      <c r="BK36" s="108"/>
      <c r="BL36" s="109"/>
      <c r="BM36" s="109"/>
      <c r="BN36" s="110"/>
      <c r="BO36" s="108"/>
      <c r="BP36" s="109"/>
      <c r="BQ36" s="109"/>
      <c r="BR36" s="110"/>
      <c r="BS36" s="108"/>
      <c r="BT36" s="109"/>
      <c r="BU36" s="109"/>
      <c r="BV36" s="110"/>
      <c r="CB36" s="5"/>
      <c r="CC36" s="41"/>
    </row>
    <row r="37" spans="1:81" ht="21" customHeight="1" x14ac:dyDescent="0.55000000000000004">
      <c r="A37" s="5"/>
      <c r="AM37" s="111"/>
      <c r="AN37" s="112"/>
      <c r="AO37" s="112"/>
      <c r="AP37" s="113"/>
      <c r="AQ37" s="111"/>
      <c r="AR37" s="112"/>
      <c r="AS37" s="112"/>
      <c r="AT37" s="113"/>
      <c r="AU37" s="111"/>
      <c r="AV37" s="112"/>
      <c r="AW37" s="112"/>
      <c r="AX37" s="113"/>
      <c r="AY37" s="111"/>
      <c r="AZ37" s="112"/>
      <c r="BA37" s="112"/>
      <c r="BB37" s="113"/>
      <c r="BC37" s="111"/>
      <c r="BD37" s="112"/>
      <c r="BE37" s="112"/>
      <c r="BF37" s="113"/>
      <c r="BG37" s="111"/>
      <c r="BH37" s="112"/>
      <c r="BI37" s="112"/>
      <c r="BJ37" s="113"/>
      <c r="BK37" s="111"/>
      <c r="BL37" s="112"/>
      <c r="BM37" s="112"/>
      <c r="BN37" s="113"/>
      <c r="BO37" s="111"/>
      <c r="BP37" s="112"/>
      <c r="BQ37" s="112"/>
      <c r="BR37" s="113"/>
      <c r="BS37" s="111"/>
      <c r="BT37" s="112"/>
      <c r="BU37" s="112"/>
      <c r="BV37" s="113"/>
      <c r="CB37" s="5"/>
      <c r="CC37" s="41"/>
    </row>
    <row r="38" spans="1:81" ht="21" customHeight="1" thickBot="1" x14ac:dyDescent="0.6">
      <c r="A38" s="5"/>
      <c r="B38" t="s">
        <v>548</v>
      </c>
      <c r="G38" s="15"/>
      <c r="AM38" s="114"/>
      <c r="AN38" s="115"/>
      <c r="AO38" s="115"/>
      <c r="AP38" s="116"/>
      <c r="AQ38" s="114"/>
      <c r="AR38" s="115"/>
      <c r="AS38" s="115"/>
      <c r="AT38" s="116"/>
      <c r="AU38" s="114"/>
      <c r="AV38" s="115"/>
      <c r="AW38" s="115"/>
      <c r="AX38" s="116"/>
      <c r="AY38" s="114"/>
      <c r="AZ38" s="115"/>
      <c r="BA38" s="115"/>
      <c r="BB38" s="116"/>
      <c r="BC38" s="114"/>
      <c r="BD38" s="115"/>
      <c r="BE38" s="115"/>
      <c r="BF38" s="116"/>
      <c r="BG38" s="114"/>
      <c r="BH38" s="115"/>
      <c r="BI38" s="115"/>
      <c r="BJ38" s="116"/>
      <c r="BK38" s="114"/>
      <c r="BL38" s="115"/>
      <c r="BM38" s="115"/>
      <c r="BN38" s="116"/>
      <c r="BO38" s="114"/>
      <c r="BP38" s="115"/>
      <c r="BQ38" s="115"/>
      <c r="BR38" s="116"/>
      <c r="BS38" s="114"/>
      <c r="BT38" s="115"/>
      <c r="BU38" s="115"/>
      <c r="BV38" s="116"/>
      <c r="CB38" s="5"/>
      <c r="CC38" s="41"/>
    </row>
    <row r="39" spans="1:81" ht="21" customHeight="1" x14ac:dyDescent="0.55000000000000004">
      <c r="A39" s="5"/>
      <c r="B39" t="s">
        <v>360</v>
      </c>
      <c r="CB39" s="5"/>
      <c r="CC39" s="41"/>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1"/>
    </row>
    <row r="41" spans="1:81" ht="21" customHeight="1" x14ac:dyDescent="0.55000000000000004">
      <c r="A41" s="41" t="s">
        <v>252</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row>
  </sheetData>
  <mergeCells count="288">
    <mergeCell ref="H7:J7"/>
    <mergeCell ref="L7:N7"/>
    <mergeCell ref="P7:R7"/>
    <mergeCell ref="X7:Z7"/>
    <mergeCell ref="AR7:AT7"/>
    <mergeCell ref="AV7:AX7"/>
    <mergeCell ref="AV11:AX11"/>
    <mergeCell ref="G12:J12"/>
    <mergeCell ref="G13:J13"/>
    <mergeCell ref="AU12:AX12"/>
    <mergeCell ref="AU13:AX13"/>
    <mergeCell ref="AQ8:AT8"/>
    <mergeCell ref="AQ9:AT9"/>
    <mergeCell ref="AQ10:AT10"/>
    <mergeCell ref="AU8:AX8"/>
    <mergeCell ref="AU9:AX9"/>
    <mergeCell ref="AU10:AX10"/>
    <mergeCell ref="O8:R8"/>
    <mergeCell ref="O9:R9"/>
    <mergeCell ref="O10:R10"/>
    <mergeCell ref="W8:Z8"/>
    <mergeCell ref="W9:Z9"/>
    <mergeCell ref="W10:Z10"/>
    <mergeCell ref="G8:J8"/>
    <mergeCell ref="G9:J9"/>
    <mergeCell ref="G10:J10"/>
    <mergeCell ref="K8:N8"/>
    <mergeCell ref="K9:N9"/>
    <mergeCell ref="K10:N10"/>
    <mergeCell ref="G14:J14"/>
    <mergeCell ref="O12:R12"/>
    <mergeCell ref="O13:R13"/>
    <mergeCell ref="O14:R14"/>
    <mergeCell ref="AQ12:AT12"/>
    <mergeCell ref="AQ13:AT13"/>
    <mergeCell ref="AQ14:AT14"/>
    <mergeCell ref="H11:J11"/>
    <mergeCell ref="P11:R11"/>
    <mergeCell ref="AR11:AT11"/>
    <mergeCell ref="AU14:AX14"/>
    <mergeCell ref="P15:R15"/>
    <mergeCell ref="T15:V15"/>
    <mergeCell ref="X15:Z15"/>
    <mergeCell ref="AB15:AD15"/>
    <mergeCell ref="AF15:AH15"/>
    <mergeCell ref="AJ15:AL15"/>
    <mergeCell ref="AN15:AP15"/>
    <mergeCell ref="AR15:AT15"/>
    <mergeCell ref="AV15:AX15"/>
    <mergeCell ref="BP15:BR15"/>
    <mergeCell ref="O16:R16"/>
    <mergeCell ref="O17:R17"/>
    <mergeCell ref="O18:R18"/>
    <mergeCell ref="S16:V16"/>
    <mergeCell ref="S17:V17"/>
    <mergeCell ref="S18:V18"/>
    <mergeCell ref="W16:Z16"/>
    <mergeCell ref="W17:Z17"/>
    <mergeCell ref="W18:Z18"/>
    <mergeCell ref="BO16:BR16"/>
    <mergeCell ref="BO17:BR17"/>
    <mergeCell ref="BO18:BR18"/>
    <mergeCell ref="AA16:AD16"/>
    <mergeCell ref="AA17:AD17"/>
    <mergeCell ref="AA18:AD18"/>
    <mergeCell ref="AE16:AH16"/>
    <mergeCell ref="AU16:AX16"/>
    <mergeCell ref="AU17:AX17"/>
    <mergeCell ref="AU18:AX18"/>
    <mergeCell ref="AE17:AH17"/>
    <mergeCell ref="AE18:AH18"/>
    <mergeCell ref="AN19:AP19"/>
    <mergeCell ref="AQ16:AT16"/>
    <mergeCell ref="AQ17:AT17"/>
    <mergeCell ref="AQ18:AT18"/>
    <mergeCell ref="AI16:AL16"/>
    <mergeCell ref="AI17:AL17"/>
    <mergeCell ref="AI18:AL18"/>
    <mergeCell ref="AM16:AP16"/>
    <mergeCell ref="AM17:AP17"/>
    <mergeCell ref="AM18:AP18"/>
    <mergeCell ref="AA22:AD22"/>
    <mergeCell ref="AJ19:AL19"/>
    <mergeCell ref="K20:N20"/>
    <mergeCell ref="K21:N21"/>
    <mergeCell ref="K22:N22"/>
    <mergeCell ref="P19:R19"/>
    <mergeCell ref="O20:R20"/>
    <mergeCell ref="O21:R21"/>
    <mergeCell ref="O22:R22"/>
    <mergeCell ref="L19:N19"/>
    <mergeCell ref="X19:Z19"/>
    <mergeCell ref="W20:Z20"/>
    <mergeCell ref="W21:Z21"/>
    <mergeCell ref="AB19:AD19"/>
    <mergeCell ref="AA20:AD20"/>
    <mergeCell ref="AA21:AD21"/>
    <mergeCell ref="BP19:BR19"/>
    <mergeCell ref="AI20:AL20"/>
    <mergeCell ref="AI21:AL21"/>
    <mergeCell ref="AI22:AL22"/>
    <mergeCell ref="AM20:AP20"/>
    <mergeCell ref="AM21:AP21"/>
    <mergeCell ref="AM22:AP22"/>
    <mergeCell ref="AQ20:AT20"/>
    <mergeCell ref="AQ21:AT21"/>
    <mergeCell ref="AQ22:AT22"/>
    <mergeCell ref="AR19:AT19"/>
    <mergeCell ref="AV19:AX19"/>
    <mergeCell ref="AZ19:BB19"/>
    <mergeCell ref="BD19:BF19"/>
    <mergeCell ref="BH19:BJ19"/>
    <mergeCell ref="BL19:BN19"/>
    <mergeCell ref="BO20:BR20"/>
    <mergeCell ref="BO21:BR21"/>
    <mergeCell ref="BO22:BR22"/>
    <mergeCell ref="BC20:BF20"/>
    <mergeCell ref="BC21:BF21"/>
    <mergeCell ref="BC22:BF22"/>
    <mergeCell ref="BG20:BJ20"/>
    <mergeCell ref="BG21:BJ21"/>
    <mergeCell ref="H23:J23"/>
    <mergeCell ref="G24:J24"/>
    <mergeCell ref="G25:J25"/>
    <mergeCell ref="G26:J26"/>
    <mergeCell ref="T23:V23"/>
    <mergeCell ref="S24:V24"/>
    <mergeCell ref="S25:V25"/>
    <mergeCell ref="S26:V26"/>
    <mergeCell ref="W22:Z22"/>
    <mergeCell ref="BK20:BN20"/>
    <mergeCell ref="BK21:BN21"/>
    <mergeCell ref="BK22:BN22"/>
    <mergeCell ref="AU20:AX20"/>
    <mergeCell ref="AU21:AX21"/>
    <mergeCell ref="AU22:AX22"/>
    <mergeCell ref="AY20:BB20"/>
    <mergeCell ref="AY21:BB21"/>
    <mergeCell ref="AY22:BB22"/>
    <mergeCell ref="BG22:BJ22"/>
    <mergeCell ref="BL23:BN23"/>
    <mergeCell ref="BT23:BV23"/>
    <mergeCell ref="BK24:BN24"/>
    <mergeCell ref="BK25:BN25"/>
    <mergeCell ref="BC25:BF25"/>
    <mergeCell ref="AB23:AD23"/>
    <mergeCell ref="AF23:AH23"/>
    <mergeCell ref="AJ23:AL23"/>
    <mergeCell ref="AN23:AP23"/>
    <mergeCell ref="AV23:AX23"/>
    <mergeCell ref="AZ23:BB23"/>
    <mergeCell ref="AI24:AL24"/>
    <mergeCell ref="AI25:AL25"/>
    <mergeCell ref="BS24:BV24"/>
    <mergeCell ref="BS25:BV25"/>
    <mergeCell ref="BD23:BF23"/>
    <mergeCell ref="BH23:BJ23"/>
    <mergeCell ref="AY34:BB34"/>
    <mergeCell ref="AY24:BB24"/>
    <mergeCell ref="AY25:BB25"/>
    <mergeCell ref="AY26:BB26"/>
    <mergeCell ref="BK26:BN26"/>
    <mergeCell ref="AU24:AX24"/>
    <mergeCell ref="AU25:AX25"/>
    <mergeCell ref="AU26:AX26"/>
    <mergeCell ref="AZ27:BB27"/>
    <mergeCell ref="AZ31:BB31"/>
    <mergeCell ref="AY28:BB28"/>
    <mergeCell ref="AY29:BB29"/>
    <mergeCell ref="AY30:BB30"/>
    <mergeCell ref="BC24:BF24"/>
    <mergeCell ref="AV27:AX27"/>
    <mergeCell ref="BL27:BN27"/>
    <mergeCell ref="AU33:AX33"/>
    <mergeCell ref="AU34:AX34"/>
    <mergeCell ref="BS26:BV26"/>
    <mergeCell ref="AA24:AD24"/>
    <mergeCell ref="AA25:AD25"/>
    <mergeCell ref="AA26:AD26"/>
    <mergeCell ref="AE24:AH24"/>
    <mergeCell ref="AE25:AH25"/>
    <mergeCell ref="AE26:AH26"/>
    <mergeCell ref="AM24:AP24"/>
    <mergeCell ref="AM25:AP25"/>
    <mergeCell ref="AM26:AP26"/>
    <mergeCell ref="BG24:BJ24"/>
    <mergeCell ref="BG25:BJ25"/>
    <mergeCell ref="BG26:BJ26"/>
    <mergeCell ref="BC26:BF26"/>
    <mergeCell ref="AI26:AL26"/>
    <mergeCell ref="H27:J27"/>
    <mergeCell ref="G28:J28"/>
    <mergeCell ref="G29:J29"/>
    <mergeCell ref="G30:J30"/>
    <mergeCell ref="T27:V27"/>
    <mergeCell ref="S28:V28"/>
    <mergeCell ref="S29:V29"/>
    <mergeCell ref="S30:V30"/>
    <mergeCell ref="BG30:BJ30"/>
    <mergeCell ref="AQ28:AT28"/>
    <mergeCell ref="AQ29:AT29"/>
    <mergeCell ref="AQ30:AT30"/>
    <mergeCell ref="BD27:BF27"/>
    <mergeCell ref="BH27:BJ27"/>
    <mergeCell ref="BG28:BJ28"/>
    <mergeCell ref="BG29:BJ29"/>
    <mergeCell ref="BC28:BF28"/>
    <mergeCell ref="BC29:BF29"/>
    <mergeCell ref="BC30:BF30"/>
    <mergeCell ref="AI28:AL28"/>
    <mergeCell ref="AI29:AL29"/>
    <mergeCell ref="AI30:AL30"/>
    <mergeCell ref="AM28:AP28"/>
    <mergeCell ref="AM29:AP29"/>
    <mergeCell ref="AM30:AP30"/>
    <mergeCell ref="AJ27:AL27"/>
    <mergeCell ref="AN27:AP27"/>
    <mergeCell ref="AR27:AT27"/>
    <mergeCell ref="AU28:AX28"/>
    <mergeCell ref="AU29:AX29"/>
    <mergeCell ref="AU30:AX30"/>
    <mergeCell ref="BS28:BV28"/>
    <mergeCell ref="BS29:BV29"/>
    <mergeCell ref="BS30:BV30"/>
    <mergeCell ref="BK28:BN28"/>
    <mergeCell ref="BK29:BN29"/>
    <mergeCell ref="BK30:BN30"/>
    <mergeCell ref="BT27:BV27"/>
    <mergeCell ref="BT31:BV31"/>
    <mergeCell ref="BS32:BV32"/>
    <mergeCell ref="BS33:BV33"/>
    <mergeCell ref="BS34:BV34"/>
    <mergeCell ref="AN31:AP31"/>
    <mergeCell ref="AR31:AT31"/>
    <mergeCell ref="AV31:AX31"/>
    <mergeCell ref="AM32:AP32"/>
    <mergeCell ref="AM33:AP33"/>
    <mergeCell ref="AM34:AP34"/>
    <mergeCell ref="AQ32:AT32"/>
    <mergeCell ref="AQ33:AT33"/>
    <mergeCell ref="AQ34:AT34"/>
    <mergeCell ref="AU32:AX32"/>
    <mergeCell ref="BG32:BJ32"/>
    <mergeCell ref="BG33:BJ33"/>
    <mergeCell ref="BG34:BJ34"/>
    <mergeCell ref="BC34:BF34"/>
    <mergeCell ref="BD31:BF31"/>
    <mergeCell ref="BH31:BJ31"/>
    <mergeCell ref="BC32:BF32"/>
    <mergeCell ref="BC33:BF33"/>
    <mergeCell ref="AY32:BB32"/>
    <mergeCell ref="AY33:BB33"/>
    <mergeCell ref="BP35:BR35"/>
    <mergeCell ref="BT35:BV35"/>
    <mergeCell ref="AM36:AP36"/>
    <mergeCell ref="AM37:AP37"/>
    <mergeCell ref="AM38:AP38"/>
    <mergeCell ref="AQ36:AT36"/>
    <mergeCell ref="AQ37:AT37"/>
    <mergeCell ref="AQ38:AT38"/>
    <mergeCell ref="AU36:AX36"/>
    <mergeCell ref="AN35:AP35"/>
    <mergeCell ref="AR35:AT35"/>
    <mergeCell ref="AV35:AX35"/>
    <mergeCell ref="AZ35:BB35"/>
    <mergeCell ref="BD35:BF35"/>
    <mergeCell ref="BH35:BJ35"/>
    <mergeCell ref="AU37:AX37"/>
    <mergeCell ref="AU38:AX38"/>
    <mergeCell ref="AY36:BB36"/>
    <mergeCell ref="AY37:BB37"/>
    <mergeCell ref="AY38:BB38"/>
    <mergeCell ref="BC36:BF36"/>
    <mergeCell ref="BC37:BF37"/>
    <mergeCell ref="BC38:BF38"/>
    <mergeCell ref="BL35:BN35"/>
    <mergeCell ref="BO36:BR36"/>
    <mergeCell ref="BO37:BR37"/>
    <mergeCell ref="BO38:BR38"/>
    <mergeCell ref="BS36:BV36"/>
    <mergeCell ref="BS37:BV37"/>
    <mergeCell ref="BS38:BV38"/>
    <mergeCell ref="BG36:BJ36"/>
    <mergeCell ref="BG37:BJ37"/>
    <mergeCell ref="BG38:BJ38"/>
    <mergeCell ref="BK36:BN36"/>
    <mergeCell ref="BK37:BN37"/>
    <mergeCell ref="BK38:BN38"/>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D5B4-FF2C-4D3D-BC22-358CE5E1CCC4}">
  <sheetPr codeName="Sheet11">
    <tabColor rgb="FF86DFCB"/>
  </sheetPr>
  <dimension ref="A1:CE41"/>
  <sheetViews>
    <sheetView zoomScaleNormal="100" workbookViewId="0"/>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41"/>
    </row>
    <row r="2" spans="1:83" ht="21" customHeight="1" x14ac:dyDescent="0.55000000000000004">
      <c r="A2" s="5"/>
      <c r="CD2" s="5"/>
      <c r="CE2" s="41"/>
    </row>
    <row r="3" spans="1:83"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D3" s="5"/>
      <c r="CE3" s="41"/>
    </row>
    <row r="4" spans="1:83" ht="21" customHeight="1" x14ac:dyDescent="0.55000000000000004">
      <c r="A4" s="5"/>
      <c r="C4" s="29"/>
      <c r="D4" s="29"/>
      <c r="E4" s="29"/>
      <c r="F4" s="29"/>
      <c r="CD4" s="5"/>
      <c r="CE4" s="41"/>
    </row>
    <row r="5" spans="1:83" ht="21" customHeight="1" x14ac:dyDescent="0.55000000000000004">
      <c r="A5" s="5"/>
      <c r="C5" s="29"/>
      <c r="D5" s="29"/>
      <c r="E5" s="29"/>
      <c r="F5" s="29"/>
      <c r="CD5" s="5"/>
      <c r="CE5" s="41"/>
    </row>
    <row r="6" spans="1:83" ht="21" customHeight="1" thickBot="1" x14ac:dyDescent="0.6">
      <c r="A6" s="5"/>
      <c r="C6" s="29"/>
      <c r="D6" s="29"/>
      <c r="E6" s="29"/>
      <c r="F6" s="29"/>
      <c r="CD6" s="5"/>
      <c r="CE6" s="41"/>
    </row>
    <row r="7" spans="1:83" ht="21" customHeight="1" x14ac:dyDescent="0.55000000000000004">
      <c r="A7" s="5"/>
      <c r="C7" s="1" t="s">
        <v>163</v>
      </c>
      <c r="G7" s="4">
        <v>1</v>
      </c>
      <c r="H7" s="117" t="s">
        <v>2</v>
      </c>
      <c r="I7" s="117"/>
      <c r="J7" s="118"/>
      <c r="K7" s="4">
        <v>2</v>
      </c>
      <c r="L7" s="117" t="s">
        <v>4</v>
      </c>
      <c r="M7" s="117"/>
      <c r="N7" s="118"/>
      <c r="O7" s="4">
        <v>3</v>
      </c>
      <c r="P7" s="117" t="s">
        <v>6</v>
      </c>
      <c r="Q7" s="117"/>
      <c r="R7" s="117"/>
      <c r="S7" s="6"/>
      <c r="T7" s="6"/>
      <c r="U7" s="6"/>
      <c r="V7" s="6"/>
      <c r="W7" s="4">
        <v>4</v>
      </c>
      <c r="X7" s="117" t="s">
        <v>91</v>
      </c>
      <c r="Y7" s="117"/>
      <c r="Z7" s="117"/>
      <c r="AA7" s="6"/>
      <c r="AB7" s="6"/>
      <c r="AC7" s="6"/>
      <c r="AD7" s="6"/>
      <c r="AE7" s="6"/>
      <c r="AF7" s="6"/>
      <c r="AG7" s="6"/>
      <c r="AH7" s="6"/>
      <c r="AI7" s="6"/>
      <c r="AJ7" s="6"/>
      <c r="AK7" s="6"/>
      <c r="AL7" s="6"/>
      <c r="AM7" s="6"/>
      <c r="AN7" s="6"/>
      <c r="AO7" s="6"/>
      <c r="AP7" s="6"/>
      <c r="AQ7" s="4">
        <v>5</v>
      </c>
      <c r="AR7" s="117" t="s">
        <v>93</v>
      </c>
      <c r="AS7" s="117"/>
      <c r="AT7" s="118"/>
      <c r="AU7" s="4">
        <v>6</v>
      </c>
      <c r="AV7" s="117" t="s">
        <v>94</v>
      </c>
      <c r="AW7" s="117"/>
      <c r="AX7" s="118"/>
      <c r="BO7" s="19"/>
      <c r="BX7" s="27"/>
      <c r="BY7" s="27"/>
      <c r="BZ7" s="27"/>
      <c r="CA7" s="27"/>
      <c r="CB7" s="27"/>
      <c r="CD7" s="5"/>
      <c r="CE7" s="41"/>
    </row>
    <row r="8" spans="1:83" ht="21" customHeight="1" x14ac:dyDescent="0.55000000000000004">
      <c r="A8" s="5"/>
      <c r="G8" s="108"/>
      <c r="H8" s="109"/>
      <c r="I8" s="109"/>
      <c r="J8" s="110"/>
      <c r="K8" s="109"/>
      <c r="L8" s="109"/>
      <c r="M8" s="109"/>
      <c r="N8" s="110"/>
      <c r="O8" s="108"/>
      <c r="P8" s="109"/>
      <c r="Q8" s="109"/>
      <c r="R8" s="109"/>
      <c r="W8" s="108"/>
      <c r="X8" s="109"/>
      <c r="Y8" s="109"/>
      <c r="Z8" s="109"/>
      <c r="AQ8" s="108"/>
      <c r="AR8" s="109"/>
      <c r="AS8" s="109"/>
      <c r="AT8" s="109"/>
      <c r="AU8" s="108"/>
      <c r="AV8" s="109"/>
      <c r="AW8" s="109"/>
      <c r="AX8" s="110"/>
      <c r="BW8" s="21"/>
      <c r="BX8" s="27"/>
      <c r="BY8" s="27"/>
      <c r="BZ8" s="27"/>
      <c r="CA8" s="27"/>
      <c r="CB8" s="27"/>
      <c r="CD8" s="5"/>
      <c r="CE8" s="41"/>
    </row>
    <row r="9" spans="1:83" ht="21" customHeight="1" x14ac:dyDescent="0.55000000000000004">
      <c r="A9" s="5"/>
      <c r="G9" s="111"/>
      <c r="H9" s="112"/>
      <c r="I9" s="112"/>
      <c r="J9" s="113"/>
      <c r="K9" s="112"/>
      <c r="L9" s="112"/>
      <c r="M9" s="112"/>
      <c r="N9" s="113"/>
      <c r="O9" s="111"/>
      <c r="P9" s="112"/>
      <c r="Q9" s="112"/>
      <c r="R9" s="112"/>
      <c r="W9" s="111"/>
      <c r="X9" s="112"/>
      <c r="Y9" s="112"/>
      <c r="Z9" s="112"/>
      <c r="AQ9" s="111"/>
      <c r="AR9" s="112"/>
      <c r="AS9" s="112"/>
      <c r="AT9" s="112"/>
      <c r="AU9" s="111"/>
      <c r="AV9" s="112"/>
      <c r="AW9" s="112"/>
      <c r="AX9" s="113"/>
      <c r="BW9" s="21"/>
      <c r="BX9" s="27"/>
      <c r="BY9" s="27"/>
      <c r="BZ9" s="27"/>
      <c r="CA9" s="27"/>
      <c r="CB9" s="27"/>
      <c r="CD9" s="5"/>
      <c r="CE9" s="41"/>
    </row>
    <row r="10" spans="1:83" ht="21" customHeight="1" thickBot="1" x14ac:dyDescent="0.6">
      <c r="A10" s="5"/>
      <c r="G10" s="114"/>
      <c r="H10" s="115"/>
      <c r="I10" s="115"/>
      <c r="J10" s="116"/>
      <c r="K10" s="119"/>
      <c r="L10" s="119"/>
      <c r="M10" s="119"/>
      <c r="N10" s="122"/>
      <c r="O10" s="114"/>
      <c r="P10" s="115"/>
      <c r="Q10" s="115"/>
      <c r="R10" s="115"/>
      <c r="W10" s="121"/>
      <c r="X10" s="119"/>
      <c r="Y10" s="119"/>
      <c r="Z10" s="119"/>
      <c r="AQ10" s="114"/>
      <c r="AR10" s="115"/>
      <c r="AS10" s="115"/>
      <c r="AT10" s="115"/>
      <c r="AU10" s="114"/>
      <c r="AV10" s="115"/>
      <c r="AW10" s="115"/>
      <c r="AX10" s="116"/>
      <c r="BW10" s="21"/>
      <c r="BX10" s="27"/>
      <c r="BY10" s="27"/>
      <c r="BZ10" s="27"/>
      <c r="CA10" s="27"/>
      <c r="CB10" s="27"/>
      <c r="CD10" s="5"/>
      <c r="CE10" s="41"/>
    </row>
    <row r="11" spans="1:83" ht="21" customHeight="1" x14ac:dyDescent="0.55000000000000004">
      <c r="A11" s="5"/>
      <c r="C11" s="1" t="s">
        <v>164</v>
      </c>
      <c r="G11" s="4">
        <v>7</v>
      </c>
      <c r="H11" s="117" t="s">
        <v>8</v>
      </c>
      <c r="I11" s="117"/>
      <c r="J11" s="118"/>
      <c r="O11" s="4">
        <v>8</v>
      </c>
      <c r="P11" s="117" t="s">
        <v>10</v>
      </c>
      <c r="Q11" s="117"/>
      <c r="R11" s="118"/>
      <c r="W11" s="7"/>
      <c r="AQ11" s="4">
        <v>9</v>
      </c>
      <c r="AR11" s="117" t="s">
        <v>95</v>
      </c>
      <c r="AS11" s="117"/>
      <c r="AT11" s="118"/>
      <c r="AU11" s="4">
        <v>10</v>
      </c>
      <c r="AV11" s="117" t="s">
        <v>96</v>
      </c>
      <c r="AW11" s="117"/>
      <c r="AX11" s="117"/>
      <c r="AY11" s="6"/>
      <c r="AZ11" s="6"/>
      <c r="BA11" s="6"/>
      <c r="BB11" s="6"/>
      <c r="BC11" s="6"/>
      <c r="BD11" s="6"/>
      <c r="BE11" s="6"/>
      <c r="BF11" s="6"/>
      <c r="BG11" s="6"/>
      <c r="BH11" s="6"/>
      <c r="BI11" s="6"/>
      <c r="BJ11" s="6"/>
      <c r="BK11" s="6"/>
      <c r="BL11" s="6"/>
      <c r="BM11" s="6"/>
      <c r="BN11" s="9"/>
      <c r="BW11" s="21"/>
      <c r="BX11" s="21"/>
      <c r="BY11" s="21"/>
      <c r="BZ11" s="21"/>
      <c r="CA11" s="21"/>
      <c r="CB11" s="21"/>
      <c r="CD11" s="5"/>
      <c r="CE11" s="41"/>
    </row>
    <row r="12" spans="1:83" ht="21" customHeight="1" x14ac:dyDescent="0.55000000000000004">
      <c r="A12" s="5"/>
      <c r="G12" s="108"/>
      <c r="H12" s="109"/>
      <c r="I12" s="109"/>
      <c r="J12" s="110"/>
      <c r="O12" s="108"/>
      <c r="P12" s="109"/>
      <c r="Q12" s="109"/>
      <c r="R12" s="110"/>
      <c r="W12" s="7"/>
      <c r="AQ12" s="108"/>
      <c r="AR12" s="109"/>
      <c r="AS12" s="109"/>
      <c r="AT12" s="110"/>
      <c r="AU12" s="108"/>
      <c r="AV12" s="109"/>
      <c r="AW12" s="109"/>
      <c r="AX12" s="109"/>
      <c r="BN12" s="8"/>
      <c r="BW12" s="21"/>
      <c r="BX12" s="27"/>
      <c r="BY12" s="27"/>
      <c r="BZ12" s="27"/>
      <c r="CA12" s="27"/>
      <c r="CB12" s="27"/>
      <c r="CD12" s="5"/>
      <c r="CE12" s="41"/>
    </row>
    <row r="13" spans="1:83" ht="21" customHeight="1" x14ac:dyDescent="0.55000000000000004">
      <c r="A13" s="5"/>
      <c r="G13" s="111"/>
      <c r="H13" s="112"/>
      <c r="I13" s="112"/>
      <c r="J13" s="113"/>
      <c r="O13" s="111"/>
      <c r="P13" s="112"/>
      <c r="Q13" s="112"/>
      <c r="R13" s="113"/>
      <c r="W13" s="7"/>
      <c r="AQ13" s="111"/>
      <c r="AR13" s="112"/>
      <c r="AS13" s="112"/>
      <c r="AT13" s="113"/>
      <c r="AU13" s="111"/>
      <c r="AV13" s="112"/>
      <c r="AW13" s="112"/>
      <c r="AX13" s="112"/>
      <c r="BN13" s="8"/>
      <c r="BW13" s="21"/>
      <c r="BX13" s="21"/>
      <c r="BY13" s="21"/>
      <c r="BZ13" s="21"/>
      <c r="CA13" s="21"/>
      <c r="CB13" s="21"/>
      <c r="CD13" s="5"/>
      <c r="CE13" s="41"/>
    </row>
    <row r="14" spans="1:83" ht="21" customHeight="1" thickBot="1" x14ac:dyDescent="0.6">
      <c r="A14" s="5"/>
      <c r="G14" s="121"/>
      <c r="H14" s="119"/>
      <c r="I14" s="119"/>
      <c r="J14" s="122"/>
      <c r="O14" s="114"/>
      <c r="P14" s="115"/>
      <c r="Q14" s="115"/>
      <c r="R14" s="116"/>
      <c r="W14" s="7"/>
      <c r="AQ14" s="114"/>
      <c r="AR14" s="115"/>
      <c r="AS14" s="115"/>
      <c r="AT14" s="116"/>
      <c r="AU14" s="114"/>
      <c r="AV14" s="115"/>
      <c r="AW14" s="115"/>
      <c r="AX14" s="115"/>
      <c r="BN14" s="8"/>
      <c r="BW14" s="21"/>
      <c r="BX14" s="28"/>
      <c r="BY14" s="26"/>
      <c r="BZ14" s="28"/>
      <c r="CA14" s="28"/>
      <c r="CB14" s="28"/>
      <c r="CD14" s="5"/>
      <c r="CE14" s="41"/>
    </row>
    <row r="15" spans="1:83" ht="21" customHeight="1" x14ac:dyDescent="0.55000000000000004">
      <c r="A15" s="5"/>
      <c r="C15" s="1" t="s">
        <v>165</v>
      </c>
      <c r="G15" s="7"/>
      <c r="J15" s="8"/>
      <c r="O15" s="4">
        <v>11</v>
      </c>
      <c r="P15" s="117" t="s">
        <v>0</v>
      </c>
      <c r="Q15" s="117"/>
      <c r="R15" s="118"/>
      <c r="S15" s="4">
        <v>12</v>
      </c>
      <c r="T15" s="117" t="s">
        <v>97</v>
      </c>
      <c r="U15" s="117"/>
      <c r="V15" s="118"/>
      <c r="W15" s="4">
        <v>13</v>
      </c>
      <c r="X15" s="117" t="s">
        <v>98</v>
      </c>
      <c r="Y15" s="117"/>
      <c r="Z15" s="118"/>
      <c r="AA15" s="4">
        <v>14</v>
      </c>
      <c r="AB15" s="117" t="s">
        <v>99</v>
      </c>
      <c r="AC15" s="117"/>
      <c r="AD15" s="118"/>
      <c r="AE15" s="4">
        <v>15</v>
      </c>
      <c r="AF15" s="117" t="s">
        <v>100</v>
      </c>
      <c r="AG15" s="117"/>
      <c r="AH15" s="118"/>
      <c r="AI15" s="4">
        <v>16</v>
      </c>
      <c r="AJ15" s="117" t="s">
        <v>101</v>
      </c>
      <c r="AK15" s="117"/>
      <c r="AL15" s="118"/>
      <c r="AM15" s="4">
        <v>17</v>
      </c>
      <c r="AN15" s="117" t="s">
        <v>102</v>
      </c>
      <c r="AO15" s="117"/>
      <c r="AP15" s="118"/>
      <c r="AQ15" s="4">
        <v>18</v>
      </c>
      <c r="AR15" s="117" t="s">
        <v>103</v>
      </c>
      <c r="AS15" s="117"/>
      <c r="AT15" s="118"/>
      <c r="AU15" s="4">
        <v>19</v>
      </c>
      <c r="AV15" s="117" t="s">
        <v>104</v>
      </c>
      <c r="AW15" s="117"/>
      <c r="AX15" s="117"/>
      <c r="AY15" s="6"/>
      <c r="AZ15" s="6"/>
      <c r="BA15" s="6"/>
      <c r="BB15" s="6"/>
      <c r="BC15" s="6"/>
      <c r="BD15" s="6"/>
      <c r="BE15" s="6"/>
      <c r="BF15" s="6"/>
      <c r="BG15" s="6"/>
      <c r="BH15" s="6"/>
      <c r="BI15" s="6"/>
      <c r="BJ15" s="6"/>
      <c r="BK15" s="6"/>
      <c r="BL15" s="6"/>
      <c r="BM15" s="6"/>
      <c r="BN15" s="6"/>
      <c r="BO15" s="4">
        <v>20</v>
      </c>
      <c r="BP15" s="117" t="s">
        <v>105</v>
      </c>
      <c r="BQ15" s="117"/>
      <c r="BR15" s="118"/>
      <c r="BW15" s="21"/>
      <c r="BX15" s="21"/>
      <c r="BY15" s="21"/>
      <c r="BZ15" s="21"/>
      <c r="CA15" s="21"/>
      <c r="CB15" s="21"/>
      <c r="CD15" s="5"/>
      <c r="CE15" s="41"/>
    </row>
    <row r="16" spans="1:83" ht="21" customHeight="1" x14ac:dyDescent="0.55000000000000004">
      <c r="A16" s="5"/>
      <c r="G16" s="7"/>
      <c r="J16" s="8"/>
      <c r="O16" s="108"/>
      <c r="P16" s="109"/>
      <c r="Q16" s="109"/>
      <c r="R16" s="110"/>
      <c r="S16" s="108"/>
      <c r="T16" s="109"/>
      <c r="U16" s="109"/>
      <c r="V16" s="110"/>
      <c r="W16" s="108"/>
      <c r="X16" s="109"/>
      <c r="Y16" s="109"/>
      <c r="Z16" s="110"/>
      <c r="AA16" s="108"/>
      <c r="AB16" s="109"/>
      <c r="AC16" s="109"/>
      <c r="AD16" s="110"/>
      <c r="AE16" s="108"/>
      <c r="AF16" s="109"/>
      <c r="AG16" s="109"/>
      <c r="AH16" s="110"/>
      <c r="AI16" s="108"/>
      <c r="AJ16" s="109"/>
      <c r="AK16" s="109"/>
      <c r="AL16" s="110"/>
      <c r="AM16" s="108"/>
      <c r="AN16" s="109"/>
      <c r="AO16" s="109"/>
      <c r="AP16" s="110"/>
      <c r="AQ16" s="108"/>
      <c r="AR16" s="109"/>
      <c r="AS16" s="109"/>
      <c r="AT16" s="110"/>
      <c r="AU16" s="108"/>
      <c r="AV16" s="109"/>
      <c r="AW16" s="109"/>
      <c r="AX16" s="109"/>
      <c r="BO16" s="108"/>
      <c r="BP16" s="109"/>
      <c r="BQ16" s="109"/>
      <c r="BR16" s="110"/>
      <c r="BW16" s="21"/>
      <c r="BX16" s="21"/>
      <c r="BY16" s="21"/>
      <c r="BZ16" s="21"/>
      <c r="CA16" s="21"/>
      <c r="CB16" s="21"/>
      <c r="CD16" s="5"/>
      <c r="CE16" s="41"/>
    </row>
    <row r="17" spans="1:83" ht="21" customHeight="1" x14ac:dyDescent="0.55000000000000004">
      <c r="A17" s="5"/>
      <c r="G17" s="7"/>
      <c r="J17" s="8"/>
      <c r="O17" s="111"/>
      <c r="P17" s="112"/>
      <c r="Q17" s="112"/>
      <c r="R17" s="113"/>
      <c r="S17" s="111"/>
      <c r="T17" s="112"/>
      <c r="U17" s="112"/>
      <c r="V17" s="113"/>
      <c r="W17" s="111"/>
      <c r="X17" s="112"/>
      <c r="Y17" s="112"/>
      <c r="Z17" s="113"/>
      <c r="AA17" s="111"/>
      <c r="AB17" s="112"/>
      <c r="AC17" s="112"/>
      <c r="AD17" s="113"/>
      <c r="AE17" s="111"/>
      <c r="AF17" s="112"/>
      <c r="AG17" s="112"/>
      <c r="AH17" s="113"/>
      <c r="AI17" s="111"/>
      <c r="AJ17" s="112"/>
      <c r="AK17" s="112"/>
      <c r="AL17" s="113"/>
      <c r="AM17" s="111"/>
      <c r="AN17" s="112"/>
      <c r="AO17" s="112"/>
      <c r="AP17" s="113"/>
      <c r="AQ17" s="111"/>
      <c r="AR17" s="112"/>
      <c r="AS17" s="112"/>
      <c r="AT17" s="113"/>
      <c r="AU17" s="111"/>
      <c r="AV17" s="112"/>
      <c r="AW17" s="112"/>
      <c r="AX17" s="112"/>
      <c r="BO17" s="111"/>
      <c r="BP17" s="112"/>
      <c r="BQ17" s="112"/>
      <c r="BR17" s="113"/>
      <c r="BW17" s="22"/>
      <c r="BX17" s="21"/>
      <c r="BY17" s="21"/>
      <c r="BZ17" s="21"/>
      <c r="CA17" s="21"/>
      <c r="CB17" s="21"/>
      <c r="CD17" s="5"/>
      <c r="CE17" s="41"/>
    </row>
    <row r="18" spans="1:83" ht="21" customHeight="1" thickBot="1" x14ac:dyDescent="0.6">
      <c r="A18" s="5"/>
      <c r="G18" s="7"/>
      <c r="J18" s="8"/>
      <c r="O18" s="114"/>
      <c r="P18" s="115"/>
      <c r="Q18" s="115"/>
      <c r="R18" s="116"/>
      <c r="S18" s="114"/>
      <c r="T18" s="115"/>
      <c r="U18" s="115"/>
      <c r="V18" s="116"/>
      <c r="W18" s="114"/>
      <c r="X18" s="115"/>
      <c r="Y18" s="115"/>
      <c r="Z18" s="116"/>
      <c r="AA18" s="114"/>
      <c r="AB18" s="115"/>
      <c r="AC18" s="115"/>
      <c r="AD18" s="116"/>
      <c r="AE18" s="114"/>
      <c r="AF18" s="115"/>
      <c r="AG18" s="115"/>
      <c r="AH18" s="116"/>
      <c r="AI18" s="114"/>
      <c r="AJ18" s="115"/>
      <c r="AK18" s="115"/>
      <c r="AL18" s="116"/>
      <c r="AM18" s="114"/>
      <c r="AN18" s="115"/>
      <c r="AO18" s="115"/>
      <c r="AP18" s="116"/>
      <c r="AQ18" s="114"/>
      <c r="AR18" s="115"/>
      <c r="AS18" s="115"/>
      <c r="AT18" s="116"/>
      <c r="AU18" s="114"/>
      <c r="AV18" s="115"/>
      <c r="AW18" s="115"/>
      <c r="AX18" s="115"/>
      <c r="BO18" s="114"/>
      <c r="BP18" s="115"/>
      <c r="BQ18" s="115"/>
      <c r="BR18" s="116"/>
      <c r="BW18" s="22"/>
      <c r="BX18" s="21"/>
      <c r="BY18" s="21"/>
      <c r="BZ18" s="21"/>
      <c r="CA18" s="21"/>
      <c r="CB18" s="21"/>
      <c r="CD18" s="5"/>
      <c r="CE18" s="41"/>
    </row>
    <row r="19" spans="1:83" ht="21" customHeight="1" x14ac:dyDescent="0.55000000000000004">
      <c r="A19" s="5"/>
      <c r="C19" s="1" t="s">
        <v>166</v>
      </c>
      <c r="G19" s="7"/>
      <c r="J19" s="8"/>
      <c r="K19" s="4">
        <v>21</v>
      </c>
      <c r="L19" s="117" t="s">
        <v>106</v>
      </c>
      <c r="M19" s="117"/>
      <c r="N19" s="118"/>
      <c r="O19" s="4">
        <v>22</v>
      </c>
      <c r="P19" s="117" t="s">
        <v>107</v>
      </c>
      <c r="Q19" s="117"/>
      <c r="R19" s="117"/>
      <c r="S19" s="6"/>
      <c r="T19" s="6"/>
      <c r="U19" s="6"/>
      <c r="V19" s="6"/>
      <c r="W19" s="4">
        <v>23</v>
      </c>
      <c r="X19" s="117" t="s">
        <v>108</v>
      </c>
      <c r="Y19" s="117"/>
      <c r="Z19" s="118"/>
      <c r="AA19" s="4">
        <v>24</v>
      </c>
      <c r="AB19" s="117" t="s">
        <v>109</v>
      </c>
      <c r="AC19" s="117"/>
      <c r="AD19" s="117"/>
      <c r="AE19" s="6"/>
      <c r="AF19" s="6"/>
      <c r="AG19" s="6"/>
      <c r="AH19" s="6"/>
      <c r="AI19" s="4">
        <v>25</v>
      </c>
      <c r="AJ19" s="117" t="s">
        <v>110</v>
      </c>
      <c r="AK19" s="117"/>
      <c r="AL19" s="118"/>
      <c r="AM19" s="4">
        <v>26</v>
      </c>
      <c r="AN19" s="117" t="s">
        <v>568</v>
      </c>
      <c r="AO19" s="117"/>
      <c r="AP19" s="118"/>
      <c r="AQ19" s="4">
        <v>27</v>
      </c>
      <c r="AR19" s="117" t="s">
        <v>569</v>
      </c>
      <c r="AS19" s="117"/>
      <c r="AT19" s="118"/>
      <c r="AU19" s="4">
        <v>28</v>
      </c>
      <c r="AV19" s="117" t="s">
        <v>570</v>
      </c>
      <c r="AW19" s="117"/>
      <c r="AX19" s="118"/>
      <c r="AY19" s="4">
        <v>29</v>
      </c>
      <c r="AZ19" s="117" t="s">
        <v>571</v>
      </c>
      <c r="BA19" s="117"/>
      <c r="BB19" s="118"/>
      <c r="BC19" s="4">
        <v>30</v>
      </c>
      <c r="BD19" s="117" t="s">
        <v>572</v>
      </c>
      <c r="BE19" s="117"/>
      <c r="BF19" s="118"/>
      <c r="BG19" s="4">
        <v>31</v>
      </c>
      <c r="BH19" s="117" t="s">
        <v>573</v>
      </c>
      <c r="BI19" s="117"/>
      <c r="BJ19" s="118"/>
      <c r="BK19" s="4">
        <v>32</v>
      </c>
      <c r="BL19" s="117" t="s">
        <v>574</v>
      </c>
      <c r="BM19" s="117"/>
      <c r="BN19" s="118"/>
      <c r="BO19" s="4">
        <v>33</v>
      </c>
      <c r="BP19" s="117" t="s">
        <v>575</v>
      </c>
      <c r="BQ19" s="117"/>
      <c r="BR19" s="118"/>
      <c r="BX19" s="21"/>
      <c r="BY19" s="21"/>
      <c r="BZ19" s="21"/>
      <c r="CA19" s="21"/>
      <c r="CB19" s="21"/>
      <c r="CD19" s="5"/>
      <c r="CE19" s="41"/>
    </row>
    <row r="20" spans="1:83" ht="21" customHeight="1" x14ac:dyDescent="0.55000000000000004">
      <c r="A20" s="5"/>
      <c r="G20" s="7"/>
      <c r="J20" s="8"/>
      <c r="K20" s="109"/>
      <c r="L20" s="109"/>
      <c r="M20" s="109"/>
      <c r="N20" s="110"/>
      <c r="O20" s="108"/>
      <c r="P20" s="109"/>
      <c r="Q20" s="109"/>
      <c r="R20" s="109"/>
      <c r="V20" s="8"/>
      <c r="W20" s="108"/>
      <c r="X20" s="109"/>
      <c r="Y20" s="109"/>
      <c r="Z20" s="110"/>
      <c r="AA20" s="108"/>
      <c r="AB20" s="109"/>
      <c r="AC20" s="109"/>
      <c r="AD20" s="109"/>
      <c r="AI20" s="108"/>
      <c r="AJ20" s="109"/>
      <c r="AK20" s="109"/>
      <c r="AL20" s="110"/>
      <c r="AM20" s="108"/>
      <c r="AN20" s="109"/>
      <c r="AO20" s="109"/>
      <c r="AP20" s="110"/>
      <c r="AQ20" s="108"/>
      <c r="AR20" s="109"/>
      <c r="AS20" s="109"/>
      <c r="AT20" s="110"/>
      <c r="AU20" s="108"/>
      <c r="AV20" s="109"/>
      <c r="AW20" s="109"/>
      <c r="AX20" s="110"/>
      <c r="AY20" s="108"/>
      <c r="AZ20" s="109"/>
      <c r="BA20" s="109"/>
      <c r="BB20" s="110"/>
      <c r="BC20" s="108"/>
      <c r="BD20" s="109"/>
      <c r="BE20" s="109"/>
      <c r="BF20" s="110"/>
      <c r="BG20" s="108"/>
      <c r="BH20" s="109"/>
      <c r="BI20" s="109"/>
      <c r="BJ20" s="110"/>
      <c r="BK20" s="108"/>
      <c r="BL20" s="109"/>
      <c r="BM20" s="109"/>
      <c r="BN20" s="110"/>
      <c r="BO20" s="108"/>
      <c r="BP20" s="109"/>
      <c r="BQ20" s="109"/>
      <c r="BR20" s="110"/>
      <c r="BX20" s="21"/>
      <c r="BY20" s="21"/>
      <c r="BZ20" s="21"/>
      <c r="CA20" s="21"/>
      <c r="CB20" s="21"/>
      <c r="CD20" s="5"/>
      <c r="CE20" s="41"/>
    </row>
    <row r="21" spans="1:83" ht="21" customHeight="1" x14ac:dyDescent="0.55000000000000004">
      <c r="A21" s="5"/>
      <c r="G21" s="7"/>
      <c r="J21" s="8"/>
      <c r="K21" s="112"/>
      <c r="L21" s="112"/>
      <c r="M21" s="112"/>
      <c r="N21" s="113"/>
      <c r="O21" s="111"/>
      <c r="P21" s="112"/>
      <c r="Q21" s="112"/>
      <c r="R21" s="112"/>
      <c r="V21" s="8"/>
      <c r="W21" s="111"/>
      <c r="X21" s="112"/>
      <c r="Y21" s="112"/>
      <c r="Z21" s="113"/>
      <c r="AA21" s="111"/>
      <c r="AB21" s="112"/>
      <c r="AC21" s="112"/>
      <c r="AD21" s="112"/>
      <c r="AI21" s="111"/>
      <c r="AJ21" s="112"/>
      <c r="AK21" s="112"/>
      <c r="AL21" s="113"/>
      <c r="AM21" s="111"/>
      <c r="AN21" s="112"/>
      <c r="AO21" s="112"/>
      <c r="AP21" s="113"/>
      <c r="AQ21" s="111"/>
      <c r="AR21" s="112"/>
      <c r="AS21" s="112"/>
      <c r="AT21" s="113"/>
      <c r="AU21" s="111"/>
      <c r="AV21" s="112"/>
      <c r="AW21" s="112"/>
      <c r="AX21" s="113"/>
      <c r="AY21" s="111"/>
      <c r="AZ21" s="112"/>
      <c r="BA21" s="112"/>
      <c r="BB21" s="113"/>
      <c r="BC21" s="111"/>
      <c r="BD21" s="112"/>
      <c r="BE21" s="112"/>
      <c r="BF21" s="113"/>
      <c r="BG21" s="111"/>
      <c r="BH21" s="112"/>
      <c r="BI21" s="112"/>
      <c r="BJ21" s="113"/>
      <c r="BK21" s="111"/>
      <c r="BL21" s="112"/>
      <c r="BM21" s="112"/>
      <c r="BN21" s="113"/>
      <c r="BO21" s="111"/>
      <c r="BP21" s="112"/>
      <c r="BQ21" s="112"/>
      <c r="BR21" s="113"/>
      <c r="BX21" s="21"/>
      <c r="BY21" s="21"/>
      <c r="BZ21" s="21"/>
      <c r="CA21" s="21"/>
      <c r="CB21" s="21"/>
      <c r="CD21" s="5"/>
      <c r="CE21" s="41"/>
    </row>
    <row r="22" spans="1:83" ht="21" customHeight="1" thickBot="1" x14ac:dyDescent="0.6">
      <c r="A22" s="5"/>
      <c r="G22" s="10"/>
      <c r="H22" s="11"/>
      <c r="I22" s="11"/>
      <c r="J22" s="13"/>
      <c r="K22" s="115"/>
      <c r="L22" s="115"/>
      <c r="M22" s="115"/>
      <c r="N22" s="116"/>
      <c r="O22" s="114"/>
      <c r="P22" s="115"/>
      <c r="Q22" s="115"/>
      <c r="R22" s="115"/>
      <c r="S22" s="11"/>
      <c r="T22" s="11"/>
      <c r="U22" s="11"/>
      <c r="V22" s="13"/>
      <c r="W22" s="121"/>
      <c r="X22" s="119"/>
      <c r="Y22" s="119"/>
      <c r="Z22" s="122"/>
      <c r="AA22" s="114"/>
      <c r="AB22" s="115"/>
      <c r="AC22" s="115"/>
      <c r="AD22" s="115"/>
      <c r="AI22" s="114"/>
      <c r="AJ22" s="115"/>
      <c r="AK22" s="115"/>
      <c r="AL22" s="116"/>
      <c r="AM22" s="114"/>
      <c r="AN22" s="115"/>
      <c r="AO22" s="115"/>
      <c r="AP22" s="116"/>
      <c r="AQ22" s="114"/>
      <c r="AR22" s="115"/>
      <c r="AS22" s="115"/>
      <c r="AT22" s="116"/>
      <c r="AU22" s="114"/>
      <c r="AV22" s="115"/>
      <c r="AW22" s="115"/>
      <c r="AX22" s="116"/>
      <c r="AY22" s="114"/>
      <c r="AZ22" s="115"/>
      <c r="BA22" s="115"/>
      <c r="BB22" s="116"/>
      <c r="BC22" s="114"/>
      <c r="BD22" s="115"/>
      <c r="BE22" s="115"/>
      <c r="BF22" s="116"/>
      <c r="BG22" s="114"/>
      <c r="BH22" s="115"/>
      <c r="BI22" s="115"/>
      <c r="BJ22" s="116"/>
      <c r="BK22" s="114"/>
      <c r="BL22" s="115"/>
      <c r="BM22" s="115"/>
      <c r="BN22" s="116"/>
      <c r="BO22" s="114"/>
      <c r="BP22" s="115"/>
      <c r="BQ22" s="115"/>
      <c r="BR22" s="116"/>
      <c r="BX22" s="21"/>
      <c r="BY22" s="21"/>
      <c r="BZ22" s="21"/>
      <c r="CA22" s="21"/>
      <c r="CB22" s="21"/>
      <c r="CD22" s="5"/>
      <c r="CE22" s="41"/>
    </row>
    <row r="23" spans="1:83" ht="21" customHeight="1" x14ac:dyDescent="0.55000000000000004">
      <c r="A23" s="5"/>
      <c r="C23" s="1" t="s">
        <v>167</v>
      </c>
      <c r="G23" s="4">
        <v>34</v>
      </c>
      <c r="H23" s="117" t="s">
        <v>576</v>
      </c>
      <c r="I23" s="117"/>
      <c r="J23" s="117"/>
      <c r="K23" s="6"/>
      <c r="L23" s="6"/>
      <c r="M23" s="6"/>
      <c r="N23" s="6"/>
      <c r="O23" s="6"/>
      <c r="P23" s="6"/>
      <c r="Q23" s="6"/>
      <c r="R23" s="9"/>
      <c r="S23" s="4">
        <v>35</v>
      </c>
      <c r="T23" s="117" t="s">
        <v>577</v>
      </c>
      <c r="U23" s="117"/>
      <c r="V23" s="118"/>
      <c r="AA23" s="4">
        <v>36</v>
      </c>
      <c r="AB23" s="117" t="s">
        <v>578</v>
      </c>
      <c r="AC23" s="117"/>
      <c r="AD23" s="118"/>
      <c r="AE23" s="4">
        <v>37</v>
      </c>
      <c r="AF23" s="117" t="s">
        <v>579</v>
      </c>
      <c r="AG23" s="117"/>
      <c r="AH23" s="118"/>
      <c r="AI23" s="4">
        <v>38</v>
      </c>
      <c r="AJ23" s="117" t="s">
        <v>580</v>
      </c>
      <c r="AK23" s="117"/>
      <c r="AL23" s="118"/>
      <c r="AM23" s="4">
        <v>39</v>
      </c>
      <c r="AN23" s="117" t="s">
        <v>581</v>
      </c>
      <c r="AO23" s="117"/>
      <c r="AP23" s="117"/>
      <c r="AQ23" s="6"/>
      <c r="AR23" s="6"/>
      <c r="AS23" s="6"/>
      <c r="AT23" s="6"/>
      <c r="AU23" s="16"/>
      <c r="AV23" s="6"/>
      <c r="AW23" s="6"/>
      <c r="AX23" s="6"/>
      <c r="AY23" s="17"/>
      <c r="AZ23" s="6"/>
      <c r="BA23" s="6"/>
      <c r="BB23" s="6"/>
      <c r="BC23" s="17"/>
      <c r="BD23" s="6"/>
      <c r="BE23" s="6"/>
      <c r="BF23" s="6"/>
      <c r="BG23" s="17"/>
      <c r="BH23" s="6"/>
      <c r="BI23" s="6"/>
      <c r="BJ23" s="9"/>
      <c r="BK23" s="12">
        <v>44</v>
      </c>
      <c r="BL23" s="117" t="s">
        <v>586</v>
      </c>
      <c r="BM23" s="117"/>
      <c r="BN23" s="117"/>
      <c r="BO23" s="6"/>
      <c r="BP23" s="6"/>
      <c r="BQ23" s="6"/>
      <c r="BR23" s="9"/>
      <c r="BS23" s="4">
        <v>45</v>
      </c>
      <c r="BT23" s="117" t="s">
        <v>587</v>
      </c>
      <c r="BU23" s="117"/>
      <c r="BV23" s="118"/>
      <c r="BX23" s="21"/>
      <c r="BY23" s="21"/>
      <c r="BZ23" s="21"/>
      <c r="CA23" s="21"/>
      <c r="CB23" s="21"/>
      <c r="CD23" s="5"/>
      <c r="CE23" s="41"/>
    </row>
    <row r="24" spans="1:83" ht="21" customHeight="1" x14ac:dyDescent="0.55000000000000004">
      <c r="A24" s="5"/>
      <c r="G24" s="108"/>
      <c r="H24" s="109"/>
      <c r="I24" s="109"/>
      <c r="J24" s="109"/>
      <c r="R24" s="8"/>
      <c r="S24" s="108"/>
      <c r="T24" s="109"/>
      <c r="U24" s="109"/>
      <c r="V24" s="110"/>
      <c r="W24" s="7"/>
      <c r="Z24" s="8"/>
      <c r="AA24" s="108"/>
      <c r="AB24" s="109"/>
      <c r="AC24" s="109"/>
      <c r="AD24" s="110"/>
      <c r="AE24" s="108"/>
      <c r="AF24" s="109"/>
      <c r="AG24" s="109"/>
      <c r="AH24" s="110"/>
      <c r="AI24" s="108"/>
      <c r="AJ24" s="109"/>
      <c r="AK24" s="109"/>
      <c r="AL24" s="110"/>
      <c r="AM24" s="108"/>
      <c r="AN24" s="109"/>
      <c r="AO24" s="109"/>
      <c r="AP24" s="109"/>
      <c r="AU24" s="25"/>
      <c r="AY24" s="24"/>
      <c r="BC24" s="24"/>
      <c r="BG24" s="24"/>
      <c r="BK24" s="108"/>
      <c r="BL24" s="109"/>
      <c r="BM24" s="109"/>
      <c r="BN24" s="109"/>
      <c r="BR24" s="8"/>
      <c r="BS24" s="108"/>
      <c r="BT24" s="109"/>
      <c r="BU24" s="109"/>
      <c r="BV24" s="110"/>
      <c r="BX24" s="21"/>
      <c r="BY24" s="21"/>
      <c r="BZ24" s="21"/>
      <c r="CA24" s="21"/>
      <c r="CB24" s="21"/>
      <c r="CD24" s="5"/>
      <c r="CE24" s="41"/>
    </row>
    <row r="25" spans="1:83" ht="21" customHeight="1" x14ac:dyDescent="0.55000000000000004">
      <c r="A25" s="5"/>
      <c r="G25" s="111"/>
      <c r="H25" s="112"/>
      <c r="I25" s="112"/>
      <c r="J25" s="112"/>
      <c r="R25" s="8"/>
      <c r="S25" s="111"/>
      <c r="T25" s="112"/>
      <c r="U25" s="112"/>
      <c r="V25" s="113"/>
      <c r="W25" s="7"/>
      <c r="Z25" s="8"/>
      <c r="AA25" s="111"/>
      <c r="AB25" s="112"/>
      <c r="AC25" s="112"/>
      <c r="AD25" s="113"/>
      <c r="AE25" s="111"/>
      <c r="AF25" s="112"/>
      <c r="AG25" s="112"/>
      <c r="AH25" s="113"/>
      <c r="AI25" s="111"/>
      <c r="AJ25" s="112"/>
      <c r="AK25" s="112"/>
      <c r="AL25" s="113"/>
      <c r="AM25" s="111"/>
      <c r="AN25" s="112"/>
      <c r="AO25" s="112"/>
      <c r="AP25" s="112"/>
      <c r="AU25" s="7"/>
      <c r="BK25" s="111"/>
      <c r="BL25" s="112"/>
      <c r="BM25" s="112"/>
      <c r="BN25" s="112"/>
      <c r="BR25" s="8"/>
      <c r="BS25" s="111"/>
      <c r="BT25" s="112"/>
      <c r="BU25" s="112"/>
      <c r="BV25" s="113"/>
      <c r="BX25" s="21"/>
      <c r="BY25" s="21"/>
      <c r="BZ25" s="21"/>
      <c r="CA25" s="21"/>
      <c r="CB25" s="21"/>
      <c r="CD25" s="5"/>
      <c r="CE25" s="41"/>
    </row>
    <row r="26" spans="1:83" ht="21" customHeight="1" thickBot="1" x14ac:dyDescent="0.6">
      <c r="A26" s="5"/>
      <c r="G26" s="114"/>
      <c r="H26" s="115"/>
      <c r="I26" s="115"/>
      <c r="J26" s="115"/>
      <c r="R26" s="8"/>
      <c r="S26" s="114"/>
      <c r="T26" s="115"/>
      <c r="U26" s="115"/>
      <c r="V26" s="116"/>
      <c r="W26" s="10"/>
      <c r="X26" s="11"/>
      <c r="Y26" s="11"/>
      <c r="Z26" s="13"/>
      <c r="AA26" s="114"/>
      <c r="AB26" s="115"/>
      <c r="AC26" s="115"/>
      <c r="AD26" s="116"/>
      <c r="AE26" s="114"/>
      <c r="AF26" s="115"/>
      <c r="AG26" s="115"/>
      <c r="AH26" s="116"/>
      <c r="AI26" s="114"/>
      <c r="AJ26" s="115"/>
      <c r="AK26" s="115"/>
      <c r="AL26" s="116"/>
      <c r="AM26" s="114"/>
      <c r="AN26" s="115"/>
      <c r="AO26" s="115"/>
      <c r="AP26" s="115"/>
      <c r="AU26" s="7"/>
      <c r="BK26" s="114"/>
      <c r="BL26" s="115"/>
      <c r="BM26" s="115"/>
      <c r="BN26" s="115"/>
      <c r="BO26" s="11"/>
      <c r="BP26" s="11"/>
      <c r="BQ26" s="11"/>
      <c r="BR26" s="13"/>
      <c r="BS26" s="114"/>
      <c r="BT26" s="115"/>
      <c r="BU26" s="115"/>
      <c r="BV26" s="116"/>
      <c r="BX26" s="21"/>
      <c r="BY26" s="21"/>
      <c r="BZ26" s="21"/>
      <c r="CA26" s="21"/>
      <c r="CB26" s="21"/>
      <c r="CD26" s="5"/>
      <c r="CE26" s="41"/>
    </row>
    <row r="27" spans="1:83" ht="21" customHeight="1" x14ac:dyDescent="0.55000000000000004">
      <c r="A27" s="5"/>
      <c r="C27" s="1" t="s">
        <v>168</v>
      </c>
      <c r="G27" s="4">
        <v>46</v>
      </c>
      <c r="H27" s="117" t="s">
        <v>588</v>
      </c>
      <c r="I27" s="117"/>
      <c r="J27" s="118"/>
      <c r="R27" s="8"/>
      <c r="S27" s="4">
        <v>47</v>
      </c>
      <c r="T27" s="117" t="s">
        <v>589</v>
      </c>
      <c r="U27" s="117"/>
      <c r="V27" s="117"/>
      <c r="W27" s="6"/>
      <c r="X27" s="6"/>
      <c r="Y27" s="6"/>
      <c r="Z27" s="6"/>
      <c r="AA27" s="6"/>
      <c r="AB27" s="6"/>
      <c r="AC27" s="6"/>
      <c r="AD27" s="6"/>
      <c r="AE27" s="6"/>
      <c r="AF27" s="6"/>
      <c r="AG27" s="6"/>
      <c r="AH27" s="6"/>
      <c r="AI27" s="4">
        <v>48</v>
      </c>
      <c r="AJ27" s="117" t="s">
        <v>590</v>
      </c>
      <c r="AK27" s="117"/>
      <c r="AL27" s="118"/>
      <c r="AM27" s="4">
        <v>49</v>
      </c>
      <c r="AN27" s="117" t="s">
        <v>591</v>
      </c>
      <c r="AO27" s="117"/>
      <c r="AP27" s="118"/>
      <c r="AQ27" s="4">
        <v>50</v>
      </c>
      <c r="AR27" s="117" t="s">
        <v>592</v>
      </c>
      <c r="AS27" s="117"/>
      <c r="AT27" s="118"/>
      <c r="AU27" s="4">
        <v>51</v>
      </c>
      <c r="AV27" s="117" t="s">
        <v>593</v>
      </c>
      <c r="AW27" s="117"/>
      <c r="AX27" s="118"/>
      <c r="AY27" s="18"/>
      <c r="BC27" s="3" t="s">
        <v>163</v>
      </c>
      <c r="BD27" s="120"/>
      <c r="BE27" s="120"/>
      <c r="BF27" s="120"/>
      <c r="BG27" s="19"/>
      <c r="BJ27" s="8"/>
      <c r="BK27" s="4">
        <v>55</v>
      </c>
      <c r="BL27" s="117" t="s">
        <v>596</v>
      </c>
      <c r="BM27" s="117"/>
      <c r="BN27" s="117"/>
      <c r="BS27" s="4">
        <v>56</v>
      </c>
      <c r="BT27" s="117" t="s">
        <v>58</v>
      </c>
      <c r="BU27" s="117"/>
      <c r="BV27" s="118"/>
      <c r="BX27" s="21"/>
      <c r="BY27" s="21"/>
      <c r="BZ27" s="21"/>
      <c r="CA27" s="21"/>
      <c r="CB27" s="21"/>
      <c r="CD27" s="5"/>
      <c r="CE27" s="41"/>
    </row>
    <row r="28" spans="1:83" ht="21" customHeight="1" x14ac:dyDescent="0.55000000000000004">
      <c r="A28" s="5"/>
      <c r="G28" s="108"/>
      <c r="H28" s="109"/>
      <c r="I28" s="109"/>
      <c r="J28" s="110"/>
      <c r="R28" s="8"/>
      <c r="S28" s="108"/>
      <c r="T28" s="109"/>
      <c r="U28" s="109"/>
      <c r="V28" s="109"/>
      <c r="AI28" s="108"/>
      <c r="AJ28" s="109"/>
      <c r="AK28" s="109"/>
      <c r="AL28" s="110"/>
      <c r="AM28" s="108"/>
      <c r="AN28" s="109"/>
      <c r="AO28" s="109"/>
      <c r="AP28" s="110"/>
      <c r="AQ28" s="108"/>
      <c r="AR28" s="109"/>
      <c r="AS28" s="109"/>
      <c r="AT28" s="110"/>
      <c r="AU28" s="108"/>
      <c r="AV28" s="109"/>
      <c r="AW28" s="109"/>
      <c r="AX28" s="110"/>
      <c r="AY28" s="24"/>
      <c r="BC28" s="109"/>
      <c r="BD28" s="109"/>
      <c r="BE28" s="109"/>
      <c r="BF28" s="109"/>
      <c r="BG28" s="24"/>
      <c r="BK28" s="108"/>
      <c r="BL28" s="109"/>
      <c r="BM28" s="109"/>
      <c r="BN28" s="109"/>
      <c r="BS28" s="108"/>
      <c r="BT28" s="109"/>
      <c r="BU28" s="109"/>
      <c r="BV28" s="110"/>
      <c r="CD28" s="5"/>
      <c r="CE28" s="41"/>
    </row>
    <row r="29" spans="1:83" ht="21" customHeight="1" x14ac:dyDescent="0.55000000000000004">
      <c r="A29" s="5"/>
      <c r="G29" s="111"/>
      <c r="H29" s="112"/>
      <c r="I29" s="112"/>
      <c r="J29" s="113"/>
      <c r="R29" s="8"/>
      <c r="S29" s="111"/>
      <c r="T29" s="112"/>
      <c r="U29" s="112"/>
      <c r="V29" s="112"/>
      <c r="AI29" s="111"/>
      <c r="AJ29" s="112"/>
      <c r="AK29" s="112"/>
      <c r="AL29" s="113"/>
      <c r="AM29" s="111"/>
      <c r="AN29" s="112"/>
      <c r="AO29" s="112"/>
      <c r="AP29" s="113"/>
      <c r="AQ29" s="111"/>
      <c r="AR29" s="112"/>
      <c r="AS29" s="112"/>
      <c r="AT29" s="113"/>
      <c r="AU29" s="111"/>
      <c r="AV29" s="112"/>
      <c r="AW29" s="112"/>
      <c r="AX29" s="113"/>
      <c r="BC29" s="112"/>
      <c r="BD29" s="112"/>
      <c r="BE29" s="112"/>
      <c r="BF29" s="112"/>
      <c r="BK29" s="111"/>
      <c r="BL29" s="112"/>
      <c r="BM29" s="112"/>
      <c r="BN29" s="112"/>
      <c r="BS29" s="111"/>
      <c r="BT29" s="112"/>
      <c r="BU29" s="112"/>
      <c r="BV29" s="113"/>
      <c r="CD29" s="5"/>
      <c r="CE29" s="41"/>
    </row>
    <row r="30" spans="1:83" ht="21" customHeight="1" thickBot="1" x14ac:dyDescent="0.6">
      <c r="A30" s="5"/>
      <c r="G30" s="114"/>
      <c r="H30" s="115"/>
      <c r="I30" s="115"/>
      <c r="J30" s="116"/>
      <c r="R30" s="8"/>
      <c r="S30" s="121"/>
      <c r="T30" s="119"/>
      <c r="U30" s="119"/>
      <c r="V30" s="119"/>
      <c r="AI30" s="114"/>
      <c r="AJ30" s="115"/>
      <c r="AK30" s="115"/>
      <c r="AL30" s="116"/>
      <c r="AM30" s="114"/>
      <c r="AN30" s="115"/>
      <c r="AO30" s="115"/>
      <c r="AP30" s="116"/>
      <c r="AQ30" s="114"/>
      <c r="AR30" s="115"/>
      <c r="AS30" s="115"/>
      <c r="AT30" s="116"/>
      <c r="AU30" s="114"/>
      <c r="AV30" s="115"/>
      <c r="AW30" s="115"/>
      <c r="AX30" s="116"/>
      <c r="BC30" s="119"/>
      <c r="BD30" s="119"/>
      <c r="BE30" s="119"/>
      <c r="BF30" s="119"/>
      <c r="BK30" s="121"/>
      <c r="BL30" s="119"/>
      <c r="BM30" s="119"/>
      <c r="BN30" s="119"/>
      <c r="BS30" s="114"/>
      <c r="BT30" s="115"/>
      <c r="BU30" s="115"/>
      <c r="BV30" s="116"/>
      <c r="CD30" s="5"/>
      <c r="CE30" s="41"/>
    </row>
    <row r="31" spans="1:83" ht="21" customHeight="1" x14ac:dyDescent="0.55000000000000004">
      <c r="A31" s="5"/>
      <c r="C31" s="1" t="s">
        <v>169</v>
      </c>
      <c r="G31" s="7"/>
      <c r="R31" s="8"/>
      <c r="S31" s="7"/>
      <c r="AM31" s="4">
        <v>57</v>
      </c>
      <c r="AN31" s="117" t="s">
        <v>597</v>
      </c>
      <c r="AO31" s="117"/>
      <c r="AP31" s="118"/>
      <c r="AQ31" s="4">
        <v>58</v>
      </c>
      <c r="AR31" s="117" t="s">
        <v>598</v>
      </c>
      <c r="AS31" s="117"/>
      <c r="AT31" s="118"/>
      <c r="AU31" s="4">
        <v>59</v>
      </c>
      <c r="AV31" s="117" t="s">
        <v>599</v>
      </c>
      <c r="AW31" s="117"/>
      <c r="AX31" s="118"/>
      <c r="AY31" s="19"/>
      <c r="BC31" s="19"/>
      <c r="BG31" s="19"/>
      <c r="BJ31" s="8"/>
      <c r="BK31" s="7"/>
      <c r="BS31" s="4">
        <v>63</v>
      </c>
      <c r="BT31" s="117" t="s">
        <v>603</v>
      </c>
      <c r="BU31" s="117"/>
      <c r="BV31" s="118"/>
      <c r="CD31" s="5"/>
      <c r="CE31" s="41"/>
    </row>
    <row r="32" spans="1:83" ht="21" customHeight="1" x14ac:dyDescent="0.55000000000000004">
      <c r="A32" s="5"/>
      <c r="G32" s="7"/>
      <c r="R32" s="8"/>
      <c r="S32" s="7"/>
      <c r="AM32" s="108"/>
      <c r="AN32" s="109"/>
      <c r="AO32" s="109"/>
      <c r="AP32" s="110"/>
      <c r="AQ32" s="108"/>
      <c r="AR32" s="109"/>
      <c r="AS32" s="109"/>
      <c r="AT32" s="110"/>
      <c r="AU32" s="108"/>
      <c r="AV32" s="109"/>
      <c r="AW32" s="109"/>
      <c r="AX32" s="110"/>
      <c r="AY32" s="24"/>
      <c r="BC32" s="24"/>
      <c r="BG32" s="24"/>
      <c r="BK32" s="7"/>
      <c r="BS32" s="108"/>
      <c r="BT32" s="109"/>
      <c r="BU32" s="109"/>
      <c r="BV32" s="110"/>
      <c r="CD32" s="5"/>
      <c r="CE32" s="41"/>
    </row>
    <row r="33" spans="1:83" ht="21" customHeight="1" x14ac:dyDescent="0.55000000000000004">
      <c r="A33" s="5"/>
      <c r="G33" s="7"/>
      <c r="R33" s="8"/>
      <c r="S33" s="7"/>
      <c r="AI33" s="24"/>
      <c r="AM33" s="111"/>
      <c r="AN33" s="112"/>
      <c r="AO33" s="112"/>
      <c r="AP33" s="113"/>
      <c r="AQ33" s="111"/>
      <c r="AR33" s="112"/>
      <c r="AS33" s="112"/>
      <c r="AT33" s="113"/>
      <c r="AU33" s="111"/>
      <c r="AV33" s="112"/>
      <c r="AW33" s="112"/>
      <c r="AX33" s="113"/>
      <c r="BK33" s="7"/>
      <c r="BS33" s="111"/>
      <c r="BT33" s="112"/>
      <c r="BU33" s="112"/>
      <c r="BV33" s="113"/>
      <c r="CD33" s="5"/>
      <c r="CE33" s="41"/>
    </row>
    <row r="34" spans="1:83"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4"/>
      <c r="AN34" s="115"/>
      <c r="AO34" s="115"/>
      <c r="AP34" s="116"/>
      <c r="AQ34" s="114"/>
      <c r="AR34" s="115"/>
      <c r="AS34" s="115"/>
      <c r="AT34" s="116"/>
      <c r="AU34" s="114"/>
      <c r="AV34" s="115"/>
      <c r="AW34" s="115"/>
      <c r="AX34" s="116"/>
      <c r="AY34" s="11"/>
      <c r="AZ34" s="11"/>
      <c r="BA34" s="11"/>
      <c r="BB34" s="11"/>
      <c r="BC34" s="11"/>
      <c r="BD34" s="11"/>
      <c r="BE34" s="11"/>
      <c r="BF34" s="11"/>
      <c r="BG34" s="11"/>
      <c r="BH34" s="11"/>
      <c r="BI34" s="11"/>
      <c r="BJ34" s="11"/>
      <c r="BK34" s="7"/>
      <c r="BS34" s="114"/>
      <c r="BT34" s="115"/>
      <c r="BU34" s="115"/>
      <c r="BV34" s="116"/>
      <c r="CD34" s="5"/>
      <c r="CE34" s="41"/>
    </row>
    <row r="35" spans="1:83" ht="21" customHeight="1" x14ac:dyDescent="0.55000000000000004">
      <c r="A35" s="5"/>
      <c r="C35" s="1" t="s">
        <v>170</v>
      </c>
      <c r="AM35" s="4">
        <v>64</v>
      </c>
      <c r="AN35" s="117" t="s">
        <v>47</v>
      </c>
      <c r="AO35" s="117"/>
      <c r="AP35" s="118"/>
      <c r="AQ35" s="4">
        <v>65</v>
      </c>
      <c r="AR35" s="117" t="s">
        <v>74</v>
      </c>
      <c r="AS35" s="117"/>
      <c r="AT35" s="118"/>
      <c r="AU35" s="4">
        <v>66</v>
      </c>
      <c r="AV35" s="117" t="s">
        <v>73</v>
      </c>
      <c r="AW35" s="117"/>
      <c r="AX35" s="118"/>
      <c r="AY35" s="4">
        <v>67</v>
      </c>
      <c r="AZ35" s="117" t="s">
        <v>71</v>
      </c>
      <c r="BA35" s="117"/>
      <c r="BB35" s="118"/>
      <c r="BC35" s="4">
        <v>68</v>
      </c>
      <c r="BD35" s="117" t="s">
        <v>69</v>
      </c>
      <c r="BE35" s="117"/>
      <c r="BF35" s="118"/>
      <c r="BG35" s="4">
        <v>69</v>
      </c>
      <c r="BH35" s="117" t="s">
        <v>67</v>
      </c>
      <c r="BI35" s="117"/>
      <c r="BJ35" s="118"/>
      <c r="BK35" s="4">
        <v>70</v>
      </c>
      <c r="BL35" s="117" t="s">
        <v>65</v>
      </c>
      <c r="BM35" s="117"/>
      <c r="BN35" s="118"/>
      <c r="BO35" s="4">
        <v>71</v>
      </c>
      <c r="BP35" s="117" t="s">
        <v>63</v>
      </c>
      <c r="BQ35" s="117"/>
      <c r="BR35" s="118"/>
      <c r="BS35" s="4">
        <v>72</v>
      </c>
      <c r="BT35" s="117" t="s">
        <v>61</v>
      </c>
      <c r="BU35" s="117"/>
      <c r="BV35" s="118"/>
      <c r="CD35" s="5"/>
      <c r="CE35" s="41"/>
    </row>
    <row r="36" spans="1:83" ht="21" customHeight="1" x14ac:dyDescent="0.55000000000000004">
      <c r="A36" s="5"/>
      <c r="AD36" s="48">
        <v>40</v>
      </c>
      <c r="AE36" s="48">
        <v>41</v>
      </c>
      <c r="AF36" s="48">
        <v>42</v>
      </c>
      <c r="AG36" s="48">
        <v>43</v>
      </c>
      <c r="AH36" s="2" t="s">
        <v>171</v>
      </c>
      <c r="AI36" s="48" t="s">
        <v>163</v>
      </c>
      <c r="AM36" s="108"/>
      <c r="AN36" s="109"/>
      <c r="AO36" s="109"/>
      <c r="AP36" s="110"/>
      <c r="AQ36" s="108"/>
      <c r="AR36" s="109"/>
      <c r="AS36" s="109"/>
      <c r="AT36" s="110"/>
      <c r="AU36" s="108"/>
      <c r="AV36" s="109"/>
      <c r="AW36" s="109"/>
      <c r="AX36" s="110"/>
      <c r="AY36" s="108"/>
      <c r="AZ36" s="109"/>
      <c r="BA36" s="109"/>
      <c r="BB36" s="110"/>
      <c r="BC36" s="108"/>
      <c r="BD36" s="109"/>
      <c r="BE36" s="109"/>
      <c r="BF36" s="110"/>
      <c r="BG36" s="108"/>
      <c r="BH36" s="109"/>
      <c r="BI36" s="109"/>
      <c r="BJ36" s="110"/>
      <c r="BK36" s="108"/>
      <c r="BL36" s="109"/>
      <c r="BM36" s="109"/>
      <c r="BN36" s="110"/>
      <c r="BO36" s="108"/>
      <c r="BP36" s="109"/>
      <c r="BQ36" s="109"/>
      <c r="BR36" s="110"/>
      <c r="BS36" s="108"/>
      <c r="BT36" s="109"/>
      <c r="BU36" s="109"/>
      <c r="BV36" s="110"/>
      <c r="CD36" s="5"/>
      <c r="CE36" s="41"/>
    </row>
    <row r="37" spans="1:83" ht="21" customHeight="1" x14ac:dyDescent="0.55000000000000004">
      <c r="A37" s="5"/>
      <c r="AE37" s="48">
        <v>52</v>
      </c>
      <c r="AF37" s="48">
        <v>53</v>
      </c>
      <c r="AG37" s="48">
        <v>54</v>
      </c>
      <c r="AM37" s="111"/>
      <c r="AN37" s="112"/>
      <c r="AO37" s="112"/>
      <c r="AP37" s="113"/>
      <c r="AQ37" s="111"/>
      <c r="AR37" s="112"/>
      <c r="AS37" s="112"/>
      <c r="AT37" s="113"/>
      <c r="AU37" s="111"/>
      <c r="AV37" s="112"/>
      <c r="AW37" s="112"/>
      <c r="AX37" s="113"/>
      <c r="AY37" s="111"/>
      <c r="AZ37" s="112"/>
      <c r="BA37" s="112"/>
      <c r="BB37" s="113"/>
      <c r="BC37" s="111"/>
      <c r="BD37" s="112"/>
      <c r="BE37" s="112"/>
      <c r="BF37" s="113"/>
      <c r="BG37" s="111"/>
      <c r="BH37" s="112"/>
      <c r="BI37" s="112"/>
      <c r="BJ37" s="113"/>
      <c r="BK37" s="111"/>
      <c r="BL37" s="112"/>
      <c r="BM37" s="112"/>
      <c r="BN37" s="113"/>
      <c r="BO37" s="111"/>
      <c r="BP37" s="112"/>
      <c r="BQ37" s="112"/>
      <c r="BR37" s="113"/>
      <c r="BS37" s="111"/>
      <c r="BT37" s="112"/>
      <c r="BU37" s="112"/>
      <c r="BV37" s="113"/>
      <c r="CD37" s="5"/>
      <c r="CE37" s="41"/>
    </row>
    <row r="38" spans="1:83" ht="21" customHeight="1" thickBot="1" x14ac:dyDescent="0.6">
      <c r="A38" s="5"/>
      <c r="B38" t="s">
        <v>548</v>
      </c>
      <c r="G38" s="15"/>
      <c r="AE38" s="48">
        <v>60</v>
      </c>
      <c r="AF38" s="48">
        <v>61</v>
      </c>
      <c r="AG38" s="48">
        <v>62</v>
      </c>
      <c r="AM38" s="114"/>
      <c r="AN38" s="115"/>
      <c r="AO38" s="115"/>
      <c r="AP38" s="116"/>
      <c r="AQ38" s="114"/>
      <c r="AR38" s="115"/>
      <c r="AS38" s="115"/>
      <c r="AT38" s="116"/>
      <c r="AU38" s="114"/>
      <c r="AV38" s="115"/>
      <c r="AW38" s="115"/>
      <c r="AX38" s="116"/>
      <c r="AY38" s="114"/>
      <c r="AZ38" s="115"/>
      <c r="BA38" s="115"/>
      <c r="BB38" s="116"/>
      <c r="BC38" s="114"/>
      <c r="BD38" s="115"/>
      <c r="BE38" s="115"/>
      <c r="BF38" s="116"/>
      <c r="BG38" s="114"/>
      <c r="BH38" s="115"/>
      <c r="BI38" s="115"/>
      <c r="BJ38" s="116"/>
      <c r="BK38" s="114"/>
      <c r="BL38" s="115"/>
      <c r="BM38" s="115"/>
      <c r="BN38" s="116"/>
      <c r="BO38" s="114"/>
      <c r="BP38" s="115"/>
      <c r="BQ38" s="115"/>
      <c r="BR38" s="116"/>
      <c r="BS38" s="114"/>
      <c r="BT38" s="115"/>
      <c r="BU38" s="115"/>
      <c r="BV38" s="116"/>
      <c r="CD38" s="5"/>
      <c r="CE38" s="41"/>
    </row>
    <row r="39" spans="1:83" ht="21" customHeight="1" x14ac:dyDescent="0.55000000000000004">
      <c r="A39" s="5"/>
      <c r="B39" t="s">
        <v>360</v>
      </c>
      <c r="CD39" s="5"/>
      <c r="CE39" s="41"/>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41"/>
    </row>
    <row r="41" spans="1:83" ht="21" customHeight="1" x14ac:dyDescent="0.55000000000000004">
      <c r="A41" s="41" t="s">
        <v>252</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row>
  </sheetData>
  <mergeCells count="252">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7:AP37"/>
    <mergeCell ref="AQ37:AT37"/>
    <mergeCell ref="AU37:AX37"/>
    <mergeCell ref="AY37:BB37"/>
    <mergeCell ref="BC37:BF37"/>
    <mergeCell ref="BG37:BJ37"/>
    <mergeCell ref="BK37:BN37"/>
    <mergeCell ref="BO37:BR37"/>
    <mergeCell ref="BS37:BV37"/>
    <mergeCell ref="AM38:AP38"/>
    <mergeCell ref="AQ38:AT38"/>
    <mergeCell ref="AU38:AX38"/>
    <mergeCell ref="AY38:BB38"/>
    <mergeCell ref="BC38:BF38"/>
    <mergeCell ref="BG38:BJ38"/>
    <mergeCell ref="BK38:BN38"/>
    <mergeCell ref="BO38:BR38"/>
    <mergeCell ref="BS38:BV38"/>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AX75"/>
  <sheetViews>
    <sheetView workbookViewId="0">
      <pane ySplit="1" topLeftCell="A2" activePane="bottomLeft" state="frozen"/>
      <selection pane="bottomLeft"/>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s="69" t="s">
        <v>362</v>
      </c>
      <c r="B1" s="70" t="s">
        <v>376</v>
      </c>
      <c r="C1" s="71" t="s">
        <v>172</v>
      </c>
      <c r="D1" s="71" t="s">
        <v>173</v>
      </c>
      <c r="E1" s="72" t="s">
        <v>545</v>
      </c>
      <c r="F1" s="75" t="s">
        <v>546</v>
      </c>
      <c r="G1" s="75" t="s">
        <v>515</v>
      </c>
      <c r="H1" s="75" t="s">
        <v>516</v>
      </c>
      <c r="I1" s="75" t="s">
        <v>517</v>
      </c>
      <c r="J1" s="76" t="s">
        <v>518</v>
      </c>
      <c r="K1" s="77" t="s">
        <v>519</v>
      </c>
      <c r="L1" s="78" t="s">
        <v>547</v>
      </c>
      <c r="M1" s="79" t="s">
        <v>520</v>
      </c>
      <c r="N1" s="80" t="s">
        <v>521</v>
      </c>
      <c r="O1" s="80" t="s">
        <v>522</v>
      </c>
      <c r="P1" s="75" t="s">
        <v>523</v>
      </c>
      <c r="Q1" s="75" t="s">
        <v>524</v>
      </c>
      <c r="R1" s="75" t="s">
        <v>525</v>
      </c>
      <c r="S1" s="80" t="s">
        <v>526</v>
      </c>
      <c r="T1" s="80" t="s">
        <v>527</v>
      </c>
      <c r="U1" s="80" t="s">
        <v>528</v>
      </c>
      <c r="V1" s="75" t="s">
        <v>523</v>
      </c>
      <c r="W1" s="75" t="s">
        <v>524</v>
      </c>
      <c r="X1" s="75" t="s">
        <v>525</v>
      </c>
      <c r="Y1" s="80" t="s">
        <v>526</v>
      </c>
      <c r="Z1" s="80" t="s">
        <v>527</v>
      </c>
      <c r="AA1" s="80" t="s">
        <v>528</v>
      </c>
      <c r="AB1" s="75" t="s">
        <v>523</v>
      </c>
      <c r="AC1" s="75" t="s">
        <v>524</v>
      </c>
      <c r="AD1" s="75" t="s">
        <v>525</v>
      </c>
      <c r="AE1" s="80" t="s">
        <v>526</v>
      </c>
      <c r="AF1" s="80" t="s">
        <v>527</v>
      </c>
      <c r="AG1" s="80" t="s">
        <v>528</v>
      </c>
      <c r="AH1" s="80" t="s">
        <v>529</v>
      </c>
      <c r="AI1" s="75" t="s">
        <v>530</v>
      </c>
      <c r="AJ1" s="75" t="s">
        <v>531</v>
      </c>
      <c r="AK1" s="75" t="s">
        <v>532</v>
      </c>
      <c r="AL1" s="75" t="s">
        <v>533</v>
      </c>
      <c r="AM1" s="75" t="s">
        <v>534</v>
      </c>
      <c r="AN1" s="75" t="s">
        <v>535</v>
      </c>
      <c r="AO1" s="75" t="s">
        <v>533</v>
      </c>
      <c r="AP1" s="75" t="s">
        <v>536</v>
      </c>
      <c r="AQ1" s="75" t="s">
        <v>537</v>
      </c>
      <c r="AR1" s="75" t="s">
        <v>538</v>
      </c>
      <c r="AS1" s="75" t="s">
        <v>539</v>
      </c>
      <c r="AT1" s="75" t="s">
        <v>540</v>
      </c>
      <c r="AU1" s="75" t="s">
        <v>541</v>
      </c>
      <c r="AV1" s="75" t="s">
        <v>542</v>
      </c>
      <c r="AW1" s="75" t="s">
        <v>543</v>
      </c>
      <c r="AX1" s="75" t="s">
        <v>544</v>
      </c>
    </row>
    <row r="2" spans="1:50" x14ac:dyDescent="0.55000000000000004">
      <c r="A2" s="73">
        <v>1</v>
      </c>
      <c r="B2" s="64" t="s">
        <v>436</v>
      </c>
      <c r="C2" s="2" t="s">
        <v>2</v>
      </c>
      <c r="D2" s="2" t="s">
        <v>3</v>
      </c>
      <c r="E2" s="62" t="s">
        <v>510</v>
      </c>
      <c r="F2" s="63">
        <v>30343</v>
      </c>
      <c r="G2" s="63">
        <v>15012</v>
      </c>
      <c r="H2" s="63">
        <v>15331</v>
      </c>
      <c r="I2" s="63">
        <v>30565</v>
      </c>
      <c r="J2" s="68">
        <v>-222</v>
      </c>
      <c r="K2" s="65">
        <v>-0.72631999999999997</v>
      </c>
      <c r="L2" s="66">
        <v>29.18</v>
      </c>
      <c r="M2" s="67">
        <v>1039.9000000000001</v>
      </c>
      <c r="N2" s="74">
        <v>47.595709999999997</v>
      </c>
      <c r="O2" s="74">
        <v>48.68526</v>
      </c>
      <c r="P2" s="63">
        <v>3556</v>
      </c>
      <c r="Q2" s="63">
        <v>18129</v>
      </c>
      <c r="R2" s="63">
        <v>8658</v>
      </c>
      <c r="S2" s="74">
        <v>11.719340000000001</v>
      </c>
      <c r="T2" s="74">
        <v>59.74689</v>
      </c>
      <c r="U2" s="74">
        <v>28.533760000000001</v>
      </c>
      <c r="V2" s="63">
        <v>1823</v>
      </c>
      <c r="W2" s="63">
        <v>9233</v>
      </c>
      <c r="X2" s="63">
        <v>3956</v>
      </c>
      <c r="Y2" s="74">
        <v>12.14362</v>
      </c>
      <c r="Z2" s="74">
        <v>61.504130000000004</v>
      </c>
      <c r="AA2" s="74">
        <v>26.352250000000002</v>
      </c>
      <c r="AB2" s="63">
        <v>1733</v>
      </c>
      <c r="AC2" s="63">
        <v>8896</v>
      </c>
      <c r="AD2" s="63">
        <v>4702</v>
      </c>
      <c r="AE2" s="74">
        <v>11.303890000000001</v>
      </c>
      <c r="AF2" s="74">
        <v>58.026220000000002</v>
      </c>
      <c r="AG2" s="74">
        <v>30.669879999999999</v>
      </c>
      <c r="AH2" s="74">
        <v>97.919250000000005</v>
      </c>
      <c r="AI2" s="63">
        <v>29203</v>
      </c>
      <c r="AJ2" s="63">
        <v>1140</v>
      </c>
      <c r="AK2" s="63">
        <v>11856</v>
      </c>
      <c r="AL2" s="63">
        <v>11824</v>
      </c>
      <c r="AM2" s="63">
        <v>32</v>
      </c>
      <c r="AN2" s="63">
        <v>11225</v>
      </c>
      <c r="AO2" s="63">
        <v>11824</v>
      </c>
      <c r="AP2" s="63">
        <v>7174</v>
      </c>
      <c r="AQ2" s="63">
        <v>2521</v>
      </c>
      <c r="AR2" s="63">
        <v>3509</v>
      </c>
      <c r="AS2" s="63">
        <v>201</v>
      </c>
      <c r="AT2" s="63">
        <v>943</v>
      </c>
      <c r="AU2" s="63">
        <v>3178</v>
      </c>
      <c r="AV2" s="63">
        <v>1153</v>
      </c>
      <c r="AW2" s="63">
        <v>1532</v>
      </c>
      <c r="AX2" s="63">
        <v>727</v>
      </c>
    </row>
    <row r="3" spans="1:50" x14ac:dyDescent="0.55000000000000004">
      <c r="A3" s="73">
        <v>2</v>
      </c>
      <c r="B3" s="64" t="s">
        <v>387</v>
      </c>
      <c r="C3" s="2" t="s">
        <v>4</v>
      </c>
      <c r="D3" s="2" t="s">
        <v>5</v>
      </c>
      <c r="E3" s="62" t="s">
        <v>461</v>
      </c>
      <c r="F3" s="63">
        <v>78569</v>
      </c>
      <c r="G3" s="63">
        <v>39216</v>
      </c>
      <c r="H3" s="63">
        <v>39353</v>
      </c>
      <c r="I3" s="63">
        <v>77881</v>
      </c>
      <c r="J3" s="68">
        <v>688</v>
      </c>
      <c r="K3" s="65">
        <v>0.88339999999999996</v>
      </c>
      <c r="L3" s="66">
        <v>89.69</v>
      </c>
      <c r="M3" s="67">
        <v>876</v>
      </c>
      <c r="N3" s="74">
        <v>48.217370000000003</v>
      </c>
      <c r="O3" s="74">
        <v>49.510399999999997</v>
      </c>
      <c r="P3" s="63">
        <v>8910</v>
      </c>
      <c r="Q3" s="63">
        <v>46744</v>
      </c>
      <c r="R3" s="63">
        <v>22915</v>
      </c>
      <c r="S3" s="74">
        <v>11.340350000000001</v>
      </c>
      <c r="T3" s="74">
        <v>59.494199999999999</v>
      </c>
      <c r="U3" s="74">
        <v>29.16545</v>
      </c>
      <c r="V3" s="63">
        <v>4457</v>
      </c>
      <c r="W3" s="63">
        <v>24535</v>
      </c>
      <c r="X3" s="63">
        <v>10224</v>
      </c>
      <c r="Y3" s="74">
        <v>11.365259999999999</v>
      </c>
      <c r="Z3" s="74">
        <v>62.563749999999999</v>
      </c>
      <c r="AA3" s="74">
        <v>26.070989999999998</v>
      </c>
      <c r="AB3" s="63">
        <v>4453</v>
      </c>
      <c r="AC3" s="63">
        <v>22209</v>
      </c>
      <c r="AD3" s="63">
        <v>12691</v>
      </c>
      <c r="AE3" s="74">
        <v>11.315530000000001</v>
      </c>
      <c r="AF3" s="74">
        <v>56.435339999999997</v>
      </c>
      <c r="AG3" s="74">
        <v>32.249130000000001</v>
      </c>
      <c r="AH3" s="74">
        <v>99.651870000000002</v>
      </c>
      <c r="AI3" s="63">
        <v>75975</v>
      </c>
      <c r="AJ3" s="63">
        <v>2594</v>
      </c>
      <c r="AK3" s="63">
        <v>33033</v>
      </c>
      <c r="AL3" s="63">
        <v>32949</v>
      </c>
      <c r="AM3" s="63">
        <v>84</v>
      </c>
      <c r="AN3" s="63">
        <v>31004</v>
      </c>
      <c r="AO3" s="63">
        <v>32949</v>
      </c>
      <c r="AP3" s="63">
        <v>18714</v>
      </c>
      <c r="AQ3" s="63">
        <v>6492</v>
      </c>
      <c r="AR3" s="63">
        <v>8907</v>
      </c>
      <c r="AS3" s="63">
        <v>560</v>
      </c>
      <c r="AT3" s="63">
        <v>2755</v>
      </c>
      <c r="AU3" s="63">
        <v>11240</v>
      </c>
      <c r="AV3" s="63">
        <v>3891</v>
      </c>
      <c r="AW3" s="63">
        <v>3835</v>
      </c>
      <c r="AX3" s="63">
        <v>1651</v>
      </c>
    </row>
    <row r="4" spans="1:50" x14ac:dyDescent="0.55000000000000004">
      <c r="A4" s="73">
        <v>3</v>
      </c>
      <c r="B4" s="64" t="s">
        <v>393</v>
      </c>
      <c r="C4" s="2" t="s">
        <v>6</v>
      </c>
      <c r="D4" s="2" t="s">
        <v>7</v>
      </c>
      <c r="E4" s="62" t="s">
        <v>467</v>
      </c>
      <c r="F4" s="63">
        <v>141268</v>
      </c>
      <c r="G4" s="63">
        <v>70200</v>
      </c>
      <c r="H4" s="63">
        <v>71068</v>
      </c>
      <c r="I4" s="63">
        <v>143811</v>
      </c>
      <c r="J4" s="68">
        <v>-2543</v>
      </c>
      <c r="K4" s="65">
        <v>-1.7682899999999999</v>
      </c>
      <c r="L4" s="66">
        <v>138.37</v>
      </c>
      <c r="M4" s="67">
        <v>1020.9</v>
      </c>
      <c r="N4" s="74">
        <v>47.871319999999997</v>
      </c>
      <c r="O4" s="74">
        <v>49.079839999999997</v>
      </c>
      <c r="P4" s="63">
        <v>16848</v>
      </c>
      <c r="Q4" s="63">
        <v>82768</v>
      </c>
      <c r="R4" s="63">
        <v>41652</v>
      </c>
      <c r="S4" s="74">
        <v>11.926270000000001</v>
      </c>
      <c r="T4" s="74">
        <v>58.589350000000003</v>
      </c>
      <c r="U4" s="74">
        <v>29.484380000000002</v>
      </c>
      <c r="V4" s="63">
        <v>8587</v>
      </c>
      <c r="W4" s="63">
        <v>42757</v>
      </c>
      <c r="X4" s="63">
        <v>18856</v>
      </c>
      <c r="Y4" s="74">
        <v>12.232189999999999</v>
      </c>
      <c r="Z4" s="74">
        <v>60.907409999999999</v>
      </c>
      <c r="AA4" s="74">
        <v>26.860399999999998</v>
      </c>
      <c r="AB4" s="63">
        <v>8261</v>
      </c>
      <c r="AC4" s="63">
        <v>40011</v>
      </c>
      <c r="AD4" s="63">
        <v>22796</v>
      </c>
      <c r="AE4" s="74">
        <v>11.624079999999999</v>
      </c>
      <c r="AF4" s="74">
        <v>56.299599999999998</v>
      </c>
      <c r="AG4" s="74">
        <v>32.076320000000003</v>
      </c>
      <c r="AH4" s="74">
        <v>98.778630000000007</v>
      </c>
      <c r="AI4" s="63">
        <v>138217</v>
      </c>
      <c r="AJ4" s="63">
        <v>3051</v>
      </c>
      <c r="AK4" s="63">
        <v>55854</v>
      </c>
      <c r="AL4" s="63">
        <v>55713</v>
      </c>
      <c r="AM4" s="63">
        <v>141</v>
      </c>
      <c r="AN4" s="63">
        <v>53384</v>
      </c>
      <c r="AO4" s="63">
        <v>55713</v>
      </c>
      <c r="AP4" s="63">
        <v>34590</v>
      </c>
      <c r="AQ4" s="63">
        <v>11965</v>
      </c>
      <c r="AR4" s="63">
        <v>16897</v>
      </c>
      <c r="AS4" s="63">
        <v>981</v>
      </c>
      <c r="AT4" s="63">
        <v>4747</v>
      </c>
      <c r="AU4" s="63">
        <v>15491</v>
      </c>
      <c r="AV4" s="63">
        <v>5787</v>
      </c>
      <c r="AW4" s="63">
        <v>7507</v>
      </c>
      <c r="AX4" s="63">
        <v>3401</v>
      </c>
    </row>
    <row r="5" spans="1:50" x14ac:dyDescent="0.55000000000000004">
      <c r="A5" s="73">
        <v>4</v>
      </c>
      <c r="B5" s="64" t="s">
        <v>380</v>
      </c>
      <c r="C5" s="2" t="s">
        <v>91</v>
      </c>
      <c r="D5" s="2" t="s">
        <v>18</v>
      </c>
      <c r="E5" s="62" t="s">
        <v>454</v>
      </c>
      <c r="F5" s="63">
        <v>194415</v>
      </c>
      <c r="G5" s="63">
        <v>97087</v>
      </c>
      <c r="H5" s="63">
        <v>97328</v>
      </c>
      <c r="I5" s="63">
        <v>198742</v>
      </c>
      <c r="J5" s="68">
        <v>-4327</v>
      </c>
      <c r="K5" s="65">
        <v>-2.17719</v>
      </c>
      <c r="L5" s="66">
        <v>159.82</v>
      </c>
      <c r="M5" s="67">
        <v>1216.5</v>
      </c>
      <c r="N5" s="74">
        <v>48.309350000000002</v>
      </c>
      <c r="O5" s="74">
        <v>49.704659999999997</v>
      </c>
      <c r="P5" s="63">
        <v>21837</v>
      </c>
      <c r="Q5" s="63">
        <v>115051</v>
      </c>
      <c r="R5" s="63">
        <v>57527</v>
      </c>
      <c r="S5" s="74">
        <v>11.23216</v>
      </c>
      <c r="T5" s="74">
        <v>59.178049999999999</v>
      </c>
      <c r="U5" s="74">
        <v>29.5898</v>
      </c>
      <c r="V5" s="63">
        <v>11237</v>
      </c>
      <c r="W5" s="63">
        <v>60039</v>
      </c>
      <c r="X5" s="63">
        <v>25811</v>
      </c>
      <c r="Y5" s="74">
        <v>11.574159999999999</v>
      </c>
      <c r="Z5" s="74">
        <v>61.840409999999999</v>
      </c>
      <c r="AA5" s="74">
        <v>26.585429999999999</v>
      </c>
      <c r="AB5" s="63">
        <v>10600</v>
      </c>
      <c r="AC5" s="63">
        <v>55012</v>
      </c>
      <c r="AD5" s="63">
        <v>31716</v>
      </c>
      <c r="AE5" s="74">
        <v>10.89101</v>
      </c>
      <c r="AF5" s="74">
        <v>56.522280000000002</v>
      </c>
      <c r="AG5" s="74">
        <v>32.58672</v>
      </c>
      <c r="AH5" s="74">
        <v>99.752380000000002</v>
      </c>
      <c r="AI5" s="63">
        <v>191054</v>
      </c>
      <c r="AJ5" s="63">
        <v>3361</v>
      </c>
      <c r="AK5" s="63">
        <v>80153</v>
      </c>
      <c r="AL5" s="63">
        <v>79976</v>
      </c>
      <c r="AM5" s="63">
        <v>177</v>
      </c>
      <c r="AN5" s="63">
        <v>77004</v>
      </c>
      <c r="AO5" s="63">
        <v>79976</v>
      </c>
      <c r="AP5" s="63">
        <v>48742</v>
      </c>
      <c r="AQ5" s="63">
        <v>17577</v>
      </c>
      <c r="AR5" s="63">
        <v>23232</v>
      </c>
      <c r="AS5" s="63">
        <v>1294</v>
      </c>
      <c r="AT5" s="63">
        <v>6639</v>
      </c>
      <c r="AU5" s="63">
        <v>24587</v>
      </c>
      <c r="AV5" s="63">
        <v>9218</v>
      </c>
      <c r="AW5" s="63">
        <v>10754</v>
      </c>
      <c r="AX5" s="63">
        <v>3717</v>
      </c>
    </row>
    <row r="6" spans="1:50" x14ac:dyDescent="0.55000000000000004">
      <c r="A6" s="73">
        <v>5</v>
      </c>
      <c r="B6" s="64" t="s">
        <v>382</v>
      </c>
      <c r="C6" s="2" t="s">
        <v>93</v>
      </c>
      <c r="D6" s="2" t="s">
        <v>23</v>
      </c>
      <c r="E6" s="62" t="s">
        <v>456</v>
      </c>
      <c r="F6" s="63">
        <v>78617</v>
      </c>
      <c r="G6" s="63">
        <v>38736</v>
      </c>
      <c r="H6" s="63">
        <v>39881</v>
      </c>
      <c r="I6" s="63">
        <v>82113</v>
      </c>
      <c r="J6" s="68">
        <v>-3496</v>
      </c>
      <c r="K6" s="65">
        <v>-4.2575500000000002</v>
      </c>
      <c r="L6" s="66">
        <v>67.489999999999995</v>
      </c>
      <c r="M6" s="67">
        <v>1164.9000000000001</v>
      </c>
      <c r="N6" s="74">
        <v>49.517130000000002</v>
      </c>
      <c r="O6" s="74">
        <v>51.324509999999997</v>
      </c>
      <c r="P6" s="63">
        <v>8242</v>
      </c>
      <c r="Q6" s="63">
        <v>45277</v>
      </c>
      <c r="R6" s="63">
        <v>25098</v>
      </c>
      <c r="S6" s="74">
        <v>10.483739999999999</v>
      </c>
      <c r="T6" s="74">
        <v>57.59187</v>
      </c>
      <c r="U6" s="74">
        <v>31.924389999999999</v>
      </c>
      <c r="V6" s="63">
        <v>4151</v>
      </c>
      <c r="W6" s="63">
        <v>23355</v>
      </c>
      <c r="X6" s="63">
        <v>11230</v>
      </c>
      <c r="Y6" s="74">
        <v>10.71613</v>
      </c>
      <c r="Z6" s="74">
        <v>60.292749999999998</v>
      </c>
      <c r="AA6" s="74">
        <v>28.991119999999999</v>
      </c>
      <c r="AB6" s="63">
        <v>4091</v>
      </c>
      <c r="AC6" s="63">
        <v>21922</v>
      </c>
      <c r="AD6" s="63">
        <v>13868</v>
      </c>
      <c r="AE6" s="74">
        <v>10.25802</v>
      </c>
      <c r="AF6" s="74">
        <v>54.968530000000001</v>
      </c>
      <c r="AG6" s="74">
        <v>34.773449999999997</v>
      </c>
      <c r="AH6" s="74">
        <v>97.128960000000006</v>
      </c>
      <c r="AI6" s="63">
        <v>77066</v>
      </c>
      <c r="AJ6" s="63">
        <v>1551</v>
      </c>
      <c r="AK6" s="63">
        <v>31876</v>
      </c>
      <c r="AL6" s="63">
        <v>31821</v>
      </c>
      <c r="AM6" s="63">
        <v>55</v>
      </c>
      <c r="AN6" s="63">
        <v>31015</v>
      </c>
      <c r="AO6" s="63">
        <v>31821</v>
      </c>
      <c r="AP6" s="63">
        <v>19723</v>
      </c>
      <c r="AQ6" s="63">
        <v>7078</v>
      </c>
      <c r="AR6" s="63">
        <v>9331</v>
      </c>
      <c r="AS6" s="63">
        <v>547</v>
      </c>
      <c r="AT6" s="63">
        <v>2767</v>
      </c>
      <c r="AU6" s="63">
        <v>9007</v>
      </c>
      <c r="AV6" s="63">
        <v>3796</v>
      </c>
      <c r="AW6" s="63">
        <v>4640</v>
      </c>
      <c r="AX6" s="63">
        <v>1816</v>
      </c>
    </row>
    <row r="7" spans="1:50" x14ac:dyDescent="0.55000000000000004">
      <c r="A7" s="73">
        <v>6</v>
      </c>
      <c r="B7" s="64" t="s">
        <v>391</v>
      </c>
      <c r="C7" s="2" t="s">
        <v>94</v>
      </c>
      <c r="D7" s="2" t="s">
        <v>27</v>
      </c>
      <c r="E7" s="62" t="s">
        <v>465</v>
      </c>
      <c r="F7" s="63">
        <v>52862</v>
      </c>
      <c r="G7" s="63">
        <v>26142</v>
      </c>
      <c r="H7" s="63">
        <v>26720</v>
      </c>
      <c r="I7" s="63">
        <v>54874</v>
      </c>
      <c r="J7" s="68">
        <v>-2012</v>
      </c>
      <c r="K7" s="65">
        <v>-3.6665800000000002</v>
      </c>
      <c r="L7" s="66">
        <v>58.64</v>
      </c>
      <c r="M7" s="67">
        <v>901.5</v>
      </c>
      <c r="N7" s="74">
        <v>49.223030000000001</v>
      </c>
      <c r="O7" s="74">
        <v>50.916460000000001</v>
      </c>
      <c r="P7" s="63">
        <v>5394</v>
      </c>
      <c r="Q7" s="63">
        <v>31115</v>
      </c>
      <c r="R7" s="63">
        <v>16353</v>
      </c>
      <c r="S7" s="74">
        <v>10.20393</v>
      </c>
      <c r="T7" s="74">
        <v>58.860810000000001</v>
      </c>
      <c r="U7" s="74">
        <v>30.935269999999999</v>
      </c>
      <c r="V7" s="63">
        <v>2715</v>
      </c>
      <c r="W7" s="63">
        <v>16010</v>
      </c>
      <c r="X7" s="63">
        <v>7417</v>
      </c>
      <c r="Y7" s="74">
        <v>10.385590000000001</v>
      </c>
      <c r="Z7" s="74">
        <v>61.242449999999998</v>
      </c>
      <c r="AA7" s="74">
        <v>28.371970000000001</v>
      </c>
      <c r="AB7" s="63">
        <v>2679</v>
      </c>
      <c r="AC7" s="63">
        <v>15105</v>
      </c>
      <c r="AD7" s="63">
        <v>8936</v>
      </c>
      <c r="AE7" s="74">
        <v>10.026199999999999</v>
      </c>
      <c r="AF7" s="74">
        <v>56.53069</v>
      </c>
      <c r="AG7" s="74">
        <v>33.443109999999997</v>
      </c>
      <c r="AH7" s="74">
        <v>97.836830000000006</v>
      </c>
      <c r="AI7" s="63">
        <v>51315</v>
      </c>
      <c r="AJ7" s="63">
        <v>1547</v>
      </c>
      <c r="AK7" s="63">
        <v>21159</v>
      </c>
      <c r="AL7" s="63">
        <v>21094</v>
      </c>
      <c r="AM7" s="63">
        <v>65</v>
      </c>
      <c r="AN7" s="63">
        <v>20366</v>
      </c>
      <c r="AO7" s="63">
        <v>21094</v>
      </c>
      <c r="AP7" s="63">
        <v>12064</v>
      </c>
      <c r="AQ7" s="63">
        <v>4308</v>
      </c>
      <c r="AR7" s="63">
        <v>5775</v>
      </c>
      <c r="AS7" s="63">
        <v>355</v>
      </c>
      <c r="AT7" s="63">
        <v>1626</v>
      </c>
      <c r="AU7" s="63">
        <v>6454</v>
      </c>
      <c r="AV7" s="63">
        <v>2186</v>
      </c>
      <c r="AW7" s="63">
        <v>2728</v>
      </c>
      <c r="AX7" s="63">
        <v>1443</v>
      </c>
    </row>
    <row r="8" spans="1:50" x14ac:dyDescent="0.55000000000000004">
      <c r="A8" s="73">
        <v>7</v>
      </c>
      <c r="B8" s="64" t="s">
        <v>435</v>
      </c>
      <c r="C8" s="2" t="s">
        <v>8</v>
      </c>
      <c r="D8" s="2" t="s">
        <v>9</v>
      </c>
      <c r="E8" s="62" t="s">
        <v>509</v>
      </c>
      <c r="F8" s="63">
        <v>13359</v>
      </c>
      <c r="G8" s="63">
        <v>6755</v>
      </c>
      <c r="H8" s="63">
        <v>6604</v>
      </c>
      <c r="I8" s="63">
        <v>13730</v>
      </c>
      <c r="J8" s="68">
        <v>-371</v>
      </c>
      <c r="K8" s="65">
        <v>-2.7021099999999998</v>
      </c>
      <c r="L8" s="66">
        <v>47.4</v>
      </c>
      <c r="M8" s="67">
        <v>281.8</v>
      </c>
      <c r="N8" s="74">
        <v>50.277679999999997</v>
      </c>
      <c r="O8" s="74">
        <v>52.844830000000002</v>
      </c>
      <c r="P8" s="63">
        <v>1358</v>
      </c>
      <c r="Q8" s="63">
        <v>7605</v>
      </c>
      <c r="R8" s="63">
        <v>4396</v>
      </c>
      <c r="S8" s="74">
        <v>10.165430000000001</v>
      </c>
      <c r="T8" s="74">
        <v>56.927909999999997</v>
      </c>
      <c r="U8" s="74">
        <v>32.906649999999999</v>
      </c>
      <c r="V8" s="63">
        <v>692</v>
      </c>
      <c r="W8" s="63">
        <v>3981</v>
      </c>
      <c r="X8" s="63">
        <v>2082</v>
      </c>
      <c r="Y8" s="74">
        <v>10.244260000000001</v>
      </c>
      <c r="Z8" s="74">
        <v>58.93412</v>
      </c>
      <c r="AA8" s="74">
        <v>30.82161</v>
      </c>
      <c r="AB8" s="63">
        <v>666</v>
      </c>
      <c r="AC8" s="63">
        <v>3624</v>
      </c>
      <c r="AD8" s="63">
        <v>2314</v>
      </c>
      <c r="AE8" s="74">
        <v>10.0848</v>
      </c>
      <c r="AF8" s="74">
        <v>54.875830000000001</v>
      </c>
      <c r="AG8" s="74">
        <v>35.039369999999998</v>
      </c>
      <c r="AH8" s="74">
        <v>102.28649</v>
      </c>
      <c r="AI8" s="63">
        <v>12968</v>
      </c>
      <c r="AJ8" s="63">
        <v>391</v>
      </c>
      <c r="AK8" s="63">
        <v>5220</v>
      </c>
      <c r="AL8" s="63">
        <v>5182</v>
      </c>
      <c r="AM8" s="63">
        <v>38</v>
      </c>
      <c r="AN8" s="63">
        <v>5033</v>
      </c>
      <c r="AO8" s="63">
        <v>5182</v>
      </c>
      <c r="AP8" s="63">
        <v>3055</v>
      </c>
      <c r="AQ8" s="63">
        <v>1075</v>
      </c>
      <c r="AR8" s="63">
        <v>1425</v>
      </c>
      <c r="AS8" s="63">
        <v>111</v>
      </c>
      <c r="AT8" s="63">
        <v>444</v>
      </c>
      <c r="AU8" s="63">
        <v>1548</v>
      </c>
      <c r="AV8" s="63">
        <v>612</v>
      </c>
      <c r="AW8" s="63">
        <v>684</v>
      </c>
      <c r="AX8" s="63">
        <v>340</v>
      </c>
    </row>
    <row r="9" spans="1:50" x14ac:dyDescent="0.55000000000000004">
      <c r="A9" s="73">
        <v>8</v>
      </c>
      <c r="B9" s="64" t="s">
        <v>434</v>
      </c>
      <c r="C9" s="2" t="s">
        <v>10</v>
      </c>
      <c r="D9" s="2" t="s">
        <v>11</v>
      </c>
      <c r="E9" s="62" t="s">
        <v>508</v>
      </c>
      <c r="F9" s="63">
        <v>11039</v>
      </c>
      <c r="G9" s="63">
        <v>5540</v>
      </c>
      <c r="H9" s="63">
        <v>5499</v>
      </c>
      <c r="I9" s="63">
        <v>11207</v>
      </c>
      <c r="J9" s="68">
        <v>-168</v>
      </c>
      <c r="K9" s="65">
        <v>-1.4990600000000001</v>
      </c>
      <c r="L9" s="66">
        <v>33.409999999999997</v>
      </c>
      <c r="M9" s="67">
        <v>330.4</v>
      </c>
      <c r="N9" s="74">
        <v>50.676830000000002</v>
      </c>
      <c r="O9" s="74">
        <v>53.045769999999997</v>
      </c>
      <c r="P9" s="63">
        <v>1161</v>
      </c>
      <c r="Q9" s="63">
        <v>6151</v>
      </c>
      <c r="R9" s="63">
        <v>3727</v>
      </c>
      <c r="S9" s="74">
        <v>10.51726</v>
      </c>
      <c r="T9" s="74">
        <v>55.72063</v>
      </c>
      <c r="U9" s="74">
        <v>33.762120000000003</v>
      </c>
      <c r="V9" s="63">
        <v>595</v>
      </c>
      <c r="W9" s="63">
        <v>3259</v>
      </c>
      <c r="X9" s="63">
        <v>1686</v>
      </c>
      <c r="Y9" s="74">
        <v>10.740069999999999</v>
      </c>
      <c r="Z9" s="74">
        <v>58.826709999999999</v>
      </c>
      <c r="AA9" s="74">
        <v>30.433209999999999</v>
      </c>
      <c r="AB9" s="63">
        <v>566</v>
      </c>
      <c r="AC9" s="63">
        <v>2892</v>
      </c>
      <c r="AD9" s="63">
        <v>2041</v>
      </c>
      <c r="AE9" s="74">
        <v>10.29278</v>
      </c>
      <c r="AF9" s="74">
        <v>52.591380000000001</v>
      </c>
      <c r="AG9" s="74">
        <v>37.115839999999999</v>
      </c>
      <c r="AH9" s="74">
        <v>100.74559000000001</v>
      </c>
      <c r="AI9" s="63">
        <v>10902</v>
      </c>
      <c r="AJ9" s="63">
        <v>137</v>
      </c>
      <c r="AK9" s="63">
        <v>3854</v>
      </c>
      <c r="AL9" s="63">
        <v>3833</v>
      </c>
      <c r="AM9" s="63">
        <v>21</v>
      </c>
      <c r="AN9" s="63">
        <v>3612</v>
      </c>
      <c r="AO9" s="63">
        <v>3833</v>
      </c>
      <c r="AP9" s="63">
        <v>2421</v>
      </c>
      <c r="AQ9" s="63">
        <v>851</v>
      </c>
      <c r="AR9" s="63">
        <v>1183</v>
      </c>
      <c r="AS9" s="63">
        <v>73</v>
      </c>
      <c r="AT9" s="63">
        <v>314</v>
      </c>
      <c r="AU9" s="63">
        <v>808</v>
      </c>
      <c r="AV9" s="63">
        <v>408</v>
      </c>
      <c r="AW9" s="63">
        <v>541</v>
      </c>
      <c r="AX9" s="63">
        <v>391</v>
      </c>
    </row>
    <row r="10" spans="1:50" x14ac:dyDescent="0.55000000000000004">
      <c r="A10" s="73">
        <v>9</v>
      </c>
      <c r="B10" s="64" t="s">
        <v>392</v>
      </c>
      <c r="C10" s="2" t="s">
        <v>95</v>
      </c>
      <c r="D10" s="2" t="s">
        <v>24</v>
      </c>
      <c r="E10" s="62" t="s">
        <v>466</v>
      </c>
      <c r="F10" s="63">
        <v>116828</v>
      </c>
      <c r="G10" s="63">
        <v>57673</v>
      </c>
      <c r="H10" s="63">
        <v>59155</v>
      </c>
      <c r="I10" s="63">
        <v>118072</v>
      </c>
      <c r="J10" s="68">
        <v>-1244</v>
      </c>
      <c r="K10" s="65">
        <v>-1.05359</v>
      </c>
      <c r="L10" s="66">
        <v>67.44</v>
      </c>
      <c r="M10" s="67">
        <v>1732.3</v>
      </c>
      <c r="N10" s="74">
        <v>48.376910000000002</v>
      </c>
      <c r="O10" s="74">
        <v>49.776420000000002</v>
      </c>
      <c r="P10" s="63">
        <v>13265</v>
      </c>
      <c r="Q10" s="63">
        <v>68525</v>
      </c>
      <c r="R10" s="63">
        <v>35038</v>
      </c>
      <c r="S10" s="74">
        <v>11.3543</v>
      </c>
      <c r="T10" s="74">
        <v>58.654600000000002</v>
      </c>
      <c r="U10" s="74">
        <v>29.991099999999999</v>
      </c>
      <c r="V10" s="63">
        <v>6801</v>
      </c>
      <c r="W10" s="63">
        <v>34801</v>
      </c>
      <c r="X10" s="63">
        <v>16071</v>
      </c>
      <c r="Y10" s="74">
        <v>11.792350000000001</v>
      </c>
      <c r="Z10" s="74">
        <v>60.341929999999998</v>
      </c>
      <c r="AA10" s="74">
        <v>27.865729999999999</v>
      </c>
      <c r="AB10" s="63">
        <v>6464</v>
      </c>
      <c r="AC10" s="63">
        <v>33724</v>
      </c>
      <c r="AD10" s="63">
        <v>18967</v>
      </c>
      <c r="AE10" s="74">
        <v>10.92723</v>
      </c>
      <c r="AF10" s="74">
        <v>57.009549999999997</v>
      </c>
      <c r="AG10" s="74">
        <v>32.063220000000001</v>
      </c>
      <c r="AH10" s="74">
        <v>97.494720000000001</v>
      </c>
      <c r="AI10" s="63">
        <v>115005</v>
      </c>
      <c r="AJ10" s="63">
        <v>1823</v>
      </c>
      <c r="AK10" s="63">
        <v>47499</v>
      </c>
      <c r="AL10" s="63">
        <v>47443</v>
      </c>
      <c r="AM10" s="63">
        <v>56</v>
      </c>
      <c r="AN10" s="63">
        <v>45043</v>
      </c>
      <c r="AO10" s="63">
        <v>47443</v>
      </c>
      <c r="AP10" s="63">
        <v>31214</v>
      </c>
      <c r="AQ10" s="63">
        <v>11559</v>
      </c>
      <c r="AR10" s="63">
        <v>15175</v>
      </c>
      <c r="AS10" s="63">
        <v>769</v>
      </c>
      <c r="AT10" s="63">
        <v>3711</v>
      </c>
      <c r="AU10" s="63">
        <v>12627</v>
      </c>
      <c r="AV10" s="63">
        <v>5154</v>
      </c>
      <c r="AW10" s="63">
        <v>7214</v>
      </c>
      <c r="AX10" s="63">
        <v>2078</v>
      </c>
    </row>
    <row r="11" spans="1:50" x14ac:dyDescent="0.55000000000000004">
      <c r="A11" s="73">
        <v>10</v>
      </c>
      <c r="B11" s="64" t="s">
        <v>386</v>
      </c>
      <c r="C11" s="2" t="s">
        <v>96</v>
      </c>
      <c r="D11" s="2" t="s">
        <v>28</v>
      </c>
      <c r="E11" s="62" t="s">
        <v>460</v>
      </c>
      <c r="F11" s="63">
        <v>111623</v>
      </c>
      <c r="G11" s="63">
        <v>55982</v>
      </c>
      <c r="H11" s="63">
        <v>55641</v>
      </c>
      <c r="I11" s="63">
        <v>112229</v>
      </c>
      <c r="J11" s="68">
        <v>-606</v>
      </c>
      <c r="K11" s="65">
        <v>-0.53996999999999995</v>
      </c>
      <c r="L11" s="66">
        <v>133.30000000000001</v>
      </c>
      <c r="M11" s="67">
        <v>837.4</v>
      </c>
      <c r="N11" s="74">
        <v>48.465949999999999</v>
      </c>
      <c r="O11" s="74">
        <v>50.213659999999997</v>
      </c>
      <c r="P11" s="63">
        <v>12559</v>
      </c>
      <c r="Q11" s="63">
        <v>65631</v>
      </c>
      <c r="R11" s="63">
        <v>33433</v>
      </c>
      <c r="S11" s="74">
        <v>11.25127</v>
      </c>
      <c r="T11" s="74">
        <v>58.797020000000003</v>
      </c>
      <c r="U11" s="74">
        <v>29.951709999999999</v>
      </c>
      <c r="V11" s="63">
        <v>6527</v>
      </c>
      <c r="W11" s="63">
        <v>33962</v>
      </c>
      <c r="X11" s="63">
        <v>15493</v>
      </c>
      <c r="Y11" s="74">
        <v>11.6591</v>
      </c>
      <c r="Z11" s="74">
        <v>60.665930000000003</v>
      </c>
      <c r="AA11" s="74">
        <v>27.674969999999998</v>
      </c>
      <c r="AB11" s="63">
        <v>6032</v>
      </c>
      <c r="AC11" s="63">
        <v>31669</v>
      </c>
      <c r="AD11" s="63">
        <v>17940</v>
      </c>
      <c r="AE11" s="74">
        <v>10.84093</v>
      </c>
      <c r="AF11" s="74">
        <v>56.91666</v>
      </c>
      <c r="AG11" s="74">
        <v>32.24241</v>
      </c>
      <c r="AH11" s="74">
        <v>100.61286</v>
      </c>
      <c r="AI11" s="63">
        <v>109345</v>
      </c>
      <c r="AJ11" s="63">
        <v>2278</v>
      </c>
      <c r="AK11" s="63">
        <v>44295</v>
      </c>
      <c r="AL11" s="63">
        <v>44204</v>
      </c>
      <c r="AM11" s="63">
        <v>91</v>
      </c>
      <c r="AN11" s="63">
        <v>41034</v>
      </c>
      <c r="AO11" s="63">
        <v>44204</v>
      </c>
      <c r="AP11" s="63">
        <v>27362</v>
      </c>
      <c r="AQ11" s="63">
        <v>9674</v>
      </c>
      <c r="AR11" s="63">
        <v>13238</v>
      </c>
      <c r="AS11" s="63">
        <v>821</v>
      </c>
      <c r="AT11" s="63">
        <v>3629</v>
      </c>
      <c r="AU11" s="63">
        <v>11948</v>
      </c>
      <c r="AV11" s="63">
        <v>4624</v>
      </c>
      <c r="AW11" s="63">
        <v>6036</v>
      </c>
      <c r="AX11" s="63">
        <v>2847</v>
      </c>
    </row>
    <row r="12" spans="1:50" x14ac:dyDescent="0.55000000000000004">
      <c r="A12" s="73">
        <v>11</v>
      </c>
      <c r="B12" s="64" t="s">
        <v>431</v>
      </c>
      <c r="C12" s="2" t="s">
        <v>0</v>
      </c>
      <c r="D12" s="2" t="s">
        <v>1</v>
      </c>
      <c r="E12" s="62" t="s">
        <v>505</v>
      </c>
      <c r="F12" s="63">
        <v>6807</v>
      </c>
      <c r="G12" s="63">
        <v>3321</v>
      </c>
      <c r="H12" s="63">
        <v>3486</v>
      </c>
      <c r="I12" s="63">
        <v>7324</v>
      </c>
      <c r="J12" s="68">
        <v>-517</v>
      </c>
      <c r="K12" s="65">
        <v>-7.05898</v>
      </c>
      <c r="L12" s="66">
        <v>30.43</v>
      </c>
      <c r="M12" s="67">
        <v>223.7</v>
      </c>
      <c r="N12" s="74">
        <v>53.944690000000001</v>
      </c>
      <c r="O12" s="74">
        <v>57.945120000000003</v>
      </c>
      <c r="P12" s="63">
        <v>624</v>
      </c>
      <c r="Q12" s="63">
        <v>3485</v>
      </c>
      <c r="R12" s="63">
        <v>2698</v>
      </c>
      <c r="S12" s="74">
        <v>9.1670300000000005</v>
      </c>
      <c r="T12" s="74">
        <v>51.197299999999998</v>
      </c>
      <c r="U12" s="74">
        <v>39.635669999999998</v>
      </c>
      <c r="V12" s="63">
        <v>318</v>
      </c>
      <c r="W12" s="63">
        <v>1785</v>
      </c>
      <c r="X12" s="63">
        <v>1218</v>
      </c>
      <c r="Y12" s="74">
        <v>9.5754300000000008</v>
      </c>
      <c r="Z12" s="74">
        <v>53.748869999999997</v>
      </c>
      <c r="AA12" s="74">
        <v>36.675699999999999</v>
      </c>
      <c r="AB12" s="63">
        <v>306</v>
      </c>
      <c r="AC12" s="63">
        <v>1700</v>
      </c>
      <c r="AD12" s="63">
        <v>1480</v>
      </c>
      <c r="AE12" s="74">
        <v>8.7779699999999998</v>
      </c>
      <c r="AF12" s="74">
        <v>48.766489999999997</v>
      </c>
      <c r="AG12" s="74">
        <v>42.455539999999999</v>
      </c>
      <c r="AH12" s="74">
        <v>95.266779999999997</v>
      </c>
      <c r="AI12" s="63">
        <v>6783</v>
      </c>
      <c r="AJ12" s="63">
        <v>24</v>
      </c>
      <c r="AK12" s="63">
        <v>2605</v>
      </c>
      <c r="AL12" s="63">
        <v>2599</v>
      </c>
      <c r="AM12" s="63">
        <v>6</v>
      </c>
      <c r="AN12" s="63">
        <v>2648</v>
      </c>
      <c r="AO12" s="63">
        <v>2599</v>
      </c>
      <c r="AP12" s="63">
        <v>1597</v>
      </c>
      <c r="AQ12" s="63">
        <v>673</v>
      </c>
      <c r="AR12" s="63">
        <v>656</v>
      </c>
      <c r="AS12" s="63">
        <v>59</v>
      </c>
      <c r="AT12" s="63">
        <v>209</v>
      </c>
      <c r="AU12" s="63">
        <v>601</v>
      </c>
      <c r="AV12" s="63">
        <v>394</v>
      </c>
      <c r="AW12" s="63">
        <v>459</v>
      </c>
      <c r="AX12" s="63">
        <v>256</v>
      </c>
    </row>
    <row r="13" spans="1:50" x14ac:dyDescent="0.55000000000000004">
      <c r="A13" s="73">
        <v>12</v>
      </c>
      <c r="B13" s="64" t="s">
        <v>437</v>
      </c>
      <c r="C13" s="2" t="s">
        <v>97</v>
      </c>
      <c r="D13" s="2" t="s">
        <v>14</v>
      </c>
      <c r="E13" s="62" t="s">
        <v>511</v>
      </c>
      <c r="F13" s="63">
        <v>32374</v>
      </c>
      <c r="G13" s="63">
        <v>16053</v>
      </c>
      <c r="H13" s="63">
        <v>16321</v>
      </c>
      <c r="I13" s="63">
        <v>34081</v>
      </c>
      <c r="J13" s="68">
        <v>-1707</v>
      </c>
      <c r="K13" s="65">
        <v>-5.0086599999999999</v>
      </c>
      <c r="L13" s="66">
        <v>64.25</v>
      </c>
      <c r="M13" s="67">
        <v>503.9</v>
      </c>
      <c r="N13" s="74">
        <v>50.625779999999999</v>
      </c>
      <c r="O13" s="74">
        <v>53.334820000000001</v>
      </c>
      <c r="P13" s="63">
        <v>3222</v>
      </c>
      <c r="Q13" s="63">
        <v>18231</v>
      </c>
      <c r="R13" s="63">
        <v>10921</v>
      </c>
      <c r="S13" s="74">
        <v>9.9524299999999997</v>
      </c>
      <c r="T13" s="74">
        <v>56.31371</v>
      </c>
      <c r="U13" s="74">
        <v>33.73386</v>
      </c>
      <c r="V13" s="63">
        <v>1651</v>
      </c>
      <c r="W13" s="63">
        <v>9458</v>
      </c>
      <c r="X13" s="63">
        <v>4944</v>
      </c>
      <c r="Y13" s="74">
        <v>10.28468</v>
      </c>
      <c r="Z13" s="74">
        <v>58.917340000000003</v>
      </c>
      <c r="AA13" s="74">
        <v>30.797979999999999</v>
      </c>
      <c r="AB13" s="63">
        <v>1571</v>
      </c>
      <c r="AC13" s="63">
        <v>8773</v>
      </c>
      <c r="AD13" s="63">
        <v>5977</v>
      </c>
      <c r="AE13" s="74">
        <v>9.6256400000000006</v>
      </c>
      <c r="AF13" s="74">
        <v>53.752830000000003</v>
      </c>
      <c r="AG13" s="74">
        <v>36.62153</v>
      </c>
      <c r="AH13" s="74">
        <v>98.357939999999999</v>
      </c>
      <c r="AI13" s="63">
        <v>31861</v>
      </c>
      <c r="AJ13" s="63">
        <v>513</v>
      </c>
      <c r="AK13" s="63">
        <v>13287</v>
      </c>
      <c r="AL13" s="63">
        <v>13239</v>
      </c>
      <c r="AM13" s="63">
        <v>48</v>
      </c>
      <c r="AN13" s="63">
        <v>12934</v>
      </c>
      <c r="AO13" s="63">
        <v>13239</v>
      </c>
      <c r="AP13" s="63">
        <v>7916</v>
      </c>
      <c r="AQ13" s="63">
        <v>3065</v>
      </c>
      <c r="AR13" s="63">
        <v>3441</v>
      </c>
      <c r="AS13" s="63">
        <v>244</v>
      </c>
      <c r="AT13" s="63">
        <v>1166</v>
      </c>
      <c r="AU13" s="63">
        <v>3891</v>
      </c>
      <c r="AV13" s="63">
        <v>1762</v>
      </c>
      <c r="AW13" s="63">
        <v>2013</v>
      </c>
      <c r="AX13" s="63">
        <v>835</v>
      </c>
    </row>
    <row r="14" spans="1:50" x14ac:dyDescent="0.55000000000000004">
      <c r="A14" s="73">
        <v>13</v>
      </c>
      <c r="B14" s="64" t="s">
        <v>424</v>
      </c>
      <c r="C14" s="2" t="s">
        <v>98</v>
      </c>
      <c r="D14" s="2" t="s">
        <v>19</v>
      </c>
      <c r="E14" s="62" t="s">
        <v>498</v>
      </c>
      <c r="F14" s="63">
        <v>28524</v>
      </c>
      <c r="G14" s="63">
        <v>14190</v>
      </c>
      <c r="H14" s="63">
        <v>14334</v>
      </c>
      <c r="I14" s="63">
        <v>31178</v>
      </c>
      <c r="J14" s="68">
        <v>-2654</v>
      </c>
      <c r="K14" s="65">
        <v>-8.5124099999999991</v>
      </c>
      <c r="L14" s="66">
        <v>60.36</v>
      </c>
      <c r="M14" s="67">
        <v>472.6</v>
      </c>
      <c r="N14" s="74">
        <v>53.624279999999999</v>
      </c>
      <c r="O14" s="74">
        <v>58.347499999999997</v>
      </c>
      <c r="P14" s="63">
        <v>2289</v>
      </c>
      <c r="Q14" s="63">
        <v>15127</v>
      </c>
      <c r="R14" s="63">
        <v>11108</v>
      </c>
      <c r="S14" s="74">
        <v>8.0248200000000001</v>
      </c>
      <c r="T14" s="74">
        <v>53.032530000000001</v>
      </c>
      <c r="U14" s="74">
        <v>38.942639999999997</v>
      </c>
      <c r="V14" s="63">
        <v>1164</v>
      </c>
      <c r="W14" s="63">
        <v>7822</v>
      </c>
      <c r="X14" s="63">
        <v>5204</v>
      </c>
      <c r="Y14" s="74">
        <v>8.2029599999999991</v>
      </c>
      <c r="Z14" s="74">
        <v>55.123330000000003</v>
      </c>
      <c r="AA14" s="74">
        <v>36.67371</v>
      </c>
      <c r="AB14" s="63">
        <v>1125</v>
      </c>
      <c r="AC14" s="63">
        <v>7305</v>
      </c>
      <c r="AD14" s="63">
        <v>5904</v>
      </c>
      <c r="AE14" s="74">
        <v>7.8484699999999998</v>
      </c>
      <c r="AF14" s="74">
        <v>50.96275</v>
      </c>
      <c r="AG14" s="74">
        <v>41.188780000000001</v>
      </c>
      <c r="AH14" s="74">
        <v>98.995400000000004</v>
      </c>
      <c r="AI14" s="63">
        <v>28251</v>
      </c>
      <c r="AJ14" s="63">
        <v>273</v>
      </c>
      <c r="AK14" s="63">
        <v>11781</v>
      </c>
      <c r="AL14" s="63">
        <v>11759</v>
      </c>
      <c r="AM14" s="63">
        <v>22</v>
      </c>
      <c r="AN14" s="63">
        <v>12007</v>
      </c>
      <c r="AO14" s="63">
        <v>11759</v>
      </c>
      <c r="AP14" s="63">
        <v>7433</v>
      </c>
      <c r="AQ14" s="63">
        <v>3124</v>
      </c>
      <c r="AR14" s="63">
        <v>3045</v>
      </c>
      <c r="AS14" s="63">
        <v>239</v>
      </c>
      <c r="AT14" s="63">
        <v>1025</v>
      </c>
      <c r="AU14" s="63">
        <v>3087</v>
      </c>
      <c r="AV14" s="63">
        <v>1646</v>
      </c>
      <c r="AW14" s="63">
        <v>2224</v>
      </c>
      <c r="AX14" s="63">
        <v>729</v>
      </c>
    </row>
    <row r="15" spans="1:50" x14ac:dyDescent="0.55000000000000004">
      <c r="A15" s="73">
        <v>14</v>
      </c>
      <c r="B15" s="64" t="s">
        <v>423</v>
      </c>
      <c r="C15" s="2" t="s">
        <v>99</v>
      </c>
      <c r="D15" s="2" t="s">
        <v>20</v>
      </c>
      <c r="E15" s="62" t="s">
        <v>497</v>
      </c>
      <c r="F15" s="63">
        <v>17889</v>
      </c>
      <c r="G15" s="63">
        <v>8941</v>
      </c>
      <c r="H15" s="63">
        <v>8948</v>
      </c>
      <c r="I15" s="63">
        <v>18341</v>
      </c>
      <c r="J15" s="68">
        <v>-452</v>
      </c>
      <c r="K15" s="65">
        <v>-2.4644200000000001</v>
      </c>
      <c r="L15" s="66">
        <v>29.92</v>
      </c>
      <c r="M15" s="67">
        <v>597.9</v>
      </c>
      <c r="N15" s="74">
        <v>50.14828</v>
      </c>
      <c r="O15" s="74">
        <v>51.884309999999999</v>
      </c>
      <c r="P15" s="63">
        <v>1665</v>
      </c>
      <c r="Q15" s="63">
        <v>10346</v>
      </c>
      <c r="R15" s="63">
        <v>5878</v>
      </c>
      <c r="S15" s="74">
        <v>9.3073999999999995</v>
      </c>
      <c r="T15" s="74">
        <v>57.834420000000001</v>
      </c>
      <c r="U15" s="74">
        <v>32.858179999999997</v>
      </c>
      <c r="V15" s="63">
        <v>853</v>
      </c>
      <c r="W15" s="63">
        <v>5393</v>
      </c>
      <c r="X15" s="63">
        <v>2695</v>
      </c>
      <c r="Y15" s="74">
        <v>9.5403199999999995</v>
      </c>
      <c r="Z15" s="74">
        <v>60.317639999999997</v>
      </c>
      <c r="AA15" s="74">
        <v>30.142040000000001</v>
      </c>
      <c r="AB15" s="63">
        <v>812</v>
      </c>
      <c r="AC15" s="63">
        <v>4953</v>
      </c>
      <c r="AD15" s="63">
        <v>3183</v>
      </c>
      <c r="AE15" s="74">
        <v>9.0746500000000001</v>
      </c>
      <c r="AF15" s="74">
        <v>55.353149999999999</v>
      </c>
      <c r="AG15" s="74">
        <v>35.572189999999999</v>
      </c>
      <c r="AH15" s="74">
        <v>99.921769999999995</v>
      </c>
      <c r="AI15" s="63">
        <v>17295</v>
      </c>
      <c r="AJ15" s="63">
        <v>594</v>
      </c>
      <c r="AK15" s="63">
        <v>7421</v>
      </c>
      <c r="AL15" s="63">
        <v>7389</v>
      </c>
      <c r="AM15" s="63">
        <v>32</v>
      </c>
      <c r="AN15" s="63">
        <v>6968</v>
      </c>
      <c r="AO15" s="63">
        <v>7389</v>
      </c>
      <c r="AP15" s="63">
        <v>4281</v>
      </c>
      <c r="AQ15" s="63">
        <v>1625</v>
      </c>
      <c r="AR15" s="63">
        <v>1922</v>
      </c>
      <c r="AS15" s="63">
        <v>116</v>
      </c>
      <c r="AT15" s="63">
        <v>618</v>
      </c>
      <c r="AU15" s="63">
        <v>2394</v>
      </c>
      <c r="AV15" s="63">
        <v>939</v>
      </c>
      <c r="AW15" s="63">
        <v>1085</v>
      </c>
      <c r="AX15" s="63">
        <v>406</v>
      </c>
    </row>
    <row r="16" spans="1:50" x14ac:dyDescent="0.55000000000000004">
      <c r="A16" s="73">
        <v>15</v>
      </c>
      <c r="B16" s="64" t="s">
        <v>422</v>
      </c>
      <c r="C16" s="2" t="s">
        <v>100</v>
      </c>
      <c r="D16" s="2" t="s">
        <v>21</v>
      </c>
      <c r="E16" s="62" t="s">
        <v>496</v>
      </c>
      <c r="F16" s="63">
        <v>19732</v>
      </c>
      <c r="G16" s="63">
        <v>10070</v>
      </c>
      <c r="H16" s="63">
        <v>9662</v>
      </c>
      <c r="I16" s="63">
        <v>18212</v>
      </c>
      <c r="J16" s="68">
        <v>1520</v>
      </c>
      <c r="K16" s="65">
        <v>8.3461499999999997</v>
      </c>
      <c r="L16" s="66">
        <v>29.68</v>
      </c>
      <c r="M16" s="67">
        <v>664.8</v>
      </c>
      <c r="N16" s="74">
        <v>43.981909999999999</v>
      </c>
      <c r="O16" s="74">
        <v>44.659820000000003</v>
      </c>
      <c r="P16" s="63">
        <v>3063</v>
      </c>
      <c r="Q16" s="63">
        <v>12043</v>
      </c>
      <c r="R16" s="63">
        <v>4626</v>
      </c>
      <c r="S16" s="74">
        <v>15.523009999999999</v>
      </c>
      <c r="T16" s="74">
        <v>61.03284</v>
      </c>
      <c r="U16" s="74">
        <v>23.44415</v>
      </c>
      <c r="V16" s="63">
        <v>1559</v>
      </c>
      <c r="W16" s="63">
        <v>6336</v>
      </c>
      <c r="X16" s="63">
        <v>2175</v>
      </c>
      <c r="Y16" s="74">
        <v>15.481629999999999</v>
      </c>
      <c r="Z16" s="74">
        <v>62.919559999999997</v>
      </c>
      <c r="AA16" s="74">
        <v>21.59881</v>
      </c>
      <c r="AB16" s="63">
        <v>1504</v>
      </c>
      <c r="AC16" s="63">
        <v>5707</v>
      </c>
      <c r="AD16" s="63">
        <v>2451</v>
      </c>
      <c r="AE16" s="74">
        <v>15.566140000000001</v>
      </c>
      <c r="AF16" s="74">
        <v>59.066450000000003</v>
      </c>
      <c r="AG16" s="74">
        <v>25.367419999999999</v>
      </c>
      <c r="AH16" s="74">
        <v>104.22273</v>
      </c>
      <c r="AI16" s="63">
        <v>19222</v>
      </c>
      <c r="AJ16" s="63">
        <v>510</v>
      </c>
      <c r="AK16" s="63">
        <v>7650</v>
      </c>
      <c r="AL16" s="63">
        <v>7640</v>
      </c>
      <c r="AM16" s="63">
        <v>10</v>
      </c>
      <c r="AN16" s="63">
        <v>6785</v>
      </c>
      <c r="AO16" s="63">
        <v>7640</v>
      </c>
      <c r="AP16" s="63">
        <v>4758</v>
      </c>
      <c r="AQ16" s="63">
        <v>1503</v>
      </c>
      <c r="AR16" s="63">
        <v>2630</v>
      </c>
      <c r="AS16" s="63">
        <v>112</v>
      </c>
      <c r="AT16" s="63">
        <v>513</v>
      </c>
      <c r="AU16" s="63">
        <v>2212</v>
      </c>
      <c r="AV16" s="63">
        <v>632</v>
      </c>
      <c r="AW16" s="63">
        <v>808</v>
      </c>
      <c r="AX16" s="63">
        <v>383</v>
      </c>
    </row>
    <row r="17" spans="1:50" x14ac:dyDescent="0.55000000000000004">
      <c r="A17" s="73">
        <v>16</v>
      </c>
      <c r="B17" s="64" t="s">
        <v>388</v>
      </c>
      <c r="C17" s="2" t="s">
        <v>101</v>
      </c>
      <c r="D17" s="2" t="s">
        <v>22</v>
      </c>
      <c r="E17" s="62" t="s">
        <v>462</v>
      </c>
      <c r="F17" s="63">
        <v>91791</v>
      </c>
      <c r="G17" s="63">
        <v>46187</v>
      </c>
      <c r="H17" s="63">
        <v>45604</v>
      </c>
      <c r="I17" s="63">
        <v>91437</v>
      </c>
      <c r="J17" s="68">
        <v>354</v>
      </c>
      <c r="K17" s="65">
        <v>0.38714999999999999</v>
      </c>
      <c r="L17" s="66">
        <v>65.349999999999994</v>
      </c>
      <c r="M17" s="67">
        <v>1404.6</v>
      </c>
      <c r="N17" s="74">
        <v>47.314329999999998</v>
      </c>
      <c r="O17" s="74">
        <v>48.555349999999997</v>
      </c>
      <c r="P17" s="63">
        <v>10625</v>
      </c>
      <c r="Q17" s="63">
        <v>54816</v>
      </c>
      <c r="R17" s="63">
        <v>26350</v>
      </c>
      <c r="S17" s="74">
        <v>11.57521</v>
      </c>
      <c r="T17" s="74">
        <v>59.718269999999997</v>
      </c>
      <c r="U17" s="74">
        <v>28.706520000000001</v>
      </c>
      <c r="V17" s="63">
        <v>5443</v>
      </c>
      <c r="W17" s="63">
        <v>28527</v>
      </c>
      <c r="X17" s="63">
        <v>12217</v>
      </c>
      <c r="Y17" s="74">
        <v>11.784700000000001</v>
      </c>
      <c r="Z17" s="74">
        <v>61.764130000000002</v>
      </c>
      <c r="AA17" s="74">
        <v>26.451170000000001</v>
      </c>
      <c r="AB17" s="63">
        <v>5182</v>
      </c>
      <c r="AC17" s="63">
        <v>26289</v>
      </c>
      <c r="AD17" s="63">
        <v>14133</v>
      </c>
      <c r="AE17" s="74">
        <v>11.36304</v>
      </c>
      <c r="AF17" s="74">
        <v>57.646259999999998</v>
      </c>
      <c r="AG17" s="74">
        <v>30.9907</v>
      </c>
      <c r="AH17" s="74">
        <v>101.2784</v>
      </c>
      <c r="AI17" s="63">
        <v>89042</v>
      </c>
      <c r="AJ17" s="63">
        <v>2749</v>
      </c>
      <c r="AK17" s="63">
        <v>39797</v>
      </c>
      <c r="AL17" s="63">
        <v>39647</v>
      </c>
      <c r="AM17" s="63">
        <v>150</v>
      </c>
      <c r="AN17" s="63">
        <v>37224</v>
      </c>
      <c r="AO17" s="63">
        <v>39647</v>
      </c>
      <c r="AP17" s="63">
        <v>23012</v>
      </c>
      <c r="AQ17" s="63">
        <v>8420</v>
      </c>
      <c r="AR17" s="63">
        <v>10946</v>
      </c>
      <c r="AS17" s="63">
        <v>642</v>
      </c>
      <c r="AT17" s="63">
        <v>3004</v>
      </c>
      <c r="AU17" s="63">
        <v>13913</v>
      </c>
      <c r="AV17" s="63">
        <v>4061</v>
      </c>
      <c r="AW17" s="63">
        <v>5359</v>
      </c>
      <c r="AX17" s="63">
        <v>1492</v>
      </c>
    </row>
    <row r="18" spans="1:50" x14ac:dyDescent="0.55000000000000004">
      <c r="A18" s="73">
        <v>17</v>
      </c>
      <c r="B18" s="64" t="s">
        <v>426</v>
      </c>
      <c r="C18" s="2" t="s">
        <v>102</v>
      </c>
      <c r="D18" s="2" t="s">
        <v>25</v>
      </c>
      <c r="E18" s="62" t="s">
        <v>500</v>
      </c>
      <c r="F18" s="63">
        <v>18192</v>
      </c>
      <c r="G18" s="63">
        <v>9127</v>
      </c>
      <c r="H18" s="63">
        <v>9065</v>
      </c>
      <c r="I18" s="63">
        <v>19631</v>
      </c>
      <c r="J18" s="68">
        <v>-1439</v>
      </c>
      <c r="K18" s="65">
        <v>-7.3302399999999999</v>
      </c>
      <c r="L18" s="66">
        <v>38.64</v>
      </c>
      <c r="M18" s="67">
        <v>470.8</v>
      </c>
      <c r="N18" s="74">
        <v>51.386270000000003</v>
      </c>
      <c r="O18" s="74">
        <v>54.754390000000001</v>
      </c>
      <c r="P18" s="63">
        <v>1528</v>
      </c>
      <c r="Q18" s="63">
        <v>10515</v>
      </c>
      <c r="R18" s="63">
        <v>6149</v>
      </c>
      <c r="S18" s="74">
        <v>8.3993000000000002</v>
      </c>
      <c r="T18" s="74">
        <v>57.800130000000003</v>
      </c>
      <c r="U18" s="74">
        <v>33.80057</v>
      </c>
      <c r="V18" s="63">
        <v>799</v>
      </c>
      <c r="W18" s="63">
        <v>5413</v>
      </c>
      <c r="X18" s="63">
        <v>2915</v>
      </c>
      <c r="Y18" s="74">
        <v>8.7542500000000008</v>
      </c>
      <c r="Z18" s="74">
        <v>59.307549999999999</v>
      </c>
      <c r="AA18" s="74">
        <v>31.938210000000002</v>
      </c>
      <c r="AB18" s="63">
        <v>729</v>
      </c>
      <c r="AC18" s="63">
        <v>5102</v>
      </c>
      <c r="AD18" s="63">
        <v>3234</v>
      </c>
      <c r="AE18" s="74">
        <v>8.0419199999999993</v>
      </c>
      <c r="AF18" s="74">
        <v>56.282400000000003</v>
      </c>
      <c r="AG18" s="74">
        <v>35.67568</v>
      </c>
      <c r="AH18" s="74">
        <v>100.68395</v>
      </c>
      <c r="AI18" s="63">
        <v>18037</v>
      </c>
      <c r="AJ18" s="63">
        <v>155</v>
      </c>
      <c r="AK18" s="63">
        <v>6864</v>
      </c>
      <c r="AL18" s="63">
        <v>6856</v>
      </c>
      <c r="AM18" s="63">
        <v>8</v>
      </c>
      <c r="AN18" s="63">
        <v>6834</v>
      </c>
      <c r="AO18" s="63">
        <v>6856</v>
      </c>
      <c r="AP18" s="63">
        <v>4484</v>
      </c>
      <c r="AQ18" s="63">
        <v>1699</v>
      </c>
      <c r="AR18" s="63">
        <v>2108</v>
      </c>
      <c r="AS18" s="63">
        <v>158</v>
      </c>
      <c r="AT18" s="63">
        <v>519</v>
      </c>
      <c r="AU18" s="63">
        <v>1443</v>
      </c>
      <c r="AV18" s="63">
        <v>736</v>
      </c>
      <c r="AW18" s="63">
        <v>1112</v>
      </c>
      <c r="AX18" s="63">
        <v>573</v>
      </c>
    </row>
    <row r="19" spans="1:50" x14ac:dyDescent="0.55000000000000004">
      <c r="A19" s="73">
        <v>18</v>
      </c>
      <c r="B19" s="64" t="s">
        <v>406</v>
      </c>
      <c r="C19" s="2" t="s">
        <v>103</v>
      </c>
      <c r="D19" s="2" t="s">
        <v>26</v>
      </c>
      <c r="E19" s="62" t="s">
        <v>480</v>
      </c>
      <c r="F19" s="63">
        <v>65201</v>
      </c>
      <c r="G19" s="63">
        <v>32214</v>
      </c>
      <c r="H19" s="63">
        <v>32987</v>
      </c>
      <c r="I19" s="63">
        <v>67409</v>
      </c>
      <c r="J19" s="68">
        <v>-2208</v>
      </c>
      <c r="K19" s="65">
        <v>-3.2755299999999998</v>
      </c>
      <c r="L19" s="66">
        <v>19.82</v>
      </c>
      <c r="M19" s="67">
        <v>3289.7</v>
      </c>
      <c r="N19" s="74">
        <v>50.02731</v>
      </c>
      <c r="O19" s="74">
        <v>51.743659999999998</v>
      </c>
      <c r="P19" s="63">
        <v>6596</v>
      </c>
      <c r="Q19" s="63">
        <v>37375</v>
      </c>
      <c r="R19" s="63">
        <v>21230</v>
      </c>
      <c r="S19" s="74">
        <v>10.11641</v>
      </c>
      <c r="T19" s="74">
        <v>57.322740000000003</v>
      </c>
      <c r="U19" s="74">
        <v>32.560850000000002</v>
      </c>
      <c r="V19" s="63">
        <v>3359</v>
      </c>
      <c r="W19" s="63">
        <v>19092</v>
      </c>
      <c r="X19" s="63">
        <v>9763</v>
      </c>
      <c r="Y19" s="74">
        <v>10.42714</v>
      </c>
      <c r="Z19" s="74">
        <v>59.266159999999999</v>
      </c>
      <c r="AA19" s="74">
        <v>30.306699999999999</v>
      </c>
      <c r="AB19" s="63">
        <v>3237</v>
      </c>
      <c r="AC19" s="63">
        <v>18283</v>
      </c>
      <c r="AD19" s="63">
        <v>11467</v>
      </c>
      <c r="AE19" s="74">
        <v>9.8129600000000003</v>
      </c>
      <c r="AF19" s="74">
        <v>55.424860000000002</v>
      </c>
      <c r="AG19" s="74">
        <v>34.762180000000001</v>
      </c>
      <c r="AH19" s="74">
        <v>97.656649999999999</v>
      </c>
      <c r="AI19" s="63">
        <v>64639</v>
      </c>
      <c r="AJ19" s="63">
        <v>562</v>
      </c>
      <c r="AK19" s="63">
        <v>27403</v>
      </c>
      <c r="AL19" s="63">
        <v>27378</v>
      </c>
      <c r="AM19" s="63">
        <v>25</v>
      </c>
      <c r="AN19" s="63">
        <v>26845</v>
      </c>
      <c r="AO19" s="63">
        <v>27378</v>
      </c>
      <c r="AP19" s="63">
        <v>17824</v>
      </c>
      <c r="AQ19" s="63">
        <v>6861</v>
      </c>
      <c r="AR19" s="63">
        <v>8182</v>
      </c>
      <c r="AS19" s="63">
        <v>477</v>
      </c>
      <c r="AT19" s="63">
        <v>2304</v>
      </c>
      <c r="AU19" s="63">
        <v>7797</v>
      </c>
      <c r="AV19" s="63">
        <v>3584</v>
      </c>
      <c r="AW19" s="63">
        <v>4467</v>
      </c>
      <c r="AX19" s="63">
        <v>953</v>
      </c>
    </row>
    <row r="20" spans="1:50" x14ac:dyDescent="0.55000000000000004">
      <c r="A20" s="73">
        <v>19</v>
      </c>
      <c r="B20" s="64" t="s">
        <v>405</v>
      </c>
      <c r="C20" s="2" t="s">
        <v>104</v>
      </c>
      <c r="D20" s="2" t="s">
        <v>29</v>
      </c>
      <c r="E20" s="62" t="s">
        <v>479</v>
      </c>
      <c r="F20" s="63">
        <v>150582</v>
      </c>
      <c r="G20" s="63">
        <v>74607</v>
      </c>
      <c r="H20" s="63">
        <v>75975</v>
      </c>
      <c r="I20" s="63">
        <v>152311</v>
      </c>
      <c r="J20" s="68">
        <v>-1729</v>
      </c>
      <c r="K20" s="65">
        <v>-1.1351800000000001</v>
      </c>
      <c r="L20" s="66">
        <v>82.41</v>
      </c>
      <c r="M20" s="67">
        <v>1827.2</v>
      </c>
      <c r="N20" s="74">
        <v>48.83408</v>
      </c>
      <c r="O20" s="74">
        <v>50.289830000000002</v>
      </c>
      <c r="P20" s="63">
        <v>16540</v>
      </c>
      <c r="Q20" s="63">
        <v>87490</v>
      </c>
      <c r="R20" s="63">
        <v>46552</v>
      </c>
      <c r="S20" s="74">
        <v>10.98405</v>
      </c>
      <c r="T20" s="74">
        <v>58.101230000000001</v>
      </c>
      <c r="U20" s="74">
        <v>30.914719999999999</v>
      </c>
      <c r="V20" s="63">
        <v>8468</v>
      </c>
      <c r="W20" s="63">
        <v>44790</v>
      </c>
      <c r="X20" s="63">
        <v>21349</v>
      </c>
      <c r="Y20" s="74">
        <v>11.35014</v>
      </c>
      <c r="Z20" s="74">
        <v>60.034579999999998</v>
      </c>
      <c r="AA20" s="74">
        <v>28.615279999999998</v>
      </c>
      <c r="AB20" s="63">
        <v>8072</v>
      </c>
      <c r="AC20" s="63">
        <v>42700</v>
      </c>
      <c r="AD20" s="63">
        <v>25203</v>
      </c>
      <c r="AE20" s="74">
        <v>10.624549999999999</v>
      </c>
      <c r="AF20" s="74">
        <v>56.2027</v>
      </c>
      <c r="AG20" s="74">
        <v>33.172750000000001</v>
      </c>
      <c r="AH20" s="74">
        <v>98.19941</v>
      </c>
      <c r="AI20" s="63">
        <v>147565</v>
      </c>
      <c r="AJ20" s="63">
        <v>3017</v>
      </c>
      <c r="AK20" s="63">
        <v>62578</v>
      </c>
      <c r="AL20" s="63">
        <v>62497</v>
      </c>
      <c r="AM20" s="63">
        <v>81</v>
      </c>
      <c r="AN20" s="63">
        <v>59082</v>
      </c>
      <c r="AO20" s="63">
        <v>62497</v>
      </c>
      <c r="AP20" s="63">
        <v>39271</v>
      </c>
      <c r="AQ20" s="63">
        <v>14419</v>
      </c>
      <c r="AR20" s="63">
        <v>18798</v>
      </c>
      <c r="AS20" s="63">
        <v>1078</v>
      </c>
      <c r="AT20" s="63">
        <v>4976</v>
      </c>
      <c r="AU20" s="63">
        <v>18316</v>
      </c>
      <c r="AV20" s="63">
        <v>6865</v>
      </c>
      <c r="AW20" s="63">
        <v>9250</v>
      </c>
      <c r="AX20" s="63">
        <v>2787</v>
      </c>
    </row>
    <row r="21" spans="1:50" x14ac:dyDescent="0.55000000000000004">
      <c r="A21" s="73">
        <v>20</v>
      </c>
      <c r="B21" s="64" t="s">
        <v>412</v>
      </c>
      <c r="C21" s="2" t="s">
        <v>105</v>
      </c>
      <c r="D21" s="2" t="s">
        <v>30</v>
      </c>
      <c r="E21" s="62" t="s">
        <v>486</v>
      </c>
      <c r="F21" s="63">
        <v>50066</v>
      </c>
      <c r="G21" s="63">
        <v>24979</v>
      </c>
      <c r="H21" s="63">
        <v>25087</v>
      </c>
      <c r="I21" s="63">
        <v>52524</v>
      </c>
      <c r="J21" s="68">
        <v>-2458</v>
      </c>
      <c r="K21" s="65">
        <v>-4.6797700000000004</v>
      </c>
      <c r="L21" s="66">
        <v>33.93</v>
      </c>
      <c r="M21" s="67">
        <v>1475.6</v>
      </c>
      <c r="N21" s="74">
        <v>51.077460000000002</v>
      </c>
      <c r="O21" s="74">
        <v>53.196620000000003</v>
      </c>
      <c r="P21" s="63">
        <v>4920</v>
      </c>
      <c r="Q21" s="63">
        <v>27403</v>
      </c>
      <c r="R21" s="63">
        <v>17743</v>
      </c>
      <c r="S21" s="74">
        <v>9.8270300000000006</v>
      </c>
      <c r="T21" s="74">
        <v>54.733750000000001</v>
      </c>
      <c r="U21" s="74">
        <v>35.439219999999999</v>
      </c>
      <c r="V21" s="63">
        <v>2554</v>
      </c>
      <c r="W21" s="63">
        <v>14249</v>
      </c>
      <c r="X21" s="63">
        <v>8176</v>
      </c>
      <c r="Y21" s="74">
        <v>10.224589999999999</v>
      </c>
      <c r="Z21" s="74">
        <v>57.04392</v>
      </c>
      <c r="AA21" s="74">
        <v>32.731490000000001</v>
      </c>
      <c r="AB21" s="63">
        <v>2366</v>
      </c>
      <c r="AC21" s="63">
        <v>13154</v>
      </c>
      <c r="AD21" s="63">
        <v>9567</v>
      </c>
      <c r="AE21" s="74">
        <v>9.4311799999999995</v>
      </c>
      <c r="AF21" s="74">
        <v>52.433529999999998</v>
      </c>
      <c r="AG21" s="74">
        <v>38.135289999999998</v>
      </c>
      <c r="AH21" s="74">
        <v>99.569500000000005</v>
      </c>
      <c r="AI21" s="63">
        <v>49018</v>
      </c>
      <c r="AJ21" s="63">
        <v>1048</v>
      </c>
      <c r="AK21" s="63">
        <v>20851</v>
      </c>
      <c r="AL21" s="63">
        <v>20823</v>
      </c>
      <c r="AM21" s="63">
        <v>28</v>
      </c>
      <c r="AN21" s="63">
        <v>20568</v>
      </c>
      <c r="AO21" s="63">
        <v>20823</v>
      </c>
      <c r="AP21" s="63">
        <v>13035</v>
      </c>
      <c r="AQ21" s="63">
        <v>4946</v>
      </c>
      <c r="AR21" s="63">
        <v>5814</v>
      </c>
      <c r="AS21" s="63">
        <v>461</v>
      </c>
      <c r="AT21" s="63">
        <v>1814</v>
      </c>
      <c r="AU21" s="63">
        <v>6096</v>
      </c>
      <c r="AV21" s="63">
        <v>2845</v>
      </c>
      <c r="AW21" s="63">
        <v>3455</v>
      </c>
      <c r="AX21" s="63">
        <v>937</v>
      </c>
    </row>
    <row r="22" spans="1:50" x14ac:dyDescent="0.55000000000000004">
      <c r="A22" s="73">
        <v>21</v>
      </c>
      <c r="B22" s="64" t="s">
        <v>430</v>
      </c>
      <c r="C22" s="2" t="s">
        <v>106</v>
      </c>
      <c r="D22" s="2" t="s">
        <v>12</v>
      </c>
      <c r="E22" s="62" t="s">
        <v>504</v>
      </c>
      <c r="F22" s="63">
        <v>9302</v>
      </c>
      <c r="G22" s="63">
        <v>4583</v>
      </c>
      <c r="H22" s="63">
        <v>4719</v>
      </c>
      <c r="I22" s="63">
        <v>10133</v>
      </c>
      <c r="J22" s="68">
        <v>-831</v>
      </c>
      <c r="K22" s="65">
        <v>-8.2009299999999996</v>
      </c>
      <c r="L22" s="66">
        <v>63.74</v>
      </c>
      <c r="M22" s="67">
        <v>145.9</v>
      </c>
      <c r="N22" s="74">
        <v>52.827669999999998</v>
      </c>
      <c r="O22" s="74">
        <v>56.790480000000002</v>
      </c>
      <c r="P22" s="63">
        <v>937</v>
      </c>
      <c r="Q22" s="63">
        <v>4776</v>
      </c>
      <c r="R22" s="63">
        <v>3589</v>
      </c>
      <c r="S22" s="74">
        <v>10.0731</v>
      </c>
      <c r="T22" s="74">
        <v>51.343800000000002</v>
      </c>
      <c r="U22" s="74">
        <v>38.583100000000002</v>
      </c>
      <c r="V22" s="63">
        <v>496</v>
      </c>
      <c r="W22" s="63">
        <v>2448</v>
      </c>
      <c r="X22" s="63">
        <v>1639</v>
      </c>
      <c r="Y22" s="74">
        <v>10.822609999999999</v>
      </c>
      <c r="Z22" s="74">
        <v>53.414790000000004</v>
      </c>
      <c r="AA22" s="74">
        <v>35.762599999999999</v>
      </c>
      <c r="AB22" s="63">
        <v>441</v>
      </c>
      <c r="AC22" s="63">
        <v>2328</v>
      </c>
      <c r="AD22" s="63">
        <v>1950</v>
      </c>
      <c r="AE22" s="74">
        <v>9.3452000000000002</v>
      </c>
      <c r="AF22" s="74">
        <v>49.33249</v>
      </c>
      <c r="AG22" s="74">
        <v>41.322310000000002</v>
      </c>
      <c r="AH22" s="74">
        <v>97.118030000000005</v>
      </c>
      <c r="AI22" s="63">
        <v>9238</v>
      </c>
      <c r="AJ22" s="63">
        <v>64</v>
      </c>
      <c r="AK22" s="63">
        <v>3584</v>
      </c>
      <c r="AL22" s="63">
        <v>3576</v>
      </c>
      <c r="AM22" s="63">
        <v>8</v>
      </c>
      <c r="AN22" s="63">
        <v>3662</v>
      </c>
      <c r="AO22" s="63">
        <v>3576</v>
      </c>
      <c r="AP22" s="63">
        <v>2140</v>
      </c>
      <c r="AQ22" s="63">
        <v>880</v>
      </c>
      <c r="AR22" s="63">
        <v>892</v>
      </c>
      <c r="AS22" s="63">
        <v>73</v>
      </c>
      <c r="AT22" s="63">
        <v>295</v>
      </c>
      <c r="AU22" s="63">
        <v>918</v>
      </c>
      <c r="AV22" s="63">
        <v>562</v>
      </c>
      <c r="AW22" s="63">
        <v>619</v>
      </c>
      <c r="AX22" s="63">
        <v>318</v>
      </c>
    </row>
    <row r="23" spans="1:50" x14ac:dyDescent="0.55000000000000004">
      <c r="A23" s="73">
        <v>22</v>
      </c>
      <c r="B23" s="64" t="s">
        <v>433</v>
      </c>
      <c r="C23" s="2" t="s">
        <v>107</v>
      </c>
      <c r="D23" s="2" t="s">
        <v>13</v>
      </c>
      <c r="E23" s="62" t="s">
        <v>507</v>
      </c>
      <c r="F23" s="63">
        <v>2709</v>
      </c>
      <c r="G23" s="63">
        <v>1352</v>
      </c>
      <c r="H23" s="63">
        <v>1357</v>
      </c>
      <c r="I23" s="63">
        <v>2915</v>
      </c>
      <c r="J23" s="68">
        <v>-206</v>
      </c>
      <c r="K23" s="65">
        <v>-7.0669000000000004</v>
      </c>
      <c r="L23" s="66">
        <v>37.06</v>
      </c>
      <c r="M23" s="67">
        <v>73.099999999999994</v>
      </c>
      <c r="N23" s="74">
        <v>57.72739</v>
      </c>
      <c r="O23" s="74">
        <v>62.974580000000003</v>
      </c>
      <c r="P23" s="63">
        <v>173</v>
      </c>
      <c r="Q23" s="63">
        <v>1275</v>
      </c>
      <c r="R23" s="63">
        <v>1261</v>
      </c>
      <c r="S23" s="74">
        <v>6.38612</v>
      </c>
      <c r="T23" s="74">
        <v>47.065339999999999</v>
      </c>
      <c r="U23" s="74">
        <v>46.548540000000003</v>
      </c>
      <c r="V23" s="63">
        <v>84</v>
      </c>
      <c r="W23" s="63">
        <v>658</v>
      </c>
      <c r="X23" s="63">
        <v>610</v>
      </c>
      <c r="Y23" s="74">
        <v>6.2130200000000002</v>
      </c>
      <c r="Z23" s="74">
        <v>48.668640000000003</v>
      </c>
      <c r="AA23" s="74">
        <v>45.118340000000003</v>
      </c>
      <c r="AB23" s="63">
        <v>89</v>
      </c>
      <c r="AC23" s="63">
        <v>617</v>
      </c>
      <c r="AD23" s="63">
        <v>651</v>
      </c>
      <c r="AE23" s="74">
        <v>6.5585899999999997</v>
      </c>
      <c r="AF23" s="74">
        <v>45.467939999999999</v>
      </c>
      <c r="AG23" s="74">
        <v>47.973469999999999</v>
      </c>
      <c r="AH23" s="74">
        <v>99.631540000000001</v>
      </c>
      <c r="AI23" s="63">
        <v>2700</v>
      </c>
      <c r="AJ23" s="63">
        <v>9</v>
      </c>
      <c r="AK23" s="63">
        <v>990</v>
      </c>
      <c r="AL23" s="63">
        <v>988</v>
      </c>
      <c r="AM23" s="63">
        <v>2</v>
      </c>
      <c r="AN23" s="63">
        <v>1028</v>
      </c>
      <c r="AO23" s="63">
        <v>988</v>
      </c>
      <c r="AP23" s="63">
        <v>551</v>
      </c>
      <c r="AQ23" s="63">
        <v>234</v>
      </c>
      <c r="AR23" s="63">
        <v>227</v>
      </c>
      <c r="AS23" s="63">
        <v>27</v>
      </c>
      <c r="AT23" s="63">
        <v>63</v>
      </c>
      <c r="AU23" s="63">
        <v>236</v>
      </c>
      <c r="AV23" s="63">
        <v>175</v>
      </c>
      <c r="AW23" s="63">
        <v>181</v>
      </c>
      <c r="AX23" s="63">
        <v>124</v>
      </c>
    </row>
    <row r="24" spans="1:50" x14ac:dyDescent="0.55000000000000004">
      <c r="A24" s="73">
        <v>23</v>
      </c>
      <c r="B24" s="64" t="s">
        <v>428</v>
      </c>
      <c r="C24" s="2" t="s">
        <v>108</v>
      </c>
      <c r="D24" s="2" t="s">
        <v>31</v>
      </c>
      <c r="E24" s="62" t="s">
        <v>502</v>
      </c>
      <c r="F24" s="63">
        <v>10540</v>
      </c>
      <c r="G24" s="63">
        <v>5333</v>
      </c>
      <c r="H24" s="63">
        <v>5207</v>
      </c>
      <c r="I24" s="63">
        <v>11492</v>
      </c>
      <c r="J24" s="68">
        <v>-952</v>
      </c>
      <c r="K24" s="65">
        <v>-8.2840199999999999</v>
      </c>
      <c r="L24" s="66">
        <v>55.9</v>
      </c>
      <c r="M24" s="67">
        <v>188.6</v>
      </c>
      <c r="N24" s="74">
        <v>53.773910000000001</v>
      </c>
      <c r="O24" s="74">
        <v>58.614379999999997</v>
      </c>
      <c r="P24" s="63">
        <v>880</v>
      </c>
      <c r="Q24" s="63">
        <v>5568</v>
      </c>
      <c r="R24" s="63">
        <v>4092</v>
      </c>
      <c r="S24" s="74">
        <v>8.3491499999999998</v>
      </c>
      <c r="T24" s="74">
        <v>52.82732</v>
      </c>
      <c r="U24" s="74">
        <v>38.823529999999998</v>
      </c>
      <c r="V24" s="63">
        <v>441</v>
      </c>
      <c r="W24" s="63">
        <v>2960</v>
      </c>
      <c r="X24" s="63">
        <v>1932</v>
      </c>
      <c r="Y24" s="74">
        <v>8.2692700000000006</v>
      </c>
      <c r="Z24" s="74">
        <v>55.50347</v>
      </c>
      <c r="AA24" s="74">
        <v>36.227260000000001</v>
      </c>
      <c r="AB24" s="63">
        <v>439</v>
      </c>
      <c r="AC24" s="63">
        <v>2608</v>
      </c>
      <c r="AD24" s="63">
        <v>2160</v>
      </c>
      <c r="AE24" s="74">
        <v>8.4309600000000007</v>
      </c>
      <c r="AF24" s="74">
        <v>50.086419999999997</v>
      </c>
      <c r="AG24" s="74">
        <v>41.482619999999997</v>
      </c>
      <c r="AH24" s="74">
        <v>102.41982</v>
      </c>
      <c r="AI24" s="63">
        <v>10364</v>
      </c>
      <c r="AJ24" s="63">
        <v>176</v>
      </c>
      <c r="AK24" s="63">
        <v>4201</v>
      </c>
      <c r="AL24" s="63">
        <v>4193</v>
      </c>
      <c r="AM24" s="63">
        <v>8</v>
      </c>
      <c r="AN24" s="63">
        <v>4199</v>
      </c>
      <c r="AO24" s="63">
        <v>4193</v>
      </c>
      <c r="AP24" s="63">
        <v>2622</v>
      </c>
      <c r="AQ24" s="63">
        <v>1066</v>
      </c>
      <c r="AR24" s="63">
        <v>1103</v>
      </c>
      <c r="AS24" s="63">
        <v>94</v>
      </c>
      <c r="AT24" s="63">
        <v>359</v>
      </c>
      <c r="AU24" s="63">
        <v>1063</v>
      </c>
      <c r="AV24" s="63">
        <v>614</v>
      </c>
      <c r="AW24" s="63">
        <v>746</v>
      </c>
      <c r="AX24" s="63">
        <v>307</v>
      </c>
    </row>
    <row r="25" spans="1:50" x14ac:dyDescent="0.55000000000000004">
      <c r="A25" s="73">
        <v>24</v>
      </c>
      <c r="B25" s="64" t="s">
        <v>427</v>
      </c>
      <c r="C25" s="2" t="s">
        <v>109</v>
      </c>
      <c r="D25" s="2" t="s">
        <v>32</v>
      </c>
      <c r="E25" s="62" t="s">
        <v>501</v>
      </c>
      <c r="F25" s="63">
        <v>13560</v>
      </c>
      <c r="G25" s="63">
        <v>6556</v>
      </c>
      <c r="H25" s="63">
        <v>7004</v>
      </c>
      <c r="I25" s="63">
        <v>14338</v>
      </c>
      <c r="J25" s="68">
        <v>-778</v>
      </c>
      <c r="K25" s="65">
        <v>-5.4261400000000002</v>
      </c>
      <c r="L25" s="66">
        <v>25.73</v>
      </c>
      <c r="M25" s="67">
        <v>527</v>
      </c>
      <c r="N25" s="74">
        <v>56.399189999999997</v>
      </c>
      <c r="O25" s="74">
        <v>62.49315</v>
      </c>
      <c r="P25" s="63">
        <v>943</v>
      </c>
      <c r="Q25" s="63">
        <v>6389</v>
      </c>
      <c r="R25" s="63">
        <v>6228</v>
      </c>
      <c r="S25" s="74">
        <v>6.9542799999999998</v>
      </c>
      <c r="T25" s="74">
        <v>47.116520000000001</v>
      </c>
      <c r="U25" s="74">
        <v>45.929200000000002</v>
      </c>
      <c r="V25" s="63">
        <v>450</v>
      </c>
      <c r="W25" s="63">
        <v>3226</v>
      </c>
      <c r="X25" s="63">
        <v>2880</v>
      </c>
      <c r="Y25" s="74">
        <v>6.8639400000000004</v>
      </c>
      <c r="Z25" s="74">
        <v>49.206829999999997</v>
      </c>
      <c r="AA25" s="74">
        <v>43.929229999999997</v>
      </c>
      <c r="AB25" s="63">
        <v>493</v>
      </c>
      <c r="AC25" s="63">
        <v>3163</v>
      </c>
      <c r="AD25" s="63">
        <v>3348</v>
      </c>
      <c r="AE25" s="74">
        <v>7.0388299999999999</v>
      </c>
      <c r="AF25" s="74">
        <v>45.159910000000004</v>
      </c>
      <c r="AG25" s="74">
        <v>47.801259999999999</v>
      </c>
      <c r="AH25" s="74">
        <v>93.603660000000005</v>
      </c>
      <c r="AI25" s="63">
        <v>13427</v>
      </c>
      <c r="AJ25" s="63">
        <v>133</v>
      </c>
      <c r="AK25" s="63">
        <v>5399</v>
      </c>
      <c r="AL25" s="63">
        <v>5379</v>
      </c>
      <c r="AM25" s="63">
        <v>20</v>
      </c>
      <c r="AN25" s="63">
        <v>5309</v>
      </c>
      <c r="AO25" s="63">
        <v>5379</v>
      </c>
      <c r="AP25" s="63">
        <v>3720</v>
      </c>
      <c r="AQ25" s="63">
        <v>1767</v>
      </c>
      <c r="AR25" s="63">
        <v>1428</v>
      </c>
      <c r="AS25" s="63">
        <v>126</v>
      </c>
      <c r="AT25" s="63">
        <v>399</v>
      </c>
      <c r="AU25" s="63">
        <v>1181</v>
      </c>
      <c r="AV25" s="63">
        <v>756</v>
      </c>
      <c r="AW25" s="63">
        <v>1395</v>
      </c>
      <c r="AX25" s="63">
        <v>274</v>
      </c>
    </row>
    <row r="26" spans="1:50" x14ac:dyDescent="0.55000000000000004">
      <c r="A26" s="73">
        <v>25</v>
      </c>
      <c r="B26" s="64" t="s">
        <v>411</v>
      </c>
      <c r="C26" s="2" t="s">
        <v>110</v>
      </c>
      <c r="D26" s="2" t="s">
        <v>34</v>
      </c>
      <c r="E26" s="62" t="s">
        <v>485</v>
      </c>
      <c r="F26" s="63">
        <v>100275</v>
      </c>
      <c r="G26" s="63">
        <v>50041</v>
      </c>
      <c r="H26" s="63">
        <v>50234</v>
      </c>
      <c r="I26" s="63">
        <v>101679</v>
      </c>
      <c r="J26" s="68">
        <v>-1404</v>
      </c>
      <c r="K26" s="65">
        <v>-1.3808199999999999</v>
      </c>
      <c r="L26" s="66">
        <v>41.02</v>
      </c>
      <c r="M26" s="67">
        <v>2444.5</v>
      </c>
      <c r="N26" s="74">
        <v>47.497900000000001</v>
      </c>
      <c r="O26" s="74">
        <v>48.21425</v>
      </c>
      <c r="P26" s="63">
        <v>11430</v>
      </c>
      <c r="Q26" s="63">
        <v>59144</v>
      </c>
      <c r="R26" s="63">
        <v>29701</v>
      </c>
      <c r="S26" s="74">
        <v>11.39865</v>
      </c>
      <c r="T26" s="74">
        <v>58.9818</v>
      </c>
      <c r="U26" s="74">
        <v>29.61955</v>
      </c>
      <c r="V26" s="63">
        <v>5761</v>
      </c>
      <c r="W26" s="63">
        <v>30784</v>
      </c>
      <c r="X26" s="63">
        <v>13496</v>
      </c>
      <c r="Y26" s="74">
        <v>11.512560000000001</v>
      </c>
      <c r="Z26" s="74">
        <v>61.517560000000003</v>
      </c>
      <c r="AA26" s="74">
        <v>26.96988</v>
      </c>
      <c r="AB26" s="63">
        <v>5669</v>
      </c>
      <c r="AC26" s="63">
        <v>28360</v>
      </c>
      <c r="AD26" s="63">
        <v>16205</v>
      </c>
      <c r="AE26" s="74">
        <v>11.28519</v>
      </c>
      <c r="AF26" s="74">
        <v>56.45579</v>
      </c>
      <c r="AG26" s="74">
        <v>32.259030000000003</v>
      </c>
      <c r="AH26" s="74">
        <v>99.615799999999993</v>
      </c>
      <c r="AI26" s="63">
        <v>97361</v>
      </c>
      <c r="AJ26" s="63">
        <v>2914</v>
      </c>
      <c r="AK26" s="63">
        <v>44555</v>
      </c>
      <c r="AL26" s="63">
        <v>44495</v>
      </c>
      <c r="AM26" s="63">
        <v>60</v>
      </c>
      <c r="AN26" s="63">
        <v>42883</v>
      </c>
      <c r="AO26" s="63">
        <v>44495</v>
      </c>
      <c r="AP26" s="63">
        <v>25491</v>
      </c>
      <c r="AQ26" s="63">
        <v>9406</v>
      </c>
      <c r="AR26" s="63">
        <v>11992</v>
      </c>
      <c r="AS26" s="63">
        <v>725</v>
      </c>
      <c r="AT26" s="63">
        <v>3368</v>
      </c>
      <c r="AU26" s="63">
        <v>16398</v>
      </c>
      <c r="AV26" s="63">
        <v>5409</v>
      </c>
      <c r="AW26" s="63">
        <v>6064</v>
      </c>
      <c r="AX26" s="63">
        <v>1416</v>
      </c>
    </row>
    <row r="27" spans="1:50" x14ac:dyDescent="0.55000000000000004">
      <c r="A27" s="73">
        <v>26</v>
      </c>
      <c r="B27" s="64" t="s">
        <v>425</v>
      </c>
      <c r="C27" s="2" t="s">
        <v>111</v>
      </c>
      <c r="D27" s="2" t="s">
        <v>41</v>
      </c>
      <c r="E27" s="62" t="s">
        <v>499</v>
      </c>
      <c r="F27" s="63">
        <v>19378</v>
      </c>
      <c r="G27" s="63">
        <v>9823</v>
      </c>
      <c r="H27" s="63">
        <v>9555</v>
      </c>
      <c r="I27" s="63">
        <v>20788</v>
      </c>
      <c r="J27" s="68">
        <v>-1410</v>
      </c>
      <c r="K27" s="65">
        <v>-6.7827599999999997</v>
      </c>
      <c r="L27" s="66">
        <v>41.63</v>
      </c>
      <c r="M27" s="67">
        <v>465.5</v>
      </c>
      <c r="N27" s="74">
        <v>51.368609999999997</v>
      </c>
      <c r="O27" s="74">
        <v>54.387250000000002</v>
      </c>
      <c r="P27" s="63">
        <v>1805</v>
      </c>
      <c r="Q27" s="63">
        <v>10589</v>
      </c>
      <c r="R27" s="63">
        <v>6984</v>
      </c>
      <c r="S27" s="74">
        <v>9.3146900000000006</v>
      </c>
      <c r="T27" s="74">
        <v>54.644440000000003</v>
      </c>
      <c r="U27" s="74">
        <v>36.040869999999998</v>
      </c>
      <c r="V27" s="63">
        <v>945</v>
      </c>
      <c r="W27" s="63">
        <v>5569</v>
      </c>
      <c r="X27" s="63">
        <v>3309</v>
      </c>
      <c r="Y27" s="74">
        <v>9.6202799999999993</v>
      </c>
      <c r="Z27" s="74">
        <v>56.693469999999998</v>
      </c>
      <c r="AA27" s="74">
        <v>33.686250000000001</v>
      </c>
      <c r="AB27" s="63">
        <v>860</v>
      </c>
      <c r="AC27" s="63">
        <v>5020</v>
      </c>
      <c r="AD27" s="63">
        <v>3675</v>
      </c>
      <c r="AE27" s="74">
        <v>9.0005199999999999</v>
      </c>
      <c r="AF27" s="74">
        <v>52.537939999999999</v>
      </c>
      <c r="AG27" s="74">
        <v>38.461539999999999</v>
      </c>
      <c r="AH27" s="74">
        <v>102.80481</v>
      </c>
      <c r="AI27" s="63">
        <v>19042</v>
      </c>
      <c r="AJ27" s="63">
        <v>336</v>
      </c>
      <c r="AK27" s="63">
        <v>7269</v>
      </c>
      <c r="AL27" s="63">
        <v>7263</v>
      </c>
      <c r="AM27" s="63">
        <v>6</v>
      </c>
      <c r="AN27" s="63">
        <v>7238</v>
      </c>
      <c r="AO27" s="63">
        <v>7263</v>
      </c>
      <c r="AP27" s="63">
        <v>4658</v>
      </c>
      <c r="AQ27" s="63">
        <v>1803</v>
      </c>
      <c r="AR27" s="63">
        <v>2156</v>
      </c>
      <c r="AS27" s="63">
        <v>175</v>
      </c>
      <c r="AT27" s="63">
        <v>524</v>
      </c>
      <c r="AU27" s="63">
        <v>1588</v>
      </c>
      <c r="AV27" s="63">
        <v>731</v>
      </c>
      <c r="AW27" s="63">
        <v>1302</v>
      </c>
      <c r="AX27" s="63">
        <v>643</v>
      </c>
    </row>
    <row r="28" spans="1:50" x14ac:dyDescent="0.55000000000000004">
      <c r="A28" s="73">
        <v>27</v>
      </c>
      <c r="B28" s="64" t="s">
        <v>404</v>
      </c>
      <c r="C28" s="2" t="s">
        <v>112</v>
      </c>
      <c r="D28" s="2" t="s">
        <v>43</v>
      </c>
      <c r="E28" s="62" t="s">
        <v>478</v>
      </c>
      <c r="F28" s="63">
        <v>74748</v>
      </c>
      <c r="G28" s="63">
        <v>36950</v>
      </c>
      <c r="H28" s="63">
        <v>37798</v>
      </c>
      <c r="I28" s="63">
        <v>73936</v>
      </c>
      <c r="J28" s="68">
        <v>812</v>
      </c>
      <c r="K28" s="65">
        <v>1.0982499999999999</v>
      </c>
      <c r="L28" s="66">
        <v>25.35</v>
      </c>
      <c r="M28" s="67">
        <v>2948.6</v>
      </c>
      <c r="N28" s="74">
        <v>48.236370000000001</v>
      </c>
      <c r="O28" s="74">
        <v>49.335279999999997</v>
      </c>
      <c r="P28" s="63">
        <v>8615</v>
      </c>
      <c r="Q28" s="63">
        <v>43935</v>
      </c>
      <c r="R28" s="63">
        <v>22198</v>
      </c>
      <c r="S28" s="74">
        <v>11.52539</v>
      </c>
      <c r="T28" s="74">
        <v>58.77749</v>
      </c>
      <c r="U28" s="74">
        <v>29.697120000000002</v>
      </c>
      <c r="V28" s="63">
        <v>4437</v>
      </c>
      <c r="W28" s="63">
        <v>22458</v>
      </c>
      <c r="X28" s="63">
        <v>10055</v>
      </c>
      <c r="Y28" s="74">
        <v>12.00812</v>
      </c>
      <c r="Z28" s="74">
        <v>60.779429999999998</v>
      </c>
      <c r="AA28" s="74">
        <v>27.21245</v>
      </c>
      <c r="AB28" s="63">
        <v>4178</v>
      </c>
      <c r="AC28" s="63">
        <v>21477</v>
      </c>
      <c r="AD28" s="63">
        <v>12143</v>
      </c>
      <c r="AE28" s="74">
        <v>11.05349</v>
      </c>
      <c r="AF28" s="74">
        <v>56.82047</v>
      </c>
      <c r="AG28" s="74">
        <v>32.126040000000003</v>
      </c>
      <c r="AH28" s="74">
        <v>97.756500000000003</v>
      </c>
      <c r="AI28" s="63">
        <v>73916</v>
      </c>
      <c r="AJ28" s="63">
        <v>832</v>
      </c>
      <c r="AK28" s="63">
        <v>30918</v>
      </c>
      <c r="AL28" s="63">
        <v>30842</v>
      </c>
      <c r="AM28" s="63">
        <v>76</v>
      </c>
      <c r="AN28" s="63">
        <v>28685</v>
      </c>
      <c r="AO28" s="63">
        <v>30842</v>
      </c>
      <c r="AP28" s="63">
        <v>20208</v>
      </c>
      <c r="AQ28" s="63">
        <v>7336</v>
      </c>
      <c r="AR28" s="63">
        <v>9741</v>
      </c>
      <c r="AS28" s="63">
        <v>533</v>
      </c>
      <c r="AT28" s="63">
        <v>2598</v>
      </c>
      <c r="AU28" s="63">
        <v>8561</v>
      </c>
      <c r="AV28" s="63">
        <v>3470</v>
      </c>
      <c r="AW28" s="63">
        <v>4609</v>
      </c>
      <c r="AX28" s="63">
        <v>1048</v>
      </c>
    </row>
    <row r="29" spans="1:50" x14ac:dyDescent="0.55000000000000004">
      <c r="A29" s="73">
        <v>28</v>
      </c>
      <c r="B29" s="64" t="s">
        <v>394</v>
      </c>
      <c r="C29" s="2" t="s">
        <v>113</v>
      </c>
      <c r="D29" s="2" t="s">
        <v>48</v>
      </c>
      <c r="E29" s="62" t="s">
        <v>468</v>
      </c>
      <c r="F29" s="63">
        <v>226940</v>
      </c>
      <c r="G29" s="63">
        <v>112288</v>
      </c>
      <c r="H29" s="63">
        <v>114652</v>
      </c>
      <c r="I29" s="63">
        <v>225196</v>
      </c>
      <c r="J29" s="68">
        <v>1744</v>
      </c>
      <c r="K29" s="65">
        <v>0.77444000000000002</v>
      </c>
      <c r="L29" s="66">
        <v>45.51</v>
      </c>
      <c r="M29" s="67">
        <v>4986.6000000000004</v>
      </c>
      <c r="N29" s="74">
        <v>47.459890000000001</v>
      </c>
      <c r="O29" s="74">
        <v>48.600450000000002</v>
      </c>
      <c r="P29" s="63">
        <v>26546</v>
      </c>
      <c r="Q29" s="63">
        <v>136441</v>
      </c>
      <c r="R29" s="63">
        <v>63953</v>
      </c>
      <c r="S29" s="74">
        <v>11.69736</v>
      </c>
      <c r="T29" s="74">
        <v>60.122059999999998</v>
      </c>
      <c r="U29" s="74">
        <v>28.180579999999999</v>
      </c>
      <c r="V29" s="63">
        <v>13685</v>
      </c>
      <c r="W29" s="63">
        <v>69724</v>
      </c>
      <c r="X29" s="63">
        <v>28879</v>
      </c>
      <c r="Y29" s="74">
        <v>12.18741</v>
      </c>
      <c r="Z29" s="74">
        <v>62.093899999999998</v>
      </c>
      <c r="AA29" s="74">
        <v>25.718689999999999</v>
      </c>
      <c r="AB29" s="63">
        <v>12861</v>
      </c>
      <c r="AC29" s="63">
        <v>66717</v>
      </c>
      <c r="AD29" s="63">
        <v>35074</v>
      </c>
      <c r="AE29" s="74">
        <v>11.217420000000001</v>
      </c>
      <c r="AF29" s="74">
        <v>58.190869999999997</v>
      </c>
      <c r="AG29" s="74">
        <v>30.591699999999999</v>
      </c>
      <c r="AH29" s="74">
        <v>97.938109999999995</v>
      </c>
      <c r="AI29" s="63">
        <v>223025</v>
      </c>
      <c r="AJ29" s="63">
        <v>3915</v>
      </c>
      <c r="AK29" s="63">
        <v>96559</v>
      </c>
      <c r="AL29" s="63">
        <v>96347</v>
      </c>
      <c r="AM29" s="63">
        <v>212</v>
      </c>
      <c r="AN29" s="63">
        <v>91399</v>
      </c>
      <c r="AO29" s="63">
        <v>96347</v>
      </c>
      <c r="AP29" s="63">
        <v>58454</v>
      </c>
      <c r="AQ29" s="63">
        <v>20628</v>
      </c>
      <c r="AR29" s="63">
        <v>28863</v>
      </c>
      <c r="AS29" s="63">
        <v>1483</v>
      </c>
      <c r="AT29" s="63">
        <v>7480</v>
      </c>
      <c r="AU29" s="63">
        <v>29866</v>
      </c>
      <c r="AV29" s="63">
        <v>10520</v>
      </c>
      <c r="AW29" s="63">
        <v>12661</v>
      </c>
      <c r="AX29" s="63">
        <v>2792</v>
      </c>
    </row>
    <row r="30" spans="1:50" x14ac:dyDescent="0.55000000000000004">
      <c r="A30" s="73">
        <v>29</v>
      </c>
      <c r="B30" s="64" t="s">
        <v>418</v>
      </c>
      <c r="C30" s="2" t="s">
        <v>114</v>
      </c>
      <c r="D30" s="2" t="s">
        <v>49</v>
      </c>
      <c r="E30" s="62" t="s">
        <v>492</v>
      </c>
      <c r="F30" s="63">
        <v>44841</v>
      </c>
      <c r="G30" s="63">
        <v>22539</v>
      </c>
      <c r="H30" s="63">
        <v>22302</v>
      </c>
      <c r="I30" s="63">
        <v>44442</v>
      </c>
      <c r="J30" s="68">
        <v>399</v>
      </c>
      <c r="K30" s="65">
        <v>0.89780000000000004</v>
      </c>
      <c r="L30" s="66">
        <v>14.79</v>
      </c>
      <c r="M30" s="67">
        <v>3031.8</v>
      </c>
      <c r="N30" s="74">
        <v>44.858310000000003</v>
      </c>
      <c r="O30" s="74">
        <v>45.89669</v>
      </c>
      <c r="P30" s="63">
        <v>6233</v>
      </c>
      <c r="Q30" s="63">
        <v>27638</v>
      </c>
      <c r="R30" s="63">
        <v>10970</v>
      </c>
      <c r="S30" s="74">
        <v>13.900230000000001</v>
      </c>
      <c r="T30" s="74">
        <v>61.635559999999998</v>
      </c>
      <c r="U30" s="74">
        <v>24.464220000000001</v>
      </c>
      <c r="V30" s="63">
        <v>3193</v>
      </c>
      <c r="W30" s="63">
        <v>14410</v>
      </c>
      <c r="X30" s="63">
        <v>4936</v>
      </c>
      <c r="Y30" s="74">
        <v>14.16656</v>
      </c>
      <c r="Z30" s="74">
        <v>63.933630000000001</v>
      </c>
      <c r="AA30" s="74">
        <v>21.899819999999998</v>
      </c>
      <c r="AB30" s="63">
        <v>3040</v>
      </c>
      <c r="AC30" s="63">
        <v>13228</v>
      </c>
      <c r="AD30" s="63">
        <v>6034</v>
      </c>
      <c r="AE30" s="74">
        <v>13.63106</v>
      </c>
      <c r="AF30" s="74">
        <v>59.313070000000003</v>
      </c>
      <c r="AG30" s="74">
        <v>27.055869999999999</v>
      </c>
      <c r="AH30" s="74">
        <v>101.06268</v>
      </c>
      <c r="AI30" s="63">
        <v>44384</v>
      </c>
      <c r="AJ30" s="63">
        <v>457</v>
      </c>
      <c r="AK30" s="63">
        <v>17812</v>
      </c>
      <c r="AL30" s="63">
        <v>17793</v>
      </c>
      <c r="AM30" s="63">
        <v>19</v>
      </c>
      <c r="AN30" s="63">
        <v>16701</v>
      </c>
      <c r="AO30" s="63">
        <v>17793</v>
      </c>
      <c r="AP30" s="63">
        <v>11544</v>
      </c>
      <c r="AQ30" s="63">
        <v>3782</v>
      </c>
      <c r="AR30" s="63">
        <v>6105</v>
      </c>
      <c r="AS30" s="63">
        <v>298</v>
      </c>
      <c r="AT30" s="63">
        <v>1359</v>
      </c>
      <c r="AU30" s="63">
        <v>5017</v>
      </c>
      <c r="AV30" s="63">
        <v>1394</v>
      </c>
      <c r="AW30" s="63">
        <v>2287</v>
      </c>
      <c r="AX30" s="63">
        <v>692</v>
      </c>
    </row>
    <row r="31" spans="1:50" x14ac:dyDescent="0.55000000000000004">
      <c r="A31" s="73">
        <v>30</v>
      </c>
      <c r="B31" s="64" t="s">
        <v>410</v>
      </c>
      <c r="C31" s="2" t="s">
        <v>115</v>
      </c>
      <c r="D31" s="2" t="s">
        <v>50</v>
      </c>
      <c r="E31" s="62" t="s">
        <v>484</v>
      </c>
      <c r="F31" s="63">
        <v>61499</v>
      </c>
      <c r="G31" s="63">
        <v>30468</v>
      </c>
      <c r="H31" s="63">
        <v>31031</v>
      </c>
      <c r="I31" s="63">
        <v>62380</v>
      </c>
      <c r="J31" s="68">
        <v>-881</v>
      </c>
      <c r="K31" s="65">
        <v>-1.41231</v>
      </c>
      <c r="L31" s="66">
        <v>27.28</v>
      </c>
      <c r="M31" s="67">
        <v>2254.4</v>
      </c>
      <c r="N31" s="74">
        <v>49.308549999999997</v>
      </c>
      <c r="O31" s="74">
        <v>50.282220000000002</v>
      </c>
      <c r="P31" s="63">
        <v>6739</v>
      </c>
      <c r="Q31" s="63">
        <v>34853</v>
      </c>
      <c r="R31" s="63">
        <v>19907</v>
      </c>
      <c r="S31" s="74">
        <v>10.9579</v>
      </c>
      <c r="T31" s="74">
        <v>56.672469999999997</v>
      </c>
      <c r="U31" s="74">
        <v>32.369630000000001</v>
      </c>
      <c r="V31" s="63">
        <v>3443</v>
      </c>
      <c r="W31" s="63">
        <v>17960</v>
      </c>
      <c r="X31" s="63">
        <v>9065</v>
      </c>
      <c r="Y31" s="74">
        <v>11.300380000000001</v>
      </c>
      <c r="Z31" s="74">
        <v>58.947090000000003</v>
      </c>
      <c r="AA31" s="74">
        <v>29.75253</v>
      </c>
      <c r="AB31" s="63">
        <v>3296</v>
      </c>
      <c r="AC31" s="63">
        <v>16893</v>
      </c>
      <c r="AD31" s="63">
        <v>10842</v>
      </c>
      <c r="AE31" s="74">
        <v>10.621639999999999</v>
      </c>
      <c r="AF31" s="74">
        <v>54.439109999999999</v>
      </c>
      <c r="AG31" s="74">
        <v>34.939250000000001</v>
      </c>
      <c r="AH31" s="74">
        <v>98.185689999999994</v>
      </c>
      <c r="AI31" s="63">
        <v>60890</v>
      </c>
      <c r="AJ31" s="63">
        <v>609</v>
      </c>
      <c r="AK31" s="63">
        <v>25474</v>
      </c>
      <c r="AL31" s="63">
        <v>25439</v>
      </c>
      <c r="AM31" s="63">
        <v>35</v>
      </c>
      <c r="AN31" s="63">
        <v>24543</v>
      </c>
      <c r="AO31" s="63">
        <v>25439</v>
      </c>
      <c r="AP31" s="63">
        <v>16631</v>
      </c>
      <c r="AQ31" s="63">
        <v>6240</v>
      </c>
      <c r="AR31" s="63">
        <v>7872</v>
      </c>
      <c r="AS31" s="63">
        <v>456</v>
      </c>
      <c r="AT31" s="63">
        <v>2063</v>
      </c>
      <c r="AU31" s="63">
        <v>7058</v>
      </c>
      <c r="AV31" s="63">
        <v>2943</v>
      </c>
      <c r="AW31" s="63">
        <v>4179</v>
      </c>
      <c r="AX31" s="63">
        <v>908</v>
      </c>
    </row>
    <row r="32" spans="1:50" x14ac:dyDescent="0.55000000000000004">
      <c r="A32" s="73">
        <v>31</v>
      </c>
      <c r="B32" s="64" t="s">
        <v>417</v>
      </c>
      <c r="C32" s="2" t="s">
        <v>116</v>
      </c>
      <c r="D32" s="2" t="s">
        <v>51</v>
      </c>
      <c r="E32" s="62" t="s">
        <v>491</v>
      </c>
      <c r="F32" s="63">
        <v>52214</v>
      </c>
      <c r="G32" s="63">
        <v>25764</v>
      </c>
      <c r="H32" s="63">
        <v>26450</v>
      </c>
      <c r="I32" s="63">
        <v>51535</v>
      </c>
      <c r="J32" s="68">
        <v>679</v>
      </c>
      <c r="K32" s="65">
        <v>1.31755</v>
      </c>
      <c r="L32" s="66">
        <v>24.92</v>
      </c>
      <c r="M32" s="67">
        <v>2095.3000000000002</v>
      </c>
      <c r="N32" s="74">
        <v>47.369959999999999</v>
      </c>
      <c r="O32" s="74">
        <v>48.496589999999998</v>
      </c>
      <c r="P32" s="63">
        <v>6503</v>
      </c>
      <c r="Q32" s="63">
        <v>30926</v>
      </c>
      <c r="R32" s="63">
        <v>14785</v>
      </c>
      <c r="S32" s="74">
        <v>12.454510000000001</v>
      </c>
      <c r="T32" s="74">
        <v>59.229329999999997</v>
      </c>
      <c r="U32" s="74">
        <v>28.31616</v>
      </c>
      <c r="V32" s="63">
        <v>3291</v>
      </c>
      <c r="W32" s="63">
        <v>15761</v>
      </c>
      <c r="X32" s="63">
        <v>6712</v>
      </c>
      <c r="Y32" s="74">
        <v>12.77364</v>
      </c>
      <c r="Z32" s="74">
        <v>61.174509999999998</v>
      </c>
      <c r="AA32" s="74">
        <v>26.051860000000001</v>
      </c>
      <c r="AB32" s="63">
        <v>3212</v>
      </c>
      <c r="AC32" s="63">
        <v>15165</v>
      </c>
      <c r="AD32" s="63">
        <v>8073</v>
      </c>
      <c r="AE32" s="74">
        <v>12.14367</v>
      </c>
      <c r="AF32" s="74">
        <v>57.334589999999999</v>
      </c>
      <c r="AG32" s="74">
        <v>30.521740000000001</v>
      </c>
      <c r="AH32" s="74">
        <v>97.40643</v>
      </c>
      <c r="AI32" s="63">
        <v>51653</v>
      </c>
      <c r="AJ32" s="63">
        <v>561</v>
      </c>
      <c r="AK32" s="63">
        <v>20513</v>
      </c>
      <c r="AL32" s="63">
        <v>20484</v>
      </c>
      <c r="AM32" s="63">
        <v>29</v>
      </c>
      <c r="AN32" s="63">
        <v>19183</v>
      </c>
      <c r="AO32" s="63">
        <v>20484</v>
      </c>
      <c r="AP32" s="63">
        <v>13810</v>
      </c>
      <c r="AQ32" s="63">
        <v>4744</v>
      </c>
      <c r="AR32" s="63">
        <v>7155</v>
      </c>
      <c r="AS32" s="63">
        <v>310</v>
      </c>
      <c r="AT32" s="63">
        <v>1601</v>
      </c>
      <c r="AU32" s="63">
        <v>5052</v>
      </c>
      <c r="AV32" s="63">
        <v>1919</v>
      </c>
      <c r="AW32" s="63">
        <v>2845</v>
      </c>
      <c r="AX32" s="63">
        <v>923</v>
      </c>
    </row>
    <row r="33" spans="1:50" x14ac:dyDescent="0.55000000000000004">
      <c r="A33" s="73">
        <v>32</v>
      </c>
      <c r="B33" s="64" t="s">
        <v>438</v>
      </c>
      <c r="C33" s="2" t="s">
        <v>117</v>
      </c>
      <c r="D33" s="2" t="s">
        <v>52</v>
      </c>
      <c r="E33" s="62" t="s">
        <v>512</v>
      </c>
      <c r="F33" s="63">
        <v>34147</v>
      </c>
      <c r="G33" s="63">
        <v>17182</v>
      </c>
      <c r="H33" s="63">
        <v>16965</v>
      </c>
      <c r="I33" s="63">
        <v>33705</v>
      </c>
      <c r="J33" s="68">
        <v>442</v>
      </c>
      <c r="K33" s="65">
        <v>1.31138</v>
      </c>
      <c r="L33" s="66">
        <v>15.95</v>
      </c>
      <c r="M33" s="67">
        <v>2140.9</v>
      </c>
      <c r="N33" s="74">
        <v>48.923490000000001</v>
      </c>
      <c r="O33" s="74">
        <v>49.870669999999997</v>
      </c>
      <c r="P33" s="63">
        <v>3717</v>
      </c>
      <c r="Q33" s="63">
        <v>19368</v>
      </c>
      <c r="R33" s="63">
        <v>11062</v>
      </c>
      <c r="S33" s="74">
        <v>10.885289999999999</v>
      </c>
      <c r="T33" s="74">
        <v>56.719479999999997</v>
      </c>
      <c r="U33" s="74">
        <v>32.395229999999998</v>
      </c>
      <c r="V33" s="63">
        <v>1897</v>
      </c>
      <c r="W33" s="63">
        <v>10221</v>
      </c>
      <c r="X33" s="63">
        <v>5064</v>
      </c>
      <c r="Y33" s="74">
        <v>11.040620000000001</v>
      </c>
      <c r="Z33" s="74">
        <v>59.486669999999997</v>
      </c>
      <c r="AA33" s="74">
        <v>29.4727</v>
      </c>
      <c r="AB33" s="63">
        <v>1820</v>
      </c>
      <c r="AC33" s="63">
        <v>9147</v>
      </c>
      <c r="AD33" s="63">
        <v>5998</v>
      </c>
      <c r="AE33" s="74">
        <v>10.727969999999999</v>
      </c>
      <c r="AF33" s="74">
        <v>53.916890000000002</v>
      </c>
      <c r="AG33" s="74">
        <v>35.355139999999999</v>
      </c>
      <c r="AH33" s="74">
        <v>101.2791</v>
      </c>
      <c r="AI33" s="63">
        <v>33729</v>
      </c>
      <c r="AJ33" s="63">
        <v>418</v>
      </c>
      <c r="AK33" s="63">
        <v>14572</v>
      </c>
      <c r="AL33" s="63">
        <v>14558</v>
      </c>
      <c r="AM33" s="63">
        <v>14</v>
      </c>
      <c r="AN33" s="63">
        <v>13728</v>
      </c>
      <c r="AO33" s="63">
        <v>14558</v>
      </c>
      <c r="AP33" s="63">
        <v>8800</v>
      </c>
      <c r="AQ33" s="63">
        <v>3338</v>
      </c>
      <c r="AR33" s="63">
        <v>4120</v>
      </c>
      <c r="AS33" s="63">
        <v>262</v>
      </c>
      <c r="AT33" s="63">
        <v>1080</v>
      </c>
      <c r="AU33" s="63">
        <v>4622</v>
      </c>
      <c r="AV33" s="63">
        <v>1529</v>
      </c>
      <c r="AW33" s="63">
        <v>2290</v>
      </c>
      <c r="AX33" s="63">
        <v>586</v>
      </c>
    </row>
    <row r="34" spans="1:50" x14ac:dyDescent="0.55000000000000004">
      <c r="A34" s="73">
        <v>33</v>
      </c>
      <c r="B34" s="64" t="s">
        <v>439</v>
      </c>
      <c r="C34" s="2" t="s">
        <v>118</v>
      </c>
      <c r="D34" s="2" t="s">
        <v>53</v>
      </c>
      <c r="E34" s="62" t="s">
        <v>513</v>
      </c>
      <c r="F34" s="63">
        <v>43845</v>
      </c>
      <c r="G34" s="63">
        <v>21927</v>
      </c>
      <c r="H34" s="63">
        <v>21918</v>
      </c>
      <c r="I34" s="63">
        <v>45495</v>
      </c>
      <c r="J34" s="68">
        <v>-1650</v>
      </c>
      <c r="K34" s="65">
        <v>-3.62677</v>
      </c>
      <c r="L34" s="66">
        <v>30.03</v>
      </c>
      <c r="M34" s="67">
        <v>1460</v>
      </c>
      <c r="N34" s="74">
        <v>49.711680000000001</v>
      </c>
      <c r="O34" s="74">
        <v>51.307859999999998</v>
      </c>
      <c r="P34" s="63">
        <v>4658</v>
      </c>
      <c r="Q34" s="63">
        <v>24740</v>
      </c>
      <c r="R34" s="63">
        <v>14447</v>
      </c>
      <c r="S34" s="74">
        <v>10.62379</v>
      </c>
      <c r="T34" s="74">
        <v>56.426049999999996</v>
      </c>
      <c r="U34" s="74">
        <v>32.95017</v>
      </c>
      <c r="V34" s="63">
        <v>2412</v>
      </c>
      <c r="W34" s="63">
        <v>12809</v>
      </c>
      <c r="X34" s="63">
        <v>6706</v>
      </c>
      <c r="Y34" s="74">
        <v>11.00014</v>
      </c>
      <c r="Z34" s="74">
        <v>58.416559999999997</v>
      </c>
      <c r="AA34" s="74">
        <v>30.583300000000001</v>
      </c>
      <c r="AB34" s="63">
        <v>2246</v>
      </c>
      <c r="AC34" s="63">
        <v>11931</v>
      </c>
      <c r="AD34" s="63">
        <v>7741</v>
      </c>
      <c r="AE34" s="74">
        <v>10.24729</v>
      </c>
      <c r="AF34" s="74">
        <v>54.434710000000003</v>
      </c>
      <c r="AG34" s="74">
        <v>35.317999999999998</v>
      </c>
      <c r="AH34" s="74">
        <v>100.04106</v>
      </c>
      <c r="AI34" s="63">
        <v>43296</v>
      </c>
      <c r="AJ34" s="63">
        <v>549</v>
      </c>
      <c r="AK34" s="63">
        <v>17706</v>
      </c>
      <c r="AL34" s="63">
        <v>17680</v>
      </c>
      <c r="AM34" s="63">
        <v>26</v>
      </c>
      <c r="AN34" s="63">
        <v>17348</v>
      </c>
      <c r="AO34" s="63">
        <v>17680</v>
      </c>
      <c r="AP34" s="63">
        <v>11535</v>
      </c>
      <c r="AQ34" s="63">
        <v>4336</v>
      </c>
      <c r="AR34" s="63">
        <v>5307</v>
      </c>
      <c r="AS34" s="63">
        <v>350</v>
      </c>
      <c r="AT34" s="63">
        <v>1542</v>
      </c>
      <c r="AU34" s="63">
        <v>4542</v>
      </c>
      <c r="AV34" s="63">
        <v>2023</v>
      </c>
      <c r="AW34" s="63">
        <v>2944</v>
      </c>
      <c r="AX34" s="63">
        <v>945</v>
      </c>
    </row>
    <row r="35" spans="1:50" x14ac:dyDescent="0.55000000000000004">
      <c r="A35" s="73">
        <v>34</v>
      </c>
      <c r="B35" s="64" t="s">
        <v>383</v>
      </c>
      <c r="C35" s="2" t="s">
        <v>92</v>
      </c>
      <c r="D35" s="2" t="s">
        <v>16</v>
      </c>
      <c r="E35" s="62" t="s">
        <v>457</v>
      </c>
      <c r="F35" s="63">
        <v>59674</v>
      </c>
      <c r="G35" s="63">
        <v>29068</v>
      </c>
      <c r="H35" s="63">
        <v>30606</v>
      </c>
      <c r="I35" s="63">
        <v>63555</v>
      </c>
      <c r="J35" s="68">
        <v>-3881</v>
      </c>
      <c r="K35" s="65">
        <v>-6.1065199999999997</v>
      </c>
      <c r="L35" s="66">
        <v>577.83000000000004</v>
      </c>
      <c r="M35" s="67">
        <v>103.3</v>
      </c>
      <c r="N35" s="74">
        <v>50.863959999999999</v>
      </c>
      <c r="O35" s="74">
        <v>53.587629999999997</v>
      </c>
      <c r="P35" s="63">
        <v>6599</v>
      </c>
      <c r="Q35" s="63">
        <v>32667</v>
      </c>
      <c r="R35" s="63">
        <v>20408</v>
      </c>
      <c r="S35" s="74">
        <v>11.05842</v>
      </c>
      <c r="T35" s="74">
        <v>54.742429999999999</v>
      </c>
      <c r="U35" s="74">
        <v>34.199150000000003</v>
      </c>
      <c r="V35" s="63">
        <v>3340</v>
      </c>
      <c r="W35" s="63">
        <v>16754</v>
      </c>
      <c r="X35" s="63">
        <v>8974</v>
      </c>
      <c r="Y35" s="74">
        <v>11.4903</v>
      </c>
      <c r="Z35" s="74">
        <v>57.637259999999998</v>
      </c>
      <c r="AA35" s="74">
        <v>30.872440000000001</v>
      </c>
      <c r="AB35" s="63">
        <v>3259</v>
      </c>
      <c r="AC35" s="63">
        <v>15913</v>
      </c>
      <c r="AD35" s="63">
        <v>11434</v>
      </c>
      <c r="AE35" s="74">
        <v>10.648239999999999</v>
      </c>
      <c r="AF35" s="74">
        <v>51.993070000000003</v>
      </c>
      <c r="AG35" s="74">
        <v>37.358690000000003</v>
      </c>
      <c r="AH35" s="74">
        <v>94.97484</v>
      </c>
      <c r="AI35" s="63">
        <v>59137</v>
      </c>
      <c r="AJ35" s="63">
        <v>537</v>
      </c>
      <c r="AK35" s="63">
        <v>23922</v>
      </c>
      <c r="AL35" s="63">
        <v>23872</v>
      </c>
      <c r="AM35" s="63">
        <v>50</v>
      </c>
      <c r="AN35" s="63">
        <v>24038</v>
      </c>
      <c r="AO35" s="63">
        <v>23872</v>
      </c>
      <c r="AP35" s="63">
        <v>14258</v>
      </c>
      <c r="AQ35" s="63">
        <v>5485</v>
      </c>
      <c r="AR35" s="63">
        <v>6185</v>
      </c>
      <c r="AS35" s="63">
        <v>422</v>
      </c>
      <c r="AT35" s="63">
        <v>2166</v>
      </c>
      <c r="AU35" s="63">
        <v>6706</v>
      </c>
      <c r="AV35" s="63">
        <v>3665</v>
      </c>
      <c r="AW35" s="63">
        <v>3586</v>
      </c>
      <c r="AX35" s="63">
        <v>1740</v>
      </c>
    </row>
    <row r="36" spans="1:50" x14ac:dyDescent="0.55000000000000004">
      <c r="A36" s="73">
        <v>35</v>
      </c>
      <c r="B36" s="64" t="s">
        <v>429</v>
      </c>
      <c r="C36" s="2" t="s">
        <v>119</v>
      </c>
      <c r="D36" s="2" t="s">
        <v>17</v>
      </c>
      <c r="E36" s="62" t="s">
        <v>503</v>
      </c>
      <c r="F36" s="63">
        <v>7979</v>
      </c>
      <c r="G36" s="63">
        <v>3966</v>
      </c>
      <c r="H36" s="63">
        <v>4013</v>
      </c>
      <c r="I36" s="63">
        <v>8519</v>
      </c>
      <c r="J36" s="68">
        <v>-540</v>
      </c>
      <c r="K36" s="65">
        <v>-6.3387700000000002</v>
      </c>
      <c r="L36" s="66">
        <v>49.36</v>
      </c>
      <c r="M36" s="67">
        <v>161.6</v>
      </c>
      <c r="N36" s="74">
        <v>50.857190000000003</v>
      </c>
      <c r="O36" s="74">
        <v>54.021549999999998</v>
      </c>
      <c r="P36" s="63">
        <v>847</v>
      </c>
      <c r="Q36" s="63">
        <v>4416</v>
      </c>
      <c r="R36" s="63">
        <v>2716</v>
      </c>
      <c r="S36" s="74">
        <v>10.61537</v>
      </c>
      <c r="T36" s="74">
        <v>55.345280000000002</v>
      </c>
      <c r="U36" s="74">
        <v>34.039349999999999</v>
      </c>
      <c r="V36" s="63">
        <v>419</v>
      </c>
      <c r="W36" s="63">
        <v>2289</v>
      </c>
      <c r="X36" s="63">
        <v>1258</v>
      </c>
      <c r="Y36" s="74">
        <v>10.5648</v>
      </c>
      <c r="Z36" s="74">
        <v>57.715580000000003</v>
      </c>
      <c r="AA36" s="74">
        <v>31.719619999999999</v>
      </c>
      <c r="AB36" s="63">
        <v>428</v>
      </c>
      <c r="AC36" s="63">
        <v>2127</v>
      </c>
      <c r="AD36" s="63">
        <v>1458</v>
      </c>
      <c r="AE36" s="74">
        <v>10.66534</v>
      </c>
      <c r="AF36" s="74">
        <v>53.002740000000003</v>
      </c>
      <c r="AG36" s="74">
        <v>36.331919999999997</v>
      </c>
      <c r="AH36" s="74">
        <v>98.828810000000004</v>
      </c>
      <c r="AI36" s="63">
        <v>7916</v>
      </c>
      <c r="AJ36" s="63">
        <v>63</v>
      </c>
      <c r="AK36" s="63">
        <v>3080</v>
      </c>
      <c r="AL36" s="63">
        <v>3076</v>
      </c>
      <c r="AM36" s="63">
        <v>4</v>
      </c>
      <c r="AN36" s="63">
        <v>3074</v>
      </c>
      <c r="AO36" s="63">
        <v>3076</v>
      </c>
      <c r="AP36" s="63">
        <v>1884</v>
      </c>
      <c r="AQ36" s="63">
        <v>741</v>
      </c>
      <c r="AR36" s="63">
        <v>823</v>
      </c>
      <c r="AS36" s="63">
        <v>65</v>
      </c>
      <c r="AT36" s="63">
        <v>255</v>
      </c>
      <c r="AU36" s="63">
        <v>791</v>
      </c>
      <c r="AV36" s="63">
        <v>391</v>
      </c>
      <c r="AW36" s="63">
        <v>500</v>
      </c>
      <c r="AX36" s="63">
        <v>252</v>
      </c>
    </row>
    <row r="37" spans="1:50" x14ac:dyDescent="0.55000000000000004">
      <c r="A37" s="73">
        <v>36</v>
      </c>
      <c r="B37" s="64" t="s">
        <v>421</v>
      </c>
      <c r="C37" s="2" t="s">
        <v>120</v>
      </c>
      <c r="D37" s="2" t="s">
        <v>33</v>
      </c>
      <c r="E37" s="62" t="s">
        <v>495</v>
      </c>
      <c r="F37" s="63">
        <v>11029</v>
      </c>
      <c r="G37" s="63">
        <v>5494</v>
      </c>
      <c r="H37" s="63">
        <v>5535</v>
      </c>
      <c r="I37" s="63">
        <v>11716</v>
      </c>
      <c r="J37" s="68">
        <v>-687</v>
      </c>
      <c r="K37" s="65">
        <v>-5.8637800000000002</v>
      </c>
      <c r="L37" s="66">
        <v>40.39</v>
      </c>
      <c r="M37" s="67">
        <v>273.10000000000002</v>
      </c>
      <c r="N37" s="74">
        <v>52.303879999999999</v>
      </c>
      <c r="O37" s="74">
        <v>55.610430000000001</v>
      </c>
      <c r="P37" s="63">
        <v>934</v>
      </c>
      <c r="Q37" s="63">
        <v>6098</v>
      </c>
      <c r="R37" s="63">
        <v>3997</v>
      </c>
      <c r="S37" s="74">
        <v>8.4685799999999993</v>
      </c>
      <c r="T37" s="74">
        <v>55.290599999999998</v>
      </c>
      <c r="U37" s="74">
        <v>36.240819999999999</v>
      </c>
      <c r="V37" s="63">
        <v>472</v>
      </c>
      <c r="W37" s="63">
        <v>3153</v>
      </c>
      <c r="X37" s="63">
        <v>1869</v>
      </c>
      <c r="Y37" s="74">
        <v>8.5911899999999992</v>
      </c>
      <c r="Z37" s="74">
        <v>57.389879999999998</v>
      </c>
      <c r="AA37" s="74">
        <v>34.018929999999997</v>
      </c>
      <c r="AB37" s="63">
        <v>462</v>
      </c>
      <c r="AC37" s="63">
        <v>2945</v>
      </c>
      <c r="AD37" s="63">
        <v>2128</v>
      </c>
      <c r="AE37" s="74">
        <v>8.3468800000000005</v>
      </c>
      <c r="AF37" s="74">
        <v>53.206870000000002</v>
      </c>
      <c r="AG37" s="74">
        <v>38.446249999999999</v>
      </c>
      <c r="AH37" s="74">
        <v>99.259259999999998</v>
      </c>
      <c r="AI37" s="63">
        <v>10904</v>
      </c>
      <c r="AJ37" s="63">
        <v>125</v>
      </c>
      <c r="AK37" s="63">
        <v>4587</v>
      </c>
      <c r="AL37" s="63">
        <v>4578</v>
      </c>
      <c r="AM37" s="63">
        <v>9</v>
      </c>
      <c r="AN37" s="63">
        <v>4527</v>
      </c>
      <c r="AO37" s="63">
        <v>4578</v>
      </c>
      <c r="AP37" s="63">
        <v>2855</v>
      </c>
      <c r="AQ37" s="63">
        <v>1177</v>
      </c>
      <c r="AR37" s="63">
        <v>1160</v>
      </c>
      <c r="AS37" s="63">
        <v>103</v>
      </c>
      <c r="AT37" s="63">
        <v>415</v>
      </c>
      <c r="AU37" s="63">
        <v>1238</v>
      </c>
      <c r="AV37" s="63">
        <v>625</v>
      </c>
      <c r="AW37" s="63">
        <v>801</v>
      </c>
      <c r="AX37" s="63">
        <v>268</v>
      </c>
    </row>
    <row r="38" spans="1:50" x14ac:dyDescent="0.55000000000000004">
      <c r="A38" s="73">
        <v>37</v>
      </c>
      <c r="B38" s="64" t="s">
        <v>420</v>
      </c>
      <c r="C38" s="2" t="s">
        <v>121</v>
      </c>
      <c r="D38" s="2" t="s">
        <v>35</v>
      </c>
      <c r="E38" s="62" t="s">
        <v>494</v>
      </c>
      <c r="F38" s="63">
        <v>35366</v>
      </c>
      <c r="G38" s="63">
        <v>17534</v>
      </c>
      <c r="H38" s="63">
        <v>17832</v>
      </c>
      <c r="I38" s="63">
        <v>37275</v>
      </c>
      <c r="J38" s="68">
        <v>-1909</v>
      </c>
      <c r="K38" s="65">
        <v>-5.1214000000000004</v>
      </c>
      <c r="L38" s="66">
        <v>34.07</v>
      </c>
      <c r="M38" s="67">
        <v>1038</v>
      </c>
      <c r="N38" s="74">
        <v>49.713909999999998</v>
      </c>
      <c r="O38" s="74">
        <v>51.34845</v>
      </c>
      <c r="P38" s="63">
        <v>2960</v>
      </c>
      <c r="Q38" s="63">
        <v>20716</v>
      </c>
      <c r="R38" s="63">
        <v>11690</v>
      </c>
      <c r="S38" s="74">
        <v>8.3696199999999994</v>
      </c>
      <c r="T38" s="74">
        <v>58.576030000000003</v>
      </c>
      <c r="U38" s="74">
        <v>33.054349999999999</v>
      </c>
      <c r="V38" s="63">
        <v>1520</v>
      </c>
      <c r="W38" s="63">
        <v>10659</v>
      </c>
      <c r="X38" s="63">
        <v>5355</v>
      </c>
      <c r="Y38" s="74">
        <v>8.6688700000000001</v>
      </c>
      <c r="Z38" s="74">
        <v>60.790460000000003</v>
      </c>
      <c r="AA38" s="74">
        <v>30.540659999999999</v>
      </c>
      <c r="AB38" s="63">
        <v>1440</v>
      </c>
      <c r="AC38" s="63">
        <v>10057</v>
      </c>
      <c r="AD38" s="63">
        <v>6335</v>
      </c>
      <c r="AE38" s="74">
        <v>8.0753699999999995</v>
      </c>
      <c r="AF38" s="74">
        <v>56.398609999999998</v>
      </c>
      <c r="AG38" s="74">
        <v>35.526020000000003</v>
      </c>
      <c r="AH38" s="74">
        <v>98.328850000000003</v>
      </c>
      <c r="AI38" s="63">
        <v>34819</v>
      </c>
      <c r="AJ38" s="63">
        <v>547</v>
      </c>
      <c r="AK38" s="63">
        <v>15764</v>
      </c>
      <c r="AL38" s="63">
        <v>15722</v>
      </c>
      <c r="AM38" s="63">
        <v>42</v>
      </c>
      <c r="AN38" s="63">
        <v>15566</v>
      </c>
      <c r="AO38" s="63">
        <v>15722</v>
      </c>
      <c r="AP38" s="63">
        <v>8196</v>
      </c>
      <c r="AQ38" s="63">
        <v>3173</v>
      </c>
      <c r="AR38" s="63">
        <v>3508</v>
      </c>
      <c r="AS38" s="63">
        <v>274</v>
      </c>
      <c r="AT38" s="63">
        <v>1241</v>
      </c>
      <c r="AU38" s="63">
        <v>6457</v>
      </c>
      <c r="AV38" s="63">
        <v>1913</v>
      </c>
      <c r="AW38" s="63">
        <v>2252</v>
      </c>
      <c r="AX38" s="63">
        <v>623</v>
      </c>
    </row>
    <row r="39" spans="1:50" x14ac:dyDescent="0.55000000000000004">
      <c r="A39" s="73">
        <v>38</v>
      </c>
      <c r="B39" s="64" t="s">
        <v>413</v>
      </c>
      <c r="C39" s="2" t="s">
        <v>122</v>
      </c>
      <c r="D39" s="2" t="s">
        <v>36</v>
      </c>
      <c r="E39" s="62" t="s">
        <v>487</v>
      </c>
      <c r="F39" s="63">
        <v>70117</v>
      </c>
      <c r="G39" s="63">
        <v>34585</v>
      </c>
      <c r="H39" s="63">
        <v>35532</v>
      </c>
      <c r="I39" s="63">
        <v>70255</v>
      </c>
      <c r="J39" s="68">
        <v>-138</v>
      </c>
      <c r="K39" s="65">
        <v>-0.19642999999999999</v>
      </c>
      <c r="L39" s="66">
        <v>17.649999999999999</v>
      </c>
      <c r="M39" s="67">
        <v>3972.6</v>
      </c>
      <c r="N39" s="74">
        <v>47.409840000000003</v>
      </c>
      <c r="O39" s="74">
        <v>48.464060000000003</v>
      </c>
      <c r="P39" s="63">
        <v>7872</v>
      </c>
      <c r="Q39" s="63">
        <v>41900</v>
      </c>
      <c r="R39" s="63">
        <v>20345</v>
      </c>
      <c r="S39" s="74">
        <v>11.22695</v>
      </c>
      <c r="T39" s="74">
        <v>59.757260000000002</v>
      </c>
      <c r="U39" s="74">
        <v>29.015789999999999</v>
      </c>
      <c r="V39" s="63">
        <v>3990</v>
      </c>
      <c r="W39" s="63">
        <v>21235</v>
      </c>
      <c r="X39" s="63">
        <v>9360</v>
      </c>
      <c r="Y39" s="74">
        <v>11.53679</v>
      </c>
      <c r="Z39" s="74">
        <v>61.399450000000002</v>
      </c>
      <c r="AA39" s="74">
        <v>27.063759999999998</v>
      </c>
      <c r="AB39" s="63">
        <v>3882</v>
      </c>
      <c r="AC39" s="63">
        <v>20665</v>
      </c>
      <c r="AD39" s="63">
        <v>10985</v>
      </c>
      <c r="AE39" s="74">
        <v>10.92536</v>
      </c>
      <c r="AF39" s="74">
        <v>58.158839999999998</v>
      </c>
      <c r="AG39" s="74">
        <v>30.915790000000001</v>
      </c>
      <c r="AH39" s="74">
        <v>97.334800000000001</v>
      </c>
      <c r="AI39" s="63">
        <v>68731</v>
      </c>
      <c r="AJ39" s="63">
        <v>1386</v>
      </c>
      <c r="AK39" s="63">
        <v>30537</v>
      </c>
      <c r="AL39" s="63">
        <v>30502</v>
      </c>
      <c r="AM39" s="63">
        <v>35</v>
      </c>
      <c r="AN39" s="63">
        <v>28658</v>
      </c>
      <c r="AO39" s="63">
        <v>30502</v>
      </c>
      <c r="AP39" s="63">
        <v>18786</v>
      </c>
      <c r="AQ39" s="63">
        <v>6887</v>
      </c>
      <c r="AR39" s="63">
        <v>8821</v>
      </c>
      <c r="AS39" s="63">
        <v>492</v>
      </c>
      <c r="AT39" s="63">
        <v>2586</v>
      </c>
      <c r="AU39" s="63">
        <v>10150</v>
      </c>
      <c r="AV39" s="63">
        <v>3421</v>
      </c>
      <c r="AW39" s="63">
        <v>4376</v>
      </c>
      <c r="AX39" s="63">
        <v>766</v>
      </c>
    </row>
    <row r="40" spans="1:50" x14ac:dyDescent="0.55000000000000004">
      <c r="A40" s="73">
        <v>39</v>
      </c>
      <c r="B40" s="64" t="s">
        <v>379</v>
      </c>
      <c r="C40" s="2" t="s">
        <v>123</v>
      </c>
      <c r="D40" s="2" t="s">
        <v>42</v>
      </c>
      <c r="E40" s="62" t="s">
        <v>453</v>
      </c>
      <c r="F40" s="63">
        <v>354571</v>
      </c>
      <c r="G40" s="63">
        <v>177480</v>
      </c>
      <c r="H40" s="63">
        <v>177091</v>
      </c>
      <c r="I40" s="63">
        <v>350745</v>
      </c>
      <c r="J40" s="68">
        <v>3826</v>
      </c>
      <c r="K40" s="65">
        <v>1.0908199999999999</v>
      </c>
      <c r="L40" s="66">
        <v>109.13</v>
      </c>
      <c r="M40" s="67">
        <v>3249.1</v>
      </c>
      <c r="N40" s="74">
        <v>47.119450000000001</v>
      </c>
      <c r="O40" s="74">
        <v>47.987650000000002</v>
      </c>
      <c r="P40" s="63">
        <v>41387</v>
      </c>
      <c r="Q40" s="63">
        <v>214009</v>
      </c>
      <c r="R40" s="63">
        <v>99175</v>
      </c>
      <c r="S40" s="74">
        <v>11.672420000000001</v>
      </c>
      <c r="T40" s="74">
        <v>60.35716</v>
      </c>
      <c r="U40" s="74">
        <v>27.970420000000001</v>
      </c>
      <c r="V40" s="63">
        <v>21206</v>
      </c>
      <c r="W40" s="63">
        <v>111195</v>
      </c>
      <c r="X40" s="63">
        <v>45079</v>
      </c>
      <c r="Y40" s="74">
        <v>11.94839</v>
      </c>
      <c r="Z40" s="74">
        <v>62.65213</v>
      </c>
      <c r="AA40" s="74">
        <v>25.399480000000001</v>
      </c>
      <c r="AB40" s="63">
        <v>20181</v>
      </c>
      <c r="AC40" s="63">
        <v>102814</v>
      </c>
      <c r="AD40" s="63">
        <v>54096</v>
      </c>
      <c r="AE40" s="74">
        <v>11.39584</v>
      </c>
      <c r="AF40" s="74">
        <v>58.057160000000003</v>
      </c>
      <c r="AG40" s="74">
        <v>30.54701</v>
      </c>
      <c r="AH40" s="74">
        <v>100.21966</v>
      </c>
      <c r="AI40" s="63">
        <v>345787</v>
      </c>
      <c r="AJ40" s="63">
        <v>8784</v>
      </c>
      <c r="AK40" s="63">
        <v>153376</v>
      </c>
      <c r="AL40" s="63">
        <v>153192</v>
      </c>
      <c r="AM40" s="63">
        <v>184</v>
      </c>
      <c r="AN40" s="63">
        <v>145715</v>
      </c>
      <c r="AO40" s="63">
        <v>153192</v>
      </c>
      <c r="AP40" s="63">
        <v>81129</v>
      </c>
      <c r="AQ40" s="63">
        <v>29370</v>
      </c>
      <c r="AR40" s="63">
        <v>39448</v>
      </c>
      <c r="AS40" s="63">
        <v>1961</v>
      </c>
      <c r="AT40" s="63">
        <v>10350</v>
      </c>
      <c r="AU40" s="63">
        <v>53291</v>
      </c>
      <c r="AV40" s="63">
        <v>14439</v>
      </c>
      <c r="AW40" s="63">
        <v>18055</v>
      </c>
      <c r="AX40" s="63">
        <v>4938</v>
      </c>
    </row>
    <row r="41" spans="1:50" x14ac:dyDescent="0.55000000000000004">
      <c r="A41" s="73">
        <v>40</v>
      </c>
      <c r="B41" s="64" t="s">
        <v>368</v>
      </c>
      <c r="C41" s="2" t="s">
        <v>124</v>
      </c>
      <c r="D41" s="2" t="s">
        <v>80</v>
      </c>
      <c r="E41" s="62" t="s">
        <v>443</v>
      </c>
      <c r="F41" s="63">
        <v>93499</v>
      </c>
      <c r="G41" s="63">
        <v>45843</v>
      </c>
      <c r="H41" s="63">
        <v>47656</v>
      </c>
      <c r="I41" s="63">
        <v>87146</v>
      </c>
      <c r="J41" s="68">
        <v>6353</v>
      </c>
      <c r="K41" s="65">
        <v>7.2900600000000004</v>
      </c>
      <c r="L41" s="66">
        <v>29.12</v>
      </c>
      <c r="M41" s="67">
        <v>3210.8</v>
      </c>
      <c r="N41" s="74">
        <v>46.567050000000002</v>
      </c>
      <c r="O41" s="74">
        <v>46.870579999999997</v>
      </c>
      <c r="P41" s="63">
        <v>12027</v>
      </c>
      <c r="Q41" s="63">
        <v>55420</v>
      </c>
      <c r="R41" s="63">
        <v>26052</v>
      </c>
      <c r="S41" s="74">
        <v>12.863239999999999</v>
      </c>
      <c r="T41" s="74">
        <v>59.273359999999997</v>
      </c>
      <c r="U41" s="74">
        <v>27.863399999999999</v>
      </c>
      <c r="V41" s="63">
        <v>6111</v>
      </c>
      <c r="W41" s="63">
        <v>28391</v>
      </c>
      <c r="X41" s="63">
        <v>11341</v>
      </c>
      <c r="Y41" s="74">
        <v>13.33028</v>
      </c>
      <c r="Z41" s="74">
        <v>61.93094</v>
      </c>
      <c r="AA41" s="74">
        <v>24.738779999999998</v>
      </c>
      <c r="AB41" s="63">
        <v>5916</v>
      </c>
      <c r="AC41" s="63">
        <v>27029</v>
      </c>
      <c r="AD41" s="63">
        <v>14711</v>
      </c>
      <c r="AE41" s="74">
        <v>12.413970000000001</v>
      </c>
      <c r="AF41" s="74">
        <v>56.716889999999999</v>
      </c>
      <c r="AG41" s="74">
        <v>30.869150000000001</v>
      </c>
      <c r="AH41" s="74">
        <v>96.195650000000001</v>
      </c>
      <c r="AI41" s="63">
        <v>92456</v>
      </c>
      <c r="AJ41" s="63">
        <v>1043</v>
      </c>
      <c r="AK41" s="63">
        <v>38197</v>
      </c>
      <c r="AL41" s="63">
        <v>38130</v>
      </c>
      <c r="AM41" s="63">
        <v>67</v>
      </c>
      <c r="AN41" s="63">
        <v>33871</v>
      </c>
      <c r="AO41" s="63">
        <v>38130</v>
      </c>
      <c r="AP41" s="63">
        <v>24273</v>
      </c>
      <c r="AQ41" s="63">
        <v>8334</v>
      </c>
      <c r="AR41" s="63">
        <v>12293</v>
      </c>
      <c r="AS41" s="63">
        <v>597</v>
      </c>
      <c r="AT41" s="63">
        <v>3049</v>
      </c>
      <c r="AU41" s="63">
        <v>11469</v>
      </c>
      <c r="AV41" s="63">
        <v>3910</v>
      </c>
      <c r="AW41" s="63">
        <v>4945</v>
      </c>
      <c r="AX41" s="63">
        <v>1204</v>
      </c>
    </row>
    <row r="42" spans="1:50" x14ac:dyDescent="0.55000000000000004">
      <c r="A42" s="73">
        <v>41</v>
      </c>
      <c r="B42" s="64" t="s">
        <v>369</v>
      </c>
      <c r="C42" s="2" t="s">
        <v>125</v>
      </c>
      <c r="D42" s="2" t="s">
        <v>81</v>
      </c>
      <c r="E42" s="62" t="s">
        <v>444</v>
      </c>
      <c r="F42" s="63">
        <v>149242</v>
      </c>
      <c r="G42" s="63">
        <v>73370</v>
      </c>
      <c r="H42" s="63">
        <v>75872</v>
      </c>
      <c r="I42" s="63">
        <v>143446</v>
      </c>
      <c r="J42" s="68">
        <v>5796</v>
      </c>
      <c r="K42" s="65">
        <v>4.04054</v>
      </c>
      <c r="L42" s="66">
        <v>16.86</v>
      </c>
      <c r="M42" s="67">
        <v>8851.7999999999993</v>
      </c>
      <c r="N42" s="74">
        <v>44.77008</v>
      </c>
      <c r="O42" s="74">
        <v>45.518740000000001</v>
      </c>
      <c r="P42" s="63">
        <v>18750</v>
      </c>
      <c r="Q42" s="63">
        <v>97543</v>
      </c>
      <c r="R42" s="63">
        <v>32949</v>
      </c>
      <c r="S42" s="74">
        <v>12.56349</v>
      </c>
      <c r="T42" s="74">
        <v>65.358949999999993</v>
      </c>
      <c r="U42" s="74">
        <v>22.077570000000001</v>
      </c>
      <c r="V42" s="63">
        <v>9641</v>
      </c>
      <c r="W42" s="63">
        <v>49320</v>
      </c>
      <c r="X42" s="63">
        <v>14409</v>
      </c>
      <c r="Y42" s="74">
        <v>13.14025</v>
      </c>
      <c r="Z42" s="74">
        <v>67.220929999999996</v>
      </c>
      <c r="AA42" s="74">
        <v>19.638819999999999</v>
      </c>
      <c r="AB42" s="63">
        <v>9109</v>
      </c>
      <c r="AC42" s="63">
        <v>48223</v>
      </c>
      <c r="AD42" s="63">
        <v>18540</v>
      </c>
      <c r="AE42" s="74">
        <v>12.005750000000001</v>
      </c>
      <c r="AF42" s="74">
        <v>63.55836</v>
      </c>
      <c r="AG42" s="74">
        <v>24.435890000000001</v>
      </c>
      <c r="AH42" s="74">
        <v>96.702340000000007</v>
      </c>
      <c r="AI42" s="63">
        <v>146305</v>
      </c>
      <c r="AJ42" s="63">
        <v>2937</v>
      </c>
      <c r="AK42" s="63">
        <v>66563</v>
      </c>
      <c r="AL42" s="63">
        <v>66401</v>
      </c>
      <c r="AM42" s="63">
        <v>162</v>
      </c>
      <c r="AN42" s="63">
        <v>61756</v>
      </c>
      <c r="AO42" s="63">
        <v>66401</v>
      </c>
      <c r="AP42" s="63">
        <v>37814</v>
      </c>
      <c r="AQ42" s="63">
        <v>12401</v>
      </c>
      <c r="AR42" s="63">
        <v>19912</v>
      </c>
      <c r="AS42" s="63">
        <v>842</v>
      </c>
      <c r="AT42" s="63">
        <v>4659</v>
      </c>
      <c r="AU42" s="63">
        <v>25429</v>
      </c>
      <c r="AV42" s="63">
        <v>6106</v>
      </c>
      <c r="AW42" s="63">
        <v>5981</v>
      </c>
      <c r="AX42" s="63">
        <v>1467</v>
      </c>
    </row>
    <row r="43" spans="1:50" x14ac:dyDescent="0.55000000000000004">
      <c r="A43" s="73">
        <v>42</v>
      </c>
      <c r="B43" s="64" t="s">
        <v>371</v>
      </c>
      <c r="C43" s="2" t="s">
        <v>126</v>
      </c>
      <c r="D43" s="2" t="s">
        <v>82</v>
      </c>
      <c r="E43" s="62" t="s">
        <v>446</v>
      </c>
      <c r="F43" s="63">
        <v>165049</v>
      </c>
      <c r="G43" s="63">
        <v>80749</v>
      </c>
      <c r="H43" s="63">
        <v>84300</v>
      </c>
      <c r="I43" s="63">
        <v>161960</v>
      </c>
      <c r="J43" s="68">
        <v>3089</v>
      </c>
      <c r="K43" s="65">
        <v>1.90726</v>
      </c>
      <c r="L43" s="66">
        <v>30.69</v>
      </c>
      <c r="M43" s="67">
        <v>5377.9</v>
      </c>
      <c r="N43" s="74">
        <v>47.171289999999999</v>
      </c>
      <c r="O43" s="74">
        <v>48.086370000000002</v>
      </c>
      <c r="P43" s="63">
        <v>19820</v>
      </c>
      <c r="Q43" s="63">
        <v>99648</v>
      </c>
      <c r="R43" s="63">
        <v>45581</v>
      </c>
      <c r="S43" s="74">
        <v>12.008559999999999</v>
      </c>
      <c r="T43" s="74">
        <v>60.3748</v>
      </c>
      <c r="U43" s="74">
        <v>27.61665</v>
      </c>
      <c r="V43" s="63">
        <v>10188</v>
      </c>
      <c r="W43" s="63">
        <v>50539</v>
      </c>
      <c r="X43" s="63">
        <v>20022</v>
      </c>
      <c r="Y43" s="74">
        <v>12.61687</v>
      </c>
      <c r="Z43" s="74">
        <v>62.587769999999999</v>
      </c>
      <c r="AA43" s="74">
        <v>24.795349999999999</v>
      </c>
      <c r="AB43" s="63">
        <v>9632</v>
      </c>
      <c r="AC43" s="63">
        <v>49109</v>
      </c>
      <c r="AD43" s="63">
        <v>25559</v>
      </c>
      <c r="AE43" s="74">
        <v>11.42586</v>
      </c>
      <c r="AF43" s="74">
        <v>58.255040000000001</v>
      </c>
      <c r="AG43" s="74">
        <v>30.319099999999999</v>
      </c>
      <c r="AH43" s="74">
        <v>95.787660000000002</v>
      </c>
      <c r="AI43" s="63">
        <v>161968</v>
      </c>
      <c r="AJ43" s="63">
        <v>3081</v>
      </c>
      <c r="AK43" s="63">
        <v>70603</v>
      </c>
      <c r="AL43" s="63">
        <v>70469</v>
      </c>
      <c r="AM43" s="63">
        <v>134</v>
      </c>
      <c r="AN43" s="63">
        <v>65666</v>
      </c>
      <c r="AO43" s="63">
        <v>70469</v>
      </c>
      <c r="AP43" s="63">
        <v>42731</v>
      </c>
      <c r="AQ43" s="63">
        <v>14713</v>
      </c>
      <c r="AR43" s="63">
        <v>21328</v>
      </c>
      <c r="AS43" s="63">
        <v>1089</v>
      </c>
      <c r="AT43" s="63">
        <v>5601</v>
      </c>
      <c r="AU43" s="63">
        <v>23790</v>
      </c>
      <c r="AV43" s="63">
        <v>7506</v>
      </c>
      <c r="AW43" s="63">
        <v>8851</v>
      </c>
      <c r="AX43" s="63">
        <v>1856</v>
      </c>
    </row>
    <row r="44" spans="1:50" x14ac:dyDescent="0.55000000000000004">
      <c r="A44" s="73">
        <v>43</v>
      </c>
      <c r="B44" s="64" t="s">
        <v>378</v>
      </c>
      <c r="C44" s="2" t="s">
        <v>127</v>
      </c>
      <c r="D44" s="2" t="s">
        <v>83</v>
      </c>
      <c r="E44" s="62" t="s">
        <v>452</v>
      </c>
      <c r="F44" s="63">
        <v>111815</v>
      </c>
      <c r="G44" s="63">
        <v>55579</v>
      </c>
      <c r="H44" s="63">
        <v>56236</v>
      </c>
      <c r="I44" s="63">
        <v>109801</v>
      </c>
      <c r="J44" s="68">
        <v>2014</v>
      </c>
      <c r="K44" s="65">
        <v>1.83423</v>
      </c>
      <c r="L44" s="66">
        <v>49.17</v>
      </c>
      <c r="M44" s="67">
        <v>2274</v>
      </c>
      <c r="N44" s="74">
        <v>48.752879999999998</v>
      </c>
      <c r="O44" s="74">
        <v>49.71622</v>
      </c>
      <c r="P44" s="63">
        <v>12647</v>
      </c>
      <c r="Q44" s="63">
        <v>64241</v>
      </c>
      <c r="R44" s="63">
        <v>34927</v>
      </c>
      <c r="S44" s="74">
        <v>11.310650000000001</v>
      </c>
      <c r="T44" s="74">
        <v>57.452939999999998</v>
      </c>
      <c r="U44" s="74">
        <v>31.236419999999999</v>
      </c>
      <c r="V44" s="63">
        <v>6523</v>
      </c>
      <c r="W44" s="63">
        <v>33471</v>
      </c>
      <c r="X44" s="63">
        <v>15585</v>
      </c>
      <c r="Y44" s="74">
        <v>11.73645</v>
      </c>
      <c r="Z44" s="74">
        <v>60.222389999999997</v>
      </c>
      <c r="AA44" s="74">
        <v>28.041170000000001</v>
      </c>
      <c r="AB44" s="63">
        <v>6124</v>
      </c>
      <c r="AC44" s="63">
        <v>30770</v>
      </c>
      <c r="AD44" s="63">
        <v>19342</v>
      </c>
      <c r="AE44" s="74">
        <v>10.88982</v>
      </c>
      <c r="AF44" s="74">
        <v>54.71584</v>
      </c>
      <c r="AG44" s="74">
        <v>34.39434</v>
      </c>
      <c r="AH44" s="74">
        <v>98.831710000000001</v>
      </c>
      <c r="AI44" s="63">
        <v>109664</v>
      </c>
      <c r="AJ44" s="63">
        <v>2151</v>
      </c>
      <c r="AK44" s="63">
        <v>46364</v>
      </c>
      <c r="AL44" s="63">
        <v>46224</v>
      </c>
      <c r="AM44" s="63">
        <v>140</v>
      </c>
      <c r="AN44" s="63">
        <v>42942</v>
      </c>
      <c r="AO44" s="63">
        <v>46224</v>
      </c>
      <c r="AP44" s="63">
        <v>28026</v>
      </c>
      <c r="AQ44" s="63">
        <v>9864</v>
      </c>
      <c r="AR44" s="63">
        <v>13484</v>
      </c>
      <c r="AS44" s="63">
        <v>860</v>
      </c>
      <c r="AT44" s="63">
        <v>3818</v>
      </c>
      <c r="AU44" s="63">
        <v>14320</v>
      </c>
      <c r="AV44" s="63">
        <v>5409</v>
      </c>
      <c r="AW44" s="63">
        <v>6356</v>
      </c>
      <c r="AX44" s="63">
        <v>2172</v>
      </c>
    </row>
    <row r="45" spans="1:50" x14ac:dyDescent="0.55000000000000004">
      <c r="A45" s="73">
        <v>44</v>
      </c>
      <c r="B45" s="64" t="s">
        <v>389</v>
      </c>
      <c r="C45" s="2" t="s">
        <v>128</v>
      </c>
      <c r="D45" s="2" t="s">
        <v>54</v>
      </c>
      <c r="E45" s="62" t="s">
        <v>463</v>
      </c>
      <c r="F45" s="63">
        <v>229792</v>
      </c>
      <c r="G45" s="63">
        <v>113467</v>
      </c>
      <c r="H45" s="63">
        <v>116325</v>
      </c>
      <c r="I45" s="63">
        <v>232709</v>
      </c>
      <c r="J45" s="68">
        <v>-2917</v>
      </c>
      <c r="K45" s="65">
        <v>-1.2535000000000001</v>
      </c>
      <c r="L45" s="66">
        <v>66</v>
      </c>
      <c r="M45" s="67">
        <v>3481.7</v>
      </c>
      <c r="N45" s="74">
        <v>49.700560000000003</v>
      </c>
      <c r="O45" s="74">
        <v>51.229419999999998</v>
      </c>
      <c r="P45" s="63">
        <v>23640</v>
      </c>
      <c r="Q45" s="63">
        <v>131497</v>
      </c>
      <c r="R45" s="63">
        <v>74655</v>
      </c>
      <c r="S45" s="74">
        <v>10.287559999999999</v>
      </c>
      <c r="T45" s="74">
        <v>57.224359999999997</v>
      </c>
      <c r="U45" s="74">
        <v>32.488079999999997</v>
      </c>
      <c r="V45" s="63">
        <v>12192</v>
      </c>
      <c r="W45" s="63">
        <v>67279</v>
      </c>
      <c r="X45" s="63">
        <v>33996</v>
      </c>
      <c r="Y45" s="74">
        <v>10.74497</v>
      </c>
      <c r="Z45" s="74">
        <v>59.293889999999998</v>
      </c>
      <c r="AA45" s="74">
        <v>29.961130000000001</v>
      </c>
      <c r="AB45" s="63">
        <v>11448</v>
      </c>
      <c r="AC45" s="63">
        <v>64218</v>
      </c>
      <c r="AD45" s="63">
        <v>40659</v>
      </c>
      <c r="AE45" s="74">
        <v>9.8413900000000005</v>
      </c>
      <c r="AF45" s="74">
        <v>55.205669999999998</v>
      </c>
      <c r="AG45" s="74">
        <v>34.952930000000002</v>
      </c>
      <c r="AH45" s="74">
        <v>97.543090000000007</v>
      </c>
      <c r="AI45" s="63">
        <v>226296</v>
      </c>
      <c r="AJ45" s="63">
        <v>3496</v>
      </c>
      <c r="AK45" s="63">
        <v>97638</v>
      </c>
      <c r="AL45" s="63">
        <v>97528</v>
      </c>
      <c r="AM45" s="63">
        <v>110</v>
      </c>
      <c r="AN45" s="63">
        <v>94463</v>
      </c>
      <c r="AO45" s="63">
        <v>97528</v>
      </c>
      <c r="AP45" s="63">
        <v>56256</v>
      </c>
      <c r="AQ45" s="63">
        <v>21193</v>
      </c>
      <c r="AR45" s="63">
        <v>25566</v>
      </c>
      <c r="AS45" s="63">
        <v>1543</v>
      </c>
      <c r="AT45" s="63">
        <v>7954</v>
      </c>
      <c r="AU45" s="63">
        <v>29463</v>
      </c>
      <c r="AV45" s="63">
        <v>11361</v>
      </c>
      <c r="AW45" s="63">
        <v>14028</v>
      </c>
      <c r="AX45" s="63">
        <v>3341</v>
      </c>
    </row>
    <row r="46" spans="1:50" x14ac:dyDescent="0.55000000000000004">
      <c r="A46" s="73">
        <v>45</v>
      </c>
      <c r="B46" s="64" t="s">
        <v>440</v>
      </c>
      <c r="C46" s="2" t="s">
        <v>129</v>
      </c>
      <c r="D46" s="2" t="s">
        <v>56</v>
      </c>
      <c r="E46" s="62" t="s">
        <v>514</v>
      </c>
      <c r="F46" s="63">
        <v>28266</v>
      </c>
      <c r="G46" s="63">
        <v>14208</v>
      </c>
      <c r="H46" s="63">
        <v>14058</v>
      </c>
      <c r="I46" s="63">
        <v>30061</v>
      </c>
      <c r="J46" s="68">
        <v>-1795</v>
      </c>
      <c r="K46" s="65">
        <v>-5.97119</v>
      </c>
      <c r="L46" s="66">
        <v>16.2</v>
      </c>
      <c r="M46" s="67">
        <v>1744.8</v>
      </c>
      <c r="N46" s="74">
        <v>48.458150000000003</v>
      </c>
      <c r="O46" s="74">
        <v>50.20796</v>
      </c>
      <c r="P46" s="63">
        <v>3069</v>
      </c>
      <c r="Q46" s="63">
        <v>16790</v>
      </c>
      <c r="R46" s="63">
        <v>8407</v>
      </c>
      <c r="S46" s="74">
        <v>10.857570000000001</v>
      </c>
      <c r="T46" s="74">
        <v>59.399990000000003</v>
      </c>
      <c r="U46" s="74">
        <v>29.742450000000002</v>
      </c>
      <c r="V46" s="63">
        <v>1605</v>
      </c>
      <c r="W46" s="63">
        <v>8715</v>
      </c>
      <c r="X46" s="63">
        <v>3888</v>
      </c>
      <c r="Y46" s="74">
        <v>11.29645</v>
      </c>
      <c r="Z46" s="74">
        <v>61.338679999999997</v>
      </c>
      <c r="AA46" s="74">
        <v>27.36486</v>
      </c>
      <c r="AB46" s="63">
        <v>1464</v>
      </c>
      <c r="AC46" s="63">
        <v>8075</v>
      </c>
      <c r="AD46" s="63">
        <v>4519</v>
      </c>
      <c r="AE46" s="74">
        <v>10.414</v>
      </c>
      <c r="AF46" s="74">
        <v>57.440600000000003</v>
      </c>
      <c r="AG46" s="74">
        <v>32.145400000000002</v>
      </c>
      <c r="AH46" s="74">
        <v>101.06701</v>
      </c>
      <c r="AI46" s="63">
        <v>27939</v>
      </c>
      <c r="AJ46" s="63">
        <v>327</v>
      </c>
      <c r="AK46" s="63">
        <v>10740</v>
      </c>
      <c r="AL46" s="63">
        <v>10728</v>
      </c>
      <c r="AM46" s="63">
        <v>12</v>
      </c>
      <c r="AN46" s="63">
        <v>10702</v>
      </c>
      <c r="AO46" s="63">
        <v>10728</v>
      </c>
      <c r="AP46" s="63">
        <v>7171</v>
      </c>
      <c r="AQ46" s="63">
        <v>2415</v>
      </c>
      <c r="AR46" s="63">
        <v>3558</v>
      </c>
      <c r="AS46" s="63">
        <v>236</v>
      </c>
      <c r="AT46" s="63">
        <v>962</v>
      </c>
      <c r="AU46" s="63">
        <v>2452</v>
      </c>
      <c r="AV46" s="63">
        <v>1126</v>
      </c>
      <c r="AW46" s="63">
        <v>1600</v>
      </c>
      <c r="AX46" s="63">
        <v>676</v>
      </c>
    </row>
    <row r="47" spans="1:50" x14ac:dyDescent="0.55000000000000004">
      <c r="A47" s="73">
        <v>46</v>
      </c>
      <c r="B47" s="64" t="s">
        <v>432</v>
      </c>
      <c r="C47" s="2" t="s">
        <v>130</v>
      </c>
      <c r="D47" s="2" t="s">
        <v>15</v>
      </c>
      <c r="E47" s="62" t="s">
        <v>506</v>
      </c>
      <c r="F47" s="63">
        <v>10928</v>
      </c>
      <c r="G47" s="63">
        <v>5382</v>
      </c>
      <c r="H47" s="63">
        <v>5546</v>
      </c>
      <c r="I47" s="63">
        <v>12117</v>
      </c>
      <c r="J47" s="68">
        <v>-1189</v>
      </c>
      <c r="K47" s="65">
        <v>-9.8126599999999993</v>
      </c>
      <c r="L47" s="66">
        <v>171.26</v>
      </c>
      <c r="M47" s="67">
        <v>63.8</v>
      </c>
      <c r="N47" s="74">
        <v>53.593159999999997</v>
      </c>
      <c r="O47" s="74">
        <v>57.964289999999998</v>
      </c>
      <c r="P47" s="63">
        <v>1040</v>
      </c>
      <c r="Q47" s="63">
        <v>5631</v>
      </c>
      <c r="R47" s="63">
        <v>4257</v>
      </c>
      <c r="S47" s="74">
        <v>9.5168400000000002</v>
      </c>
      <c r="T47" s="74">
        <v>51.528179999999999</v>
      </c>
      <c r="U47" s="74">
        <v>38.954979999999999</v>
      </c>
      <c r="V47" s="63">
        <v>530</v>
      </c>
      <c r="W47" s="63">
        <v>2925</v>
      </c>
      <c r="X47" s="63">
        <v>1927</v>
      </c>
      <c r="Y47" s="74">
        <v>9.8476400000000002</v>
      </c>
      <c r="Z47" s="74">
        <v>54.347830000000002</v>
      </c>
      <c r="AA47" s="74">
        <v>35.80453</v>
      </c>
      <c r="AB47" s="63">
        <v>510</v>
      </c>
      <c r="AC47" s="63">
        <v>2706</v>
      </c>
      <c r="AD47" s="63">
        <v>2330</v>
      </c>
      <c r="AE47" s="74">
        <v>9.1958199999999994</v>
      </c>
      <c r="AF47" s="74">
        <v>48.791919999999998</v>
      </c>
      <c r="AG47" s="74">
        <v>42.012259999999998</v>
      </c>
      <c r="AH47" s="74">
        <v>97.042910000000006</v>
      </c>
      <c r="AI47" s="63">
        <v>10828</v>
      </c>
      <c r="AJ47" s="63">
        <v>100</v>
      </c>
      <c r="AK47" s="63">
        <v>4170</v>
      </c>
      <c r="AL47" s="63">
        <v>4156</v>
      </c>
      <c r="AM47" s="63">
        <v>14</v>
      </c>
      <c r="AN47" s="63">
        <v>4363</v>
      </c>
      <c r="AO47" s="63">
        <v>4156</v>
      </c>
      <c r="AP47" s="63">
        <v>2430</v>
      </c>
      <c r="AQ47" s="63">
        <v>1007</v>
      </c>
      <c r="AR47" s="63">
        <v>1015</v>
      </c>
      <c r="AS47" s="63">
        <v>76</v>
      </c>
      <c r="AT47" s="63">
        <v>332</v>
      </c>
      <c r="AU47" s="63">
        <v>1046</v>
      </c>
      <c r="AV47" s="63">
        <v>668</v>
      </c>
      <c r="AW47" s="63">
        <v>712</v>
      </c>
      <c r="AX47" s="63">
        <v>425</v>
      </c>
    </row>
    <row r="48" spans="1:50" x14ac:dyDescent="0.55000000000000004">
      <c r="A48" s="73">
        <v>47</v>
      </c>
      <c r="B48" s="64" t="s">
        <v>385</v>
      </c>
      <c r="C48" s="2" t="s">
        <v>131</v>
      </c>
      <c r="D48" s="2" t="s">
        <v>40</v>
      </c>
      <c r="E48" s="62" t="s">
        <v>459</v>
      </c>
      <c r="F48" s="63">
        <v>80361</v>
      </c>
      <c r="G48" s="63">
        <v>40294</v>
      </c>
      <c r="H48" s="63">
        <v>40067</v>
      </c>
      <c r="I48" s="63">
        <v>80715</v>
      </c>
      <c r="J48" s="68">
        <v>-354</v>
      </c>
      <c r="K48" s="65">
        <v>-0.43858000000000003</v>
      </c>
      <c r="L48" s="66">
        <v>193.05</v>
      </c>
      <c r="M48" s="67">
        <v>416.3</v>
      </c>
      <c r="N48" s="74">
        <v>49.290480000000002</v>
      </c>
      <c r="O48" s="74">
        <v>51.227150000000002</v>
      </c>
      <c r="P48" s="63">
        <v>8452</v>
      </c>
      <c r="Q48" s="63">
        <v>46455</v>
      </c>
      <c r="R48" s="63">
        <v>25454</v>
      </c>
      <c r="S48" s="74">
        <v>10.51754</v>
      </c>
      <c r="T48" s="74">
        <v>57.80789</v>
      </c>
      <c r="U48" s="74">
        <v>31.674569999999999</v>
      </c>
      <c r="V48" s="63">
        <v>4378</v>
      </c>
      <c r="W48" s="63">
        <v>24138</v>
      </c>
      <c r="X48" s="63">
        <v>11778</v>
      </c>
      <c r="Y48" s="74">
        <v>10.86514</v>
      </c>
      <c r="Z48" s="74">
        <v>59.904699999999998</v>
      </c>
      <c r="AA48" s="74">
        <v>29.230160000000001</v>
      </c>
      <c r="AB48" s="63">
        <v>4074</v>
      </c>
      <c r="AC48" s="63">
        <v>22317</v>
      </c>
      <c r="AD48" s="63">
        <v>13676</v>
      </c>
      <c r="AE48" s="74">
        <v>10.16797</v>
      </c>
      <c r="AF48" s="74">
        <v>55.699199999999998</v>
      </c>
      <c r="AG48" s="74">
        <v>34.132829999999998</v>
      </c>
      <c r="AH48" s="74">
        <v>100.56655000000001</v>
      </c>
      <c r="AI48" s="63">
        <v>79359</v>
      </c>
      <c r="AJ48" s="63">
        <v>1002</v>
      </c>
      <c r="AK48" s="63">
        <v>33563</v>
      </c>
      <c r="AL48" s="63">
        <v>33516</v>
      </c>
      <c r="AM48" s="63">
        <v>47</v>
      </c>
      <c r="AN48" s="63">
        <v>31749</v>
      </c>
      <c r="AO48" s="63">
        <v>33516</v>
      </c>
      <c r="AP48" s="63">
        <v>20634</v>
      </c>
      <c r="AQ48" s="63">
        <v>7776</v>
      </c>
      <c r="AR48" s="63">
        <v>9562</v>
      </c>
      <c r="AS48" s="63">
        <v>589</v>
      </c>
      <c r="AT48" s="63">
        <v>2707</v>
      </c>
      <c r="AU48" s="63">
        <v>10376</v>
      </c>
      <c r="AV48" s="63">
        <v>4029</v>
      </c>
      <c r="AW48" s="63">
        <v>5007</v>
      </c>
      <c r="AX48" s="63">
        <v>1301</v>
      </c>
    </row>
    <row r="49" spans="1:50" x14ac:dyDescent="0.55000000000000004">
      <c r="A49" s="73">
        <v>48</v>
      </c>
      <c r="B49" s="64" t="s">
        <v>414</v>
      </c>
      <c r="C49" s="2" t="s">
        <v>132</v>
      </c>
      <c r="D49" s="2" t="s">
        <v>37</v>
      </c>
      <c r="E49" s="62" t="s">
        <v>488</v>
      </c>
      <c r="F49" s="63">
        <v>54571</v>
      </c>
      <c r="G49" s="63">
        <v>26953</v>
      </c>
      <c r="H49" s="63">
        <v>27618</v>
      </c>
      <c r="I49" s="63">
        <v>56520</v>
      </c>
      <c r="J49" s="68">
        <v>-1949</v>
      </c>
      <c r="K49" s="65">
        <v>-3.44834</v>
      </c>
      <c r="L49" s="66">
        <v>47.48</v>
      </c>
      <c r="M49" s="67">
        <v>1149.3</v>
      </c>
      <c r="N49" s="74">
        <v>49.289009999999998</v>
      </c>
      <c r="O49" s="74">
        <v>50.604219999999998</v>
      </c>
      <c r="P49" s="63">
        <v>6312</v>
      </c>
      <c r="Q49" s="63">
        <v>30139</v>
      </c>
      <c r="R49" s="63">
        <v>18120</v>
      </c>
      <c r="S49" s="74">
        <v>11.56658</v>
      </c>
      <c r="T49" s="74">
        <v>55.228969999999997</v>
      </c>
      <c r="U49" s="74">
        <v>33.204450000000001</v>
      </c>
      <c r="V49" s="63">
        <v>3173</v>
      </c>
      <c r="W49" s="63">
        <v>15398</v>
      </c>
      <c r="X49" s="63">
        <v>8382</v>
      </c>
      <c r="Y49" s="74">
        <v>11.77234</v>
      </c>
      <c r="Z49" s="74">
        <v>57.129080000000002</v>
      </c>
      <c r="AA49" s="74">
        <v>31.098579999999998</v>
      </c>
      <c r="AB49" s="63">
        <v>3139</v>
      </c>
      <c r="AC49" s="63">
        <v>14741</v>
      </c>
      <c r="AD49" s="63">
        <v>9738</v>
      </c>
      <c r="AE49" s="74">
        <v>11.365780000000001</v>
      </c>
      <c r="AF49" s="74">
        <v>53.374609999999997</v>
      </c>
      <c r="AG49" s="74">
        <v>35.259610000000002</v>
      </c>
      <c r="AH49" s="74">
        <v>97.592150000000004</v>
      </c>
      <c r="AI49" s="63">
        <v>53770</v>
      </c>
      <c r="AJ49" s="63">
        <v>801</v>
      </c>
      <c r="AK49" s="63">
        <v>22379</v>
      </c>
      <c r="AL49" s="63">
        <v>22351</v>
      </c>
      <c r="AM49" s="63">
        <v>28</v>
      </c>
      <c r="AN49" s="63">
        <v>22145</v>
      </c>
      <c r="AO49" s="63">
        <v>22351</v>
      </c>
      <c r="AP49" s="63">
        <v>14391</v>
      </c>
      <c r="AQ49" s="63">
        <v>5627</v>
      </c>
      <c r="AR49" s="63">
        <v>6535</v>
      </c>
      <c r="AS49" s="63">
        <v>416</v>
      </c>
      <c r="AT49" s="63">
        <v>1813</v>
      </c>
      <c r="AU49" s="63">
        <v>6175</v>
      </c>
      <c r="AV49" s="63">
        <v>2771</v>
      </c>
      <c r="AW49" s="63">
        <v>3919</v>
      </c>
      <c r="AX49" s="63">
        <v>1050</v>
      </c>
    </row>
    <row r="50" spans="1:50" x14ac:dyDescent="0.55000000000000004">
      <c r="A50" s="73">
        <v>49</v>
      </c>
      <c r="B50" s="64" t="s">
        <v>390</v>
      </c>
      <c r="C50" s="2" t="s">
        <v>133</v>
      </c>
      <c r="D50" s="2" t="s">
        <v>38</v>
      </c>
      <c r="E50" s="62" t="s">
        <v>464</v>
      </c>
      <c r="F50" s="63">
        <v>148699</v>
      </c>
      <c r="G50" s="63">
        <v>74178</v>
      </c>
      <c r="H50" s="63">
        <v>74521</v>
      </c>
      <c r="I50" s="63">
        <v>152405</v>
      </c>
      <c r="J50" s="68">
        <v>-3706</v>
      </c>
      <c r="K50" s="65">
        <v>-2.4316800000000001</v>
      </c>
      <c r="L50" s="66">
        <v>48.99</v>
      </c>
      <c r="M50" s="67">
        <v>3035.3</v>
      </c>
      <c r="N50" s="74">
        <v>49.414470000000001</v>
      </c>
      <c r="O50" s="74">
        <v>50.68994</v>
      </c>
      <c r="P50" s="63">
        <v>15501</v>
      </c>
      <c r="Q50" s="63">
        <v>85248</v>
      </c>
      <c r="R50" s="63">
        <v>47950</v>
      </c>
      <c r="S50" s="74">
        <v>10.42441</v>
      </c>
      <c r="T50" s="74">
        <v>57.329239999999999</v>
      </c>
      <c r="U50" s="74">
        <v>32.24635</v>
      </c>
      <c r="V50" s="63">
        <v>7927</v>
      </c>
      <c r="W50" s="63">
        <v>44445</v>
      </c>
      <c r="X50" s="63">
        <v>21806</v>
      </c>
      <c r="Y50" s="74">
        <v>10.68646</v>
      </c>
      <c r="Z50" s="74">
        <v>59.916690000000003</v>
      </c>
      <c r="AA50" s="74">
        <v>29.39686</v>
      </c>
      <c r="AB50" s="63">
        <v>7574</v>
      </c>
      <c r="AC50" s="63">
        <v>40803</v>
      </c>
      <c r="AD50" s="63">
        <v>26144</v>
      </c>
      <c r="AE50" s="74">
        <v>10.16358</v>
      </c>
      <c r="AF50" s="74">
        <v>54.753689999999999</v>
      </c>
      <c r="AG50" s="74">
        <v>35.082729999999998</v>
      </c>
      <c r="AH50" s="74">
        <v>99.539730000000006</v>
      </c>
      <c r="AI50" s="63">
        <v>146021</v>
      </c>
      <c r="AJ50" s="63">
        <v>2678</v>
      </c>
      <c r="AK50" s="63">
        <v>63776</v>
      </c>
      <c r="AL50" s="63">
        <v>63702</v>
      </c>
      <c r="AM50" s="63">
        <v>74</v>
      </c>
      <c r="AN50" s="63">
        <v>62028</v>
      </c>
      <c r="AO50" s="63">
        <v>63702</v>
      </c>
      <c r="AP50" s="63">
        <v>38691</v>
      </c>
      <c r="AQ50" s="63">
        <v>14829</v>
      </c>
      <c r="AR50" s="63">
        <v>17552</v>
      </c>
      <c r="AS50" s="63">
        <v>1050</v>
      </c>
      <c r="AT50" s="63">
        <v>5260</v>
      </c>
      <c r="AU50" s="63">
        <v>20726</v>
      </c>
      <c r="AV50" s="63">
        <v>8064</v>
      </c>
      <c r="AW50" s="63">
        <v>9845</v>
      </c>
      <c r="AX50" s="63">
        <v>2226</v>
      </c>
    </row>
    <row r="51" spans="1:50" x14ac:dyDescent="0.55000000000000004">
      <c r="A51" s="73">
        <v>50</v>
      </c>
      <c r="B51" s="64" t="s">
        <v>416</v>
      </c>
      <c r="C51" s="2" t="s">
        <v>134</v>
      </c>
      <c r="D51" s="2" t="s">
        <v>44</v>
      </c>
      <c r="E51" s="62" t="s">
        <v>490</v>
      </c>
      <c r="F51" s="63">
        <v>113597</v>
      </c>
      <c r="G51" s="63">
        <v>56085</v>
      </c>
      <c r="H51" s="63">
        <v>57512</v>
      </c>
      <c r="I51" s="63">
        <v>110970</v>
      </c>
      <c r="J51" s="68">
        <v>2627</v>
      </c>
      <c r="K51" s="65">
        <v>2.3673099999999998</v>
      </c>
      <c r="L51" s="66">
        <v>14.64</v>
      </c>
      <c r="M51" s="67">
        <v>7759.4</v>
      </c>
      <c r="N51" s="74">
        <v>46.36777</v>
      </c>
      <c r="O51" s="74">
        <v>47.266030000000001</v>
      </c>
      <c r="P51" s="63">
        <v>14383</v>
      </c>
      <c r="Q51" s="63">
        <v>69601</v>
      </c>
      <c r="R51" s="63">
        <v>29613</v>
      </c>
      <c r="S51" s="74">
        <v>12.661429999999999</v>
      </c>
      <c r="T51" s="74">
        <v>61.270099999999999</v>
      </c>
      <c r="U51" s="74">
        <v>26.068470000000001</v>
      </c>
      <c r="V51" s="63">
        <v>7278</v>
      </c>
      <c r="W51" s="63">
        <v>35848</v>
      </c>
      <c r="X51" s="63">
        <v>12959</v>
      </c>
      <c r="Y51" s="74">
        <v>12.97673</v>
      </c>
      <c r="Z51" s="74">
        <v>63.917270000000002</v>
      </c>
      <c r="AA51" s="74">
        <v>23.106000000000002</v>
      </c>
      <c r="AB51" s="63">
        <v>7105</v>
      </c>
      <c r="AC51" s="63">
        <v>33753</v>
      </c>
      <c r="AD51" s="63">
        <v>16654</v>
      </c>
      <c r="AE51" s="74">
        <v>12.35394</v>
      </c>
      <c r="AF51" s="74">
        <v>58.68862</v>
      </c>
      <c r="AG51" s="74">
        <v>28.957429999999999</v>
      </c>
      <c r="AH51" s="74">
        <v>97.518780000000007</v>
      </c>
      <c r="AI51" s="63">
        <v>110659</v>
      </c>
      <c r="AJ51" s="63">
        <v>2938</v>
      </c>
      <c r="AK51" s="63">
        <v>49395</v>
      </c>
      <c r="AL51" s="63">
        <v>49338</v>
      </c>
      <c r="AM51" s="63">
        <v>57</v>
      </c>
      <c r="AN51" s="63">
        <v>45806</v>
      </c>
      <c r="AO51" s="63">
        <v>49338</v>
      </c>
      <c r="AP51" s="63">
        <v>29185</v>
      </c>
      <c r="AQ51" s="63">
        <v>9769</v>
      </c>
      <c r="AR51" s="63">
        <v>14958</v>
      </c>
      <c r="AS51" s="63">
        <v>711</v>
      </c>
      <c r="AT51" s="63">
        <v>3747</v>
      </c>
      <c r="AU51" s="63">
        <v>17400</v>
      </c>
      <c r="AV51" s="63">
        <v>5960</v>
      </c>
      <c r="AW51" s="63">
        <v>5512</v>
      </c>
      <c r="AX51" s="63">
        <v>1324</v>
      </c>
    </row>
    <row r="52" spans="1:50" x14ac:dyDescent="0.55000000000000004">
      <c r="A52" s="73">
        <v>51</v>
      </c>
      <c r="B52" s="64" t="s">
        <v>408</v>
      </c>
      <c r="C52" s="2" t="s">
        <v>135</v>
      </c>
      <c r="D52" s="2" t="s">
        <v>77</v>
      </c>
      <c r="E52" s="62" t="s">
        <v>482</v>
      </c>
      <c r="F52" s="63">
        <v>111859</v>
      </c>
      <c r="G52" s="63">
        <v>54871</v>
      </c>
      <c r="H52" s="63">
        <v>56988</v>
      </c>
      <c r="I52" s="63">
        <v>108102</v>
      </c>
      <c r="J52" s="68">
        <v>3757</v>
      </c>
      <c r="K52" s="65">
        <v>3.4754200000000002</v>
      </c>
      <c r="L52" s="66">
        <v>19.77</v>
      </c>
      <c r="M52" s="67">
        <v>5658</v>
      </c>
      <c r="N52" s="74">
        <v>45.510860000000001</v>
      </c>
      <c r="O52" s="74">
        <v>46.16086</v>
      </c>
      <c r="P52" s="63">
        <v>13687</v>
      </c>
      <c r="Q52" s="63">
        <v>70507</v>
      </c>
      <c r="R52" s="63">
        <v>27665</v>
      </c>
      <c r="S52" s="74">
        <v>12.235939999999999</v>
      </c>
      <c r="T52" s="74">
        <v>63.032029999999999</v>
      </c>
      <c r="U52" s="74">
        <v>24.732030000000002</v>
      </c>
      <c r="V52" s="63">
        <v>7018</v>
      </c>
      <c r="W52" s="63">
        <v>35485</v>
      </c>
      <c r="X52" s="63">
        <v>12368</v>
      </c>
      <c r="Y52" s="74">
        <v>12.79</v>
      </c>
      <c r="Z52" s="74">
        <v>64.66986</v>
      </c>
      <c r="AA52" s="74">
        <v>22.540140000000001</v>
      </c>
      <c r="AB52" s="63">
        <v>6669</v>
      </c>
      <c r="AC52" s="63">
        <v>35022</v>
      </c>
      <c r="AD52" s="63">
        <v>15297</v>
      </c>
      <c r="AE52" s="74">
        <v>11.70246</v>
      </c>
      <c r="AF52" s="74">
        <v>61.455039999999997</v>
      </c>
      <c r="AG52" s="74">
        <v>26.842490000000002</v>
      </c>
      <c r="AH52" s="74">
        <v>96.285179999999997</v>
      </c>
      <c r="AI52" s="63">
        <v>109094</v>
      </c>
      <c r="AJ52" s="63">
        <v>2765</v>
      </c>
      <c r="AK52" s="63">
        <v>50979</v>
      </c>
      <c r="AL52" s="63">
        <v>50908</v>
      </c>
      <c r="AM52" s="63">
        <v>71</v>
      </c>
      <c r="AN52" s="63">
        <v>47169</v>
      </c>
      <c r="AO52" s="63">
        <v>50908</v>
      </c>
      <c r="AP52" s="63">
        <v>28090</v>
      </c>
      <c r="AQ52" s="63">
        <v>9616</v>
      </c>
      <c r="AR52" s="63">
        <v>13962</v>
      </c>
      <c r="AS52" s="63">
        <v>753</v>
      </c>
      <c r="AT52" s="63">
        <v>3759</v>
      </c>
      <c r="AU52" s="63">
        <v>20045</v>
      </c>
      <c r="AV52" s="63">
        <v>5256</v>
      </c>
      <c r="AW52" s="63">
        <v>5248</v>
      </c>
      <c r="AX52" s="63">
        <v>1339</v>
      </c>
    </row>
    <row r="53" spans="1:50" x14ac:dyDescent="0.55000000000000004">
      <c r="A53" s="73">
        <v>52</v>
      </c>
      <c r="B53" s="64" t="s">
        <v>372</v>
      </c>
      <c r="C53" s="2" t="s">
        <v>136</v>
      </c>
      <c r="D53" s="2" t="s">
        <v>84</v>
      </c>
      <c r="E53" s="62" t="s">
        <v>447</v>
      </c>
      <c r="F53" s="63">
        <v>103269</v>
      </c>
      <c r="G53" s="63">
        <v>51016</v>
      </c>
      <c r="H53" s="63">
        <v>52253</v>
      </c>
      <c r="I53" s="63">
        <v>98762</v>
      </c>
      <c r="J53" s="68">
        <v>4507</v>
      </c>
      <c r="K53" s="65">
        <v>4.5635000000000003</v>
      </c>
      <c r="L53" s="66">
        <v>8.39</v>
      </c>
      <c r="M53" s="67">
        <v>12308.6</v>
      </c>
      <c r="N53" s="74">
        <v>44.433729999999997</v>
      </c>
      <c r="O53" s="74">
        <v>44.942010000000003</v>
      </c>
      <c r="P53" s="63">
        <v>12679</v>
      </c>
      <c r="Q53" s="63">
        <v>68476</v>
      </c>
      <c r="R53" s="63">
        <v>22114</v>
      </c>
      <c r="S53" s="74">
        <v>12.27764</v>
      </c>
      <c r="T53" s="74">
        <v>66.30838</v>
      </c>
      <c r="U53" s="74">
        <v>21.413979999999999</v>
      </c>
      <c r="V53" s="63">
        <v>6594</v>
      </c>
      <c r="W53" s="63">
        <v>34617</v>
      </c>
      <c r="X53" s="63">
        <v>9805</v>
      </c>
      <c r="Y53" s="74">
        <v>12.92536</v>
      </c>
      <c r="Z53" s="74">
        <v>67.855180000000004</v>
      </c>
      <c r="AA53" s="74">
        <v>19.219460000000002</v>
      </c>
      <c r="AB53" s="63">
        <v>6085</v>
      </c>
      <c r="AC53" s="63">
        <v>33859</v>
      </c>
      <c r="AD53" s="63">
        <v>12309</v>
      </c>
      <c r="AE53" s="74">
        <v>11.64526</v>
      </c>
      <c r="AF53" s="74">
        <v>64.798190000000005</v>
      </c>
      <c r="AG53" s="74">
        <v>23.556539999999998</v>
      </c>
      <c r="AH53" s="74">
        <v>97.632670000000005</v>
      </c>
      <c r="AI53" s="63">
        <v>101370</v>
      </c>
      <c r="AJ53" s="63">
        <v>1899</v>
      </c>
      <c r="AK53" s="63">
        <v>47770</v>
      </c>
      <c r="AL53" s="63">
        <v>47649</v>
      </c>
      <c r="AM53" s="63">
        <v>121</v>
      </c>
      <c r="AN53" s="63">
        <v>42872</v>
      </c>
      <c r="AO53" s="63">
        <v>47649</v>
      </c>
      <c r="AP53" s="63">
        <v>26390</v>
      </c>
      <c r="AQ53" s="63">
        <v>9185</v>
      </c>
      <c r="AR53" s="63">
        <v>13586</v>
      </c>
      <c r="AS53" s="63">
        <v>530</v>
      </c>
      <c r="AT53" s="63">
        <v>3089</v>
      </c>
      <c r="AU53" s="63">
        <v>19180</v>
      </c>
      <c r="AV53" s="63">
        <v>4188</v>
      </c>
      <c r="AW53" s="63">
        <v>4260</v>
      </c>
      <c r="AX53" s="63">
        <v>825</v>
      </c>
    </row>
    <row r="54" spans="1:50" x14ac:dyDescent="0.55000000000000004">
      <c r="A54" s="73">
        <v>53</v>
      </c>
      <c r="B54" s="64" t="s">
        <v>370</v>
      </c>
      <c r="C54" s="2" t="s">
        <v>137</v>
      </c>
      <c r="D54" s="2" t="s">
        <v>85</v>
      </c>
      <c r="E54" s="62" t="s">
        <v>445</v>
      </c>
      <c r="F54" s="63">
        <v>117784</v>
      </c>
      <c r="G54" s="63">
        <v>58338</v>
      </c>
      <c r="H54" s="63">
        <v>59446</v>
      </c>
      <c r="I54" s="63">
        <v>113864</v>
      </c>
      <c r="J54" s="68">
        <v>3920</v>
      </c>
      <c r="K54" s="65">
        <v>3.4426999999999999</v>
      </c>
      <c r="L54" s="66">
        <v>12.8</v>
      </c>
      <c r="M54" s="67">
        <v>9201.9</v>
      </c>
      <c r="N54" s="74">
        <v>45.011870000000002</v>
      </c>
      <c r="O54" s="74">
        <v>45.140749999999997</v>
      </c>
      <c r="P54" s="63">
        <v>14278</v>
      </c>
      <c r="Q54" s="63">
        <v>76984</v>
      </c>
      <c r="R54" s="63">
        <v>26522</v>
      </c>
      <c r="S54" s="74">
        <v>12.12219</v>
      </c>
      <c r="T54" s="74">
        <v>65.360320000000002</v>
      </c>
      <c r="U54" s="74">
        <v>22.517489999999999</v>
      </c>
      <c r="V54" s="63">
        <v>7236</v>
      </c>
      <c r="W54" s="63">
        <v>39398</v>
      </c>
      <c r="X54" s="63">
        <v>11704</v>
      </c>
      <c r="Y54" s="74">
        <v>12.40358</v>
      </c>
      <c r="Z54" s="74">
        <v>67.534030000000001</v>
      </c>
      <c r="AA54" s="74">
        <v>20.0624</v>
      </c>
      <c r="AB54" s="63">
        <v>7042</v>
      </c>
      <c r="AC54" s="63">
        <v>37586</v>
      </c>
      <c r="AD54" s="63">
        <v>14818</v>
      </c>
      <c r="AE54" s="74">
        <v>11.84605</v>
      </c>
      <c r="AF54" s="74">
        <v>63.227130000000002</v>
      </c>
      <c r="AG54" s="74">
        <v>24.926819999999999</v>
      </c>
      <c r="AH54" s="74">
        <v>98.136120000000005</v>
      </c>
      <c r="AI54" s="63">
        <v>114927</v>
      </c>
      <c r="AJ54" s="63">
        <v>2857</v>
      </c>
      <c r="AK54" s="63">
        <v>55188</v>
      </c>
      <c r="AL54" s="63">
        <v>55087</v>
      </c>
      <c r="AM54" s="63">
        <v>101</v>
      </c>
      <c r="AN54" s="63">
        <v>53265</v>
      </c>
      <c r="AO54" s="63">
        <v>55087</v>
      </c>
      <c r="AP54" s="63">
        <v>29749</v>
      </c>
      <c r="AQ54" s="63">
        <v>10525</v>
      </c>
      <c r="AR54" s="63">
        <v>14862</v>
      </c>
      <c r="AS54" s="63">
        <v>571</v>
      </c>
      <c r="AT54" s="63">
        <v>3791</v>
      </c>
      <c r="AU54" s="63">
        <v>22484</v>
      </c>
      <c r="AV54" s="63">
        <v>5393</v>
      </c>
      <c r="AW54" s="63">
        <v>5106</v>
      </c>
      <c r="AX54" s="63">
        <v>1083</v>
      </c>
    </row>
    <row r="55" spans="1:50" x14ac:dyDescent="0.55000000000000004">
      <c r="A55" s="73">
        <v>54</v>
      </c>
      <c r="B55" s="64" t="s">
        <v>374</v>
      </c>
      <c r="C55" s="2" t="s">
        <v>87</v>
      </c>
      <c r="D55" s="2" t="s">
        <v>86</v>
      </c>
      <c r="E55" s="62" t="s">
        <v>449</v>
      </c>
      <c r="F55" s="63">
        <v>164822</v>
      </c>
      <c r="G55" s="63">
        <v>79554</v>
      </c>
      <c r="H55" s="63">
        <v>85268</v>
      </c>
      <c r="I55" s="63">
        <v>154416</v>
      </c>
      <c r="J55" s="68">
        <v>10406</v>
      </c>
      <c r="K55" s="65">
        <v>6.7389400000000004</v>
      </c>
      <c r="L55" s="66">
        <v>11.51</v>
      </c>
      <c r="M55" s="67">
        <v>14319.9</v>
      </c>
      <c r="N55" s="74">
        <v>44.046489999999999</v>
      </c>
      <c r="O55" s="74">
        <v>44.625549999999997</v>
      </c>
      <c r="P55" s="63">
        <v>22570</v>
      </c>
      <c r="Q55" s="63">
        <v>108123</v>
      </c>
      <c r="R55" s="63">
        <v>34129</v>
      </c>
      <c r="S55" s="74">
        <v>13.69356</v>
      </c>
      <c r="T55" s="74">
        <v>65.599860000000007</v>
      </c>
      <c r="U55" s="74">
        <v>20.706579999999999</v>
      </c>
      <c r="V55" s="63">
        <v>11435</v>
      </c>
      <c r="W55" s="63">
        <v>53268</v>
      </c>
      <c r="X55" s="63">
        <v>14851</v>
      </c>
      <c r="Y55" s="74">
        <v>14.37388</v>
      </c>
      <c r="Z55" s="74">
        <v>66.958290000000005</v>
      </c>
      <c r="AA55" s="74">
        <v>18.667819999999999</v>
      </c>
      <c r="AB55" s="63">
        <v>11135</v>
      </c>
      <c r="AC55" s="63">
        <v>54855</v>
      </c>
      <c r="AD55" s="63">
        <v>19278</v>
      </c>
      <c r="AE55" s="74">
        <v>13.05883</v>
      </c>
      <c r="AF55" s="74">
        <v>64.332459999999998</v>
      </c>
      <c r="AG55" s="74">
        <v>22.608720000000002</v>
      </c>
      <c r="AH55" s="74">
        <v>93.298779999999994</v>
      </c>
      <c r="AI55" s="63">
        <v>161591</v>
      </c>
      <c r="AJ55" s="63">
        <v>3231</v>
      </c>
      <c r="AK55" s="63">
        <v>74499</v>
      </c>
      <c r="AL55" s="63">
        <v>74421</v>
      </c>
      <c r="AM55" s="63">
        <v>78</v>
      </c>
      <c r="AN55" s="63">
        <v>67136</v>
      </c>
      <c r="AO55" s="63">
        <v>74421</v>
      </c>
      <c r="AP55" s="63">
        <v>43333</v>
      </c>
      <c r="AQ55" s="63">
        <v>14264</v>
      </c>
      <c r="AR55" s="63">
        <v>23556</v>
      </c>
      <c r="AS55" s="63">
        <v>690</v>
      </c>
      <c r="AT55" s="63">
        <v>4823</v>
      </c>
      <c r="AU55" s="63">
        <v>28176</v>
      </c>
      <c r="AV55" s="63">
        <v>6992</v>
      </c>
      <c r="AW55" s="63">
        <v>6841</v>
      </c>
      <c r="AX55" s="63">
        <v>1154</v>
      </c>
    </row>
    <row r="56" spans="1:50" x14ac:dyDescent="0.55000000000000004">
      <c r="A56" s="73">
        <v>55</v>
      </c>
      <c r="B56" s="64" t="s">
        <v>396</v>
      </c>
      <c r="C56" s="2" t="s">
        <v>138</v>
      </c>
      <c r="D56" s="2" t="s">
        <v>55</v>
      </c>
      <c r="E56" s="62" t="s">
        <v>470</v>
      </c>
      <c r="F56" s="63">
        <v>341621</v>
      </c>
      <c r="G56" s="63">
        <v>168747</v>
      </c>
      <c r="H56" s="63">
        <v>172874</v>
      </c>
      <c r="I56" s="63">
        <v>337498</v>
      </c>
      <c r="J56" s="68">
        <v>4123</v>
      </c>
      <c r="K56" s="65">
        <v>1.2216400000000001</v>
      </c>
      <c r="L56" s="66">
        <v>60.24</v>
      </c>
      <c r="M56" s="67">
        <v>5671</v>
      </c>
      <c r="N56" s="74">
        <v>45.858339999999998</v>
      </c>
      <c r="O56" s="74">
        <v>46.756270000000001</v>
      </c>
      <c r="P56" s="63">
        <v>43502</v>
      </c>
      <c r="Q56" s="63">
        <v>210881</v>
      </c>
      <c r="R56" s="63">
        <v>87238</v>
      </c>
      <c r="S56" s="74">
        <v>12.73399</v>
      </c>
      <c r="T56" s="74">
        <v>61.729520000000001</v>
      </c>
      <c r="U56" s="74">
        <v>25.536490000000001</v>
      </c>
      <c r="V56" s="63">
        <v>22271</v>
      </c>
      <c r="W56" s="63">
        <v>107413</v>
      </c>
      <c r="X56" s="63">
        <v>39063</v>
      </c>
      <c r="Y56" s="74">
        <v>13.19786</v>
      </c>
      <c r="Z56" s="74">
        <v>63.653280000000002</v>
      </c>
      <c r="AA56" s="74">
        <v>23.148859999999999</v>
      </c>
      <c r="AB56" s="63">
        <v>21231</v>
      </c>
      <c r="AC56" s="63">
        <v>103468</v>
      </c>
      <c r="AD56" s="63">
        <v>48175</v>
      </c>
      <c r="AE56" s="74">
        <v>12.2812</v>
      </c>
      <c r="AF56" s="74">
        <v>59.851680000000002</v>
      </c>
      <c r="AG56" s="74">
        <v>27.86712</v>
      </c>
      <c r="AH56" s="74">
        <v>97.612710000000007</v>
      </c>
      <c r="AI56" s="63">
        <v>335014</v>
      </c>
      <c r="AJ56" s="63">
        <v>6607</v>
      </c>
      <c r="AK56" s="63">
        <v>142774</v>
      </c>
      <c r="AL56" s="63">
        <v>142590</v>
      </c>
      <c r="AM56" s="63">
        <v>184</v>
      </c>
      <c r="AN56" s="63">
        <v>136460</v>
      </c>
      <c r="AO56" s="63">
        <v>142590</v>
      </c>
      <c r="AP56" s="63">
        <v>88712</v>
      </c>
      <c r="AQ56" s="63">
        <v>29655</v>
      </c>
      <c r="AR56" s="63">
        <v>44856</v>
      </c>
      <c r="AS56" s="63">
        <v>2308</v>
      </c>
      <c r="AT56" s="63">
        <v>11893</v>
      </c>
      <c r="AU56" s="63">
        <v>43572</v>
      </c>
      <c r="AV56" s="63">
        <v>14355</v>
      </c>
      <c r="AW56" s="63">
        <v>16666</v>
      </c>
      <c r="AX56" s="63">
        <v>5066</v>
      </c>
    </row>
    <row r="57" spans="1:50" x14ac:dyDescent="0.55000000000000004">
      <c r="A57" s="73">
        <v>56</v>
      </c>
      <c r="B57" s="64" t="s">
        <v>415</v>
      </c>
      <c r="C57" s="2" t="s">
        <v>58</v>
      </c>
      <c r="D57" s="2" t="s">
        <v>57</v>
      </c>
      <c r="E57" s="62" t="s">
        <v>489</v>
      </c>
      <c r="F57" s="63">
        <v>71979</v>
      </c>
      <c r="G57" s="63">
        <v>35800</v>
      </c>
      <c r="H57" s="63">
        <v>36179</v>
      </c>
      <c r="I57" s="63">
        <v>69738</v>
      </c>
      <c r="J57" s="68">
        <v>2241</v>
      </c>
      <c r="K57" s="65">
        <v>3.21346</v>
      </c>
      <c r="L57" s="66">
        <v>31.66</v>
      </c>
      <c r="M57" s="67">
        <v>2273.5</v>
      </c>
      <c r="N57" s="74">
        <v>44.394269999999999</v>
      </c>
      <c r="O57" s="74">
        <v>45.360109999999999</v>
      </c>
      <c r="P57" s="63">
        <v>10395</v>
      </c>
      <c r="Q57" s="63">
        <v>44246</v>
      </c>
      <c r="R57" s="63">
        <v>17338</v>
      </c>
      <c r="S57" s="74">
        <v>14.44171</v>
      </c>
      <c r="T57" s="74">
        <v>61.470709999999997</v>
      </c>
      <c r="U57" s="74">
        <v>24.087579999999999</v>
      </c>
      <c r="V57" s="63">
        <v>5339</v>
      </c>
      <c r="W57" s="63">
        <v>22552</v>
      </c>
      <c r="X57" s="63">
        <v>7909</v>
      </c>
      <c r="Y57" s="74">
        <v>14.913410000000001</v>
      </c>
      <c r="Z57" s="74">
        <v>62.994410000000002</v>
      </c>
      <c r="AA57" s="74">
        <v>22.092179999999999</v>
      </c>
      <c r="AB57" s="63">
        <v>5056</v>
      </c>
      <c r="AC57" s="63">
        <v>21694</v>
      </c>
      <c r="AD57" s="63">
        <v>9429</v>
      </c>
      <c r="AE57" s="74">
        <v>13.974959999999999</v>
      </c>
      <c r="AF57" s="74">
        <v>59.962960000000002</v>
      </c>
      <c r="AG57" s="74">
        <v>26.062080000000002</v>
      </c>
      <c r="AH57" s="74">
        <v>98.952430000000007</v>
      </c>
      <c r="AI57" s="63">
        <v>70415</v>
      </c>
      <c r="AJ57" s="63">
        <v>1564</v>
      </c>
      <c r="AK57" s="63">
        <v>27901</v>
      </c>
      <c r="AL57" s="63">
        <v>27876</v>
      </c>
      <c r="AM57" s="63">
        <v>25</v>
      </c>
      <c r="AN57" s="63">
        <v>25716</v>
      </c>
      <c r="AO57" s="63">
        <v>27876</v>
      </c>
      <c r="AP57" s="63">
        <v>18342</v>
      </c>
      <c r="AQ57" s="63">
        <v>5840</v>
      </c>
      <c r="AR57" s="63">
        <v>9761</v>
      </c>
      <c r="AS57" s="63">
        <v>459</v>
      </c>
      <c r="AT57" s="63">
        <v>2282</v>
      </c>
      <c r="AU57" s="63">
        <v>7073</v>
      </c>
      <c r="AV57" s="63">
        <v>2502</v>
      </c>
      <c r="AW57" s="63">
        <v>3274</v>
      </c>
      <c r="AX57" s="63">
        <v>1300</v>
      </c>
    </row>
    <row r="58" spans="1:50" x14ac:dyDescent="0.55000000000000004">
      <c r="A58" s="73">
        <v>57</v>
      </c>
      <c r="B58" s="64" t="s">
        <v>399</v>
      </c>
      <c r="C58" s="2" t="s">
        <v>139</v>
      </c>
      <c r="D58" s="2" t="s">
        <v>39</v>
      </c>
      <c r="E58" s="62" t="s">
        <v>473</v>
      </c>
      <c r="F58" s="63">
        <v>145651</v>
      </c>
      <c r="G58" s="63">
        <v>71803</v>
      </c>
      <c r="H58" s="63">
        <v>73848</v>
      </c>
      <c r="I58" s="63">
        <v>148390</v>
      </c>
      <c r="J58" s="68">
        <v>-2739</v>
      </c>
      <c r="K58" s="65">
        <v>-1.84581</v>
      </c>
      <c r="L58" s="66">
        <v>44.69</v>
      </c>
      <c r="M58" s="67">
        <v>3259.1</v>
      </c>
      <c r="N58" s="74">
        <v>48.204590000000003</v>
      </c>
      <c r="O58" s="74">
        <v>49.665260000000004</v>
      </c>
      <c r="P58" s="63">
        <v>16617</v>
      </c>
      <c r="Q58" s="63">
        <v>85849</v>
      </c>
      <c r="R58" s="63">
        <v>43185</v>
      </c>
      <c r="S58" s="74">
        <v>11.40878</v>
      </c>
      <c r="T58" s="74">
        <v>58.941580000000002</v>
      </c>
      <c r="U58" s="74">
        <v>29.649640000000002</v>
      </c>
      <c r="V58" s="63">
        <v>8480</v>
      </c>
      <c r="W58" s="63">
        <v>43711</v>
      </c>
      <c r="X58" s="63">
        <v>19612</v>
      </c>
      <c r="Y58" s="74">
        <v>11.810090000000001</v>
      </c>
      <c r="Z58" s="74">
        <v>60.876289999999997</v>
      </c>
      <c r="AA58" s="74">
        <v>27.31362</v>
      </c>
      <c r="AB58" s="63">
        <v>8137</v>
      </c>
      <c r="AC58" s="63">
        <v>42138</v>
      </c>
      <c r="AD58" s="63">
        <v>23573</v>
      </c>
      <c r="AE58" s="74">
        <v>11.01858</v>
      </c>
      <c r="AF58" s="74">
        <v>57.060450000000003</v>
      </c>
      <c r="AG58" s="74">
        <v>31.920970000000001</v>
      </c>
      <c r="AH58" s="74">
        <v>97.230800000000002</v>
      </c>
      <c r="AI58" s="63">
        <v>143475</v>
      </c>
      <c r="AJ58" s="63">
        <v>2176</v>
      </c>
      <c r="AK58" s="63">
        <v>61222</v>
      </c>
      <c r="AL58" s="63">
        <v>61159</v>
      </c>
      <c r="AM58" s="63">
        <v>63</v>
      </c>
      <c r="AN58" s="63">
        <v>59004</v>
      </c>
      <c r="AO58" s="63">
        <v>61159</v>
      </c>
      <c r="AP58" s="63">
        <v>39182</v>
      </c>
      <c r="AQ58" s="63">
        <v>14238</v>
      </c>
      <c r="AR58" s="63">
        <v>18551</v>
      </c>
      <c r="AS58" s="63">
        <v>1022</v>
      </c>
      <c r="AT58" s="63">
        <v>5371</v>
      </c>
      <c r="AU58" s="63">
        <v>18075</v>
      </c>
      <c r="AV58" s="63">
        <v>7224</v>
      </c>
      <c r="AW58" s="63">
        <v>9122</v>
      </c>
      <c r="AX58" s="63">
        <v>2047</v>
      </c>
    </row>
    <row r="59" spans="1:50" x14ac:dyDescent="0.55000000000000004">
      <c r="A59" s="73">
        <v>58</v>
      </c>
      <c r="B59" s="64" t="s">
        <v>419</v>
      </c>
      <c r="C59" s="2" t="s">
        <v>140</v>
      </c>
      <c r="D59" s="2" t="s">
        <v>45</v>
      </c>
      <c r="E59" s="62" t="s">
        <v>493</v>
      </c>
      <c r="F59" s="63">
        <v>38434</v>
      </c>
      <c r="G59" s="63">
        <v>18949</v>
      </c>
      <c r="H59" s="63">
        <v>19485</v>
      </c>
      <c r="I59" s="63">
        <v>38456</v>
      </c>
      <c r="J59" s="68">
        <v>-22</v>
      </c>
      <c r="K59" s="65">
        <v>-5.7209999999999997E-2</v>
      </c>
      <c r="L59" s="66">
        <v>15.33</v>
      </c>
      <c r="M59" s="67">
        <v>2507.1</v>
      </c>
      <c r="N59" s="74">
        <v>48.287790000000001</v>
      </c>
      <c r="O59" s="74">
        <v>49.33954</v>
      </c>
      <c r="P59" s="63">
        <v>4634</v>
      </c>
      <c r="Q59" s="63">
        <v>22242</v>
      </c>
      <c r="R59" s="63">
        <v>11558</v>
      </c>
      <c r="S59" s="74">
        <v>12.057029999999999</v>
      </c>
      <c r="T59" s="74">
        <v>57.870640000000002</v>
      </c>
      <c r="U59" s="74">
        <v>30.072330000000001</v>
      </c>
      <c r="V59" s="63">
        <v>2391</v>
      </c>
      <c r="W59" s="63">
        <v>11424</v>
      </c>
      <c r="X59" s="63">
        <v>5134</v>
      </c>
      <c r="Y59" s="74">
        <v>12.618080000000001</v>
      </c>
      <c r="Z59" s="74">
        <v>60.288139999999999</v>
      </c>
      <c r="AA59" s="74">
        <v>27.093779999999999</v>
      </c>
      <c r="AB59" s="63">
        <v>2243</v>
      </c>
      <c r="AC59" s="63">
        <v>10818</v>
      </c>
      <c r="AD59" s="63">
        <v>6424</v>
      </c>
      <c r="AE59" s="74">
        <v>11.511419999999999</v>
      </c>
      <c r="AF59" s="74">
        <v>55.519629999999999</v>
      </c>
      <c r="AG59" s="74">
        <v>32.96895</v>
      </c>
      <c r="AH59" s="74">
        <v>97.249170000000007</v>
      </c>
      <c r="AI59" s="63">
        <v>37680</v>
      </c>
      <c r="AJ59" s="63">
        <v>754</v>
      </c>
      <c r="AK59" s="63">
        <v>15035</v>
      </c>
      <c r="AL59" s="63">
        <v>15014</v>
      </c>
      <c r="AM59" s="63">
        <v>21</v>
      </c>
      <c r="AN59" s="63">
        <v>14328</v>
      </c>
      <c r="AO59" s="63">
        <v>15014</v>
      </c>
      <c r="AP59" s="63">
        <v>10015</v>
      </c>
      <c r="AQ59" s="63">
        <v>3361</v>
      </c>
      <c r="AR59" s="63">
        <v>5077</v>
      </c>
      <c r="AS59" s="63">
        <v>292</v>
      </c>
      <c r="AT59" s="63">
        <v>1285</v>
      </c>
      <c r="AU59" s="63">
        <v>3951</v>
      </c>
      <c r="AV59" s="63">
        <v>1727</v>
      </c>
      <c r="AW59" s="63">
        <v>2131</v>
      </c>
      <c r="AX59" s="63">
        <v>597</v>
      </c>
    </row>
    <row r="60" spans="1:50" x14ac:dyDescent="0.55000000000000004">
      <c r="A60" s="73">
        <v>59</v>
      </c>
      <c r="B60" s="64" t="s">
        <v>401</v>
      </c>
      <c r="C60" s="2" t="s">
        <v>141</v>
      </c>
      <c r="D60" s="2" t="s">
        <v>76</v>
      </c>
      <c r="E60" s="62" t="s">
        <v>475</v>
      </c>
      <c r="F60" s="63">
        <v>75346</v>
      </c>
      <c r="G60" s="63">
        <v>36945</v>
      </c>
      <c r="H60" s="63">
        <v>38401</v>
      </c>
      <c r="I60" s="63">
        <v>72676</v>
      </c>
      <c r="J60" s="68">
        <v>2670</v>
      </c>
      <c r="K60" s="65">
        <v>3.6738400000000002</v>
      </c>
      <c r="L60" s="66">
        <v>9.0500000000000007</v>
      </c>
      <c r="M60" s="67">
        <v>8325.5</v>
      </c>
      <c r="N60" s="74">
        <v>45.540280000000003</v>
      </c>
      <c r="O60" s="74">
        <v>46.114600000000003</v>
      </c>
      <c r="P60" s="63">
        <v>9915</v>
      </c>
      <c r="Q60" s="63">
        <v>46649</v>
      </c>
      <c r="R60" s="63">
        <v>18782</v>
      </c>
      <c r="S60" s="74">
        <v>13.15929</v>
      </c>
      <c r="T60" s="74">
        <v>61.913040000000002</v>
      </c>
      <c r="U60" s="74">
        <v>24.927669999999999</v>
      </c>
      <c r="V60" s="63">
        <v>5087</v>
      </c>
      <c r="W60" s="63">
        <v>23602</v>
      </c>
      <c r="X60" s="63">
        <v>8256</v>
      </c>
      <c r="Y60" s="74">
        <v>13.769119999999999</v>
      </c>
      <c r="Z60" s="74">
        <v>63.884149999999998</v>
      </c>
      <c r="AA60" s="74">
        <v>22.346730000000001</v>
      </c>
      <c r="AB60" s="63">
        <v>4828</v>
      </c>
      <c r="AC60" s="63">
        <v>23047</v>
      </c>
      <c r="AD60" s="63">
        <v>10526</v>
      </c>
      <c r="AE60" s="74">
        <v>12.57259</v>
      </c>
      <c r="AF60" s="74">
        <v>60.016669999999998</v>
      </c>
      <c r="AG60" s="74">
        <v>27.410740000000001</v>
      </c>
      <c r="AH60" s="74">
        <v>96.208430000000007</v>
      </c>
      <c r="AI60" s="63">
        <v>73538</v>
      </c>
      <c r="AJ60" s="63">
        <v>1808</v>
      </c>
      <c r="AK60" s="63">
        <v>32730</v>
      </c>
      <c r="AL60" s="63">
        <v>32702</v>
      </c>
      <c r="AM60" s="63">
        <v>28</v>
      </c>
      <c r="AN60" s="63">
        <v>30607</v>
      </c>
      <c r="AO60" s="63">
        <v>32702</v>
      </c>
      <c r="AP60" s="63">
        <v>20028</v>
      </c>
      <c r="AQ60" s="63">
        <v>7015</v>
      </c>
      <c r="AR60" s="63">
        <v>10105</v>
      </c>
      <c r="AS60" s="63">
        <v>466</v>
      </c>
      <c r="AT60" s="63">
        <v>2442</v>
      </c>
      <c r="AU60" s="63">
        <v>10941</v>
      </c>
      <c r="AV60" s="63">
        <v>3287</v>
      </c>
      <c r="AW60" s="63">
        <v>3864</v>
      </c>
      <c r="AX60" s="63">
        <v>719</v>
      </c>
    </row>
    <row r="61" spans="1:50" x14ac:dyDescent="0.55000000000000004">
      <c r="A61" s="73">
        <v>60</v>
      </c>
      <c r="B61" s="64" t="s">
        <v>373</v>
      </c>
      <c r="C61" s="2" t="s">
        <v>142</v>
      </c>
      <c r="D61" s="2" t="s">
        <v>88</v>
      </c>
      <c r="E61" s="62" t="s">
        <v>448</v>
      </c>
      <c r="F61" s="63">
        <v>98661</v>
      </c>
      <c r="G61" s="63">
        <v>49764</v>
      </c>
      <c r="H61" s="63">
        <v>48897</v>
      </c>
      <c r="I61" s="63">
        <v>97910</v>
      </c>
      <c r="J61" s="68">
        <v>751</v>
      </c>
      <c r="K61" s="65">
        <v>0.76702999999999999</v>
      </c>
      <c r="L61" s="66">
        <v>18.64</v>
      </c>
      <c r="M61" s="67">
        <v>5293</v>
      </c>
      <c r="N61" s="74">
        <v>45.43853</v>
      </c>
      <c r="O61" s="74">
        <v>46.051850000000002</v>
      </c>
      <c r="P61" s="63">
        <v>11017</v>
      </c>
      <c r="Q61" s="63">
        <v>63728</v>
      </c>
      <c r="R61" s="63">
        <v>23916</v>
      </c>
      <c r="S61" s="74">
        <v>11.16652</v>
      </c>
      <c r="T61" s="74">
        <v>64.5929</v>
      </c>
      <c r="U61" s="74">
        <v>24.240580000000001</v>
      </c>
      <c r="V61" s="63">
        <v>5658</v>
      </c>
      <c r="W61" s="63">
        <v>33498</v>
      </c>
      <c r="X61" s="63">
        <v>10608</v>
      </c>
      <c r="Y61" s="74">
        <v>11.36966</v>
      </c>
      <c r="Z61" s="74">
        <v>67.313720000000004</v>
      </c>
      <c r="AA61" s="74">
        <v>21.316610000000001</v>
      </c>
      <c r="AB61" s="63">
        <v>5359</v>
      </c>
      <c r="AC61" s="63">
        <v>30230</v>
      </c>
      <c r="AD61" s="63">
        <v>13308</v>
      </c>
      <c r="AE61" s="74">
        <v>10.959770000000001</v>
      </c>
      <c r="AF61" s="74">
        <v>61.823830000000001</v>
      </c>
      <c r="AG61" s="74">
        <v>27.216390000000001</v>
      </c>
      <c r="AH61" s="74">
        <v>101.77311</v>
      </c>
      <c r="AI61" s="63">
        <v>95921</v>
      </c>
      <c r="AJ61" s="63">
        <v>2740</v>
      </c>
      <c r="AK61" s="63">
        <v>46374</v>
      </c>
      <c r="AL61" s="63">
        <v>46332</v>
      </c>
      <c r="AM61" s="63">
        <v>42</v>
      </c>
      <c r="AN61" s="63">
        <v>43331</v>
      </c>
      <c r="AO61" s="63">
        <v>46332</v>
      </c>
      <c r="AP61" s="63">
        <v>24300</v>
      </c>
      <c r="AQ61" s="63">
        <v>8276</v>
      </c>
      <c r="AR61" s="63">
        <v>12122</v>
      </c>
      <c r="AS61" s="63">
        <v>632</v>
      </c>
      <c r="AT61" s="63">
        <v>3270</v>
      </c>
      <c r="AU61" s="63">
        <v>19788</v>
      </c>
      <c r="AV61" s="63">
        <v>4646</v>
      </c>
      <c r="AW61" s="63">
        <v>4447</v>
      </c>
      <c r="AX61" s="63">
        <v>962</v>
      </c>
    </row>
    <row r="62" spans="1:50" x14ac:dyDescent="0.55000000000000004">
      <c r="A62" s="73">
        <v>61</v>
      </c>
      <c r="B62" s="64" t="s">
        <v>375</v>
      </c>
      <c r="C62" s="2" t="s">
        <v>143</v>
      </c>
      <c r="D62" s="2" t="s">
        <v>89</v>
      </c>
      <c r="E62" s="62" t="s">
        <v>450</v>
      </c>
      <c r="F62" s="63">
        <v>191563</v>
      </c>
      <c r="G62" s="63">
        <v>95491</v>
      </c>
      <c r="H62" s="63">
        <v>96072</v>
      </c>
      <c r="I62" s="63">
        <v>180152</v>
      </c>
      <c r="J62" s="68">
        <v>11411</v>
      </c>
      <c r="K62" s="65">
        <v>6.3341000000000003</v>
      </c>
      <c r="L62" s="66">
        <v>13.82</v>
      </c>
      <c r="M62" s="67">
        <v>13861.3</v>
      </c>
      <c r="N62" s="74">
        <v>43.358170000000001</v>
      </c>
      <c r="O62" s="74">
        <v>43.870449999999998</v>
      </c>
      <c r="P62" s="63">
        <v>25696</v>
      </c>
      <c r="Q62" s="63">
        <v>128445</v>
      </c>
      <c r="R62" s="63">
        <v>37422</v>
      </c>
      <c r="S62" s="74">
        <v>13.41386</v>
      </c>
      <c r="T62" s="74">
        <v>67.051050000000004</v>
      </c>
      <c r="U62" s="74">
        <v>19.53509</v>
      </c>
      <c r="V62" s="63">
        <v>13229</v>
      </c>
      <c r="W62" s="63">
        <v>65733</v>
      </c>
      <c r="X62" s="63">
        <v>16529</v>
      </c>
      <c r="Y62" s="74">
        <v>13.85366</v>
      </c>
      <c r="Z62" s="74">
        <v>68.836849999999998</v>
      </c>
      <c r="AA62" s="74">
        <v>17.309480000000001</v>
      </c>
      <c r="AB62" s="63">
        <v>12467</v>
      </c>
      <c r="AC62" s="63">
        <v>62712</v>
      </c>
      <c r="AD62" s="63">
        <v>20893</v>
      </c>
      <c r="AE62" s="74">
        <v>12.97673</v>
      </c>
      <c r="AF62" s="74">
        <v>65.276039999999995</v>
      </c>
      <c r="AG62" s="74">
        <v>21.747229999999998</v>
      </c>
      <c r="AH62" s="74">
        <v>99.395250000000004</v>
      </c>
      <c r="AI62" s="63">
        <v>186372</v>
      </c>
      <c r="AJ62" s="63">
        <v>5191</v>
      </c>
      <c r="AK62" s="63">
        <v>86081</v>
      </c>
      <c r="AL62" s="63">
        <v>86033</v>
      </c>
      <c r="AM62" s="63">
        <v>48</v>
      </c>
      <c r="AN62" s="63">
        <v>77895</v>
      </c>
      <c r="AO62" s="63">
        <v>86033</v>
      </c>
      <c r="AP62" s="63">
        <v>49918</v>
      </c>
      <c r="AQ62" s="63">
        <v>16539</v>
      </c>
      <c r="AR62" s="63">
        <v>26758</v>
      </c>
      <c r="AS62" s="63">
        <v>978</v>
      </c>
      <c r="AT62" s="63">
        <v>5643</v>
      </c>
      <c r="AU62" s="63">
        <v>32290</v>
      </c>
      <c r="AV62" s="63">
        <v>7530</v>
      </c>
      <c r="AW62" s="63">
        <v>7355</v>
      </c>
      <c r="AX62" s="63">
        <v>1474</v>
      </c>
    </row>
    <row r="63" spans="1:50" x14ac:dyDescent="0.55000000000000004">
      <c r="A63" s="73">
        <v>62</v>
      </c>
      <c r="B63" s="64" t="s">
        <v>377</v>
      </c>
      <c r="C63" s="2" t="s">
        <v>144</v>
      </c>
      <c r="D63" s="2" t="s">
        <v>90</v>
      </c>
      <c r="E63" s="62" t="s">
        <v>451</v>
      </c>
      <c r="F63" s="63">
        <v>128321</v>
      </c>
      <c r="G63" s="63">
        <v>63216</v>
      </c>
      <c r="H63" s="63">
        <v>65105</v>
      </c>
      <c r="I63" s="63">
        <v>116522</v>
      </c>
      <c r="J63" s="68">
        <v>11799</v>
      </c>
      <c r="K63" s="65">
        <v>10.12598</v>
      </c>
      <c r="L63" s="66">
        <v>26.44</v>
      </c>
      <c r="M63" s="67">
        <v>4853.3</v>
      </c>
      <c r="N63" s="74">
        <v>44.028570000000002</v>
      </c>
      <c r="O63" s="74">
        <v>44.633029999999998</v>
      </c>
      <c r="P63" s="63">
        <v>19375</v>
      </c>
      <c r="Q63" s="63">
        <v>79884</v>
      </c>
      <c r="R63" s="63">
        <v>29062</v>
      </c>
      <c r="S63" s="74">
        <v>15.098850000000001</v>
      </c>
      <c r="T63" s="74">
        <v>62.253259999999997</v>
      </c>
      <c r="U63" s="74">
        <v>22.64789</v>
      </c>
      <c r="V63" s="63">
        <v>9825</v>
      </c>
      <c r="W63" s="63">
        <v>40327</v>
      </c>
      <c r="X63" s="63">
        <v>13064</v>
      </c>
      <c r="Y63" s="74">
        <v>15.54195</v>
      </c>
      <c r="Z63" s="74">
        <v>63.792389999999997</v>
      </c>
      <c r="AA63" s="74">
        <v>20.665649999999999</v>
      </c>
      <c r="AB63" s="63">
        <v>9550</v>
      </c>
      <c r="AC63" s="63">
        <v>39557</v>
      </c>
      <c r="AD63" s="63">
        <v>15998</v>
      </c>
      <c r="AE63" s="74">
        <v>14.668609999999999</v>
      </c>
      <c r="AF63" s="74">
        <v>60.758769999999998</v>
      </c>
      <c r="AG63" s="74">
        <v>24.572610000000001</v>
      </c>
      <c r="AH63" s="74">
        <v>97.098529999999997</v>
      </c>
      <c r="AI63" s="63">
        <v>126523</v>
      </c>
      <c r="AJ63" s="63">
        <v>1798</v>
      </c>
      <c r="AK63" s="63">
        <v>50836</v>
      </c>
      <c r="AL63" s="63">
        <v>50755</v>
      </c>
      <c r="AM63" s="63">
        <v>81</v>
      </c>
      <c r="AN63" s="63">
        <v>44475</v>
      </c>
      <c r="AO63" s="63">
        <v>50755</v>
      </c>
      <c r="AP63" s="63">
        <v>33366</v>
      </c>
      <c r="AQ63" s="63">
        <v>10494</v>
      </c>
      <c r="AR63" s="63">
        <v>18481</v>
      </c>
      <c r="AS63" s="63">
        <v>686</v>
      </c>
      <c r="AT63" s="63">
        <v>3705</v>
      </c>
      <c r="AU63" s="63">
        <v>14248</v>
      </c>
      <c r="AV63" s="63">
        <v>4254</v>
      </c>
      <c r="AW63" s="63">
        <v>5402</v>
      </c>
      <c r="AX63" s="63">
        <v>1614</v>
      </c>
    </row>
    <row r="64" spans="1:50" x14ac:dyDescent="0.55000000000000004">
      <c r="A64" s="73">
        <v>63</v>
      </c>
      <c r="B64" s="64" t="s">
        <v>409</v>
      </c>
      <c r="C64" s="2" t="s">
        <v>145</v>
      </c>
      <c r="D64" s="2" t="s">
        <v>59</v>
      </c>
      <c r="E64" s="62" t="s">
        <v>483</v>
      </c>
      <c r="F64" s="63">
        <v>142145</v>
      </c>
      <c r="G64" s="63">
        <v>71486</v>
      </c>
      <c r="H64" s="63">
        <v>70659</v>
      </c>
      <c r="I64" s="63">
        <v>136521</v>
      </c>
      <c r="J64" s="68">
        <v>5624</v>
      </c>
      <c r="K64" s="65">
        <v>4.11951</v>
      </c>
      <c r="L64" s="66">
        <v>30.13</v>
      </c>
      <c r="M64" s="67">
        <v>4717.7</v>
      </c>
      <c r="N64" s="74">
        <v>46.384079999999997</v>
      </c>
      <c r="O64" s="74">
        <v>46.978470000000002</v>
      </c>
      <c r="P64" s="63">
        <v>18165</v>
      </c>
      <c r="Q64" s="63">
        <v>85079</v>
      </c>
      <c r="R64" s="63">
        <v>38901</v>
      </c>
      <c r="S64" s="74">
        <v>12.779199999999999</v>
      </c>
      <c r="T64" s="74">
        <v>59.853670000000001</v>
      </c>
      <c r="U64" s="74">
        <v>27.36713</v>
      </c>
      <c r="V64" s="63">
        <v>9218</v>
      </c>
      <c r="W64" s="63">
        <v>44228</v>
      </c>
      <c r="X64" s="63">
        <v>18040</v>
      </c>
      <c r="Y64" s="74">
        <v>12.894830000000001</v>
      </c>
      <c r="Z64" s="74">
        <v>61.869459999999997</v>
      </c>
      <c r="AA64" s="74">
        <v>25.235710000000001</v>
      </c>
      <c r="AB64" s="63">
        <v>8947</v>
      </c>
      <c r="AC64" s="63">
        <v>40851</v>
      </c>
      <c r="AD64" s="63">
        <v>20861</v>
      </c>
      <c r="AE64" s="74">
        <v>12.66222</v>
      </c>
      <c r="AF64" s="74">
        <v>57.81429</v>
      </c>
      <c r="AG64" s="74">
        <v>29.523489999999999</v>
      </c>
      <c r="AH64" s="74">
        <v>101.17041</v>
      </c>
      <c r="AI64" s="63">
        <v>137333</v>
      </c>
      <c r="AJ64" s="63">
        <v>4812</v>
      </c>
      <c r="AK64" s="63">
        <v>60829</v>
      </c>
      <c r="AL64" s="63">
        <v>60711</v>
      </c>
      <c r="AM64" s="63">
        <v>118</v>
      </c>
      <c r="AN64" s="63">
        <v>55288</v>
      </c>
      <c r="AO64" s="63">
        <v>60711</v>
      </c>
      <c r="AP64" s="63">
        <v>36648</v>
      </c>
      <c r="AQ64" s="63">
        <v>12698</v>
      </c>
      <c r="AR64" s="63">
        <v>17835</v>
      </c>
      <c r="AS64" s="63">
        <v>1140</v>
      </c>
      <c r="AT64" s="63">
        <v>4975</v>
      </c>
      <c r="AU64" s="63">
        <v>19858</v>
      </c>
      <c r="AV64" s="63">
        <v>7076</v>
      </c>
      <c r="AW64" s="63">
        <v>7262</v>
      </c>
      <c r="AX64" s="63">
        <v>2128</v>
      </c>
    </row>
    <row r="65" spans="1:50" x14ac:dyDescent="0.55000000000000004">
      <c r="A65" s="73">
        <v>64</v>
      </c>
      <c r="B65" s="64" t="s">
        <v>384</v>
      </c>
      <c r="C65" s="2" t="s">
        <v>47</v>
      </c>
      <c r="D65" s="2" t="s">
        <v>46</v>
      </c>
      <c r="E65" s="62" t="s">
        <v>458</v>
      </c>
      <c r="F65" s="63">
        <v>342464</v>
      </c>
      <c r="G65" s="63">
        <v>168197</v>
      </c>
      <c r="H65" s="63">
        <v>174267</v>
      </c>
      <c r="I65" s="63">
        <v>340386</v>
      </c>
      <c r="J65" s="68">
        <v>2078</v>
      </c>
      <c r="K65" s="65">
        <v>0.61048000000000002</v>
      </c>
      <c r="L65" s="66">
        <v>72.11</v>
      </c>
      <c r="M65" s="67">
        <v>4749.2</v>
      </c>
      <c r="N65" s="74">
        <v>47.818600000000004</v>
      </c>
      <c r="O65" s="74">
        <v>48.900739999999999</v>
      </c>
      <c r="P65" s="63">
        <v>37979</v>
      </c>
      <c r="Q65" s="63">
        <v>206741</v>
      </c>
      <c r="R65" s="63">
        <v>97744</v>
      </c>
      <c r="S65" s="74">
        <v>11.089919999999999</v>
      </c>
      <c r="T65" s="74">
        <v>60.368679999999998</v>
      </c>
      <c r="U65" s="74">
        <v>28.54139</v>
      </c>
      <c r="V65" s="63">
        <v>19516</v>
      </c>
      <c r="W65" s="63">
        <v>104630</v>
      </c>
      <c r="X65" s="63">
        <v>44051</v>
      </c>
      <c r="Y65" s="74">
        <v>11.603059999999999</v>
      </c>
      <c r="Z65" s="74">
        <v>62.20682</v>
      </c>
      <c r="AA65" s="74">
        <v>26.19012</v>
      </c>
      <c r="AB65" s="63">
        <v>18463</v>
      </c>
      <c r="AC65" s="63">
        <v>102111</v>
      </c>
      <c r="AD65" s="63">
        <v>53693</v>
      </c>
      <c r="AE65" s="74">
        <v>10.594659999999999</v>
      </c>
      <c r="AF65" s="74">
        <v>58.594569999999997</v>
      </c>
      <c r="AG65" s="74">
        <v>30.810770000000002</v>
      </c>
      <c r="AH65" s="74">
        <v>96.516840000000002</v>
      </c>
      <c r="AI65" s="63">
        <v>336691</v>
      </c>
      <c r="AJ65" s="63">
        <v>5773</v>
      </c>
      <c r="AK65" s="63">
        <v>152652</v>
      </c>
      <c r="AL65" s="63">
        <v>152510</v>
      </c>
      <c r="AM65" s="63">
        <v>142</v>
      </c>
      <c r="AN65" s="63">
        <v>145834</v>
      </c>
      <c r="AO65" s="63">
        <v>152510</v>
      </c>
      <c r="AP65" s="63">
        <v>80324</v>
      </c>
      <c r="AQ65" s="63">
        <v>30933</v>
      </c>
      <c r="AR65" s="63">
        <v>37869</v>
      </c>
      <c r="AS65" s="63">
        <v>1807</v>
      </c>
      <c r="AT65" s="63">
        <v>9715</v>
      </c>
      <c r="AU65" s="63">
        <v>54720</v>
      </c>
      <c r="AV65" s="63">
        <v>14590</v>
      </c>
      <c r="AW65" s="63">
        <v>18913</v>
      </c>
      <c r="AX65" s="63">
        <v>3422</v>
      </c>
    </row>
    <row r="66" spans="1:50" x14ac:dyDescent="0.55000000000000004">
      <c r="A66" s="73">
        <v>65</v>
      </c>
      <c r="B66" s="64" t="s">
        <v>403</v>
      </c>
      <c r="C66" s="2" t="s">
        <v>74</v>
      </c>
      <c r="D66" s="2" t="s">
        <v>75</v>
      </c>
      <c r="E66" s="62" t="s">
        <v>477</v>
      </c>
      <c r="F66" s="63">
        <v>166017</v>
      </c>
      <c r="G66" s="63">
        <v>81781</v>
      </c>
      <c r="H66" s="63">
        <v>84236</v>
      </c>
      <c r="I66" s="63">
        <v>162122</v>
      </c>
      <c r="J66" s="68">
        <v>3895</v>
      </c>
      <c r="K66" s="65">
        <v>2.4025099999999999</v>
      </c>
      <c r="L66" s="66">
        <v>22.78</v>
      </c>
      <c r="M66" s="67">
        <v>7287.8</v>
      </c>
      <c r="N66" s="74">
        <v>46.426220000000001</v>
      </c>
      <c r="O66" s="74">
        <v>47.31176</v>
      </c>
      <c r="P66" s="63">
        <v>20927</v>
      </c>
      <c r="Q66" s="63">
        <v>101580</v>
      </c>
      <c r="R66" s="63">
        <v>43510</v>
      </c>
      <c r="S66" s="74">
        <v>12.60534</v>
      </c>
      <c r="T66" s="74">
        <v>61.186500000000002</v>
      </c>
      <c r="U66" s="74">
        <v>26.208159999999999</v>
      </c>
      <c r="V66" s="63">
        <v>10613</v>
      </c>
      <c r="W66" s="63">
        <v>52038</v>
      </c>
      <c r="X66" s="63">
        <v>19130</v>
      </c>
      <c r="Y66" s="74">
        <v>12.97734</v>
      </c>
      <c r="Z66" s="74">
        <v>63.630920000000003</v>
      </c>
      <c r="AA66" s="74">
        <v>23.391739999999999</v>
      </c>
      <c r="AB66" s="63">
        <v>10314</v>
      </c>
      <c r="AC66" s="63">
        <v>49542</v>
      </c>
      <c r="AD66" s="63">
        <v>24380</v>
      </c>
      <c r="AE66" s="74">
        <v>12.24417</v>
      </c>
      <c r="AF66" s="74">
        <v>58.813330000000001</v>
      </c>
      <c r="AG66" s="74">
        <v>28.942489999999999</v>
      </c>
      <c r="AH66" s="74">
        <v>97.085570000000004</v>
      </c>
      <c r="AI66" s="63">
        <v>162378</v>
      </c>
      <c r="AJ66" s="63">
        <v>3639</v>
      </c>
      <c r="AK66" s="63">
        <v>73686</v>
      </c>
      <c r="AL66" s="63">
        <v>73634</v>
      </c>
      <c r="AM66" s="63">
        <v>52</v>
      </c>
      <c r="AN66" s="63">
        <v>67250</v>
      </c>
      <c r="AO66" s="63">
        <v>73634</v>
      </c>
      <c r="AP66" s="63">
        <v>43421</v>
      </c>
      <c r="AQ66" s="63">
        <v>14945</v>
      </c>
      <c r="AR66" s="63">
        <v>21596</v>
      </c>
      <c r="AS66" s="63">
        <v>1216</v>
      </c>
      <c r="AT66" s="63">
        <v>5664</v>
      </c>
      <c r="AU66" s="63">
        <v>26654</v>
      </c>
      <c r="AV66" s="63">
        <v>8274</v>
      </c>
      <c r="AW66" s="63">
        <v>8467</v>
      </c>
      <c r="AX66" s="63">
        <v>1631</v>
      </c>
    </row>
    <row r="67" spans="1:50" x14ac:dyDescent="0.55000000000000004">
      <c r="A67" s="73">
        <v>66</v>
      </c>
      <c r="B67" s="64" t="s">
        <v>400</v>
      </c>
      <c r="C67" s="2" t="s">
        <v>73</v>
      </c>
      <c r="D67" s="2" t="s">
        <v>72</v>
      </c>
      <c r="E67" s="62" t="s">
        <v>474</v>
      </c>
      <c r="F67" s="63">
        <v>141083</v>
      </c>
      <c r="G67" s="63">
        <v>70696</v>
      </c>
      <c r="H67" s="63">
        <v>70387</v>
      </c>
      <c r="I67" s="63">
        <v>136299</v>
      </c>
      <c r="J67" s="68">
        <v>4784</v>
      </c>
      <c r="K67" s="65">
        <v>3.5099300000000002</v>
      </c>
      <c r="L67" s="66">
        <v>18.34</v>
      </c>
      <c r="M67" s="67">
        <v>7692.6</v>
      </c>
      <c r="N67" s="74">
        <v>43.204140000000002</v>
      </c>
      <c r="O67" s="74">
        <v>43.615119999999997</v>
      </c>
      <c r="P67" s="63">
        <v>19122</v>
      </c>
      <c r="Q67" s="63">
        <v>94301</v>
      </c>
      <c r="R67" s="63">
        <v>27660</v>
      </c>
      <c r="S67" s="74">
        <v>13.55372</v>
      </c>
      <c r="T67" s="74">
        <v>66.840800000000002</v>
      </c>
      <c r="U67" s="74">
        <v>19.60548</v>
      </c>
      <c r="V67" s="63">
        <v>9720</v>
      </c>
      <c r="W67" s="63">
        <v>48639</v>
      </c>
      <c r="X67" s="63">
        <v>12337</v>
      </c>
      <c r="Y67" s="74">
        <v>13.74901</v>
      </c>
      <c r="Z67" s="74">
        <v>68.800219999999996</v>
      </c>
      <c r="AA67" s="74">
        <v>17.450780000000002</v>
      </c>
      <c r="AB67" s="63">
        <v>9402</v>
      </c>
      <c r="AC67" s="63">
        <v>45662</v>
      </c>
      <c r="AD67" s="63">
        <v>15323</v>
      </c>
      <c r="AE67" s="74">
        <v>13.35758</v>
      </c>
      <c r="AF67" s="74">
        <v>64.872770000000003</v>
      </c>
      <c r="AG67" s="74">
        <v>21.769639999999999</v>
      </c>
      <c r="AH67" s="74">
        <v>100.43899999999999</v>
      </c>
      <c r="AI67" s="63">
        <v>137289</v>
      </c>
      <c r="AJ67" s="63">
        <v>3794</v>
      </c>
      <c r="AK67" s="63">
        <v>62663</v>
      </c>
      <c r="AL67" s="63">
        <v>62564</v>
      </c>
      <c r="AM67" s="63">
        <v>99</v>
      </c>
      <c r="AN67" s="63">
        <v>59515</v>
      </c>
      <c r="AO67" s="63">
        <v>62564</v>
      </c>
      <c r="AP67" s="63">
        <v>36211</v>
      </c>
      <c r="AQ67" s="63">
        <v>12053</v>
      </c>
      <c r="AR67" s="63">
        <v>19146</v>
      </c>
      <c r="AS67" s="63">
        <v>827</v>
      </c>
      <c r="AT67" s="63">
        <v>4185</v>
      </c>
      <c r="AU67" s="63">
        <v>23063</v>
      </c>
      <c r="AV67" s="63">
        <v>5863</v>
      </c>
      <c r="AW67" s="63">
        <v>5177</v>
      </c>
      <c r="AX67" s="63">
        <v>1141</v>
      </c>
    </row>
    <row r="68" spans="1:50" x14ac:dyDescent="0.55000000000000004">
      <c r="A68" s="73">
        <v>67</v>
      </c>
      <c r="B68" s="64" t="s">
        <v>402</v>
      </c>
      <c r="C68" s="2" t="s">
        <v>71</v>
      </c>
      <c r="D68" s="2" t="s">
        <v>70</v>
      </c>
      <c r="E68" s="62" t="s">
        <v>476</v>
      </c>
      <c r="F68" s="63">
        <v>83989</v>
      </c>
      <c r="G68" s="63">
        <v>43138</v>
      </c>
      <c r="H68" s="63">
        <v>40851</v>
      </c>
      <c r="I68" s="63">
        <v>80826</v>
      </c>
      <c r="J68" s="68">
        <v>3163</v>
      </c>
      <c r="K68" s="65">
        <v>3.9133399999999998</v>
      </c>
      <c r="L68" s="66">
        <v>11.04</v>
      </c>
      <c r="M68" s="67">
        <v>7607.7</v>
      </c>
      <c r="N68" s="74">
        <v>41.85633</v>
      </c>
      <c r="O68" s="74">
        <v>41.30668</v>
      </c>
      <c r="P68" s="63">
        <v>11400</v>
      </c>
      <c r="Q68" s="63">
        <v>57509</v>
      </c>
      <c r="R68" s="63">
        <v>15080</v>
      </c>
      <c r="S68" s="74">
        <v>13.57321</v>
      </c>
      <c r="T68" s="74">
        <v>68.472059999999999</v>
      </c>
      <c r="U68" s="74">
        <v>17.954730000000001</v>
      </c>
      <c r="V68" s="63">
        <v>5862</v>
      </c>
      <c r="W68" s="63">
        <v>30450</v>
      </c>
      <c r="X68" s="63">
        <v>6826</v>
      </c>
      <c r="Y68" s="74">
        <v>13.588950000000001</v>
      </c>
      <c r="Z68" s="74">
        <v>70.587419999999995</v>
      </c>
      <c r="AA68" s="74">
        <v>15.823639999999999</v>
      </c>
      <c r="AB68" s="63">
        <v>5538</v>
      </c>
      <c r="AC68" s="63">
        <v>27059</v>
      </c>
      <c r="AD68" s="63">
        <v>8254</v>
      </c>
      <c r="AE68" s="74">
        <v>13.55658</v>
      </c>
      <c r="AF68" s="74">
        <v>66.238280000000003</v>
      </c>
      <c r="AG68" s="74">
        <v>20.20514</v>
      </c>
      <c r="AH68" s="74">
        <v>105.59838999999999</v>
      </c>
      <c r="AI68" s="63">
        <v>81763</v>
      </c>
      <c r="AJ68" s="63">
        <v>2226</v>
      </c>
      <c r="AK68" s="63">
        <v>39889</v>
      </c>
      <c r="AL68" s="63">
        <v>39826</v>
      </c>
      <c r="AM68" s="63">
        <v>63</v>
      </c>
      <c r="AN68" s="63">
        <v>36898</v>
      </c>
      <c r="AO68" s="63">
        <v>39826</v>
      </c>
      <c r="AP68" s="63">
        <v>20670</v>
      </c>
      <c r="AQ68" s="63">
        <v>7239</v>
      </c>
      <c r="AR68" s="63">
        <v>10751</v>
      </c>
      <c r="AS68" s="63">
        <v>457</v>
      </c>
      <c r="AT68" s="63">
        <v>2223</v>
      </c>
      <c r="AU68" s="63">
        <v>17629</v>
      </c>
      <c r="AV68" s="63">
        <v>3251</v>
      </c>
      <c r="AW68" s="63">
        <v>3005</v>
      </c>
      <c r="AX68" s="63">
        <v>567</v>
      </c>
    </row>
    <row r="69" spans="1:50" x14ac:dyDescent="0.55000000000000004">
      <c r="A69" s="73">
        <v>68</v>
      </c>
      <c r="B69" s="64" t="s">
        <v>398</v>
      </c>
      <c r="C69" s="2" t="s">
        <v>69</v>
      </c>
      <c r="D69" s="2" t="s">
        <v>68</v>
      </c>
      <c r="E69" s="62" t="s">
        <v>472</v>
      </c>
      <c r="F69" s="63">
        <v>140899</v>
      </c>
      <c r="G69" s="63">
        <v>71388</v>
      </c>
      <c r="H69" s="63">
        <v>69511</v>
      </c>
      <c r="I69" s="63">
        <v>136150</v>
      </c>
      <c r="J69" s="68">
        <v>4749</v>
      </c>
      <c r="K69" s="65">
        <v>3.4880599999999999</v>
      </c>
      <c r="L69" s="66">
        <v>18.190000000000001</v>
      </c>
      <c r="M69" s="67">
        <v>7746</v>
      </c>
      <c r="N69" s="74">
        <v>41.62735</v>
      </c>
      <c r="O69" s="74">
        <v>41.723770000000002</v>
      </c>
      <c r="P69" s="63">
        <v>20134</v>
      </c>
      <c r="Q69" s="63">
        <v>96841</v>
      </c>
      <c r="R69" s="63">
        <v>23924</v>
      </c>
      <c r="S69" s="74">
        <v>14.289669999999999</v>
      </c>
      <c r="T69" s="74">
        <v>68.730789999999999</v>
      </c>
      <c r="U69" s="74">
        <v>16.97954</v>
      </c>
      <c r="V69" s="63">
        <v>10228</v>
      </c>
      <c r="W69" s="63">
        <v>50274</v>
      </c>
      <c r="X69" s="63">
        <v>10886</v>
      </c>
      <c r="Y69" s="74">
        <v>14.32734</v>
      </c>
      <c r="Z69" s="74">
        <v>70.423599999999993</v>
      </c>
      <c r="AA69" s="74">
        <v>15.24906</v>
      </c>
      <c r="AB69" s="63">
        <v>9906</v>
      </c>
      <c r="AC69" s="63">
        <v>46567</v>
      </c>
      <c r="AD69" s="63">
        <v>13038</v>
      </c>
      <c r="AE69" s="74">
        <v>14.25098</v>
      </c>
      <c r="AF69" s="74">
        <v>66.992270000000005</v>
      </c>
      <c r="AG69" s="74">
        <v>18.756740000000001</v>
      </c>
      <c r="AH69" s="74">
        <v>102.70029</v>
      </c>
      <c r="AI69" s="63">
        <v>133691</v>
      </c>
      <c r="AJ69" s="63">
        <v>7208</v>
      </c>
      <c r="AK69" s="63">
        <v>64319</v>
      </c>
      <c r="AL69" s="63">
        <v>64182</v>
      </c>
      <c r="AM69" s="63">
        <v>137</v>
      </c>
      <c r="AN69" s="63">
        <v>59432</v>
      </c>
      <c r="AO69" s="63">
        <v>64182</v>
      </c>
      <c r="AP69" s="63">
        <v>33965</v>
      </c>
      <c r="AQ69" s="63">
        <v>10211</v>
      </c>
      <c r="AR69" s="63">
        <v>18959</v>
      </c>
      <c r="AS69" s="63">
        <v>809</v>
      </c>
      <c r="AT69" s="63">
        <v>3986</v>
      </c>
      <c r="AU69" s="63">
        <v>26918</v>
      </c>
      <c r="AV69" s="63">
        <v>4939</v>
      </c>
      <c r="AW69" s="63">
        <v>3813</v>
      </c>
      <c r="AX69" s="63">
        <v>1260</v>
      </c>
    </row>
    <row r="70" spans="1:50" x14ac:dyDescent="0.55000000000000004">
      <c r="A70" s="73">
        <v>69</v>
      </c>
      <c r="B70" s="64" t="s">
        <v>397</v>
      </c>
      <c r="C70" s="2" t="s">
        <v>67</v>
      </c>
      <c r="D70" s="2" t="s">
        <v>66</v>
      </c>
      <c r="E70" s="62" t="s">
        <v>471</v>
      </c>
      <c r="F70" s="63">
        <v>74283</v>
      </c>
      <c r="G70" s="63">
        <v>37470</v>
      </c>
      <c r="H70" s="63">
        <v>36813</v>
      </c>
      <c r="I70" s="63">
        <v>72260</v>
      </c>
      <c r="J70" s="68">
        <v>2023</v>
      </c>
      <c r="K70" s="65">
        <v>2.7996099999999999</v>
      </c>
      <c r="L70" s="66">
        <v>5.1100000000000003</v>
      </c>
      <c r="M70" s="67">
        <v>14536.8</v>
      </c>
      <c r="N70" s="74">
        <v>45.511740000000003</v>
      </c>
      <c r="O70" s="74">
        <v>45.238120000000002</v>
      </c>
      <c r="P70" s="63">
        <v>7895</v>
      </c>
      <c r="Q70" s="63">
        <v>48997</v>
      </c>
      <c r="R70" s="63">
        <v>17391</v>
      </c>
      <c r="S70" s="74">
        <v>10.628270000000001</v>
      </c>
      <c r="T70" s="74">
        <v>65.959909999999994</v>
      </c>
      <c r="U70" s="74">
        <v>23.411819999999999</v>
      </c>
      <c r="V70" s="63">
        <v>4070</v>
      </c>
      <c r="W70" s="63">
        <v>25758</v>
      </c>
      <c r="X70" s="63">
        <v>7642</v>
      </c>
      <c r="Y70" s="74">
        <v>10.862019999999999</v>
      </c>
      <c r="Z70" s="74">
        <v>68.742990000000006</v>
      </c>
      <c r="AA70" s="74">
        <v>20.39498</v>
      </c>
      <c r="AB70" s="63">
        <v>3825</v>
      </c>
      <c r="AC70" s="63">
        <v>23239</v>
      </c>
      <c r="AD70" s="63">
        <v>9749</v>
      </c>
      <c r="AE70" s="74">
        <v>10.39035</v>
      </c>
      <c r="AF70" s="74">
        <v>63.127160000000003</v>
      </c>
      <c r="AG70" s="74">
        <v>26.482489999999999</v>
      </c>
      <c r="AH70" s="74">
        <v>101.7847</v>
      </c>
      <c r="AI70" s="63">
        <v>67770</v>
      </c>
      <c r="AJ70" s="63">
        <v>6513</v>
      </c>
      <c r="AK70" s="63">
        <v>36827</v>
      </c>
      <c r="AL70" s="63">
        <v>36784</v>
      </c>
      <c r="AM70" s="63">
        <v>43</v>
      </c>
      <c r="AN70" s="63">
        <v>34174</v>
      </c>
      <c r="AO70" s="63">
        <v>36784</v>
      </c>
      <c r="AP70" s="63">
        <v>17623</v>
      </c>
      <c r="AQ70" s="63">
        <v>6270</v>
      </c>
      <c r="AR70" s="63">
        <v>8441</v>
      </c>
      <c r="AS70" s="63">
        <v>429</v>
      </c>
      <c r="AT70" s="63">
        <v>2483</v>
      </c>
      <c r="AU70" s="63">
        <v>16992</v>
      </c>
      <c r="AV70" s="63">
        <v>4153</v>
      </c>
      <c r="AW70" s="63">
        <v>2930</v>
      </c>
      <c r="AX70" s="63">
        <v>754</v>
      </c>
    </row>
    <row r="71" spans="1:50" x14ac:dyDescent="0.55000000000000004">
      <c r="A71" s="73">
        <v>70</v>
      </c>
      <c r="B71" s="64" t="s">
        <v>381</v>
      </c>
      <c r="C71" s="2" t="s">
        <v>65</v>
      </c>
      <c r="D71" s="2" t="s">
        <v>64</v>
      </c>
      <c r="E71" s="62" t="s">
        <v>455</v>
      </c>
      <c r="F71" s="63">
        <v>594274</v>
      </c>
      <c r="G71" s="63">
        <v>299238</v>
      </c>
      <c r="H71" s="63">
        <v>295036</v>
      </c>
      <c r="I71" s="63">
        <v>578112</v>
      </c>
      <c r="J71" s="68">
        <v>16162</v>
      </c>
      <c r="K71" s="65">
        <v>2.7956500000000002</v>
      </c>
      <c r="L71" s="66">
        <v>61.95</v>
      </c>
      <c r="M71" s="67">
        <v>9592.7999999999993</v>
      </c>
      <c r="N71" s="74">
        <v>45.263530000000003</v>
      </c>
      <c r="O71" s="74">
        <v>45.830970000000001</v>
      </c>
      <c r="P71" s="63">
        <v>72824</v>
      </c>
      <c r="Q71" s="63">
        <v>381773</v>
      </c>
      <c r="R71" s="63">
        <v>139677</v>
      </c>
      <c r="S71" s="74">
        <v>12.25428</v>
      </c>
      <c r="T71" s="74">
        <v>64.241919999999993</v>
      </c>
      <c r="U71" s="74">
        <v>23.503799999999998</v>
      </c>
      <c r="V71" s="63">
        <v>37301</v>
      </c>
      <c r="W71" s="63">
        <v>199428</v>
      </c>
      <c r="X71" s="63">
        <v>62509</v>
      </c>
      <c r="Y71" s="74">
        <v>12.46533</v>
      </c>
      <c r="Z71" s="74">
        <v>66.64528</v>
      </c>
      <c r="AA71" s="74">
        <v>20.889389999999999</v>
      </c>
      <c r="AB71" s="63">
        <v>35523</v>
      </c>
      <c r="AC71" s="63">
        <v>182345</v>
      </c>
      <c r="AD71" s="63">
        <v>77168</v>
      </c>
      <c r="AE71" s="74">
        <v>12.040229999999999</v>
      </c>
      <c r="AF71" s="74">
        <v>61.804319999999997</v>
      </c>
      <c r="AG71" s="74">
        <v>26.155449999999998</v>
      </c>
      <c r="AH71" s="74">
        <v>101.42422999999999</v>
      </c>
      <c r="AI71" s="63">
        <v>557323</v>
      </c>
      <c r="AJ71" s="63">
        <v>36951</v>
      </c>
      <c r="AK71" s="63">
        <v>267141</v>
      </c>
      <c r="AL71" s="63">
        <v>266756</v>
      </c>
      <c r="AM71" s="63">
        <v>385</v>
      </c>
      <c r="AN71" s="63">
        <v>245830</v>
      </c>
      <c r="AO71" s="63">
        <v>266756</v>
      </c>
      <c r="AP71" s="63">
        <v>146573</v>
      </c>
      <c r="AQ71" s="63">
        <v>48560</v>
      </c>
      <c r="AR71" s="63">
        <v>74052</v>
      </c>
      <c r="AS71" s="63">
        <v>3804</v>
      </c>
      <c r="AT71" s="63">
        <v>20157</v>
      </c>
      <c r="AU71" s="63">
        <v>103176</v>
      </c>
      <c r="AV71" s="63">
        <v>27514</v>
      </c>
      <c r="AW71" s="63">
        <v>23984</v>
      </c>
      <c r="AX71" s="63">
        <v>7673</v>
      </c>
    </row>
    <row r="72" spans="1:50" x14ac:dyDescent="0.55000000000000004">
      <c r="A72" s="73">
        <v>71</v>
      </c>
      <c r="B72" s="64" t="s">
        <v>395</v>
      </c>
      <c r="C72" s="2" t="s">
        <v>63</v>
      </c>
      <c r="D72" s="2" t="s">
        <v>62</v>
      </c>
      <c r="E72" s="62" t="s">
        <v>469</v>
      </c>
      <c r="F72" s="63">
        <v>248304</v>
      </c>
      <c r="G72" s="63">
        <v>125213</v>
      </c>
      <c r="H72" s="63">
        <v>123091</v>
      </c>
      <c r="I72" s="63">
        <v>247034</v>
      </c>
      <c r="J72" s="68">
        <v>1270</v>
      </c>
      <c r="K72" s="65">
        <v>0.5141</v>
      </c>
      <c r="L72" s="66">
        <v>27.46</v>
      </c>
      <c r="M72" s="67">
        <v>9042.4</v>
      </c>
      <c r="N72" s="74">
        <v>45.992100000000001</v>
      </c>
      <c r="O72" s="74">
        <v>46.96884</v>
      </c>
      <c r="P72" s="63">
        <v>29091</v>
      </c>
      <c r="Q72" s="63">
        <v>157526</v>
      </c>
      <c r="R72" s="63">
        <v>61687</v>
      </c>
      <c r="S72" s="74">
        <v>11.71588</v>
      </c>
      <c r="T72" s="74">
        <v>63.440779999999997</v>
      </c>
      <c r="U72" s="74">
        <v>24.843340000000001</v>
      </c>
      <c r="V72" s="63">
        <v>14983</v>
      </c>
      <c r="W72" s="63">
        <v>82524</v>
      </c>
      <c r="X72" s="63">
        <v>27706</v>
      </c>
      <c r="Y72" s="74">
        <v>11.966010000000001</v>
      </c>
      <c r="Z72" s="74">
        <v>65.906890000000004</v>
      </c>
      <c r="AA72" s="74">
        <v>22.127099999999999</v>
      </c>
      <c r="AB72" s="63">
        <v>14108</v>
      </c>
      <c r="AC72" s="63">
        <v>75002</v>
      </c>
      <c r="AD72" s="63">
        <v>33981</v>
      </c>
      <c r="AE72" s="74">
        <v>11.46144</v>
      </c>
      <c r="AF72" s="74">
        <v>60.932160000000003</v>
      </c>
      <c r="AG72" s="74">
        <v>27.60641</v>
      </c>
      <c r="AH72" s="74">
        <v>101.72393</v>
      </c>
      <c r="AI72" s="63">
        <v>241156</v>
      </c>
      <c r="AJ72" s="63">
        <v>7148</v>
      </c>
      <c r="AK72" s="63">
        <v>111923</v>
      </c>
      <c r="AL72" s="63">
        <v>111692</v>
      </c>
      <c r="AM72" s="63">
        <v>231</v>
      </c>
      <c r="AN72" s="63">
        <v>105827</v>
      </c>
      <c r="AO72" s="63">
        <v>111692</v>
      </c>
      <c r="AP72" s="63">
        <v>62638</v>
      </c>
      <c r="AQ72" s="63">
        <v>21008</v>
      </c>
      <c r="AR72" s="63">
        <v>31256</v>
      </c>
      <c r="AS72" s="63">
        <v>1826</v>
      </c>
      <c r="AT72" s="63">
        <v>8548</v>
      </c>
      <c r="AU72" s="63">
        <v>42559</v>
      </c>
      <c r="AV72" s="63">
        <v>12716</v>
      </c>
      <c r="AW72" s="63">
        <v>11371</v>
      </c>
      <c r="AX72" s="63">
        <v>3192</v>
      </c>
    </row>
    <row r="73" spans="1:50" x14ac:dyDescent="0.55000000000000004">
      <c r="A73" s="73">
        <v>72</v>
      </c>
      <c r="B73" s="64" t="s">
        <v>407</v>
      </c>
      <c r="C73" s="2" t="s">
        <v>61</v>
      </c>
      <c r="D73" s="2" t="s">
        <v>60</v>
      </c>
      <c r="E73" s="62" t="s">
        <v>481</v>
      </c>
      <c r="F73" s="63">
        <v>93363</v>
      </c>
      <c r="G73" s="63">
        <v>47995</v>
      </c>
      <c r="H73" s="63">
        <v>45368</v>
      </c>
      <c r="I73" s="63">
        <v>86717</v>
      </c>
      <c r="J73" s="68">
        <v>6646</v>
      </c>
      <c r="K73" s="65">
        <v>7.6640100000000002</v>
      </c>
      <c r="L73" s="66">
        <v>18.02</v>
      </c>
      <c r="M73" s="67">
        <v>5181.1000000000004</v>
      </c>
      <c r="N73" s="74">
        <v>44.740670000000001</v>
      </c>
      <c r="O73" s="74">
        <v>44.904899999999998</v>
      </c>
      <c r="P73" s="63">
        <v>11336</v>
      </c>
      <c r="Q73" s="63">
        <v>60281</v>
      </c>
      <c r="R73" s="63">
        <v>21746</v>
      </c>
      <c r="S73" s="74">
        <v>12.14185</v>
      </c>
      <c r="T73" s="74">
        <v>64.56626</v>
      </c>
      <c r="U73" s="74">
        <v>23.291879999999999</v>
      </c>
      <c r="V73" s="63">
        <v>5796</v>
      </c>
      <c r="W73" s="63">
        <v>32288</v>
      </c>
      <c r="X73" s="63">
        <v>9911</v>
      </c>
      <c r="Y73" s="74">
        <v>12.07626</v>
      </c>
      <c r="Z73" s="74">
        <v>67.273669999999996</v>
      </c>
      <c r="AA73" s="74">
        <v>20.650069999999999</v>
      </c>
      <c r="AB73" s="63">
        <v>5540</v>
      </c>
      <c r="AC73" s="63">
        <v>27993</v>
      </c>
      <c r="AD73" s="63">
        <v>11835</v>
      </c>
      <c r="AE73" s="74">
        <v>12.21125</v>
      </c>
      <c r="AF73" s="74">
        <v>61.702080000000002</v>
      </c>
      <c r="AG73" s="74">
        <v>26.086670000000002</v>
      </c>
      <c r="AH73" s="74">
        <v>105.79042</v>
      </c>
      <c r="AI73" s="63">
        <v>89426</v>
      </c>
      <c r="AJ73" s="63">
        <v>3937</v>
      </c>
      <c r="AK73" s="63">
        <v>42183</v>
      </c>
      <c r="AL73" s="63">
        <v>42054</v>
      </c>
      <c r="AM73" s="63">
        <v>129</v>
      </c>
      <c r="AN73" s="63">
        <v>35763</v>
      </c>
      <c r="AO73" s="63">
        <v>42054</v>
      </c>
      <c r="AP73" s="63">
        <v>22483</v>
      </c>
      <c r="AQ73" s="63">
        <v>7590</v>
      </c>
      <c r="AR73" s="63">
        <v>11127</v>
      </c>
      <c r="AS73" s="63">
        <v>691</v>
      </c>
      <c r="AT73" s="63">
        <v>3075</v>
      </c>
      <c r="AU73" s="63">
        <v>16728</v>
      </c>
      <c r="AV73" s="63">
        <v>3531</v>
      </c>
      <c r="AW73" s="63">
        <v>3675</v>
      </c>
      <c r="AX73" s="63">
        <v>1402</v>
      </c>
    </row>
    <row r="74" spans="1:50" x14ac:dyDescent="0.55000000000000004">
      <c r="A74" s="73" t="s">
        <v>163</v>
      </c>
      <c r="B74" s="64" t="s">
        <v>367</v>
      </c>
      <c r="C74" t="s">
        <v>79</v>
      </c>
      <c r="D74" s="2" t="s">
        <v>78</v>
      </c>
      <c r="E74" s="62" t="s">
        <v>442</v>
      </c>
      <c r="F74" s="63">
        <v>1324025</v>
      </c>
      <c r="G74" s="63">
        <v>652920</v>
      </c>
      <c r="H74" s="63">
        <v>671105</v>
      </c>
      <c r="I74" s="63">
        <v>1263979</v>
      </c>
      <c r="J74" s="68">
        <v>60046</v>
      </c>
      <c r="K74" s="65">
        <v>4.7505499999999996</v>
      </c>
      <c r="L74" s="66">
        <v>217.43</v>
      </c>
      <c r="M74" s="67">
        <v>6089.4</v>
      </c>
      <c r="N74" s="74">
        <v>45.21152</v>
      </c>
      <c r="O74" s="74">
        <v>45.846290000000003</v>
      </c>
      <c r="P74" s="63">
        <v>168859</v>
      </c>
      <c r="Q74" s="63">
        <v>842492</v>
      </c>
      <c r="R74" s="63">
        <v>312674</v>
      </c>
      <c r="S74" s="74">
        <v>12.75346</v>
      </c>
      <c r="T74" s="74">
        <v>63.631120000000003</v>
      </c>
      <c r="U74" s="74">
        <v>23.61542</v>
      </c>
      <c r="V74" s="63">
        <v>86440</v>
      </c>
      <c r="W74" s="63">
        <v>428562</v>
      </c>
      <c r="X74" s="63">
        <v>137918</v>
      </c>
      <c r="Y74" s="74">
        <v>13.238989999999999</v>
      </c>
      <c r="Z74" s="74">
        <v>65.637749999999997</v>
      </c>
      <c r="AA74" s="74">
        <v>21.123259999999998</v>
      </c>
      <c r="AB74" s="63">
        <v>82419</v>
      </c>
      <c r="AC74" s="63">
        <v>413930</v>
      </c>
      <c r="AD74" s="63">
        <v>174756</v>
      </c>
      <c r="AE74" s="74">
        <v>12.281090000000001</v>
      </c>
      <c r="AF74" s="74">
        <v>61.678870000000003</v>
      </c>
      <c r="AG74" s="74">
        <v>26.040040000000001</v>
      </c>
      <c r="AH74" s="74">
        <v>97.290289999999999</v>
      </c>
      <c r="AI74" s="63">
        <v>1297097</v>
      </c>
      <c r="AJ74" s="63">
        <v>26928</v>
      </c>
      <c r="AK74" s="63">
        <v>582475</v>
      </c>
      <c r="AL74" s="63">
        <v>581501</v>
      </c>
      <c r="AM74" s="63">
        <v>974</v>
      </c>
      <c r="AN74" s="63">
        <v>533209</v>
      </c>
      <c r="AO74" s="63">
        <v>581501</v>
      </c>
      <c r="AP74" s="63">
        <v>339900</v>
      </c>
      <c r="AQ74" s="63">
        <v>114595</v>
      </c>
      <c r="AR74" s="63">
        <v>176382</v>
      </c>
      <c r="AS74" s="63">
        <v>7475</v>
      </c>
      <c r="AT74" s="63">
        <v>41448</v>
      </c>
      <c r="AU74" s="63">
        <v>211174</v>
      </c>
      <c r="AV74" s="63">
        <v>55934</v>
      </c>
      <c r="AW74" s="63">
        <v>59544</v>
      </c>
      <c r="AX74" s="63">
        <v>13811</v>
      </c>
    </row>
    <row r="75" spans="1:50" x14ac:dyDescent="0.55000000000000004">
      <c r="A75" s="73" t="s">
        <v>365</v>
      </c>
      <c r="B75" s="64" t="s">
        <v>366</v>
      </c>
      <c r="C75" t="s">
        <v>363</v>
      </c>
      <c r="D75" s="2" t="s">
        <v>364</v>
      </c>
      <c r="E75" s="62" t="s">
        <v>441</v>
      </c>
      <c r="F75" s="63">
        <v>7344765</v>
      </c>
      <c r="G75" s="63">
        <v>3652169</v>
      </c>
      <c r="H75" s="63">
        <v>3692596</v>
      </c>
      <c r="I75" s="63">
        <v>7266534</v>
      </c>
      <c r="J75" s="68">
        <v>78231</v>
      </c>
      <c r="K75" s="65">
        <v>1.0765899999999999</v>
      </c>
      <c r="L75" s="66">
        <v>3797.75</v>
      </c>
      <c r="M75" s="67">
        <v>1934</v>
      </c>
      <c r="N75" s="74">
        <v>46.837260000000001</v>
      </c>
      <c r="O75" s="74">
        <v>47.726059999999997</v>
      </c>
      <c r="P75" s="63">
        <v>872859</v>
      </c>
      <c r="Q75" s="63">
        <v>4488130</v>
      </c>
      <c r="R75" s="63">
        <v>1983776</v>
      </c>
      <c r="S75" s="74">
        <v>11.8841</v>
      </c>
      <c r="T75" s="74">
        <v>61.106520000000003</v>
      </c>
      <c r="U75" s="74">
        <v>27.00939</v>
      </c>
      <c r="V75" s="63">
        <v>446651</v>
      </c>
      <c r="W75" s="63">
        <v>2310824</v>
      </c>
      <c r="X75" s="63">
        <v>894694</v>
      </c>
      <c r="Y75" s="74">
        <v>12.229749999999999</v>
      </c>
      <c r="Z75" s="74">
        <v>63.272649999999999</v>
      </c>
      <c r="AA75" s="74">
        <v>24.497610000000002</v>
      </c>
      <c r="AB75" s="63">
        <v>426208</v>
      </c>
      <c r="AC75" s="63">
        <v>2177306</v>
      </c>
      <c r="AD75" s="63">
        <v>1089082</v>
      </c>
      <c r="AE75" s="74">
        <v>11.54223</v>
      </c>
      <c r="AF75" s="74">
        <v>58.964100000000002</v>
      </c>
      <c r="AG75" s="74">
        <v>29.493670000000002</v>
      </c>
      <c r="AH75" s="74">
        <v>98.905190000000005</v>
      </c>
      <c r="AI75" s="63">
        <v>7159087</v>
      </c>
      <c r="AJ75" s="63">
        <v>185678</v>
      </c>
      <c r="AK75" s="63">
        <v>3162743</v>
      </c>
      <c r="AL75" s="63">
        <v>3157627</v>
      </c>
      <c r="AM75" s="63">
        <v>5116</v>
      </c>
      <c r="AN75" s="63">
        <v>2971659</v>
      </c>
      <c r="AO75" s="63">
        <v>3157627</v>
      </c>
      <c r="AP75" s="63">
        <v>1849525</v>
      </c>
      <c r="AQ75" s="63">
        <v>650271</v>
      </c>
      <c r="AR75" s="63">
        <v>911592</v>
      </c>
      <c r="AS75" s="63">
        <v>47929</v>
      </c>
      <c r="AT75" s="63">
        <v>239733</v>
      </c>
      <c r="AU75" s="63">
        <v>1072139</v>
      </c>
      <c r="AV75" s="63">
        <v>332963</v>
      </c>
      <c r="AW75" s="63">
        <v>376464</v>
      </c>
      <c r="AX75" s="63">
        <v>105717</v>
      </c>
    </row>
  </sheetData>
  <autoFilter ref="A1:AX75" xr:uid="{7C915BDC-0E50-4EB6-95A0-CC74E8AA64C6}">
    <sortState xmlns:xlrd2="http://schemas.microsoft.com/office/spreadsheetml/2017/richdata2" ref="A2:AX75">
      <sortCondition ref="A1:A75"/>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33"/>
  <sheetViews>
    <sheetView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F1" s="57" t="s">
        <v>555</v>
      </c>
      <c r="G1" s="57"/>
      <c r="I1" s="57"/>
      <c r="M1" s="57"/>
      <c r="Q1" s="57" t="s">
        <v>556</v>
      </c>
      <c r="V1" s="57"/>
      <c r="AF1" s="57" t="s">
        <v>554</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340</v>
      </c>
    </row>
    <row r="13" spans="1:33" ht="21" customHeight="1" x14ac:dyDescent="0.55000000000000004">
      <c r="F13" s="32" t="s">
        <v>180</v>
      </c>
      <c r="G13" s="23" t="s">
        <v>339</v>
      </c>
    </row>
    <row r="15" spans="1:33" ht="21" customHeight="1" thickBot="1" x14ac:dyDescent="0.45">
      <c r="F15" s="45" t="s">
        <v>194</v>
      </c>
      <c r="Q15" s="45" t="s">
        <v>195</v>
      </c>
    </row>
    <row r="16" spans="1:33" ht="21" customHeight="1" thickTop="1" thickBot="1" x14ac:dyDescent="0.6">
      <c r="A16" s="57" t="s">
        <v>346</v>
      </c>
      <c r="F16" s="105" t="s">
        <v>237</v>
      </c>
      <c r="G16" s="106"/>
      <c r="H16" s="106"/>
      <c r="I16" s="106"/>
      <c r="J16" s="106"/>
      <c r="K16" s="106"/>
      <c r="L16" s="106"/>
      <c r="M16" s="106"/>
      <c r="N16" s="106"/>
      <c r="O16" s="107"/>
      <c r="Q16" s="105" t="s">
        <v>320</v>
      </c>
      <c r="R16" s="106"/>
      <c r="S16" s="106"/>
      <c r="T16" s="107"/>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341</v>
      </c>
    </row>
    <row r="27" spans="1:33" ht="21" customHeight="1" x14ac:dyDescent="0.55000000000000004">
      <c r="F27" s="32"/>
      <c r="G27" s="32" t="s">
        <v>180</v>
      </c>
      <c r="H27" s="23" t="s">
        <v>342</v>
      </c>
    </row>
    <row r="28" spans="1:33" ht="21" customHeight="1" x14ac:dyDescent="0.55000000000000004">
      <c r="F28" s="32"/>
    </row>
    <row r="29" spans="1:33" ht="21" customHeight="1" x14ac:dyDescent="0.55000000000000004">
      <c r="G29" s="23" t="s">
        <v>239</v>
      </c>
    </row>
    <row r="30" spans="1:33" ht="21" customHeight="1" thickBot="1" x14ac:dyDescent="0.45">
      <c r="F30" s="45" t="s">
        <v>194</v>
      </c>
      <c r="Q30" s="45" t="s">
        <v>196</v>
      </c>
    </row>
    <row r="31" spans="1:33" ht="21" customHeight="1" thickTop="1" thickBot="1" x14ac:dyDescent="0.6">
      <c r="A31" s="57" t="s">
        <v>358</v>
      </c>
      <c r="F31" s="105" t="s">
        <v>193</v>
      </c>
      <c r="G31" s="106"/>
      <c r="H31" s="106"/>
      <c r="I31" s="106"/>
      <c r="J31" s="106"/>
      <c r="K31" s="106"/>
      <c r="L31" s="106"/>
      <c r="M31" s="106"/>
      <c r="N31" s="106"/>
      <c r="O31" s="107"/>
      <c r="Q31" s="105" t="s">
        <v>327</v>
      </c>
      <c r="R31" s="107"/>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188</v>
      </c>
    </row>
    <row r="47" spans="4:33" ht="21" customHeight="1" x14ac:dyDescent="0.55000000000000004">
      <c r="F47" s="32"/>
      <c r="P47" s="49" t="s">
        <v>247</v>
      </c>
      <c r="Q47" s="49"/>
      <c r="R47" s="49"/>
      <c r="S47" s="49"/>
      <c r="T47" s="23" t="s">
        <v>344</v>
      </c>
    </row>
    <row r="48" spans="4:33" ht="21" customHeight="1" x14ac:dyDescent="0.55000000000000004">
      <c r="F48" s="32"/>
      <c r="P48" s="32" t="s">
        <v>180</v>
      </c>
      <c r="Q48" s="23" t="s">
        <v>343</v>
      </c>
    </row>
    <row r="49" spans="1:20" ht="21" customHeight="1" x14ac:dyDescent="0.55000000000000004">
      <c r="F49" s="32"/>
    </row>
    <row r="50" spans="1:20" ht="21" customHeight="1" thickBot="1" x14ac:dyDescent="0.45">
      <c r="F50" s="32"/>
      <c r="Q50" s="45" t="s">
        <v>197</v>
      </c>
    </row>
    <row r="51" spans="1:20" ht="21" customHeight="1" thickTop="1" thickBot="1" x14ac:dyDescent="0.6">
      <c r="A51" s="57" t="s">
        <v>615</v>
      </c>
      <c r="F51" s="32"/>
      <c r="Q51" s="105" t="s">
        <v>332</v>
      </c>
      <c r="R51" s="107"/>
    </row>
    <row r="52" spans="1:20" ht="21" customHeight="1" thickTop="1" x14ac:dyDescent="0.55000000000000004">
      <c r="E52" s="23" t="s">
        <v>618</v>
      </c>
    </row>
    <row r="53" spans="1:20" ht="21" customHeight="1" thickBot="1" x14ac:dyDescent="0.6">
      <c r="E53" s="42"/>
      <c r="F53" s="59" t="s">
        <v>163</v>
      </c>
      <c r="G53" s="60" t="s">
        <v>164</v>
      </c>
      <c r="H53" s="60" t="s">
        <v>165</v>
      </c>
      <c r="I53" s="60" t="s">
        <v>166</v>
      </c>
      <c r="J53" s="42"/>
    </row>
    <row r="54" spans="1:20" ht="21" customHeight="1" x14ac:dyDescent="0.55000000000000004">
      <c r="A54" s="57" t="s">
        <v>357</v>
      </c>
      <c r="E54" s="58">
        <v>1</v>
      </c>
      <c r="F54" s="20"/>
      <c r="G54" s="117" t="s">
        <v>172</v>
      </c>
      <c r="H54" s="117"/>
      <c r="I54" s="118"/>
      <c r="J54" s="42"/>
    </row>
    <row r="55" spans="1:20" ht="21" customHeight="1" x14ac:dyDescent="0.55000000000000004">
      <c r="E55" s="58">
        <v>2</v>
      </c>
      <c r="F55" s="126" t="s">
        <v>173</v>
      </c>
      <c r="G55" s="127"/>
      <c r="H55" s="127"/>
      <c r="I55" s="128"/>
      <c r="J55" s="42"/>
    </row>
    <row r="56" spans="1:20" ht="21" customHeight="1" x14ac:dyDescent="0.55000000000000004">
      <c r="E56" s="58">
        <v>3</v>
      </c>
      <c r="F56" s="129"/>
      <c r="G56" s="130"/>
      <c r="H56" s="130"/>
      <c r="I56" s="131"/>
      <c r="J56" s="42"/>
    </row>
    <row r="57" spans="1:20" ht="21" customHeight="1" thickBot="1" x14ac:dyDescent="0.6">
      <c r="A57" s="57"/>
      <c r="E57" s="58">
        <v>4</v>
      </c>
      <c r="F57" s="135"/>
      <c r="G57" s="136"/>
      <c r="H57" s="136"/>
      <c r="I57" s="137"/>
      <c r="J57" s="42"/>
    </row>
    <row r="58" spans="1:20" ht="21" customHeight="1" x14ac:dyDescent="0.55000000000000004">
      <c r="E58" s="42"/>
      <c r="F58" s="42"/>
      <c r="G58" s="42"/>
      <c r="H58" s="42"/>
      <c r="I58" s="42"/>
      <c r="J58" s="42"/>
    </row>
    <row r="59" spans="1:20" ht="21" customHeight="1" thickBot="1" x14ac:dyDescent="0.45">
      <c r="Q59" s="45" t="s">
        <v>612</v>
      </c>
    </row>
    <row r="60" spans="1:20" ht="21" customHeight="1" thickTop="1" thickBot="1" x14ac:dyDescent="0.6">
      <c r="A60" s="57" t="s">
        <v>617</v>
      </c>
      <c r="Q60" s="105" t="s">
        <v>616</v>
      </c>
      <c r="R60" s="106"/>
      <c r="S60" s="106"/>
      <c r="T60" s="107"/>
    </row>
    <row r="61" spans="1:20" ht="21" customHeight="1" thickTop="1" x14ac:dyDescent="0.55000000000000004">
      <c r="Q61" s="81" t="s">
        <v>608</v>
      </c>
    </row>
    <row r="63" spans="1:20" ht="21" customHeight="1" x14ac:dyDescent="0.55000000000000004">
      <c r="G63" s="23" t="s">
        <v>240</v>
      </c>
    </row>
    <row r="66" spans="1:33" ht="21" customHeight="1" x14ac:dyDescent="0.55000000000000004">
      <c r="D66" s="31" t="s">
        <v>186</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row>
    <row r="68" spans="1:33" ht="21" customHeight="1" x14ac:dyDescent="0.55000000000000004">
      <c r="F68" s="32" t="s">
        <v>180</v>
      </c>
      <c r="G68" s="23" t="s">
        <v>190</v>
      </c>
    </row>
    <row r="69" spans="1:33" ht="21" customHeight="1" x14ac:dyDescent="0.55000000000000004">
      <c r="G69" s="23" t="s">
        <v>610</v>
      </c>
    </row>
    <row r="70" spans="1:33" ht="21" customHeight="1" thickBot="1" x14ac:dyDescent="0.45">
      <c r="Q70" s="45" t="s">
        <v>197</v>
      </c>
    </row>
    <row r="71" spans="1:33" ht="21" customHeight="1" thickTop="1" thickBot="1" x14ac:dyDescent="0.6">
      <c r="A71" s="57" t="s">
        <v>606</v>
      </c>
      <c r="Q71" s="105" t="s">
        <v>333</v>
      </c>
      <c r="R71" s="107"/>
    </row>
    <row r="72" spans="1:33" ht="21" customHeight="1" thickTop="1" x14ac:dyDescent="0.55000000000000004">
      <c r="Q72" s="81" t="s">
        <v>607</v>
      </c>
    </row>
    <row r="73" spans="1:33" ht="21" customHeight="1" x14ac:dyDescent="0.55000000000000004">
      <c r="E73" s="58"/>
      <c r="F73" s="59" t="s">
        <v>163</v>
      </c>
      <c r="G73" s="60" t="s">
        <v>164</v>
      </c>
      <c r="H73" s="60" t="s">
        <v>165</v>
      </c>
      <c r="I73" s="60" t="s">
        <v>166</v>
      </c>
      <c r="J73" s="60" t="s">
        <v>167</v>
      </c>
      <c r="K73" s="60" t="s">
        <v>168</v>
      </c>
      <c r="L73" s="60" t="s">
        <v>169</v>
      </c>
      <c r="M73" s="60" t="s">
        <v>170</v>
      </c>
      <c r="N73" s="61"/>
    </row>
    <row r="74" spans="1:33" ht="21" customHeight="1" x14ac:dyDescent="0.55000000000000004">
      <c r="A74" s="57" t="s">
        <v>356</v>
      </c>
      <c r="E74" s="58">
        <v>1</v>
      </c>
      <c r="F74" s="23" t="s">
        <v>191</v>
      </c>
      <c r="G74" s="132" t="s">
        <v>178</v>
      </c>
      <c r="H74" s="132"/>
      <c r="I74" s="132"/>
      <c r="J74" s="133" t="s">
        <v>177</v>
      </c>
      <c r="K74" s="133"/>
      <c r="L74" s="134" t="s">
        <v>179</v>
      </c>
      <c r="M74" s="134"/>
      <c r="N74" s="43"/>
    </row>
    <row r="75" spans="1:33" ht="21" customHeight="1" x14ac:dyDescent="0.55000000000000004">
      <c r="E75" s="58">
        <v>2</v>
      </c>
      <c r="F75" s="23">
        <v>1</v>
      </c>
      <c r="G75" s="123"/>
      <c r="H75" s="123"/>
      <c r="I75" s="123"/>
      <c r="J75" s="124"/>
      <c r="K75" s="124"/>
      <c r="L75" s="125"/>
      <c r="M75" s="125"/>
      <c r="N75" s="43"/>
    </row>
    <row r="76" spans="1:33" ht="21" customHeight="1" x14ac:dyDescent="0.55000000000000004">
      <c r="E76" s="58">
        <v>3</v>
      </c>
      <c r="F76" s="23">
        <v>2</v>
      </c>
      <c r="G76" s="123"/>
      <c r="H76" s="123"/>
      <c r="I76" s="123"/>
      <c r="J76" s="124"/>
      <c r="K76" s="124"/>
      <c r="L76" s="125"/>
      <c r="M76" s="125"/>
      <c r="N76" s="43"/>
    </row>
    <row r="77" spans="1:33" ht="21" customHeight="1" x14ac:dyDescent="0.55000000000000004">
      <c r="E77" s="58">
        <v>4</v>
      </c>
      <c r="F77" s="23">
        <v>3</v>
      </c>
      <c r="G77" s="123"/>
      <c r="H77" s="123"/>
      <c r="I77" s="123"/>
      <c r="J77" s="124"/>
      <c r="K77" s="124"/>
      <c r="L77" s="125"/>
      <c r="M77" s="125"/>
      <c r="N77" s="43"/>
    </row>
    <row r="78" spans="1:33" ht="21" customHeight="1" x14ac:dyDescent="0.55000000000000004">
      <c r="E78" s="58">
        <v>5</v>
      </c>
      <c r="F78" s="23">
        <v>4</v>
      </c>
      <c r="G78" s="123"/>
      <c r="H78" s="123"/>
      <c r="I78" s="123"/>
      <c r="J78" s="124"/>
      <c r="K78" s="124"/>
      <c r="L78" s="125"/>
      <c r="M78" s="125"/>
      <c r="N78" s="43"/>
    </row>
    <row r="79" spans="1:33" ht="21" customHeight="1" x14ac:dyDescent="0.55000000000000004">
      <c r="E79" s="58">
        <v>6</v>
      </c>
      <c r="F79" s="23">
        <v>5</v>
      </c>
      <c r="G79" s="123"/>
      <c r="H79" s="123"/>
      <c r="I79" s="123"/>
      <c r="J79" s="124"/>
      <c r="K79" s="124"/>
      <c r="L79" s="125"/>
      <c r="M79" s="125"/>
      <c r="N79" s="43"/>
    </row>
    <row r="80" spans="1:33" ht="21" customHeight="1" x14ac:dyDescent="0.55000000000000004">
      <c r="E80" s="58">
        <v>7</v>
      </c>
      <c r="F80" s="23">
        <v>6</v>
      </c>
      <c r="G80" s="123"/>
      <c r="H80" s="123"/>
      <c r="I80" s="123"/>
      <c r="J80" s="124"/>
      <c r="K80" s="124"/>
      <c r="L80" s="125"/>
      <c r="M80" s="125"/>
      <c r="N80" s="43"/>
    </row>
    <row r="81" spans="1:14" ht="21" customHeight="1" x14ac:dyDescent="0.55000000000000004">
      <c r="E81" s="58">
        <v>8</v>
      </c>
      <c r="F81" s="23">
        <v>7</v>
      </c>
      <c r="G81" s="123"/>
      <c r="H81" s="123"/>
      <c r="I81" s="123"/>
      <c r="J81" s="124"/>
      <c r="K81" s="124"/>
      <c r="L81" s="125"/>
      <c r="M81" s="125"/>
      <c r="N81" s="43"/>
    </row>
    <row r="82" spans="1:14" ht="21" customHeight="1" x14ac:dyDescent="0.55000000000000004">
      <c r="E82" s="58">
        <v>9</v>
      </c>
      <c r="F82" s="23">
        <v>8</v>
      </c>
      <c r="G82" s="123"/>
      <c r="H82" s="123"/>
      <c r="I82" s="123"/>
      <c r="J82" s="124"/>
      <c r="K82" s="124"/>
      <c r="L82" s="125"/>
      <c r="M82" s="125"/>
      <c r="N82" s="43"/>
    </row>
    <row r="83" spans="1:14" ht="21" customHeight="1" x14ac:dyDescent="0.55000000000000004">
      <c r="E83" s="58">
        <v>10</v>
      </c>
      <c r="F83" s="23">
        <v>9</v>
      </c>
      <c r="G83" s="123"/>
      <c r="H83" s="123"/>
      <c r="I83" s="123"/>
      <c r="J83" s="124"/>
      <c r="K83" s="124"/>
      <c r="L83" s="125"/>
      <c r="M83" s="125"/>
      <c r="N83" s="43"/>
    </row>
    <row r="84" spans="1:14" ht="21" customHeight="1" x14ac:dyDescent="0.55000000000000004">
      <c r="E84" s="58">
        <v>11</v>
      </c>
      <c r="F84" s="23">
        <v>10</v>
      </c>
      <c r="G84" s="123"/>
      <c r="H84" s="123"/>
      <c r="I84" s="123"/>
      <c r="J84" s="124"/>
      <c r="K84" s="124"/>
      <c r="L84" s="125"/>
      <c r="M84" s="125"/>
      <c r="N84" s="43"/>
    </row>
    <row r="85" spans="1:14" ht="21" customHeight="1" x14ac:dyDescent="0.55000000000000004">
      <c r="E85" s="58">
        <v>12</v>
      </c>
      <c r="F85" s="23">
        <v>11</v>
      </c>
      <c r="G85" s="123"/>
      <c r="H85" s="123"/>
      <c r="I85" s="123"/>
      <c r="J85" s="124"/>
      <c r="K85" s="124"/>
      <c r="L85" s="125"/>
      <c r="M85" s="125"/>
      <c r="N85" s="43"/>
    </row>
    <row r="86" spans="1:14" ht="21" customHeight="1" x14ac:dyDescent="0.55000000000000004">
      <c r="E86" s="58">
        <v>13</v>
      </c>
      <c r="F86" s="23">
        <v>12</v>
      </c>
      <c r="G86" s="123"/>
      <c r="H86" s="123"/>
      <c r="I86" s="123"/>
      <c r="J86" s="124"/>
      <c r="K86" s="124"/>
      <c r="L86" s="125"/>
      <c r="M86" s="125"/>
      <c r="N86" s="43"/>
    </row>
    <row r="87" spans="1:14" ht="21" customHeight="1" x14ac:dyDescent="0.55000000000000004">
      <c r="E87" s="58">
        <v>14</v>
      </c>
      <c r="F87" s="23">
        <v>13</v>
      </c>
      <c r="G87" s="123"/>
      <c r="H87" s="123"/>
      <c r="I87" s="123"/>
      <c r="J87" s="124"/>
      <c r="K87" s="124"/>
      <c r="L87" s="125"/>
      <c r="M87" s="125"/>
      <c r="N87" s="43"/>
    </row>
    <row r="88" spans="1:14" ht="21" customHeight="1" x14ac:dyDescent="0.55000000000000004">
      <c r="E88" s="58">
        <v>15</v>
      </c>
      <c r="F88" s="23">
        <v>14</v>
      </c>
      <c r="G88" s="123"/>
      <c r="H88" s="123"/>
      <c r="I88" s="123"/>
      <c r="J88" s="124"/>
      <c r="K88" s="124"/>
      <c r="L88" s="125"/>
      <c r="M88" s="125"/>
      <c r="N88" s="43"/>
    </row>
    <row r="89" spans="1:14" ht="21" customHeight="1" x14ac:dyDescent="0.55000000000000004">
      <c r="E89" s="58">
        <v>16</v>
      </c>
      <c r="F89" s="23">
        <v>15</v>
      </c>
      <c r="G89" s="123"/>
      <c r="H89" s="123"/>
      <c r="I89" s="123"/>
      <c r="J89" s="124"/>
      <c r="K89" s="124"/>
      <c r="L89" s="125"/>
      <c r="M89" s="125"/>
      <c r="N89" s="43"/>
    </row>
    <row r="90" spans="1:14" ht="21" customHeight="1" x14ac:dyDescent="0.55000000000000004">
      <c r="E90" s="58">
        <v>17</v>
      </c>
      <c r="F90" s="23">
        <v>16</v>
      </c>
      <c r="G90" s="123"/>
      <c r="H90" s="123"/>
      <c r="I90" s="123"/>
      <c r="J90" s="124"/>
      <c r="K90" s="124"/>
      <c r="L90" s="125"/>
      <c r="M90" s="125"/>
      <c r="N90" s="43"/>
    </row>
    <row r="91" spans="1:14" ht="21" customHeight="1" x14ac:dyDescent="0.55000000000000004">
      <c r="E91" s="58">
        <v>18</v>
      </c>
      <c r="F91" s="23">
        <v>17</v>
      </c>
      <c r="G91" s="123"/>
      <c r="H91" s="123"/>
      <c r="I91" s="123"/>
      <c r="J91" s="124"/>
      <c r="K91" s="124"/>
      <c r="L91" s="125"/>
      <c r="M91" s="125"/>
      <c r="N91" s="43"/>
    </row>
    <row r="92" spans="1:14" ht="21" customHeight="1" x14ac:dyDescent="0.55000000000000004">
      <c r="E92" s="58">
        <v>19</v>
      </c>
      <c r="F92" s="23">
        <v>18</v>
      </c>
      <c r="G92" s="123"/>
      <c r="H92" s="123"/>
      <c r="I92" s="123"/>
      <c r="J92" s="124"/>
      <c r="K92" s="124"/>
      <c r="L92" s="125"/>
      <c r="M92" s="125"/>
      <c r="N92" s="43"/>
    </row>
    <row r="93" spans="1:14" ht="21" customHeight="1" x14ac:dyDescent="0.55000000000000004">
      <c r="E93" s="58">
        <v>20</v>
      </c>
      <c r="F93" s="23">
        <v>19</v>
      </c>
      <c r="G93" s="123"/>
      <c r="H93" s="123"/>
      <c r="I93" s="123"/>
      <c r="J93" s="124"/>
      <c r="K93" s="124"/>
      <c r="L93" s="125"/>
      <c r="M93" s="125"/>
      <c r="N93" s="43"/>
    </row>
    <row r="94" spans="1:14" ht="21" customHeight="1" x14ac:dyDescent="0.55000000000000004">
      <c r="A94" s="57"/>
      <c r="E94" s="58">
        <v>21</v>
      </c>
      <c r="F94" s="23">
        <v>20</v>
      </c>
      <c r="G94" s="123"/>
      <c r="H94" s="123"/>
      <c r="I94" s="123"/>
      <c r="J94" s="124"/>
      <c r="K94" s="124"/>
      <c r="L94" s="125"/>
      <c r="M94" s="125"/>
      <c r="N94" s="43"/>
    </row>
    <row r="95" spans="1:14" ht="21" customHeight="1" x14ac:dyDescent="0.55000000000000004">
      <c r="E95" s="58"/>
      <c r="F95" s="43"/>
      <c r="G95" s="43"/>
      <c r="H95" s="43"/>
      <c r="I95" s="43"/>
      <c r="J95" s="43"/>
      <c r="K95" s="43"/>
      <c r="L95" s="43"/>
      <c r="M95" s="43"/>
      <c r="N95" s="43"/>
    </row>
    <row r="97" spans="1:33" ht="21" customHeight="1" thickBot="1" x14ac:dyDescent="0.45">
      <c r="Q97" s="45" t="s">
        <v>612</v>
      </c>
    </row>
    <row r="98" spans="1:33" ht="21" customHeight="1" thickTop="1" thickBot="1" x14ac:dyDescent="0.6">
      <c r="A98" s="57" t="s">
        <v>611</v>
      </c>
      <c r="Q98" s="105" t="s">
        <v>614</v>
      </c>
      <c r="R98" s="106"/>
      <c r="S98" s="106"/>
      <c r="T98" s="107"/>
    </row>
    <row r="99" spans="1:33" ht="21" customHeight="1" thickTop="1" x14ac:dyDescent="0.55000000000000004">
      <c r="Q99" s="81" t="s">
        <v>608</v>
      </c>
    </row>
    <row r="100" spans="1:33" ht="21" customHeight="1" thickBot="1" x14ac:dyDescent="0.45">
      <c r="F100" s="45" t="s">
        <v>198</v>
      </c>
    </row>
    <row r="101" spans="1:33" ht="21" customHeight="1" thickTop="1" thickBot="1" x14ac:dyDescent="0.6">
      <c r="A101" s="57" t="s">
        <v>609</v>
      </c>
      <c r="F101" s="105" t="s">
        <v>558</v>
      </c>
      <c r="G101" s="106"/>
      <c r="H101" s="106"/>
      <c r="I101" s="107"/>
    </row>
    <row r="102" spans="1:33" ht="21" customHeight="1" thickTop="1" x14ac:dyDescent="0.55000000000000004">
      <c r="F102" s="81" t="s">
        <v>608</v>
      </c>
    </row>
    <row r="105" spans="1:33" ht="21" customHeight="1" x14ac:dyDescent="0.55000000000000004">
      <c r="D105" s="31" t="s">
        <v>186</v>
      </c>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row>
    <row r="107" spans="1:33" ht="21" customHeight="1" thickBot="1" x14ac:dyDescent="0.6">
      <c r="F107" s="32" t="s">
        <v>180</v>
      </c>
      <c r="G107" s="23" t="s">
        <v>181</v>
      </c>
    </row>
    <row r="108" spans="1:33" ht="21" customHeight="1" x14ac:dyDescent="0.55000000000000004">
      <c r="F108" s="33"/>
      <c r="G108" s="34"/>
      <c r="H108" s="34"/>
      <c r="I108" s="34"/>
      <c r="J108" s="34"/>
      <c r="K108" s="34"/>
      <c r="L108" s="34"/>
      <c r="M108" s="34"/>
      <c r="N108" s="35"/>
    </row>
    <row r="109" spans="1:33" ht="21" customHeight="1" x14ac:dyDescent="0.55000000000000004">
      <c r="F109" s="36"/>
      <c r="N109" s="37"/>
    </row>
    <row r="110" spans="1:33" ht="21" customHeight="1" x14ac:dyDescent="0.55000000000000004">
      <c r="F110" s="36"/>
      <c r="N110" s="37"/>
    </row>
    <row r="111" spans="1:33" ht="21" customHeight="1" thickBot="1" x14ac:dyDescent="0.6">
      <c r="F111" s="38"/>
      <c r="G111" s="39"/>
      <c r="H111" s="39"/>
      <c r="I111" s="39"/>
      <c r="J111" s="39"/>
      <c r="K111" s="39"/>
      <c r="L111" s="39"/>
      <c r="M111" s="39"/>
      <c r="N111" s="40"/>
    </row>
    <row r="130" spans="1:8" ht="21" customHeight="1" x14ac:dyDescent="0.55000000000000004">
      <c r="H130" s="23" t="s">
        <v>241</v>
      </c>
    </row>
    <row r="132" spans="1:8" ht="21" customHeight="1" x14ac:dyDescent="0.55000000000000004">
      <c r="B132" s="23" t="s">
        <v>178</v>
      </c>
    </row>
    <row r="133" spans="1:8" ht="21" customHeight="1" x14ac:dyDescent="0.55000000000000004">
      <c r="A133" s="57" t="s">
        <v>328</v>
      </c>
    </row>
  </sheetData>
  <mergeCells count="76">
    <mergeCell ref="Q98:T98"/>
    <mergeCell ref="Q51:R51"/>
    <mergeCell ref="Q60:T60"/>
    <mergeCell ref="F57:I57"/>
    <mergeCell ref="Q16:T16"/>
    <mergeCell ref="L76:M76"/>
    <mergeCell ref="G77:I77"/>
    <mergeCell ref="J77:K77"/>
    <mergeCell ref="L77:M77"/>
    <mergeCell ref="G78:I78"/>
    <mergeCell ref="J78:K78"/>
    <mergeCell ref="L78:M78"/>
    <mergeCell ref="G79:I79"/>
    <mergeCell ref="J79:K79"/>
    <mergeCell ref="L79:M79"/>
    <mergeCell ref="G80:I80"/>
    <mergeCell ref="F101:I101"/>
    <mergeCell ref="Q71:R71"/>
    <mergeCell ref="F16:O16"/>
    <mergeCell ref="F31:O31"/>
    <mergeCell ref="G54:I54"/>
    <mergeCell ref="F55:I55"/>
    <mergeCell ref="F56:I56"/>
    <mergeCell ref="G74:I74"/>
    <mergeCell ref="J74:K74"/>
    <mergeCell ref="L74:M74"/>
    <mergeCell ref="Q31:R31"/>
    <mergeCell ref="G75:I75"/>
    <mergeCell ref="J75:K75"/>
    <mergeCell ref="L75:M75"/>
    <mergeCell ref="G76:I76"/>
    <mergeCell ref="J76:K76"/>
    <mergeCell ref="J80:K80"/>
    <mergeCell ref="L80:M80"/>
    <mergeCell ref="G81:I81"/>
    <mergeCell ref="J81:K81"/>
    <mergeCell ref="L81:M81"/>
    <mergeCell ref="G82:I82"/>
    <mergeCell ref="J82:K82"/>
    <mergeCell ref="L82:M82"/>
    <mergeCell ref="G83:I83"/>
    <mergeCell ref="J83:K83"/>
    <mergeCell ref="L83:M83"/>
    <mergeCell ref="G84:I84"/>
    <mergeCell ref="J84:K84"/>
    <mergeCell ref="L84:M84"/>
    <mergeCell ref="G85:I85"/>
    <mergeCell ref="J85:K85"/>
    <mergeCell ref="L85:M85"/>
    <mergeCell ref="G86:I86"/>
    <mergeCell ref="J86:K86"/>
    <mergeCell ref="L86:M86"/>
    <mergeCell ref="G87:I87"/>
    <mergeCell ref="J87:K87"/>
    <mergeCell ref="L87:M87"/>
    <mergeCell ref="G88:I88"/>
    <mergeCell ref="J88:K88"/>
    <mergeCell ref="L88:M88"/>
    <mergeCell ref="G89:I89"/>
    <mergeCell ref="J89:K89"/>
    <mergeCell ref="L89:M89"/>
    <mergeCell ref="G90:I90"/>
    <mergeCell ref="J90:K90"/>
    <mergeCell ref="L90:M90"/>
    <mergeCell ref="G91:I91"/>
    <mergeCell ref="J91:K91"/>
    <mergeCell ref="L91:M91"/>
    <mergeCell ref="G94:I94"/>
    <mergeCell ref="J94:K94"/>
    <mergeCell ref="L94:M94"/>
    <mergeCell ref="G92:I92"/>
    <mergeCell ref="J92:K92"/>
    <mergeCell ref="L92:M92"/>
    <mergeCell ref="G93:I93"/>
    <mergeCell ref="J93:K93"/>
    <mergeCell ref="L93:M93"/>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107</xdr:row>
                    <xdr:rowOff>184150</xdr:rowOff>
                  </from>
                  <to>
                    <xdr:col>12</xdr:col>
                    <xdr:colOff>139700</xdr:colOff>
                    <xdr:row>110</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3734-BCE4-4221-A54D-0A1F789D140E}">
  <sheetPr codeName="Sheet2"/>
  <dimension ref="A1:CB40"/>
  <sheetViews>
    <sheetView workbookViewId="0"/>
  </sheetViews>
  <sheetFormatPr defaultColWidth="3.5" defaultRowHeight="21.15" customHeight="1" x14ac:dyDescent="0.55000000000000004"/>
  <sheetData>
    <row r="1" spans="1:80"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row>
    <row r="2" spans="1:80" ht="21.15" customHeight="1" thickBot="1" x14ac:dyDescent="0.6">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5"/>
    </row>
    <row r="3" spans="1:80" ht="21.15" customHeight="1" x14ac:dyDescent="0.55000000000000004">
      <c r="A3" s="85"/>
      <c r="B3" s="86"/>
      <c r="C3" s="99"/>
      <c r="D3" s="138" t="s">
        <v>225</v>
      </c>
      <c r="E3" s="139"/>
      <c r="F3" s="140"/>
      <c r="G3" s="87" t="s">
        <v>217</v>
      </c>
      <c r="H3" s="86"/>
      <c r="I3" s="86"/>
      <c r="J3" s="86"/>
      <c r="K3" s="87" t="s">
        <v>216</v>
      </c>
      <c r="L3" s="86"/>
      <c r="M3" s="86"/>
      <c r="N3" s="86"/>
      <c r="O3" s="87" t="s">
        <v>215</v>
      </c>
      <c r="P3" s="86"/>
      <c r="Q3" s="86"/>
      <c r="R3" s="86"/>
      <c r="S3" s="87" t="s">
        <v>214</v>
      </c>
      <c r="T3" s="86"/>
      <c r="U3" s="86"/>
      <c r="V3" s="86"/>
      <c r="W3" s="87" t="s">
        <v>213</v>
      </c>
      <c r="X3" s="86"/>
      <c r="Y3" s="86"/>
      <c r="Z3" s="86"/>
      <c r="AA3" s="87" t="s">
        <v>212</v>
      </c>
      <c r="AB3" s="86"/>
      <c r="AC3" s="86"/>
      <c r="AD3" s="86"/>
      <c r="AE3" s="87" t="s">
        <v>211</v>
      </c>
      <c r="AF3" s="86"/>
      <c r="AG3" s="86"/>
      <c r="AH3" s="86"/>
      <c r="AI3" s="87" t="s">
        <v>210</v>
      </c>
      <c r="AJ3" s="86"/>
      <c r="AK3" s="86"/>
      <c r="AL3" s="86"/>
      <c r="AM3" s="87" t="s">
        <v>209</v>
      </c>
      <c r="AN3" s="86"/>
      <c r="AO3" s="86"/>
      <c r="AP3" s="86"/>
      <c r="AQ3" s="87" t="s">
        <v>208</v>
      </c>
      <c r="AR3" s="86"/>
      <c r="AS3" s="86"/>
      <c r="AT3" s="86"/>
      <c r="AU3" s="87" t="s">
        <v>207</v>
      </c>
      <c r="AV3" s="86"/>
      <c r="AW3" s="86"/>
      <c r="AX3" s="86"/>
      <c r="AY3" s="87" t="s">
        <v>206</v>
      </c>
      <c r="AZ3" s="86"/>
      <c r="BA3" s="86"/>
      <c r="BB3" s="86"/>
      <c r="BC3" s="87" t="s">
        <v>205</v>
      </c>
      <c r="BD3" s="86"/>
      <c r="BE3" s="86"/>
      <c r="BF3" s="86"/>
      <c r="BG3" s="87" t="s">
        <v>204</v>
      </c>
      <c r="BH3" s="86"/>
      <c r="BI3" s="86"/>
      <c r="BJ3" s="86"/>
      <c r="BK3" s="87" t="s">
        <v>203</v>
      </c>
      <c r="BL3" s="86"/>
      <c r="BM3" s="86"/>
      <c r="BN3" s="86"/>
      <c r="BO3" s="87" t="s">
        <v>202</v>
      </c>
      <c r="BP3" s="86"/>
      <c r="BQ3" s="86"/>
      <c r="BR3" s="86"/>
      <c r="BS3" s="87" t="s">
        <v>201</v>
      </c>
      <c r="BT3" s="86"/>
      <c r="BU3" s="86"/>
      <c r="BV3" s="86"/>
      <c r="BW3" s="86"/>
      <c r="BX3" s="86"/>
      <c r="BY3" s="86"/>
      <c r="BZ3" s="86"/>
      <c r="CA3" s="86"/>
      <c r="CB3" s="85"/>
    </row>
    <row r="4" spans="1:80" ht="21.15" customHeight="1" x14ac:dyDescent="0.55000000000000004">
      <c r="A4" s="85"/>
      <c r="B4" s="86"/>
      <c r="C4" s="141" t="s">
        <v>242</v>
      </c>
      <c r="D4" s="142"/>
      <c r="E4" s="142"/>
      <c r="F4" s="143"/>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5"/>
    </row>
    <row r="5" spans="1:80" ht="21.15" customHeight="1" x14ac:dyDescent="0.55000000000000004">
      <c r="A5" s="85"/>
      <c r="B5" s="86"/>
      <c r="C5" s="144"/>
      <c r="D5" s="145"/>
      <c r="E5" s="145"/>
      <c r="F5" s="14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5"/>
    </row>
    <row r="6" spans="1:80" ht="21.15" customHeight="1" thickBot="1" x14ac:dyDescent="0.6">
      <c r="A6" s="85"/>
      <c r="B6" s="86"/>
      <c r="C6" s="147"/>
      <c r="D6" s="148"/>
      <c r="E6" s="148"/>
      <c r="F6" s="149"/>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5"/>
    </row>
    <row r="7" spans="1:80" ht="21.15" customHeight="1" x14ac:dyDescent="0.55000000000000004">
      <c r="A7" s="85"/>
      <c r="B7" s="86"/>
      <c r="C7" s="87" t="s">
        <v>200</v>
      </c>
      <c r="D7" s="86"/>
      <c r="E7" s="86"/>
      <c r="F7" s="86"/>
      <c r="G7" s="88">
        <v>1</v>
      </c>
      <c r="H7" s="138" t="str">
        <f>VLOOKUP(G7,市町村データ!A2:AX75,MATCH(手順書_市町村なまえ!$G$54, 市町村データ!A1:AX1, 0),FALSE)</f>
        <v>上里町</v>
      </c>
      <c r="I7" s="159"/>
      <c r="J7" s="160"/>
      <c r="K7" s="88">
        <v>2</v>
      </c>
      <c r="L7" s="138" t="str">
        <f>VLOOKUP(K7,市町村データ!A2:AX75,MATCH(手順書_市町村なまえ!$G$54, 市町村データ!A1:AX1, 0),FALSE)</f>
        <v>本庄市</v>
      </c>
      <c r="M7" s="159"/>
      <c r="N7" s="160"/>
      <c r="O7" s="88">
        <v>3</v>
      </c>
      <c r="P7" s="138" t="str">
        <f>VLOOKUP(O7,市町村データ!A2:AX75,MATCH(手順書_市町村なまえ!$G$54, 市町村データ!A1:AX1, 0),FALSE)</f>
        <v>深谷市</v>
      </c>
      <c r="Q7" s="159"/>
      <c r="R7" s="159"/>
      <c r="S7" s="89"/>
      <c r="T7" s="89"/>
      <c r="U7" s="89"/>
      <c r="V7" s="89"/>
      <c r="W7" s="88">
        <v>4</v>
      </c>
      <c r="X7" s="138" t="str">
        <f>VLOOKUP(W7,市町村データ!A2:AX75,MATCH(手順書_市町村なまえ!$G$54, 市町村データ!A1:AX1, 0),FALSE)</f>
        <v>熊谷市</v>
      </c>
      <c r="Y7" s="159"/>
      <c r="Z7" s="159"/>
      <c r="AA7" s="89"/>
      <c r="AB7" s="89"/>
      <c r="AC7" s="89"/>
      <c r="AD7" s="89"/>
      <c r="AE7" s="89"/>
      <c r="AF7" s="89"/>
      <c r="AG7" s="89"/>
      <c r="AH7" s="89"/>
      <c r="AI7" s="89"/>
      <c r="AJ7" s="89"/>
      <c r="AK7" s="89"/>
      <c r="AL7" s="89"/>
      <c r="AM7" s="89"/>
      <c r="AN7" s="89"/>
      <c r="AO7" s="89"/>
      <c r="AP7" s="89"/>
      <c r="AQ7" s="88">
        <v>5</v>
      </c>
      <c r="AR7" s="138" t="str">
        <f>VLOOKUP(AQ7,市町村データ!A2:AX75,MATCH(手順書_市町村なまえ!$G$54, 市町村データ!A1:AX1, 0),FALSE)</f>
        <v>行田市</v>
      </c>
      <c r="AS7" s="159"/>
      <c r="AT7" s="160"/>
      <c r="AU7" s="88">
        <v>6</v>
      </c>
      <c r="AV7" s="138" t="str">
        <f>VLOOKUP(AU7,市町村データ!A2:AX75,MATCH(手順書_市町村なまえ!$G$54, 市町村データ!A1:AX1, 0),FALSE)</f>
        <v>羽生市</v>
      </c>
      <c r="AW7" s="159"/>
      <c r="AX7" s="160"/>
      <c r="AY7" s="90"/>
      <c r="AZ7" s="86"/>
      <c r="BA7" s="86"/>
      <c r="BB7" s="86"/>
      <c r="BC7" s="86"/>
      <c r="BD7" s="86"/>
      <c r="BE7" s="86"/>
      <c r="BF7" s="86"/>
      <c r="BG7" s="86"/>
      <c r="BH7" s="86"/>
      <c r="BI7" s="86"/>
      <c r="BJ7" s="86"/>
      <c r="BK7" s="86"/>
      <c r="BL7" s="86"/>
      <c r="BM7" s="86"/>
      <c r="BN7" s="86"/>
      <c r="BO7" s="19"/>
      <c r="BP7" s="86"/>
      <c r="BQ7" s="86"/>
      <c r="BR7" s="86"/>
      <c r="BS7" s="86"/>
      <c r="BT7" s="86"/>
      <c r="BU7" s="86"/>
      <c r="BV7" s="86"/>
      <c r="BW7" s="86"/>
      <c r="BX7" s="86"/>
      <c r="BY7" s="86"/>
      <c r="BZ7" s="86"/>
      <c r="CA7" s="86"/>
      <c r="CB7" s="85"/>
    </row>
    <row r="8" spans="1:80" ht="21.15" customHeight="1" x14ac:dyDescent="0.55000000000000004">
      <c r="A8" s="85"/>
      <c r="B8" s="86"/>
      <c r="C8" s="86"/>
      <c r="D8" s="86"/>
      <c r="E8" s="86"/>
      <c r="F8" s="86"/>
      <c r="G8" s="156" t="str">
        <f>VLOOKUP(G7,市町村データ!A2:AX75,MATCH(手順書_市町村なまえ!$F$55, 市町村データ!A1:AX1, 0),FALSE)</f>
        <v>かみさとまち</v>
      </c>
      <c r="H8" s="157"/>
      <c r="I8" s="157"/>
      <c r="J8" s="158"/>
      <c r="K8" s="156" t="str">
        <f>VLOOKUP(K7,市町村データ!A2:AX75,MATCH(手順書_市町村なまえ!$F$55, 市町村データ!A1:AX1, 0),FALSE)</f>
        <v>ほんじょうし</v>
      </c>
      <c r="L8" s="157"/>
      <c r="M8" s="157"/>
      <c r="N8" s="158"/>
      <c r="O8" s="156" t="str">
        <f>VLOOKUP(O7,市町村データ!A2:AX75,MATCH(手順書_市町村なまえ!$F$55, 市町村データ!A1:AX1, 0),FALSE)</f>
        <v>ふかやし</v>
      </c>
      <c r="P8" s="157"/>
      <c r="Q8" s="157"/>
      <c r="R8" s="157"/>
      <c r="S8" s="86"/>
      <c r="T8" s="86"/>
      <c r="U8" s="86"/>
      <c r="V8" s="86"/>
      <c r="W8" s="156" t="str">
        <f>VLOOKUP(W7,市町村データ!A2:AX75,MATCH(手順書_市町村なまえ!$F$55, 市町村データ!A1:AX1, 0),FALSE)</f>
        <v>くまがやし</v>
      </c>
      <c r="X8" s="157"/>
      <c r="Y8" s="157"/>
      <c r="Z8" s="157"/>
      <c r="AA8" s="86"/>
      <c r="AB8" s="86"/>
      <c r="AC8" s="86"/>
      <c r="AD8" s="86"/>
      <c r="AE8" s="86"/>
      <c r="AF8" s="86"/>
      <c r="AG8" s="86"/>
      <c r="AH8" s="86"/>
      <c r="AI8" s="86"/>
      <c r="AJ8" s="86"/>
      <c r="AK8" s="86"/>
      <c r="AL8" s="86"/>
      <c r="AM8" s="86"/>
      <c r="AN8" s="86"/>
      <c r="AO8" s="86"/>
      <c r="AP8" s="86"/>
      <c r="AQ8" s="156" t="str">
        <f>VLOOKUP(AQ7,市町村データ!A2:AX75,MATCH(手順書_市町村なまえ!$F$55, 市町村データ!A1:AX1, 0),FALSE)</f>
        <v>ぎょうだし</v>
      </c>
      <c r="AR8" s="157"/>
      <c r="AS8" s="157"/>
      <c r="AT8" s="158"/>
      <c r="AU8" s="156" t="str">
        <f>VLOOKUP(AU7,市町村データ!A2:AX75,MATCH(手順書_市町村なまえ!$F$55, 市町村データ!A1:AX1, 0),FALSE)</f>
        <v>はにゅうし</v>
      </c>
      <c r="AV8" s="157"/>
      <c r="AW8" s="157"/>
      <c r="AX8" s="158"/>
      <c r="AY8" s="90"/>
      <c r="AZ8" s="86"/>
      <c r="BA8" s="86"/>
      <c r="BB8" s="86"/>
      <c r="BC8" s="86"/>
      <c r="BD8" s="86"/>
      <c r="BE8" s="86"/>
      <c r="BF8" s="86"/>
      <c r="BG8" s="86"/>
      <c r="BH8" s="86"/>
      <c r="BI8" s="86"/>
      <c r="BJ8" s="86"/>
      <c r="BK8" s="86"/>
      <c r="BL8" s="86"/>
      <c r="BM8" s="86"/>
      <c r="BN8" s="86"/>
      <c r="BO8" s="86"/>
      <c r="BP8" s="86"/>
      <c r="BQ8" s="86"/>
      <c r="BR8" s="86"/>
      <c r="BS8" s="86"/>
      <c r="BT8" s="86"/>
      <c r="BU8" s="86"/>
      <c r="BV8" s="86"/>
      <c r="BW8" s="91"/>
      <c r="BX8" s="86"/>
      <c r="BY8" s="86"/>
      <c r="BZ8" s="86"/>
      <c r="CA8" s="86"/>
      <c r="CB8" s="85"/>
    </row>
    <row r="9" spans="1:80" ht="21.15" customHeight="1" x14ac:dyDescent="0.55000000000000004">
      <c r="A9" s="85"/>
      <c r="B9" s="86"/>
      <c r="C9" s="86"/>
      <c r="D9" s="86"/>
      <c r="E9" s="86"/>
      <c r="F9" s="86"/>
      <c r="G9" s="150"/>
      <c r="H9" s="151"/>
      <c r="I9" s="151"/>
      <c r="J9" s="152"/>
      <c r="K9" s="150"/>
      <c r="L9" s="151"/>
      <c r="M9" s="151"/>
      <c r="N9" s="152"/>
      <c r="O9" s="150"/>
      <c r="P9" s="151"/>
      <c r="Q9" s="151"/>
      <c r="R9" s="151"/>
      <c r="S9" s="86"/>
      <c r="T9" s="86"/>
      <c r="U9" s="86"/>
      <c r="V9" s="86"/>
      <c r="W9" s="150"/>
      <c r="X9" s="151"/>
      <c r="Y9" s="151"/>
      <c r="Z9" s="151"/>
      <c r="AA9" s="86"/>
      <c r="AB9" s="86"/>
      <c r="AC9" s="86"/>
      <c r="AD9" s="86"/>
      <c r="AE9" s="86"/>
      <c r="AF9" s="86"/>
      <c r="AG9" s="86"/>
      <c r="AH9" s="86"/>
      <c r="AI9" s="86"/>
      <c r="AJ9" s="86"/>
      <c r="AK9" s="86"/>
      <c r="AL9" s="86"/>
      <c r="AM9" s="86"/>
      <c r="AN9" s="86"/>
      <c r="AO9" s="86"/>
      <c r="AP9" s="86"/>
      <c r="AQ9" s="150"/>
      <c r="AR9" s="151"/>
      <c r="AS9" s="151"/>
      <c r="AT9" s="152"/>
      <c r="AU9" s="150"/>
      <c r="AV9" s="151"/>
      <c r="AW9" s="151"/>
      <c r="AX9" s="152"/>
      <c r="AY9" s="90"/>
      <c r="AZ9" s="86"/>
      <c r="BA9" s="86"/>
      <c r="BB9" s="86"/>
      <c r="BC9" s="86"/>
      <c r="BD9" s="86"/>
      <c r="BE9" s="86"/>
      <c r="BF9" s="86"/>
      <c r="BG9" s="86"/>
      <c r="BH9" s="86"/>
      <c r="BI9" s="86"/>
      <c r="BJ9" s="86"/>
      <c r="BK9" s="86"/>
      <c r="BL9" s="86"/>
      <c r="BM9" s="86"/>
      <c r="BN9" s="86"/>
      <c r="BO9" s="86"/>
      <c r="BP9" s="86"/>
      <c r="BQ9" s="86"/>
      <c r="BR9" s="86"/>
      <c r="BS9" s="86"/>
      <c r="BT9" s="86"/>
      <c r="BU9" s="86"/>
      <c r="BV9" s="86"/>
      <c r="BW9" s="91"/>
      <c r="BX9" s="86"/>
      <c r="BY9" s="86"/>
      <c r="BZ9" s="86"/>
      <c r="CA9" s="86"/>
      <c r="CB9" s="85"/>
    </row>
    <row r="10" spans="1:80" ht="21.15" customHeight="1" thickBot="1" x14ac:dyDescent="0.6">
      <c r="A10" s="85"/>
      <c r="B10" s="86"/>
      <c r="C10" s="86"/>
      <c r="D10" s="86"/>
      <c r="E10" s="86"/>
      <c r="F10" s="86"/>
      <c r="G10" s="153"/>
      <c r="H10" s="154"/>
      <c r="I10" s="154"/>
      <c r="J10" s="155"/>
      <c r="K10" s="164"/>
      <c r="L10" s="151"/>
      <c r="M10" s="151"/>
      <c r="N10" s="152"/>
      <c r="O10" s="153"/>
      <c r="P10" s="154"/>
      <c r="Q10" s="154"/>
      <c r="R10" s="154"/>
      <c r="S10" s="86"/>
      <c r="T10" s="86"/>
      <c r="U10" s="86"/>
      <c r="V10" s="86"/>
      <c r="W10" s="164"/>
      <c r="X10" s="151"/>
      <c r="Y10" s="151"/>
      <c r="Z10" s="151"/>
      <c r="AA10" s="86"/>
      <c r="AB10" s="86"/>
      <c r="AC10" s="86"/>
      <c r="AD10" s="86"/>
      <c r="AE10" s="86"/>
      <c r="AF10" s="86"/>
      <c r="AG10" s="86"/>
      <c r="AH10" s="86"/>
      <c r="AI10" s="86"/>
      <c r="AJ10" s="86"/>
      <c r="AK10" s="86"/>
      <c r="AL10" s="86"/>
      <c r="AM10" s="86"/>
      <c r="AN10" s="86"/>
      <c r="AO10" s="86"/>
      <c r="AP10" s="86"/>
      <c r="AQ10" s="153"/>
      <c r="AR10" s="154"/>
      <c r="AS10" s="154"/>
      <c r="AT10" s="155"/>
      <c r="AU10" s="153"/>
      <c r="AV10" s="154"/>
      <c r="AW10" s="154"/>
      <c r="AX10" s="155"/>
      <c r="AY10" s="90"/>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91"/>
      <c r="BX10" s="86"/>
      <c r="BY10" s="86"/>
      <c r="BZ10" s="86"/>
      <c r="CA10" s="86"/>
      <c r="CB10" s="85"/>
    </row>
    <row r="11" spans="1:80" ht="21.15" customHeight="1" x14ac:dyDescent="0.55000000000000004">
      <c r="A11" s="85"/>
      <c r="B11" s="86"/>
      <c r="C11" s="87" t="s">
        <v>218</v>
      </c>
      <c r="D11" s="86"/>
      <c r="E11" s="86"/>
      <c r="F11" s="86"/>
      <c r="G11" s="88">
        <v>7</v>
      </c>
      <c r="H11" s="138" t="str">
        <f>VLOOKUP(G11,市町村データ!A2:AX75,MATCH(手順書_市町村なまえ!$G$54, 市町村データ!A1:AX1, 0),FALSE)</f>
        <v>神川町</v>
      </c>
      <c r="I11" s="159"/>
      <c r="J11" s="160"/>
      <c r="K11" s="90"/>
      <c r="L11" s="86"/>
      <c r="M11" s="86"/>
      <c r="N11" s="86"/>
      <c r="O11" s="88">
        <v>8</v>
      </c>
      <c r="P11" s="138" t="str">
        <f>VLOOKUP(O11,市町村データ!A2:AX75,MATCH(手順書_市町村なまえ!$G$54, 市町村データ!A1:AX1, 0),FALSE)</f>
        <v>美里町</v>
      </c>
      <c r="Q11" s="159"/>
      <c r="R11" s="160"/>
      <c r="S11" s="90"/>
      <c r="T11" s="86"/>
      <c r="U11" s="86"/>
      <c r="V11" s="86"/>
      <c r="W11" s="90"/>
      <c r="X11" s="86"/>
      <c r="Y11" s="86"/>
      <c r="Z11" s="86"/>
      <c r="AA11" s="86"/>
      <c r="AB11" s="86"/>
      <c r="AC11" s="86"/>
      <c r="AD11" s="86"/>
      <c r="AE11" s="86"/>
      <c r="AF11" s="86"/>
      <c r="AG11" s="86"/>
      <c r="AH11" s="86"/>
      <c r="AI11" s="86"/>
      <c r="AJ11" s="86"/>
      <c r="AK11" s="86"/>
      <c r="AL11" s="86"/>
      <c r="AM11" s="86"/>
      <c r="AN11" s="86"/>
      <c r="AO11" s="86"/>
      <c r="AP11" s="86"/>
      <c r="AQ11" s="88">
        <v>9</v>
      </c>
      <c r="AR11" s="138" t="str">
        <f>VLOOKUP(AQ11,市町村データ!A2:AX75,MATCH(手順書_市町村なまえ!$G$54, 市町村データ!A1:AX1, 0),FALSE)</f>
        <v>鴻巣市</v>
      </c>
      <c r="AS11" s="159"/>
      <c r="AT11" s="160"/>
      <c r="AU11" s="88">
        <v>10</v>
      </c>
      <c r="AV11" s="138" t="str">
        <f>VLOOKUP(AU11,市町村データ!A2:AX75,MATCH(手順書_市町村なまえ!$G$54, 市町村データ!A1:AX1, 0),FALSE)</f>
        <v>加須市</v>
      </c>
      <c r="AW11" s="159"/>
      <c r="AX11" s="159"/>
      <c r="AY11" s="89"/>
      <c r="AZ11" s="89"/>
      <c r="BA11" s="89"/>
      <c r="BB11" s="89"/>
      <c r="BC11" s="89"/>
      <c r="BD11" s="89"/>
      <c r="BE11" s="89"/>
      <c r="BF11" s="89"/>
      <c r="BG11" s="89"/>
      <c r="BH11" s="89"/>
      <c r="BI11" s="89"/>
      <c r="BJ11" s="89"/>
      <c r="BK11" s="89"/>
      <c r="BL11" s="89"/>
      <c r="BM11" s="89"/>
      <c r="BN11" s="89"/>
      <c r="BO11" s="90"/>
      <c r="BP11" s="86"/>
      <c r="BQ11" s="86"/>
      <c r="BR11" s="86"/>
      <c r="BS11" s="86"/>
      <c r="BT11" s="86"/>
      <c r="BU11" s="86"/>
      <c r="BV11" s="86"/>
      <c r="BW11" s="91"/>
      <c r="BX11" s="86"/>
      <c r="BY11" s="86"/>
      <c r="BZ11" s="86"/>
      <c r="CA11" s="86"/>
      <c r="CB11" s="85"/>
    </row>
    <row r="12" spans="1:80" ht="21.15" customHeight="1" x14ac:dyDescent="0.55000000000000004">
      <c r="A12" s="85"/>
      <c r="B12" s="86"/>
      <c r="C12" s="86"/>
      <c r="D12" s="86"/>
      <c r="E12" s="86"/>
      <c r="F12" s="86"/>
      <c r="G12" s="156" t="str">
        <f>VLOOKUP(G11,市町村データ!A2:AX75,MATCH(手順書_市町村なまえ!$F$55, 市町村データ!A1:AX1, 0),FALSE)</f>
        <v>かみかわまち</v>
      </c>
      <c r="H12" s="157"/>
      <c r="I12" s="157"/>
      <c r="J12" s="158"/>
      <c r="K12" s="90"/>
      <c r="L12" s="86"/>
      <c r="M12" s="86"/>
      <c r="N12" s="86"/>
      <c r="O12" s="156" t="str">
        <f>VLOOKUP(O11,市町村データ!A2:AX75,MATCH(手順書_市町村なまえ!$F$55, 市町村データ!A1:AX1, 0),FALSE)</f>
        <v>みさとまち</v>
      </c>
      <c r="P12" s="157"/>
      <c r="Q12" s="157"/>
      <c r="R12" s="158"/>
      <c r="S12" s="90"/>
      <c r="T12" s="86"/>
      <c r="U12" s="86"/>
      <c r="V12" s="86"/>
      <c r="W12" s="90"/>
      <c r="X12" s="86"/>
      <c r="Y12" s="86"/>
      <c r="Z12" s="86"/>
      <c r="AA12" s="86"/>
      <c r="AB12" s="86"/>
      <c r="AC12" s="86"/>
      <c r="AD12" s="86"/>
      <c r="AE12" s="86"/>
      <c r="AF12" s="86"/>
      <c r="AG12" s="86"/>
      <c r="AH12" s="86"/>
      <c r="AI12" s="86"/>
      <c r="AJ12" s="86"/>
      <c r="AK12" s="86"/>
      <c r="AL12" s="86"/>
      <c r="AM12" s="86"/>
      <c r="AN12" s="86"/>
      <c r="AO12" s="86"/>
      <c r="AP12" s="86"/>
      <c r="AQ12" s="156" t="str">
        <f>VLOOKUP(AQ11,市町村データ!A2:AX75,MATCH(手順書_市町村なまえ!$F$55, 市町村データ!A1:AX1, 0),FALSE)</f>
        <v>こうのすし</v>
      </c>
      <c r="AR12" s="157"/>
      <c r="AS12" s="157"/>
      <c r="AT12" s="158"/>
      <c r="AU12" s="156" t="str">
        <f>VLOOKUP(AU11,市町村データ!A2:AX75,MATCH(手順書_市町村なまえ!$F$55, 市町村データ!A1:AX1, 0),FALSE)</f>
        <v>かぞし</v>
      </c>
      <c r="AV12" s="157"/>
      <c r="AW12" s="157"/>
      <c r="AX12" s="157"/>
      <c r="AY12" s="86"/>
      <c r="AZ12" s="86"/>
      <c r="BA12" s="86"/>
      <c r="BB12" s="86"/>
      <c r="BC12" s="86"/>
      <c r="BD12" s="86"/>
      <c r="BE12" s="86"/>
      <c r="BF12" s="86"/>
      <c r="BG12" s="86"/>
      <c r="BH12" s="86"/>
      <c r="BI12" s="86"/>
      <c r="BJ12" s="86"/>
      <c r="BK12" s="86"/>
      <c r="BL12" s="86"/>
      <c r="BM12" s="86"/>
      <c r="BN12" s="86"/>
      <c r="BO12" s="90"/>
      <c r="BP12" s="86"/>
      <c r="BQ12" s="86"/>
      <c r="BR12" s="86"/>
      <c r="BS12" s="86"/>
      <c r="BT12" s="86"/>
      <c r="BU12" s="86"/>
      <c r="BV12" s="86"/>
      <c r="BW12" s="91"/>
      <c r="BX12" s="86"/>
      <c r="BY12" s="86"/>
      <c r="BZ12" s="86"/>
      <c r="CA12" s="86"/>
      <c r="CB12" s="85"/>
    </row>
    <row r="13" spans="1:80" ht="21.15" customHeight="1" x14ac:dyDescent="0.55000000000000004">
      <c r="A13" s="85"/>
      <c r="B13" s="86"/>
      <c r="C13" s="86"/>
      <c r="D13" s="86"/>
      <c r="E13" s="86"/>
      <c r="F13" s="86"/>
      <c r="G13" s="150"/>
      <c r="H13" s="151"/>
      <c r="I13" s="151"/>
      <c r="J13" s="152"/>
      <c r="K13" s="90"/>
      <c r="L13" s="86"/>
      <c r="M13" s="86"/>
      <c r="N13" s="86"/>
      <c r="O13" s="150"/>
      <c r="P13" s="151"/>
      <c r="Q13" s="151"/>
      <c r="R13" s="152"/>
      <c r="S13" s="90"/>
      <c r="T13" s="86"/>
      <c r="U13" s="86"/>
      <c r="V13" s="86"/>
      <c r="W13" s="90"/>
      <c r="X13" s="86"/>
      <c r="Y13" s="86"/>
      <c r="Z13" s="86"/>
      <c r="AA13" s="86"/>
      <c r="AB13" s="86"/>
      <c r="AC13" s="86"/>
      <c r="AD13" s="86"/>
      <c r="AE13" s="86"/>
      <c r="AF13" s="86"/>
      <c r="AG13" s="86"/>
      <c r="AH13" s="86"/>
      <c r="AI13" s="86"/>
      <c r="AJ13" s="86"/>
      <c r="AK13" s="86"/>
      <c r="AL13" s="86"/>
      <c r="AM13" s="86"/>
      <c r="AN13" s="86"/>
      <c r="AO13" s="86"/>
      <c r="AP13" s="86"/>
      <c r="AQ13" s="150"/>
      <c r="AR13" s="151"/>
      <c r="AS13" s="151"/>
      <c r="AT13" s="152"/>
      <c r="AU13" s="150"/>
      <c r="AV13" s="151"/>
      <c r="AW13" s="151"/>
      <c r="AX13" s="151"/>
      <c r="AY13" s="86"/>
      <c r="AZ13" s="86"/>
      <c r="BA13" s="86"/>
      <c r="BB13" s="86"/>
      <c r="BC13" s="86"/>
      <c r="BD13" s="86"/>
      <c r="BE13" s="86"/>
      <c r="BF13" s="86"/>
      <c r="BG13" s="86"/>
      <c r="BH13" s="86"/>
      <c r="BI13" s="86"/>
      <c r="BJ13" s="86"/>
      <c r="BK13" s="86"/>
      <c r="BL13" s="86"/>
      <c r="BM13" s="86"/>
      <c r="BN13" s="86"/>
      <c r="BO13" s="90"/>
      <c r="BP13" s="86"/>
      <c r="BQ13" s="86"/>
      <c r="BR13" s="86"/>
      <c r="BS13" s="86"/>
      <c r="BT13" s="86"/>
      <c r="BU13" s="86"/>
      <c r="BV13" s="86"/>
      <c r="BW13" s="91"/>
      <c r="BX13" s="91"/>
      <c r="BY13" s="92"/>
      <c r="BZ13" s="91"/>
      <c r="CA13" s="86"/>
      <c r="CB13" s="85"/>
    </row>
    <row r="14" spans="1:80" ht="21.15" customHeight="1" thickBot="1" x14ac:dyDescent="0.6">
      <c r="A14" s="85"/>
      <c r="B14" s="86"/>
      <c r="C14" s="86"/>
      <c r="D14" s="86"/>
      <c r="E14" s="86"/>
      <c r="F14" s="86"/>
      <c r="G14" s="164"/>
      <c r="H14" s="151"/>
      <c r="I14" s="151"/>
      <c r="J14" s="152"/>
      <c r="K14" s="90"/>
      <c r="L14" s="86"/>
      <c r="M14" s="86"/>
      <c r="N14" s="86"/>
      <c r="O14" s="153"/>
      <c r="P14" s="154"/>
      <c r="Q14" s="154"/>
      <c r="R14" s="155"/>
      <c r="S14" s="90"/>
      <c r="T14" s="86"/>
      <c r="U14" s="86"/>
      <c r="V14" s="86"/>
      <c r="W14" s="90"/>
      <c r="X14" s="86"/>
      <c r="Y14" s="86"/>
      <c r="Z14" s="86"/>
      <c r="AA14" s="86"/>
      <c r="AB14" s="86"/>
      <c r="AC14" s="86"/>
      <c r="AD14" s="86"/>
      <c r="AE14" s="86"/>
      <c r="AF14" s="86"/>
      <c r="AG14" s="86"/>
      <c r="AH14" s="86"/>
      <c r="AI14" s="86"/>
      <c r="AJ14" s="86"/>
      <c r="AK14" s="86"/>
      <c r="AL14" s="86"/>
      <c r="AM14" s="86"/>
      <c r="AN14" s="86"/>
      <c r="AO14" s="86"/>
      <c r="AP14" s="86"/>
      <c r="AQ14" s="153"/>
      <c r="AR14" s="154"/>
      <c r="AS14" s="154"/>
      <c r="AT14" s="155"/>
      <c r="AU14" s="153"/>
      <c r="AV14" s="154"/>
      <c r="AW14" s="154"/>
      <c r="AX14" s="154"/>
      <c r="AY14" s="86"/>
      <c r="AZ14" s="86"/>
      <c r="BA14" s="86"/>
      <c r="BB14" s="86"/>
      <c r="BC14" s="86"/>
      <c r="BD14" s="86"/>
      <c r="BE14" s="86"/>
      <c r="BF14" s="86"/>
      <c r="BG14" s="86"/>
      <c r="BH14" s="86"/>
      <c r="BI14" s="86"/>
      <c r="BJ14" s="86"/>
      <c r="BK14" s="86"/>
      <c r="BL14" s="86"/>
      <c r="BM14" s="86"/>
      <c r="BN14" s="86"/>
      <c r="BO14" s="90"/>
      <c r="BP14" s="86"/>
      <c r="BQ14" s="86"/>
      <c r="BR14" s="86"/>
      <c r="BS14" s="86"/>
      <c r="BT14" s="86"/>
      <c r="BU14" s="86"/>
      <c r="BV14" s="86"/>
      <c r="BW14" s="91"/>
      <c r="BX14" s="91"/>
      <c r="BY14" s="92"/>
      <c r="BZ14" s="91"/>
      <c r="CA14" s="86"/>
      <c r="CB14" s="85"/>
    </row>
    <row r="15" spans="1:80" ht="21.15" customHeight="1" x14ac:dyDescent="0.55000000000000004">
      <c r="A15" s="85"/>
      <c r="B15" s="86"/>
      <c r="C15" s="87" t="s">
        <v>330</v>
      </c>
      <c r="D15" s="86"/>
      <c r="E15" s="86"/>
      <c r="F15" s="86"/>
      <c r="G15" s="90"/>
      <c r="H15" s="86"/>
      <c r="I15" s="86"/>
      <c r="J15" s="86"/>
      <c r="K15" s="90"/>
      <c r="L15" s="86"/>
      <c r="M15" s="86"/>
      <c r="N15" s="86"/>
      <c r="O15" s="88">
        <v>11</v>
      </c>
      <c r="P15" s="138" t="str">
        <f>VLOOKUP(O15,市町村データ!A2:AX75,MATCH(手順書_市町村なまえ!$G$54, 市町村データ!A1:AX1, 0),FALSE)</f>
        <v>長瀞町</v>
      </c>
      <c r="Q15" s="159"/>
      <c r="R15" s="160"/>
      <c r="S15" s="88">
        <v>12</v>
      </c>
      <c r="T15" s="138" t="str">
        <f>VLOOKUP(S15,市町村データ!A2:AX75,MATCH(手順書_市町村なまえ!$G$54, 市町村データ!A1:AX1, 0),FALSE)</f>
        <v>寄居町</v>
      </c>
      <c r="U15" s="159"/>
      <c r="V15" s="160"/>
      <c r="W15" s="88">
        <v>13</v>
      </c>
      <c r="X15" s="138" t="str">
        <f>VLOOKUP(W15,市町村データ!A2:AX75,MATCH(手順書_市町村なまえ!$G$54, 市町村データ!A1:AX1, 0),FALSE)</f>
        <v>小川町</v>
      </c>
      <c r="Y15" s="159"/>
      <c r="Z15" s="160"/>
      <c r="AA15" s="88">
        <v>14</v>
      </c>
      <c r="AB15" s="138" t="str">
        <f>VLOOKUP(AA15,市町村データ!A2:AX75,MATCH(手順書_市町村なまえ!$G$54, 市町村データ!A1:AX1, 0),FALSE)</f>
        <v>嵐山町</v>
      </c>
      <c r="AC15" s="159"/>
      <c r="AD15" s="160"/>
      <c r="AE15" s="88">
        <v>15</v>
      </c>
      <c r="AF15" s="138" t="str">
        <f>VLOOKUP(AE15,市町村データ!A2:AX75,MATCH(手順書_市町村なまえ!$G$54, 市町村データ!A1:AX1, 0),FALSE)</f>
        <v>滑川町</v>
      </c>
      <c r="AG15" s="159"/>
      <c r="AH15" s="160"/>
      <c r="AI15" s="88">
        <v>16</v>
      </c>
      <c r="AJ15" s="138" t="str">
        <f>VLOOKUP(AI15,市町村データ!A2:AX75,MATCH(手順書_市町村なまえ!$G$54, 市町村データ!A1:AX1, 0),FALSE)</f>
        <v>東松山市</v>
      </c>
      <c r="AK15" s="159"/>
      <c r="AL15" s="160"/>
      <c r="AM15" s="88">
        <v>17</v>
      </c>
      <c r="AN15" s="138" t="str">
        <f>VLOOKUP(AM15,市町村データ!A2:AX75,MATCH(手順書_市町村なまえ!$G$54, 市町村データ!A1:AX1, 0),FALSE)</f>
        <v>吉見町</v>
      </c>
      <c r="AO15" s="159"/>
      <c r="AP15" s="160"/>
      <c r="AQ15" s="88">
        <v>18</v>
      </c>
      <c r="AR15" s="138" t="str">
        <f>VLOOKUP(AQ15,市町村データ!A2:AX75,MATCH(手順書_市町村なまえ!$G$54, 市町村データ!A1:AX1, 0),FALSE)</f>
        <v>北本市</v>
      </c>
      <c r="AS15" s="159"/>
      <c r="AT15" s="160"/>
      <c r="AU15" s="88">
        <v>19</v>
      </c>
      <c r="AV15" s="138" t="str">
        <f>VLOOKUP(AU15,市町村データ!A2:AX75,MATCH(手順書_市町村なまえ!$G$54, 市町村データ!A1:AX1, 0),FALSE)</f>
        <v>久喜市</v>
      </c>
      <c r="AW15" s="159"/>
      <c r="AX15" s="159"/>
      <c r="AY15" s="89"/>
      <c r="AZ15" s="89"/>
      <c r="BA15" s="89"/>
      <c r="BB15" s="89"/>
      <c r="BC15" s="89"/>
      <c r="BD15" s="89"/>
      <c r="BE15" s="89"/>
      <c r="BF15" s="89"/>
      <c r="BG15" s="89"/>
      <c r="BH15" s="89"/>
      <c r="BI15" s="89"/>
      <c r="BJ15" s="89"/>
      <c r="BK15" s="89"/>
      <c r="BL15" s="89"/>
      <c r="BM15" s="89"/>
      <c r="BN15" s="89"/>
      <c r="BO15" s="88">
        <v>20</v>
      </c>
      <c r="BP15" s="138" t="str">
        <f>VLOOKUP(BO15,市町村データ!A2:AX75,MATCH(手順書_市町村なまえ!$G$54, 市町村データ!A1:AX1, 0),FALSE)</f>
        <v>幸手市</v>
      </c>
      <c r="BQ15" s="159"/>
      <c r="BR15" s="160"/>
      <c r="BS15" s="90"/>
      <c r="BT15" s="86"/>
      <c r="BU15" s="86"/>
      <c r="BV15" s="86"/>
      <c r="BW15" s="91"/>
      <c r="BX15" s="91"/>
      <c r="BY15" s="92"/>
      <c r="BZ15" s="91"/>
      <c r="CA15" s="86"/>
      <c r="CB15" s="85"/>
    </row>
    <row r="16" spans="1:80" ht="21.15" customHeight="1" x14ac:dyDescent="0.55000000000000004">
      <c r="A16" s="85"/>
      <c r="B16" s="86"/>
      <c r="C16" s="86"/>
      <c r="D16" s="86"/>
      <c r="E16" s="86"/>
      <c r="F16" s="86"/>
      <c r="G16" s="90"/>
      <c r="H16" s="86"/>
      <c r="I16" s="86"/>
      <c r="J16" s="86"/>
      <c r="K16" s="90"/>
      <c r="L16" s="86"/>
      <c r="M16" s="86"/>
      <c r="N16" s="86"/>
      <c r="O16" s="156" t="str">
        <f>VLOOKUP(O15,市町村データ!A2:AX75,MATCH(手順書_市町村なまえ!$F$55, 市町村データ!A1:AX1, 0),FALSE)</f>
        <v>ながとろまち</v>
      </c>
      <c r="P16" s="157"/>
      <c r="Q16" s="157"/>
      <c r="R16" s="158"/>
      <c r="S16" s="156" t="str">
        <f>VLOOKUP(S15,市町村データ!A2:AX75,MATCH(手順書_市町村なまえ!$F$55, 市町村データ!A1:AX1, 0),FALSE)</f>
        <v>よりいまち</v>
      </c>
      <c r="T16" s="157"/>
      <c r="U16" s="157"/>
      <c r="V16" s="158"/>
      <c r="W16" s="156" t="str">
        <f>VLOOKUP(W15,市町村データ!A2:AX75,MATCH(手順書_市町村なまえ!$F$55, 市町村データ!A1:AX1, 0),FALSE)</f>
        <v>おがわまち</v>
      </c>
      <c r="X16" s="157"/>
      <c r="Y16" s="157"/>
      <c r="Z16" s="158"/>
      <c r="AA16" s="156" t="str">
        <f>VLOOKUP(AA15,市町村データ!A2:AX75,MATCH(手順書_市町村なまえ!$F$55, 市町村データ!A1:AX1, 0),FALSE)</f>
        <v>らんざんまち</v>
      </c>
      <c r="AB16" s="157"/>
      <c r="AC16" s="157"/>
      <c r="AD16" s="158"/>
      <c r="AE16" s="156" t="str">
        <f>VLOOKUP(AE15,市町村データ!A2:AX75,MATCH(手順書_市町村なまえ!$F$55, 市町村データ!A1:AX1, 0),FALSE)</f>
        <v>なめがわまち</v>
      </c>
      <c r="AF16" s="157"/>
      <c r="AG16" s="157"/>
      <c r="AH16" s="158"/>
      <c r="AI16" s="156" t="str">
        <f>VLOOKUP(AI15,市町村データ!A2:AX75,MATCH(手順書_市町村なまえ!$F$55, 市町村データ!A1:AX1, 0),FALSE)</f>
        <v>ひがしまつやまし</v>
      </c>
      <c r="AJ16" s="157"/>
      <c r="AK16" s="157"/>
      <c r="AL16" s="158"/>
      <c r="AM16" s="156" t="str">
        <f>VLOOKUP(AM15,市町村データ!A2:AX75,MATCH(手順書_市町村なまえ!$F$55, 市町村データ!A1:AX1, 0),FALSE)</f>
        <v>よしみまち</v>
      </c>
      <c r="AN16" s="157"/>
      <c r="AO16" s="157"/>
      <c r="AP16" s="158"/>
      <c r="AQ16" s="156" t="str">
        <f>VLOOKUP(AQ15,市町村データ!A2:AX75,MATCH(手順書_市町村なまえ!$F$55, 市町村データ!A1:AX1, 0),FALSE)</f>
        <v>きたもとし</v>
      </c>
      <c r="AR16" s="157"/>
      <c r="AS16" s="157"/>
      <c r="AT16" s="158"/>
      <c r="AU16" s="156" t="str">
        <f>VLOOKUP(AU15,市町村データ!A2:AX75,MATCH(手順書_市町村なまえ!$F$55, 市町村データ!A1:AX1, 0),FALSE)</f>
        <v>くきし</v>
      </c>
      <c r="AV16" s="157"/>
      <c r="AW16" s="157"/>
      <c r="AX16" s="157"/>
      <c r="AY16" s="86"/>
      <c r="AZ16" s="86"/>
      <c r="BA16" s="86"/>
      <c r="BB16" s="86"/>
      <c r="BC16" s="86"/>
      <c r="BD16" s="86"/>
      <c r="BE16" s="86"/>
      <c r="BF16" s="86"/>
      <c r="BG16" s="86"/>
      <c r="BH16" s="86"/>
      <c r="BI16" s="86"/>
      <c r="BJ16" s="86"/>
      <c r="BK16" s="86"/>
      <c r="BL16" s="86"/>
      <c r="BM16" s="86"/>
      <c r="BN16" s="86"/>
      <c r="BO16" s="156" t="str">
        <f>VLOOKUP(BO15,市町村データ!A2:AX75,MATCH(手順書_市町村なまえ!$F$55, 市町村データ!A1:AX1, 0),FALSE)</f>
        <v>さってし</v>
      </c>
      <c r="BP16" s="157"/>
      <c r="BQ16" s="157"/>
      <c r="BR16" s="158"/>
      <c r="BS16" s="90"/>
      <c r="BT16" s="86"/>
      <c r="BU16" s="86"/>
      <c r="BV16" s="86"/>
      <c r="BW16" s="91"/>
      <c r="BX16" s="91"/>
      <c r="BY16" s="92"/>
      <c r="BZ16" s="91"/>
      <c r="CA16" s="86"/>
      <c r="CB16" s="85"/>
    </row>
    <row r="17" spans="1:80" ht="21.15" customHeight="1" x14ac:dyDescent="0.55000000000000004">
      <c r="A17" s="85"/>
      <c r="B17" s="86"/>
      <c r="C17" s="86"/>
      <c r="D17" s="86"/>
      <c r="E17" s="86"/>
      <c r="F17" s="86"/>
      <c r="G17" s="90"/>
      <c r="H17" s="86"/>
      <c r="I17" s="86"/>
      <c r="J17" s="86"/>
      <c r="K17" s="90"/>
      <c r="L17" s="86"/>
      <c r="M17" s="86"/>
      <c r="N17" s="86"/>
      <c r="O17" s="150"/>
      <c r="P17" s="151"/>
      <c r="Q17" s="151"/>
      <c r="R17" s="152"/>
      <c r="S17" s="150"/>
      <c r="T17" s="151"/>
      <c r="U17" s="151"/>
      <c r="V17" s="152"/>
      <c r="W17" s="150"/>
      <c r="X17" s="151"/>
      <c r="Y17" s="151"/>
      <c r="Z17" s="152"/>
      <c r="AA17" s="150"/>
      <c r="AB17" s="151"/>
      <c r="AC17" s="151"/>
      <c r="AD17" s="152"/>
      <c r="AE17" s="150"/>
      <c r="AF17" s="151"/>
      <c r="AG17" s="151"/>
      <c r="AH17" s="152"/>
      <c r="AI17" s="150"/>
      <c r="AJ17" s="151"/>
      <c r="AK17" s="151"/>
      <c r="AL17" s="152"/>
      <c r="AM17" s="150"/>
      <c r="AN17" s="151"/>
      <c r="AO17" s="151"/>
      <c r="AP17" s="152"/>
      <c r="AQ17" s="150"/>
      <c r="AR17" s="151"/>
      <c r="AS17" s="151"/>
      <c r="AT17" s="152"/>
      <c r="AU17" s="150"/>
      <c r="AV17" s="151"/>
      <c r="AW17" s="151"/>
      <c r="AX17" s="151"/>
      <c r="AY17" s="86"/>
      <c r="AZ17" s="86"/>
      <c r="BA17" s="86"/>
      <c r="BB17" s="86"/>
      <c r="BC17" s="86"/>
      <c r="BD17" s="86"/>
      <c r="BE17" s="86"/>
      <c r="BF17" s="86"/>
      <c r="BG17" s="86"/>
      <c r="BH17" s="86"/>
      <c r="BI17" s="86"/>
      <c r="BJ17" s="86"/>
      <c r="BK17" s="86"/>
      <c r="BL17" s="86"/>
      <c r="BM17" s="86"/>
      <c r="BN17" s="86"/>
      <c r="BO17" s="150"/>
      <c r="BP17" s="151"/>
      <c r="BQ17" s="151"/>
      <c r="BR17" s="152"/>
      <c r="BS17" s="90"/>
      <c r="BT17" s="86"/>
      <c r="BU17" s="86"/>
      <c r="BV17" s="86"/>
      <c r="BW17" s="86"/>
      <c r="BX17" s="86"/>
      <c r="BY17" s="92"/>
      <c r="BZ17" s="86"/>
      <c r="CA17" s="86"/>
      <c r="CB17" s="85"/>
    </row>
    <row r="18" spans="1:80" ht="21.15" customHeight="1" thickBot="1" x14ac:dyDescent="0.6">
      <c r="A18" s="85"/>
      <c r="B18" s="86"/>
      <c r="C18" s="86"/>
      <c r="D18" s="86"/>
      <c r="E18" s="86"/>
      <c r="F18" s="86"/>
      <c r="G18" s="90"/>
      <c r="H18" s="86"/>
      <c r="I18" s="86"/>
      <c r="J18" s="86"/>
      <c r="K18" s="90"/>
      <c r="L18" s="86"/>
      <c r="M18" s="86"/>
      <c r="N18" s="86"/>
      <c r="O18" s="153"/>
      <c r="P18" s="154"/>
      <c r="Q18" s="154"/>
      <c r="R18" s="155"/>
      <c r="S18" s="153"/>
      <c r="T18" s="154"/>
      <c r="U18" s="154"/>
      <c r="V18" s="155"/>
      <c r="W18" s="153"/>
      <c r="X18" s="154"/>
      <c r="Y18" s="154"/>
      <c r="Z18" s="155"/>
      <c r="AA18" s="153"/>
      <c r="AB18" s="154"/>
      <c r="AC18" s="154"/>
      <c r="AD18" s="155"/>
      <c r="AE18" s="153"/>
      <c r="AF18" s="154"/>
      <c r="AG18" s="154"/>
      <c r="AH18" s="155"/>
      <c r="AI18" s="153"/>
      <c r="AJ18" s="154"/>
      <c r="AK18" s="154"/>
      <c r="AL18" s="155"/>
      <c r="AM18" s="153"/>
      <c r="AN18" s="154"/>
      <c r="AO18" s="154"/>
      <c r="AP18" s="155"/>
      <c r="AQ18" s="153"/>
      <c r="AR18" s="154"/>
      <c r="AS18" s="154"/>
      <c r="AT18" s="155"/>
      <c r="AU18" s="153"/>
      <c r="AV18" s="154"/>
      <c r="AW18" s="154"/>
      <c r="AX18" s="154"/>
      <c r="AY18" s="86"/>
      <c r="AZ18" s="86"/>
      <c r="BA18" s="86"/>
      <c r="BB18" s="86"/>
      <c r="BC18" s="86"/>
      <c r="BD18" s="86"/>
      <c r="BE18" s="86"/>
      <c r="BF18" s="86"/>
      <c r="BG18" s="86"/>
      <c r="BH18" s="86"/>
      <c r="BI18" s="86"/>
      <c r="BJ18" s="86"/>
      <c r="BK18" s="86"/>
      <c r="BL18" s="86"/>
      <c r="BM18" s="86"/>
      <c r="BN18" s="86"/>
      <c r="BO18" s="153"/>
      <c r="BP18" s="154"/>
      <c r="BQ18" s="154"/>
      <c r="BR18" s="155"/>
      <c r="BS18" s="90"/>
      <c r="BT18" s="86"/>
      <c r="BU18" s="86"/>
      <c r="BV18" s="86"/>
      <c r="BW18" s="86"/>
      <c r="BX18" s="86"/>
      <c r="BY18" s="92"/>
      <c r="BZ18" s="86"/>
      <c r="CA18" s="86"/>
      <c r="CB18" s="85"/>
    </row>
    <row r="19" spans="1:80" ht="21.15" customHeight="1" x14ac:dyDescent="0.55000000000000004">
      <c r="A19" s="85"/>
      <c r="B19" s="86"/>
      <c r="C19" s="87" t="s">
        <v>219</v>
      </c>
      <c r="D19" s="86"/>
      <c r="E19" s="86"/>
      <c r="F19" s="86"/>
      <c r="G19" s="90"/>
      <c r="H19" s="86"/>
      <c r="I19" s="86"/>
      <c r="J19" s="86"/>
      <c r="K19" s="88">
        <v>21</v>
      </c>
      <c r="L19" s="138" t="str">
        <f>VLOOKUP(K19,市町村データ!A2:AX75,MATCH(手順書_市町村なまえ!$G$54, 市町村データ!A1:AX1, 0),FALSE)</f>
        <v>皆野町</v>
      </c>
      <c r="M19" s="159"/>
      <c r="N19" s="160"/>
      <c r="O19" s="88">
        <v>22</v>
      </c>
      <c r="P19" s="138" t="str">
        <f>VLOOKUP(O19,市町村データ!A2:AX75,MATCH(手順書_市町村なまえ!$G$54, 市町村データ!A1:AX1, 0),FALSE)</f>
        <v>東秩父村</v>
      </c>
      <c r="Q19" s="159"/>
      <c r="R19" s="159"/>
      <c r="S19" s="89"/>
      <c r="T19" s="89"/>
      <c r="U19" s="89"/>
      <c r="V19" s="89"/>
      <c r="W19" s="88">
        <v>23</v>
      </c>
      <c r="X19" s="138" t="str">
        <f>VLOOKUP(W19,市町村データ!A2:AX75,MATCH(手順書_市町村なまえ!$G$54, 市町村データ!A1:AX1, 0),FALSE)</f>
        <v>ときがわ町</v>
      </c>
      <c r="Y19" s="159"/>
      <c r="Z19" s="160"/>
      <c r="AA19" s="88">
        <v>24</v>
      </c>
      <c r="AB19" s="138" t="str">
        <f>VLOOKUP(AA19,市町村データ!A2:AX75,MATCH(手順書_市町村なまえ!$G$54, 市町村データ!A1:AX1, 0),FALSE)</f>
        <v>鳩山町</v>
      </c>
      <c r="AC19" s="159"/>
      <c r="AD19" s="159"/>
      <c r="AE19" s="89"/>
      <c r="AF19" s="89"/>
      <c r="AG19" s="89"/>
      <c r="AH19" s="89"/>
      <c r="AI19" s="88">
        <v>25</v>
      </c>
      <c r="AJ19" s="138" t="str">
        <f>VLOOKUP(AI19,市町村データ!A2:AX75,MATCH(手順書_市町村なまえ!$G$54, 市町村データ!A1:AX1, 0),FALSE)</f>
        <v>坂戸市</v>
      </c>
      <c r="AK19" s="159"/>
      <c r="AL19" s="160"/>
      <c r="AM19" s="88">
        <v>26</v>
      </c>
      <c r="AN19" s="138" t="str">
        <f>VLOOKUP(AM19,市町村データ!A2:AX75,MATCH(手順書_市町村なまえ!$G$54, 市町村データ!A1:AX1, 0),FALSE)</f>
        <v>川島町</v>
      </c>
      <c r="AO19" s="159"/>
      <c r="AP19" s="160"/>
      <c r="AQ19" s="88">
        <v>27</v>
      </c>
      <c r="AR19" s="138" t="str">
        <f>VLOOKUP(AQ19,市町村データ!A2:AX75,MATCH(手順書_市町村なまえ!$G$54, 市町村データ!A1:AX1, 0),FALSE)</f>
        <v>桶川市</v>
      </c>
      <c r="AS19" s="159"/>
      <c r="AT19" s="160"/>
      <c r="AU19" s="88">
        <v>28</v>
      </c>
      <c r="AV19" s="138" t="str">
        <f>VLOOKUP(AU19,市町村データ!A2:AX75,MATCH(手順書_市町村なまえ!$G$54, 市町村データ!A1:AX1, 0),FALSE)</f>
        <v>上尾市</v>
      </c>
      <c r="AW19" s="159"/>
      <c r="AX19" s="160"/>
      <c r="AY19" s="88">
        <v>29</v>
      </c>
      <c r="AZ19" s="138" t="str">
        <f>VLOOKUP(AY19,市町村データ!A2:AX75,MATCH(手順書_市町村なまえ!$G$54, 市町村データ!A1:AX1, 0),FALSE)</f>
        <v>伊奈町</v>
      </c>
      <c r="BA19" s="159"/>
      <c r="BB19" s="160"/>
      <c r="BC19" s="88">
        <v>30</v>
      </c>
      <c r="BD19" s="138" t="str">
        <f>VLOOKUP(BC19,市町村データ!A2:AX75,MATCH(手順書_市町村なまえ!$G$54, 市町村データ!A1:AX1, 0),FALSE)</f>
        <v>蓮田市</v>
      </c>
      <c r="BE19" s="159"/>
      <c r="BF19" s="160"/>
      <c r="BG19" s="88">
        <v>31</v>
      </c>
      <c r="BH19" s="138" t="str">
        <f>VLOOKUP(BG19,市町村データ!A2:AX75,MATCH(手順書_市町村なまえ!$G$54, 市町村データ!A1:AX1, 0),FALSE)</f>
        <v>白岡市</v>
      </c>
      <c r="BI19" s="159"/>
      <c r="BJ19" s="160"/>
      <c r="BK19" s="88">
        <v>32</v>
      </c>
      <c r="BL19" s="138" t="str">
        <f>VLOOKUP(BK19,市町村データ!A2:AX75,MATCH(手順書_市町村なまえ!$G$54, 市町村データ!A1:AX1, 0),FALSE)</f>
        <v>宮代町</v>
      </c>
      <c r="BM19" s="159"/>
      <c r="BN19" s="160"/>
      <c r="BO19" s="88">
        <v>33</v>
      </c>
      <c r="BP19" s="138" t="str">
        <f>VLOOKUP(BO19,市町村データ!A2:AX75,MATCH(手順書_市町村なまえ!$G$54, 市町村データ!A1:AX1, 0),FALSE)</f>
        <v>杉戸町</v>
      </c>
      <c r="BQ19" s="159"/>
      <c r="BR19" s="160"/>
      <c r="BS19" s="90"/>
      <c r="BT19" s="86"/>
      <c r="BU19" s="86"/>
      <c r="BV19" s="86"/>
      <c r="BW19" s="86"/>
      <c r="BX19" s="91"/>
      <c r="BY19" s="92"/>
      <c r="BZ19" s="86"/>
      <c r="CA19" s="86"/>
      <c r="CB19" s="85"/>
    </row>
    <row r="20" spans="1:80" ht="21.15" customHeight="1" x14ac:dyDescent="0.55000000000000004">
      <c r="A20" s="85"/>
      <c r="B20" s="86"/>
      <c r="C20" s="86"/>
      <c r="D20" s="86"/>
      <c r="E20" s="86"/>
      <c r="F20" s="86"/>
      <c r="G20" s="90"/>
      <c r="H20" s="86"/>
      <c r="I20" s="86"/>
      <c r="J20" s="86"/>
      <c r="K20" s="156" t="str">
        <f>VLOOKUP(K19,市町村データ!A2:AX75,MATCH(手順書_市町村なまえ!$F$55, 市町村データ!A1:AX1, 0),FALSE)</f>
        <v>みなのまち</v>
      </c>
      <c r="L20" s="157"/>
      <c r="M20" s="157"/>
      <c r="N20" s="158"/>
      <c r="O20" s="156" t="str">
        <f>VLOOKUP(O19,市町村データ!A2:AX75,MATCH(手順書_市町村なまえ!$F$55, 市町村データ!A1:AX1, 0),FALSE)</f>
        <v>ひがしちちぶむら</v>
      </c>
      <c r="P20" s="157"/>
      <c r="Q20" s="157"/>
      <c r="R20" s="157"/>
      <c r="S20" s="86"/>
      <c r="T20" s="86"/>
      <c r="U20" s="86"/>
      <c r="V20" s="86"/>
      <c r="W20" s="156" t="str">
        <f>VLOOKUP(W19,市町村データ!A2:AX75,MATCH(手順書_市町村なまえ!$F$55, 市町村データ!A1:AX1, 0),FALSE)</f>
        <v>ときがわまち</v>
      </c>
      <c r="X20" s="157"/>
      <c r="Y20" s="157"/>
      <c r="Z20" s="158"/>
      <c r="AA20" s="156" t="str">
        <f>VLOOKUP(AA19,市町村データ!A2:AX75,MATCH(手順書_市町村なまえ!$F$55, 市町村データ!A1:AX1, 0),FALSE)</f>
        <v>はとやままち</v>
      </c>
      <c r="AB20" s="157"/>
      <c r="AC20" s="157"/>
      <c r="AD20" s="157"/>
      <c r="AE20" s="86"/>
      <c r="AF20" s="86"/>
      <c r="AG20" s="86"/>
      <c r="AH20" s="86"/>
      <c r="AI20" s="156" t="str">
        <f>VLOOKUP(AI19,市町村データ!A2:AX75,MATCH(手順書_市町村なまえ!$F$55, 市町村データ!A1:AX1, 0),FALSE)</f>
        <v>さかどし</v>
      </c>
      <c r="AJ20" s="157"/>
      <c r="AK20" s="157"/>
      <c r="AL20" s="158"/>
      <c r="AM20" s="156" t="str">
        <f>VLOOKUP(AM19,市町村データ!A2:AX75,MATCH(手順書_市町村なまえ!$F$55, 市町村データ!A1:AX1, 0),FALSE)</f>
        <v>かわじままち</v>
      </c>
      <c r="AN20" s="157"/>
      <c r="AO20" s="157"/>
      <c r="AP20" s="158"/>
      <c r="AQ20" s="156" t="str">
        <f>VLOOKUP(AQ19,市町村データ!A2:AX75,MATCH(手順書_市町村なまえ!$F$55, 市町村データ!A1:AX1, 0),FALSE)</f>
        <v>おけがわし</v>
      </c>
      <c r="AR20" s="157"/>
      <c r="AS20" s="157"/>
      <c r="AT20" s="158"/>
      <c r="AU20" s="156" t="str">
        <f>VLOOKUP(AU19,市町村データ!A2:AX75,MATCH(手順書_市町村なまえ!$F$55, 市町村データ!A1:AX1, 0),FALSE)</f>
        <v>あげおし</v>
      </c>
      <c r="AV20" s="157"/>
      <c r="AW20" s="157"/>
      <c r="AX20" s="158"/>
      <c r="AY20" s="156" t="str">
        <f>VLOOKUP(AY19,市町村データ!A2:AX75,MATCH(手順書_市町村なまえ!$F$55, 市町村データ!A1:AX1, 0),FALSE)</f>
        <v>いなまち</v>
      </c>
      <c r="AZ20" s="157"/>
      <c r="BA20" s="157"/>
      <c r="BB20" s="158"/>
      <c r="BC20" s="156" t="str">
        <f>VLOOKUP(BC19,市町村データ!A2:AX75,MATCH(手順書_市町村なまえ!$F$55, 市町村データ!A1:AX1, 0),FALSE)</f>
        <v>はすだし</v>
      </c>
      <c r="BD20" s="157"/>
      <c r="BE20" s="157"/>
      <c r="BF20" s="158"/>
      <c r="BG20" s="156" t="str">
        <f>VLOOKUP(BG19,市町村データ!A2:AX75,MATCH(手順書_市町村なまえ!$F$55, 市町村データ!A1:AX1, 0),FALSE)</f>
        <v>しらおかし</v>
      </c>
      <c r="BH20" s="157"/>
      <c r="BI20" s="157"/>
      <c r="BJ20" s="158"/>
      <c r="BK20" s="156" t="str">
        <f>VLOOKUP(BK19,市町村データ!A2:AX75,MATCH(手順書_市町村なまえ!$F$55, 市町村データ!A1:AX1, 0),FALSE)</f>
        <v>みやしろまち</v>
      </c>
      <c r="BL20" s="157"/>
      <c r="BM20" s="157"/>
      <c r="BN20" s="158"/>
      <c r="BO20" s="156" t="str">
        <f>VLOOKUP(BO19,市町村データ!A2:AX75,MATCH(手順書_市町村なまえ!$F$55, 市町村データ!A1:AX1, 0),FALSE)</f>
        <v>すぎとまち</v>
      </c>
      <c r="BP20" s="157"/>
      <c r="BQ20" s="157"/>
      <c r="BR20" s="158"/>
      <c r="BS20" s="90"/>
      <c r="BT20" s="86"/>
      <c r="BU20" s="86"/>
      <c r="BV20" s="86"/>
      <c r="BW20" s="86"/>
      <c r="BX20" s="91"/>
      <c r="BY20" s="92"/>
      <c r="BZ20" s="86"/>
      <c r="CA20" s="86"/>
      <c r="CB20" s="85"/>
    </row>
    <row r="21" spans="1:80" ht="21.15" customHeight="1" x14ac:dyDescent="0.55000000000000004">
      <c r="A21" s="85"/>
      <c r="B21" s="86"/>
      <c r="C21" s="86"/>
      <c r="D21" s="86"/>
      <c r="E21" s="86"/>
      <c r="F21" s="86"/>
      <c r="G21" s="90"/>
      <c r="H21" s="86"/>
      <c r="I21" s="86"/>
      <c r="J21" s="86"/>
      <c r="K21" s="150"/>
      <c r="L21" s="151"/>
      <c r="M21" s="151"/>
      <c r="N21" s="152"/>
      <c r="O21" s="150"/>
      <c r="P21" s="151"/>
      <c r="Q21" s="151"/>
      <c r="R21" s="151"/>
      <c r="S21" s="86"/>
      <c r="T21" s="86"/>
      <c r="U21" s="86"/>
      <c r="V21" s="86"/>
      <c r="W21" s="150"/>
      <c r="X21" s="151"/>
      <c r="Y21" s="151"/>
      <c r="Z21" s="152"/>
      <c r="AA21" s="150"/>
      <c r="AB21" s="151"/>
      <c r="AC21" s="151"/>
      <c r="AD21" s="151"/>
      <c r="AE21" s="86"/>
      <c r="AF21" s="86"/>
      <c r="AG21" s="86"/>
      <c r="AH21" s="86"/>
      <c r="AI21" s="150"/>
      <c r="AJ21" s="151"/>
      <c r="AK21" s="151"/>
      <c r="AL21" s="152"/>
      <c r="AM21" s="150"/>
      <c r="AN21" s="151"/>
      <c r="AO21" s="151"/>
      <c r="AP21" s="152"/>
      <c r="AQ21" s="150"/>
      <c r="AR21" s="151"/>
      <c r="AS21" s="151"/>
      <c r="AT21" s="152"/>
      <c r="AU21" s="150"/>
      <c r="AV21" s="151"/>
      <c r="AW21" s="151"/>
      <c r="AX21" s="152"/>
      <c r="AY21" s="150"/>
      <c r="AZ21" s="151"/>
      <c r="BA21" s="151"/>
      <c r="BB21" s="152"/>
      <c r="BC21" s="150"/>
      <c r="BD21" s="151"/>
      <c r="BE21" s="151"/>
      <c r="BF21" s="152"/>
      <c r="BG21" s="150"/>
      <c r="BH21" s="151"/>
      <c r="BI21" s="151"/>
      <c r="BJ21" s="152"/>
      <c r="BK21" s="150"/>
      <c r="BL21" s="151"/>
      <c r="BM21" s="151"/>
      <c r="BN21" s="152"/>
      <c r="BO21" s="150"/>
      <c r="BP21" s="151"/>
      <c r="BQ21" s="151"/>
      <c r="BR21" s="152"/>
      <c r="BS21" s="90"/>
      <c r="BT21" s="86"/>
      <c r="BU21" s="86"/>
      <c r="BV21" s="86"/>
      <c r="BW21" s="86"/>
      <c r="BX21" s="91"/>
      <c r="BY21" s="92"/>
      <c r="BZ21" s="86"/>
      <c r="CA21" s="86"/>
      <c r="CB21" s="85"/>
    </row>
    <row r="22" spans="1:80" ht="21.15" customHeight="1" thickBot="1" x14ac:dyDescent="0.6">
      <c r="A22" s="85"/>
      <c r="B22" s="86"/>
      <c r="C22" s="86"/>
      <c r="D22" s="86"/>
      <c r="E22" s="86"/>
      <c r="F22" s="86"/>
      <c r="G22" s="90"/>
      <c r="H22" s="86"/>
      <c r="I22" s="86"/>
      <c r="J22" s="86"/>
      <c r="K22" s="153"/>
      <c r="L22" s="154"/>
      <c r="M22" s="154"/>
      <c r="N22" s="155"/>
      <c r="O22" s="153"/>
      <c r="P22" s="154"/>
      <c r="Q22" s="154"/>
      <c r="R22" s="154"/>
      <c r="S22" s="86"/>
      <c r="T22" s="86"/>
      <c r="U22" s="86"/>
      <c r="V22" s="86"/>
      <c r="W22" s="164"/>
      <c r="X22" s="151"/>
      <c r="Y22" s="151"/>
      <c r="Z22" s="152"/>
      <c r="AA22" s="153"/>
      <c r="AB22" s="154"/>
      <c r="AC22" s="154"/>
      <c r="AD22" s="154"/>
      <c r="AE22" s="86"/>
      <c r="AF22" s="86"/>
      <c r="AG22" s="86"/>
      <c r="AH22" s="86"/>
      <c r="AI22" s="153"/>
      <c r="AJ22" s="154"/>
      <c r="AK22" s="154"/>
      <c r="AL22" s="155"/>
      <c r="AM22" s="153"/>
      <c r="AN22" s="154"/>
      <c r="AO22" s="154"/>
      <c r="AP22" s="155"/>
      <c r="AQ22" s="153"/>
      <c r="AR22" s="154"/>
      <c r="AS22" s="154"/>
      <c r="AT22" s="155"/>
      <c r="AU22" s="153"/>
      <c r="AV22" s="154"/>
      <c r="AW22" s="154"/>
      <c r="AX22" s="155"/>
      <c r="AY22" s="153"/>
      <c r="AZ22" s="154"/>
      <c r="BA22" s="154"/>
      <c r="BB22" s="155"/>
      <c r="BC22" s="153"/>
      <c r="BD22" s="154"/>
      <c r="BE22" s="154"/>
      <c r="BF22" s="155"/>
      <c r="BG22" s="153"/>
      <c r="BH22" s="154"/>
      <c r="BI22" s="154"/>
      <c r="BJ22" s="155"/>
      <c r="BK22" s="153"/>
      <c r="BL22" s="154"/>
      <c r="BM22" s="154"/>
      <c r="BN22" s="155"/>
      <c r="BO22" s="153"/>
      <c r="BP22" s="154"/>
      <c r="BQ22" s="154"/>
      <c r="BR22" s="155"/>
      <c r="BS22" s="90"/>
      <c r="BT22" s="86"/>
      <c r="BU22" s="86"/>
      <c r="BV22" s="86"/>
      <c r="BW22" s="86"/>
      <c r="BX22" s="91"/>
      <c r="BY22" s="92"/>
      <c r="BZ22" s="86"/>
      <c r="CA22" s="86"/>
      <c r="CB22" s="85"/>
    </row>
    <row r="23" spans="1:80" ht="21.15" customHeight="1" x14ac:dyDescent="0.55000000000000004">
      <c r="A23" s="85"/>
      <c r="B23" s="86"/>
      <c r="C23" s="87" t="s">
        <v>220</v>
      </c>
      <c r="D23" s="86"/>
      <c r="E23" s="86"/>
      <c r="F23" s="86"/>
      <c r="G23" s="88">
        <v>34</v>
      </c>
      <c r="H23" s="138" t="str">
        <f>VLOOKUP(G23,市町村データ!A2:AX75,MATCH(手順書_市町村なまえ!$G$54, 市町村データ!A1:AX1, 0),FALSE)</f>
        <v>秩父市</v>
      </c>
      <c r="I23" s="159"/>
      <c r="J23" s="159"/>
      <c r="K23" s="89"/>
      <c r="L23" s="89"/>
      <c r="M23" s="89"/>
      <c r="N23" s="89"/>
      <c r="O23" s="89"/>
      <c r="P23" s="89"/>
      <c r="Q23" s="89"/>
      <c r="R23" s="89"/>
      <c r="S23" s="88">
        <v>35</v>
      </c>
      <c r="T23" s="138" t="str">
        <f>VLOOKUP(S23,市町村データ!A2:AX75,MATCH(手順書_市町村なまえ!$G$54, 市町村データ!A1:AX1, 0),FALSE)</f>
        <v>横瀬町</v>
      </c>
      <c r="U23" s="159"/>
      <c r="V23" s="160"/>
      <c r="W23" s="90"/>
      <c r="X23" s="86"/>
      <c r="Y23" s="86"/>
      <c r="Z23" s="86"/>
      <c r="AA23" s="88">
        <v>36</v>
      </c>
      <c r="AB23" s="138" t="str">
        <f>VLOOKUP(AA23,市町村データ!A2:AX75,MATCH(手順書_市町村なまえ!$G$54, 市町村データ!A1:AX1, 0),FALSE)</f>
        <v>越生町</v>
      </c>
      <c r="AC23" s="159"/>
      <c r="AD23" s="160"/>
      <c r="AE23" s="88">
        <v>37</v>
      </c>
      <c r="AF23" s="138" t="str">
        <f>VLOOKUP(AE23,市町村データ!A2:AX75,MATCH(手順書_市町村なまえ!$G$54, 市町村データ!A1:AX1, 0),FALSE)</f>
        <v>毛呂山町</v>
      </c>
      <c r="AG23" s="159"/>
      <c r="AH23" s="160"/>
      <c r="AI23" s="88">
        <v>38</v>
      </c>
      <c r="AJ23" s="138" t="str">
        <f>VLOOKUP(AI23,市町村データ!A2:AX75,MATCH(手順書_市町村なまえ!$G$54, 市町村データ!A1:AX1, 0),FALSE)</f>
        <v>鶴ヶ島市</v>
      </c>
      <c r="AK23" s="159"/>
      <c r="AL23" s="160"/>
      <c r="AM23" s="88">
        <v>39</v>
      </c>
      <c r="AN23" s="138" t="str">
        <f>VLOOKUP(AM23,市町村データ!A2:AX75,MATCH(手順書_市町村なまえ!$G$54, 市町村データ!A1:AX1, 0),FALSE)</f>
        <v>川越市</v>
      </c>
      <c r="AO23" s="159"/>
      <c r="AP23" s="159"/>
      <c r="AQ23" s="89"/>
      <c r="AR23" s="89"/>
      <c r="AS23" s="89"/>
      <c r="AT23" s="89"/>
      <c r="AU23" s="88">
        <v>40</v>
      </c>
      <c r="AV23" s="138" t="str">
        <f>VLOOKUP(AU23,市町村データ!A2:AX75,MATCH(手順書_市町村なまえ!$G$54, 市町村データ!A1:AX1, 0),FALSE)</f>
        <v>西区</v>
      </c>
      <c r="AW23" s="159"/>
      <c r="AX23" s="159"/>
      <c r="AY23" s="93">
        <v>41</v>
      </c>
      <c r="AZ23" s="138" t="str">
        <f>VLOOKUP(AY23,市町村データ!A2:AX75,MATCH(手順書_市町村なまえ!$G$54, 市町村データ!A1:AX1, 0),FALSE)</f>
        <v>北区</v>
      </c>
      <c r="BA23" s="159"/>
      <c r="BB23" s="159"/>
      <c r="BC23" s="93">
        <v>42</v>
      </c>
      <c r="BD23" s="138" t="str">
        <f>VLOOKUP(BC23,市町村データ!A2:AX75,MATCH(手順書_市町村なまえ!$G$54, 市町村データ!A1:AX1, 0),FALSE)</f>
        <v>見沼区</v>
      </c>
      <c r="BE23" s="159"/>
      <c r="BF23" s="159"/>
      <c r="BG23" s="93">
        <v>43</v>
      </c>
      <c r="BH23" s="138" t="str">
        <f>VLOOKUP(BG23,市町村データ!A2:AX75,MATCH(手順書_市町村なまえ!$G$54, 市町村データ!A1:AX1, 0),FALSE)</f>
        <v>岩槻区</v>
      </c>
      <c r="BI23" s="159"/>
      <c r="BJ23" s="160"/>
      <c r="BK23" s="88">
        <v>44</v>
      </c>
      <c r="BL23" s="138" t="str">
        <f>VLOOKUP(BK23,市町村データ!A2:AX75,MATCH(手順書_市町村なまえ!$G$54, 市町村データ!A1:AX1, 0),FALSE)</f>
        <v>春日部市</v>
      </c>
      <c r="BM23" s="159"/>
      <c r="BN23" s="159"/>
      <c r="BO23" s="89"/>
      <c r="BP23" s="89"/>
      <c r="BQ23" s="89"/>
      <c r="BR23" s="89"/>
      <c r="BS23" s="88">
        <v>45</v>
      </c>
      <c r="BT23" s="138" t="str">
        <f>VLOOKUP(BS23,市町村データ!A2:AX75,MATCH(手順書_市町村なまえ!$G$54, 市町村データ!A1:AX1, 0),FALSE)</f>
        <v>松伏町</v>
      </c>
      <c r="BU23" s="159"/>
      <c r="BV23" s="160"/>
      <c r="BW23" s="90"/>
      <c r="BX23" s="91"/>
      <c r="BY23" s="92"/>
      <c r="BZ23" s="86"/>
      <c r="CA23" s="86"/>
      <c r="CB23" s="85"/>
    </row>
    <row r="24" spans="1:80" ht="21.15" customHeight="1" x14ac:dyDescent="0.55000000000000004">
      <c r="A24" s="85"/>
      <c r="B24" s="86"/>
      <c r="C24" s="86"/>
      <c r="D24" s="86"/>
      <c r="E24" s="86"/>
      <c r="F24" s="86"/>
      <c r="G24" s="156" t="str">
        <f>VLOOKUP(G23,市町村データ!A2:AX75,MATCH(手順書_市町村なまえ!$F$55, 市町村データ!A1:AX1, 0),FALSE)</f>
        <v>ちちぶし</v>
      </c>
      <c r="H24" s="157"/>
      <c r="I24" s="157"/>
      <c r="J24" s="157"/>
      <c r="K24" s="86"/>
      <c r="L24" s="86"/>
      <c r="M24" s="86"/>
      <c r="N24" s="86"/>
      <c r="O24" s="86"/>
      <c r="P24" s="86"/>
      <c r="Q24" s="86"/>
      <c r="R24" s="86"/>
      <c r="S24" s="156" t="str">
        <f>VLOOKUP(S23,市町村データ!A2:AX75,MATCH(手順書_市町村なまえ!$F$55, 市町村データ!A1:AX1, 0),FALSE)</f>
        <v>よこぜまち</v>
      </c>
      <c r="T24" s="157"/>
      <c r="U24" s="157"/>
      <c r="V24" s="158"/>
      <c r="W24" s="90"/>
      <c r="X24" s="86"/>
      <c r="Y24" s="86"/>
      <c r="Z24" s="86"/>
      <c r="AA24" s="156" t="str">
        <f>VLOOKUP(AA23,市町村データ!A2:AX75,MATCH(手順書_市町村なまえ!$F$55, 市町村データ!A1:AX1, 0),FALSE)</f>
        <v>おごせまち</v>
      </c>
      <c r="AB24" s="157"/>
      <c r="AC24" s="157"/>
      <c r="AD24" s="158"/>
      <c r="AE24" s="156" t="str">
        <f>VLOOKUP(AE23,市町村データ!A2:AX75,MATCH(手順書_市町村なまえ!$F$55, 市町村データ!A1:AX1, 0),FALSE)</f>
        <v>もろやままち</v>
      </c>
      <c r="AF24" s="157"/>
      <c r="AG24" s="157"/>
      <c r="AH24" s="158"/>
      <c r="AI24" s="156" t="str">
        <f>VLOOKUP(AI23,市町村データ!A2:AX75,MATCH(手順書_市町村なまえ!$F$55, 市町村データ!A1:AX1, 0),FALSE)</f>
        <v>つるがしまし</v>
      </c>
      <c r="AJ24" s="157"/>
      <c r="AK24" s="157"/>
      <c r="AL24" s="158"/>
      <c r="AM24" s="156" t="str">
        <f>VLOOKUP(AM23,市町村データ!A2:AX75,MATCH(手順書_市町村なまえ!$F$55, 市町村データ!A1:AX1, 0),FALSE)</f>
        <v>かわごえし</v>
      </c>
      <c r="AN24" s="157"/>
      <c r="AO24" s="157"/>
      <c r="AP24" s="157"/>
      <c r="AQ24" s="86"/>
      <c r="AR24" s="86"/>
      <c r="AS24" s="86"/>
      <c r="AT24" s="86"/>
      <c r="AU24" s="156" t="str">
        <f>VLOOKUP(AU23,市町村データ!A2:AX75,MATCH(手順書_市町村なまえ!$F$55, 市町村データ!A1:AX1, 0),FALSE)</f>
        <v>にしく</v>
      </c>
      <c r="AV24" s="157"/>
      <c r="AW24" s="157"/>
      <c r="AX24" s="157"/>
      <c r="AY24" s="109" t="str">
        <f>VLOOKUP(AY23,市町村データ!A2:AX75,MATCH(手順書_市町村なまえ!$F$55, 市町村データ!A1:AX1, 0),FALSE)</f>
        <v>きたく</v>
      </c>
      <c r="AZ24" s="157"/>
      <c r="BA24" s="157"/>
      <c r="BB24" s="157"/>
      <c r="BC24" s="109" t="str">
        <f>VLOOKUP(BC23,市町村データ!A2:AX75,MATCH(手順書_市町村なまえ!$F$55, 市町村データ!A1:AX1, 0),FALSE)</f>
        <v>みぬまく</v>
      </c>
      <c r="BD24" s="157"/>
      <c r="BE24" s="157"/>
      <c r="BF24" s="157"/>
      <c r="BG24" s="109" t="str">
        <f>VLOOKUP(BG23,市町村データ!A2:AX75,MATCH(手順書_市町村なまえ!$F$55, 市町村データ!A1:AX1, 0),FALSE)</f>
        <v>いわつきく</v>
      </c>
      <c r="BH24" s="157"/>
      <c r="BI24" s="157"/>
      <c r="BJ24" s="158"/>
      <c r="BK24" s="156" t="str">
        <f>VLOOKUP(BK23,市町村データ!A2:AX75,MATCH(手順書_市町村なまえ!$F$55, 市町村データ!A1:AX1, 0),FALSE)</f>
        <v>かすかべし</v>
      </c>
      <c r="BL24" s="157"/>
      <c r="BM24" s="157"/>
      <c r="BN24" s="157"/>
      <c r="BO24" s="86"/>
      <c r="BP24" s="86"/>
      <c r="BQ24" s="86"/>
      <c r="BR24" s="86"/>
      <c r="BS24" s="156" t="str">
        <f>VLOOKUP(BS23,市町村データ!A2:AX75,MATCH(手順書_市町村なまえ!$F$55, 市町村データ!A1:AX1, 0),FALSE)</f>
        <v>まつぶしまち</v>
      </c>
      <c r="BT24" s="157"/>
      <c r="BU24" s="157"/>
      <c r="BV24" s="158"/>
      <c r="BW24" s="90"/>
      <c r="BX24" s="91"/>
      <c r="BY24" s="92"/>
      <c r="BZ24" s="86"/>
      <c r="CA24" s="86"/>
      <c r="CB24" s="85"/>
    </row>
    <row r="25" spans="1:80" ht="21.15" customHeight="1" x14ac:dyDescent="0.55000000000000004">
      <c r="A25" s="85"/>
      <c r="B25" s="86"/>
      <c r="C25" s="86"/>
      <c r="D25" s="86"/>
      <c r="E25" s="86"/>
      <c r="F25" s="86"/>
      <c r="G25" s="150"/>
      <c r="H25" s="151"/>
      <c r="I25" s="151"/>
      <c r="J25" s="151"/>
      <c r="K25" s="86"/>
      <c r="L25" s="86"/>
      <c r="M25" s="86"/>
      <c r="N25" s="86"/>
      <c r="O25" s="86"/>
      <c r="P25" s="86"/>
      <c r="Q25" s="86"/>
      <c r="R25" s="86"/>
      <c r="S25" s="150"/>
      <c r="T25" s="151"/>
      <c r="U25" s="151"/>
      <c r="V25" s="152"/>
      <c r="W25" s="90"/>
      <c r="X25" s="86"/>
      <c r="Y25" s="86"/>
      <c r="Z25" s="86"/>
      <c r="AA25" s="150"/>
      <c r="AB25" s="151"/>
      <c r="AC25" s="151"/>
      <c r="AD25" s="152"/>
      <c r="AE25" s="150"/>
      <c r="AF25" s="151"/>
      <c r="AG25" s="151"/>
      <c r="AH25" s="152"/>
      <c r="AI25" s="150"/>
      <c r="AJ25" s="151"/>
      <c r="AK25" s="151"/>
      <c r="AL25" s="152"/>
      <c r="AM25" s="150"/>
      <c r="AN25" s="151"/>
      <c r="AO25" s="151"/>
      <c r="AP25" s="151"/>
      <c r="AQ25" s="86"/>
      <c r="AR25" s="86"/>
      <c r="AS25" s="86"/>
      <c r="AT25" s="86"/>
      <c r="AU25" s="150"/>
      <c r="AV25" s="151"/>
      <c r="AW25" s="151"/>
      <c r="AX25" s="151"/>
      <c r="AY25" s="162"/>
      <c r="AZ25" s="151"/>
      <c r="BA25" s="151"/>
      <c r="BB25" s="151"/>
      <c r="BC25" s="162"/>
      <c r="BD25" s="151"/>
      <c r="BE25" s="151"/>
      <c r="BF25" s="151"/>
      <c r="BG25" s="162"/>
      <c r="BH25" s="151"/>
      <c r="BI25" s="151"/>
      <c r="BJ25" s="152"/>
      <c r="BK25" s="150"/>
      <c r="BL25" s="151"/>
      <c r="BM25" s="151"/>
      <c r="BN25" s="151"/>
      <c r="BO25" s="86"/>
      <c r="BP25" s="86"/>
      <c r="BQ25" s="86"/>
      <c r="BR25" s="86"/>
      <c r="BS25" s="150"/>
      <c r="BT25" s="151"/>
      <c r="BU25" s="151"/>
      <c r="BV25" s="152"/>
      <c r="BW25" s="90"/>
      <c r="BX25" s="91"/>
      <c r="BY25" s="92"/>
      <c r="BZ25" s="86"/>
      <c r="CA25" s="86"/>
      <c r="CB25" s="85"/>
    </row>
    <row r="26" spans="1:80" ht="21.15" customHeight="1" thickBot="1" x14ac:dyDescent="0.6">
      <c r="A26" s="85"/>
      <c r="B26" s="86"/>
      <c r="C26" s="86"/>
      <c r="D26" s="86"/>
      <c r="E26" s="86"/>
      <c r="F26" s="86"/>
      <c r="G26" s="153"/>
      <c r="H26" s="154"/>
      <c r="I26" s="154"/>
      <c r="J26" s="154"/>
      <c r="K26" s="86"/>
      <c r="L26" s="86"/>
      <c r="M26" s="86"/>
      <c r="N26" s="86"/>
      <c r="O26" s="86"/>
      <c r="P26" s="86"/>
      <c r="Q26" s="86"/>
      <c r="R26" s="86"/>
      <c r="S26" s="153"/>
      <c r="T26" s="154"/>
      <c r="U26" s="154"/>
      <c r="V26" s="155"/>
      <c r="W26" s="90"/>
      <c r="X26" s="86"/>
      <c r="Y26" s="86"/>
      <c r="Z26" s="86"/>
      <c r="AA26" s="153"/>
      <c r="AB26" s="154"/>
      <c r="AC26" s="154"/>
      <c r="AD26" s="155"/>
      <c r="AE26" s="153"/>
      <c r="AF26" s="154"/>
      <c r="AG26" s="154"/>
      <c r="AH26" s="155"/>
      <c r="AI26" s="153"/>
      <c r="AJ26" s="154"/>
      <c r="AK26" s="154"/>
      <c r="AL26" s="155"/>
      <c r="AM26" s="153"/>
      <c r="AN26" s="154"/>
      <c r="AO26" s="154"/>
      <c r="AP26" s="154"/>
      <c r="AQ26" s="86"/>
      <c r="AR26" s="86"/>
      <c r="AS26" s="86"/>
      <c r="AT26" s="86"/>
      <c r="AU26" s="153"/>
      <c r="AV26" s="154"/>
      <c r="AW26" s="154"/>
      <c r="AX26" s="154"/>
      <c r="AY26" s="165"/>
      <c r="AZ26" s="151"/>
      <c r="BA26" s="151"/>
      <c r="BB26" s="151"/>
      <c r="BC26" s="165"/>
      <c r="BD26" s="151"/>
      <c r="BE26" s="151"/>
      <c r="BF26" s="151"/>
      <c r="BG26" s="165"/>
      <c r="BH26" s="151"/>
      <c r="BI26" s="151"/>
      <c r="BJ26" s="152"/>
      <c r="BK26" s="153"/>
      <c r="BL26" s="154"/>
      <c r="BM26" s="154"/>
      <c r="BN26" s="154"/>
      <c r="BO26" s="86"/>
      <c r="BP26" s="86"/>
      <c r="BQ26" s="86"/>
      <c r="BR26" s="86"/>
      <c r="BS26" s="153"/>
      <c r="BT26" s="154"/>
      <c r="BU26" s="154"/>
      <c r="BV26" s="155"/>
      <c r="BW26" s="90"/>
      <c r="BX26" s="91"/>
      <c r="BY26" s="92"/>
      <c r="BZ26" s="86"/>
      <c r="CA26" s="86"/>
      <c r="CB26" s="85"/>
    </row>
    <row r="27" spans="1:80" ht="21.15" customHeight="1" x14ac:dyDescent="0.55000000000000004">
      <c r="A27" s="85"/>
      <c r="B27" s="86"/>
      <c r="C27" s="87" t="s">
        <v>221</v>
      </c>
      <c r="D27" s="86"/>
      <c r="E27" s="86"/>
      <c r="F27" s="86"/>
      <c r="G27" s="88">
        <v>46</v>
      </c>
      <c r="H27" s="138" t="str">
        <f>VLOOKUP(G27,市町村データ!A2:AX75,MATCH(手順書_市町村なまえ!$G$54, 市町村データ!A1:AX1, 0),FALSE)</f>
        <v>小鹿野町</v>
      </c>
      <c r="I27" s="159"/>
      <c r="J27" s="160"/>
      <c r="K27" s="90"/>
      <c r="L27" s="86"/>
      <c r="M27" s="86"/>
      <c r="N27" s="86"/>
      <c r="O27" s="86"/>
      <c r="P27" s="86"/>
      <c r="Q27" s="86"/>
      <c r="R27" s="86"/>
      <c r="S27" s="88">
        <v>47</v>
      </c>
      <c r="T27" s="138" t="str">
        <f>VLOOKUP(S27,市町村データ!A2:AX75,MATCH(手順書_市町村なまえ!$G$54, 市町村データ!A1:AX1, 0),FALSE)</f>
        <v>飯能市</v>
      </c>
      <c r="U27" s="159"/>
      <c r="V27" s="159"/>
      <c r="W27" s="89"/>
      <c r="X27" s="89"/>
      <c r="Y27" s="89"/>
      <c r="Z27" s="89"/>
      <c r="AA27" s="89"/>
      <c r="AB27" s="89"/>
      <c r="AC27" s="89"/>
      <c r="AD27" s="89"/>
      <c r="AE27" s="89"/>
      <c r="AF27" s="89"/>
      <c r="AG27" s="89"/>
      <c r="AH27" s="89"/>
      <c r="AI27" s="88">
        <v>48</v>
      </c>
      <c r="AJ27" s="138" t="str">
        <f>VLOOKUP(AI27,市町村データ!A2:AX75,MATCH(手順書_市町村なまえ!$G$54, 市町村データ!A1:AX1, 0),FALSE)</f>
        <v>日高市</v>
      </c>
      <c r="AK27" s="159"/>
      <c r="AL27" s="160"/>
      <c r="AM27" s="88">
        <v>49</v>
      </c>
      <c r="AN27" s="138" t="str">
        <f>VLOOKUP(AM27,市町村データ!A2:AX75,MATCH(手順書_市町村なまえ!$G$54, 市町村データ!A1:AX1, 0),FALSE)</f>
        <v>狭山市</v>
      </c>
      <c r="AO27" s="159"/>
      <c r="AP27" s="160"/>
      <c r="AQ27" s="88">
        <v>50</v>
      </c>
      <c r="AR27" s="138" t="str">
        <f>VLOOKUP(AQ27,市町村データ!A2:AX75,MATCH(手順書_市町村なまえ!$G$54, 市町村データ!A1:AX1, 0),FALSE)</f>
        <v>ふじみ野市</v>
      </c>
      <c r="AS27" s="159"/>
      <c r="AT27" s="160"/>
      <c r="AU27" s="88">
        <v>51</v>
      </c>
      <c r="AV27" s="138" t="str">
        <f>VLOOKUP(AU27,市町村データ!A2:AX75,MATCH(手順書_市町村なまえ!$G$54, 市町村データ!A1:AX1, 0),FALSE)</f>
        <v>富士見市</v>
      </c>
      <c r="AW27" s="159"/>
      <c r="AX27" s="160"/>
      <c r="AY27" s="94">
        <v>52</v>
      </c>
      <c r="AZ27" s="163" t="str">
        <f>VLOOKUP(AY27,市町村データ!A2:AX75,MATCH(手順書_市町村なまえ!$G$54, 市町村データ!A1:AX1, 0),FALSE)</f>
        <v>中央区</v>
      </c>
      <c r="BA27" s="157"/>
      <c r="BB27" s="157"/>
      <c r="BC27" s="95">
        <v>53</v>
      </c>
      <c r="BD27" s="163" t="str">
        <f>VLOOKUP(BC27,市町村データ!A2:AX75,MATCH(手順書_市町村なまえ!$G$54, 市町村データ!A1:AX1, 0),FALSE)</f>
        <v>大宮区</v>
      </c>
      <c r="BE27" s="157"/>
      <c r="BF27" s="157"/>
      <c r="BG27" s="95">
        <v>54</v>
      </c>
      <c r="BH27" s="163" t="str">
        <f>VLOOKUP(BG27,市町村データ!A2:AX75,MATCH(手順書_市町村なまえ!$G$54, 市町村データ!A1:AX1, 0),FALSE)</f>
        <v>浦和区</v>
      </c>
      <c r="BI27" s="157"/>
      <c r="BJ27" s="158"/>
      <c r="BK27" s="88">
        <v>55</v>
      </c>
      <c r="BL27" s="138" t="str">
        <f>VLOOKUP(BK27,市町村データ!A2:AX75,MATCH(手順書_市町村なまえ!$G$54, 市町村データ!A1:AX1, 0),FALSE)</f>
        <v>越谷市</v>
      </c>
      <c r="BM27" s="159"/>
      <c r="BN27" s="159"/>
      <c r="BO27" s="89"/>
      <c r="BP27" s="89"/>
      <c r="BQ27" s="89"/>
      <c r="BR27" s="89"/>
      <c r="BS27" s="88">
        <v>56</v>
      </c>
      <c r="BT27" s="138" t="str">
        <f>VLOOKUP(BS27,市町村データ!A2:AX75,MATCH(手順書_市町村なまえ!$G$54, 市町村データ!A1:AX1, 0),FALSE)</f>
        <v>吉川市</v>
      </c>
      <c r="BU27" s="159"/>
      <c r="BV27" s="160"/>
      <c r="BW27" s="90"/>
      <c r="BX27" s="91"/>
      <c r="BY27" s="92"/>
      <c r="BZ27" s="86"/>
      <c r="CA27" s="86"/>
      <c r="CB27" s="85"/>
    </row>
    <row r="28" spans="1:80" ht="21.15" customHeight="1" x14ac:dyDescent="0.55000000000000004">
      <c r="A28" s="85"/>
      <c r="B28" s="86"/>
      <c r="C28" s="86"/>
      <c r="D28" s="86"/>
      <c r="E28" s="86"/>
      <c r="F28" s="86"/>
      <c r="G28" s="156" t="str">
        <f>VLOOKUP(G27,市町村データ!A2:AX75,MATCH(手順書_市町村なまえ!$F$55, 市町村データ!A1:AX1, 0),FALSE)</f>
        <v>おがのまち</v>
      </c>
      <c r="H28" s="157"/>
      <c r="I28" s="157"/>
      <c r="J28" s="158"/>
      <c r="K28" s="90"/>
      <c r="L28" s="86"/>
      <c r="M28" s="86"/>
      <c r="N28" s="86"/>
      <c r="O28" s="86"/>
      <c r="P28" s="86"/>
      <c r="Q28" s="86"/>
      <c r="R28" s="86"/>
      <c r="S28" s="156" t="str">
        <f>VLOOKUP(S27,市町村データ!A2:AX75,MATCH(手順書_市町村なまえ!$F$55, 市町村データ!A1:AX1, 0),FALSE)</f>
        <v>はんのうし</v>
      </c>
      <c r="T28" s="157"/>
      <c r="U28" s="157"/>
      <c r="V28" s="157"/>
      <c r="W28" s="86"/>
      <c r="X28" s="86"/>
      <c r="Y28" s="86"/>
      <c r="Z28" s="86"/>
      <c r="AA28" s="86"/>
      <c r="AB28" s="86"/>
      <c r="AC28" s="86"/>
      <c r="AD28" s="86"/>
      <c r="AE28" s="86"/>
      <c r="AF28" s="86"/>
      <c r="AG28" s="86"/>
      <c r="AH28" s="86"/>
      <c r="AI28" s="156" t="str">
        <f>VLOOKUP(AI27,市町村データ!A2:AX75,MATCH(手順書_市町村なまえ!$F$55, 市町村データ!A1:AX1, 0),FALSE)</f>
        <v>ひだかし</v>
      </c>
      <c r="AJ28" s="157"/>
      <c r="AK28" s="157"/>
      <c r="AL28" s="158"/>
      <c r="AM28" s="156" t="str">
        <f>VLOOKUP(AM27,市町村データ!A2:AX75,MATCH(手順書_市町村なまえ!$F$55, 市町村データ!A1:AX1, 0),FALSE)</f>
        <v>さやまし</v>
      </c>
      <c r="AN28" s="157"/>
      <c r="AO28" s="157"/>
      <c r="AP28" s="158"/>
      <c r="AQ28" s="156" t="str">
        <f>VLOOKUP(AQ27,市町村データ!A2:AX75,MATCH(手順書_市町村なまえ!$F$55, 市町村データ!A1:AX1, 0),FALSE)</f>
        <v>ふじみのし</v>
      </c>
      <c r="AR28" s="157"/>
      <c r="AS28" s="157"/>
      <c r="AT28" s="158"/>
      <c r="AU28" s="156" t="str">
        <f>VLOOKUP(AU27,市町村データ!A2:AX75,MATCH(手順書_市町村なまえ!$F$55, 市町村データ!A1:AX1, 0),FALSE)</f>
        <v>ふじみし</v>
      </c>
      <c r="AV28" s="157"/>
      <c r="AW28" s="157"/>
      <c r="AX28" s="158"/>
      <c r="AY28" s="156" t="str">
        <f>VLOOKUP(AY27,市町村データ!A2:AX75,MATCH(手順書_市町村なまえ!$F$55, 市町村データ!A1:AX1, 0),FALSE)</f>
        <v>ちゅうおうく</v>
      </c>
      <c r="AZ28" s="157"/>
      <c r="BA28" s="157"/>
      <c r="BB28" s="157"/>
      <c r="BC28" s="109" t="str">
        <f>VLOOKUP(BC27,市町村データ!A2:AX75,MATCH(手順書_市町村なまえ!$F$55, 市町村データ!A1:AX1, 0),FALSE)</f>
        <v>おおみやく</v>
      </c>
      <c r="BD28" s="157"/>
      <c r="BE28" s="157"/>
      <c r="BF28" s="157"/>
      <c r="BG28" s="109" t="str">
        <f>VLOOKUP(BG27,市町村データ!A2:AX75,MATCH(手順書_市町村なまえ!$F$55, 市町村データ!A1:AX1, 0),FALSE)</f>
        <v>うらわく</v>
      </c>
      <c r="BH28" s="157"/>
      <c r="BI28" s="157"/>
      <c r="BJ28" s="158"/>
      <c r="BK28" s="156" t="str">
        <f>VLOOKUP(BK27,市町村データ!A2:AX75,MATCH(手順書_市町村なまえ!$F$55, 市町村データ!A1:AX1, 0),FALSE)</f>
        <v>こしがやし</v>
      </c>
      <c r="BL28" s="157"/>
      <c r="BM28" s="157"/>
      <c r="BN28" s="157"/>
      <c r="BO28" s="86"/>
      <c r="BP28" s="86"/>
      <c r="BQ28" s="86"/>
      <c r="BR28" s="86"/>
      <c r="BS28" s="156" t="str">
        <f>VLOOKUP(BS27,市町村データ!A2:AX75,MATCH(手順書_市町村なまえ!$F$55, 市町村データ!A1:AX1, 0),FALSE)</f>
        <v>よしかわし</v>
      </c>
      <c r="BT28" s="157"/>
      <c r="BU28" s="157"/>
      <c r="BV28" s="158"/>
      <c r="BW28" s="90"/>
      <c r="BX28" s="86"/>
      <c r="BY28" s="86"/>
      <c r="BZ28" s="86"/>
      <c r="CA28" s="86"/>
      <c r="CB28" s="85"/>
    </row>
    <row r="29" spans="1:80" ht="21.15" customHeight="1" x14ac:dyDescent="0.55000000000000004">
      <c r="A29" s="85"/>
      <c r="B29" s="86"/>
      <c r="C29" s="86"/>
      <c r="D29" s="86"/>
      <c r="E29" s="86"/>
      <c r="F29" s="86"/>
      <c r="G29" s="150"/>
      <c r="H29" s="151"/>
      <c r="I29" s="151"/>
      <c r="J29" s="152"/>
      <c r="K29" s="90"/>
      <c r="L29" s="86"/>
      <c r="M29" s="86"/>
      <c r="N29" s="86"/>
      <c r="O29" s="86"/>
      <c r="P29" s="86"/>
      <c r="Q29" s="86"/>
      <c r="R29" s="86"/>
      <c r="S29" s="150"/>
      <c r="T29" s="151"/>
      <c r="U29" s="151"/>
      <c r="V29" s="151"/>
      <c r="W29" s="86"/>
      <c r="X29" s="86"/>
      <c r="Y29" s="86"/>
      <c r="Z29" s="86"/>
      <c r="AA29" s="86"/>
      <c r="AB29" s="86"/>
      <c r="AC29" s="86"/>
      <c r="AD29" s="86"/>
      <c r="AE29" s="86"/>
      <c r="AF29" s="86"/>
      <c r="AG29" s="86"/>
      <c r="AH29" s="86"/>
      <c r="AI29" s="150"/>
      <c r="AJ29" s="151"/>
      <c r="AK29" s="151"/>
      <c r="AL29" s="152"/>
      <c r="AM29" s="150"/>
      <c r="AN29" s="151"/>
      <c r="AO29" s="151"/>
      <c r="AP29" s="152"/>
      <c r="AQ29" s="150"/>
      <c r="AR29" s="151"/>
      <c r="AS29" s="151"/>
      <c r="AT29" s="152"/>
      <c r="AU29" s="150"/>
      <c r="AV29" s="151"/>
      <c r="AW29" s="151"/>
      <c r="AX29" s="152"/>
      <c r="AY29" s="150"/>
      <c r="AZ29" s="151"/>
      <c r="BA29" s="151"/>
      <c r="BB29" s="151"/>
      <c r="BC29" s="162"/>
      <c r="BD29" s="151"/>
      <c r="BE29" s="151"/>
      <c r="BF29" s="151"/>
      <c r="BG29" s="162"/>
      <c r="BH29" s="151"/>
      <c r="BI29" s="151"/>
      <c r="BJ29" s="152"/>
      <c r="BK29" s="150"/>
      <c r="BL29" s="151"/>
      <c r="BM29" s="151"/>
      <c r="BN29" s="151"/>
      <c r="BO29" s="86"/>
      <c r="BP29" s="86"/>
      <c r="BQ29" s="86"/>
      <c r="BR29" s="86"/>
      <c r="BS29" s="150"/>
      <c r="BT29" s="151"/>
      <c r="BU29" s="151"/>
      <c r="BV29" s="152"/>
      <c r="BW29" s="90"/>
      <c r="BX29" s="86"/>
      <c r="BY29" s="86"/>
      <c r="BZ29" s="86"/>
      <c r="CA29" s="86"/>
      <c r="CB29" s="85"/>
    </row>
    <row r="30" spans="1:80" ht="21.15" customHeight="1" thickBot="1" x14ac:dyDescent="0.6">
      <c r="A30" s="85"/>
      <c r="B30" s="86"/>
      <c r="C30" s="86"/>
      <c r="D30" s="86"/>
      <c r="E30" s="86"/>
      <c r="F30" s="86"/>
      <c r="G30" s="153"/>
      <c r="H30" s="154"/>
      <c r="I30" s="154"/>
      <c r="J30" s="155"/>
      <c r="K30" s="90"/>
      <c r="L30" s="86"/>
      <c r="M30" s="86"/>
      <c r="N30" s="86"/>
      <c r="O30" s="86"/>
      <c r="P30" s="86"/>
      <c r="Q30" s="86"/>
      <c r="R30" s="86"/>
      <c r="S30" s="164"/>
      <c r="T30" s="151"/>
      <c r="U30" s="151"/>
      <c r="V30" s="151"/>
      <c r="W30" s="86"/>
      <c r="X30" s="86"/>
      <c r="Y30" s="86"/>
      <c r="Z30" s="86"/>
      <c r="AA30" s="86"/>
      <c r="AB30" s="86"/>
      <c r="AC30" s="86"/>
      <c r="AD30" s="86"/>
      <c r="AE30" s="86"/>
      <c r="AF30" s="86"/>
      <c r="AG30" s="86"/>
      <c r="AH30" s="86"/>
      <c r="AI30" s="153"/>
      <c r="AJ30" s="154"/>
      <c r="AK30" s="154"/>
      <c r="AL30" s="155"/>
      <c r="AM30" s="153"/>
      <c r="AN30" s="154"/>
      <c r="AO30" s="154"/>
      <c r="AP30" s="155"/>
      <c r="AQ30" s="153"/>
      <c r="AR30" s="154"/>
      <c r="AS30" s="154"/>
      <c r="AT30" s="155"/>
      <c r="AU30" s="153"/>
      <c r="AV30" s="154"/>
      <c r="AW30" s="154"/>
      <c r="AX30" s="155"/>
      <c r="AY30" s="164"/>
      <c r="AZ30" s="151"/>
      <c r="BA30" s="151"/>
      <c r="BB30" s="151"/>
      <c r="BC30" s="165"/>
      <c r="BD30" s="151"/>
      <c r="BE30" s="151"/>
      <c r="BF30" s="151"/>
      <c r="BG30" s="165"/>
      <c r="BH30" s="151"/>
      <c r="BI30" s="151"/>
      <c r="BJ30" s="152"/>
      <c r="BK30" s="164"/>
      <c r="BL30" s="151"/>
      <c r="BM30" s="151"/>
      <c r="BN30" s="151"/>
      <c r="BO30" s="86"/>
      <c r="BP30" s="86"/>
      <c r="BQ30" s="86"/>
      <c r="BR30" s="86"/>
      <c r="BS30" s="153"/>
      <c r="BT30" s="154"/>
      <c r="BU30" s="154"/>
      <c r="BV30" s="155"/>
      <c r="BW30" s="90"/>
      <c r="BX30" s="86"/>
      <c r="BY30" s="86"/>
      <c r="BZ30" s="86"/>
      <c r="CA30" s="86"/>
      <c r="CB30" s="85"/>
    </row>
    <row r="31" spans="1:80" ht="21.15" customHeight="1" x14ac:dyDescent="0.55000000000000004">
      <c r="A31" s="85"/>
      <c r="B31" s="86"/>
      <c r="C31" s="87" t="s">
        <v>222</v>
      </c>
      <c r="D31" s="86"/>
      <c r="E31" s="86"/>
      <c r="F31" s="86"/>
      <c r="G31" s="96"/>
      <c r="H31" s="89"/>
      <c r="I31" s="89"/>
      <c r="J31" s="89"/>
      <c r="K31" s="86"/>
      <c r="L31" s="86"/>
      <c r="M31" s="86"/>
      <c r="N31" s="86"/>
      <c r="O31" s="86"/>
      <c r="P31" s="86"/>
      <c r="Q31" s="86"/>
      <c r="R31" s="86"/>
      <c r="S31" s="90"/>
      <c r="T31" s="86"/>
      <c r="U31" s="86"/>
      <c r="V31" s="86"/>
      <c r="W31" s="86"/>
      <c r="X31" s="86"/>
      <c r="Y31" s="86"/>
      <c r="Z31" s="86"/>
      <c r="AA31" s="86"/>
      <c r="AB31" s="86"/>
      <c r="AC31" s="86"/>
      <c r="AD31" s="86"/>
      <c r="AE31" s="86"/>
      <c r="AF31" s="86"/>
      <c r="AG31" s="86"/>
      <c r="AH31" s="86"/>
      <c r="AI31" s="89"/>
      <c r="AJ31" s="89"/>
      <c r="AK31" s="89"/>
      <c r="AL31" s="89"/>
      <c r="AM31" s="88">
        <v>57</v>
      </c>
      <c r="AN31" s="138" t="str">
        <f>VLOOKUP(AM31,市町村データ!A2:AX75,MATCH(手順書_市町村なまえ!$G$54, 市町村データ!A1:AX1, 0),FALSE)</f>
        <v>入間市</v>
      </c>
      <c r="AO31" s="159"/>
      <c r="AP31" s="160"/>
      <c r="AQ31" s="88">
        <v>58</v>
      </c>
      <c r="AR31" s="138" t="str">
        <f>VLOOKUP(AQ31,市町村データ!A2:AX75,MATCH(手順書_市町村なまえ!$G$54, 市町村データ!A1:AX1, 0),FALSE)</f>
        <v>三芳町</v>
      </c>
      <c r="AS31" s="159"/>
      <c r="AT31" s="160"/>
      <c r="AU31" s="88">
        <v>59</v>
      </c>
      <c r="AV31" s="138" t="str">
        <f>VLOOKUP(AU31,市町村データ!A2:AX75,MATCH(手順書_市町村なまえ!$G$54, 市町村データ!A1:AX1, 0),FALSE)</f>
        <v>志木市</v>
      </c>
      <c r="AW31" s="159"/>
      <c r="AX31" s="160"/>
      <c r="AY31" s="94">
        <v>60</v>
      </c>
      <c r="AZ31" s="163" t="str">
        <f>VLOOKUP(AY31,市町村データ!A2:AX75,MATCH(手順書_市町村なまえ!$G$54, 市町村データ!A1:AX1, 0),FALSE)</f>
        <v>桜区</v>
      </c>
      <c r="BA31" s="157"/>
      <c r="BB31" s="157"/>
      <c r="BC31" s="95">
        <v>61</v>
      </c>
      <c r="BD31" s="163" t="str">
        <f>VLOOKUP(BC31,市町村データ!A2:AX75,MATCH(手順書_市町村なまえ!$G$54, 市町村データ!A1:AX1, 0),FALSE)</f>
        <v>南区</v>
      </c>
      <c r="BE31" s="157"/>
      <c r="BF31" s="157"/>
      <c r="BG31" s="95">
        <v>62</v>
      </c>
      <c r="BH31" s="163" t="str">
        <f>VLOOKUP(BG31,市町村データ!A2:AX75,MATCH(手順書_市町村なまえ!$G$54, 市町村データ!A1:AX1, 0),FALSE)</f>
        <v>緑区</v>
      </c>
      <c r="BI31" s="157"/>
      <c r="BJ31" s="158"/>
      <c r="BK31" s="90"/>
      <c r="BL31" s="86"/>
      <c r="BM31" s="86"/>
      <c r="BN31" s="86"/>
      <c r="BO31" s="86"/>
      <c r="BP31" s="86"/>
      <c r="BQ31" s="86"/>
      <c r="BR31" s="86"/>
      <c r="BS31" s="88">
        <v>63</v>
      </c>
      <c r="BT31" s="138" t="str">
        <f>VLOOKUP(BS31,市町村データ!A2:AX75,MATCH(手順書_市町村なまえ!$G$54, 市町村データ!A1:AX1, 0),FALSE)</f>
        <v>三郷市</v>
      </c>
      <c r="BU31" s="159"/>
      <c r="BV31" s="160"/>
      <c r="BW31" s="90"/>
      <c r="BX31" s="86"/>
      <c r="BY31" s="86"/>
      <c r="BZ31" s="86"/>
      <c r="CA31" s="86"/>
      <c r="CB31" s="85"/>
    </row>
    <row r="32" spans="1:80" ht="21.15" customHeight="1" x14ac:dyDescent="0.55000000000000004">
      <c r="A32" s="85"/>
      <c r="B32" s="86"/>
      <c r="C32" s="86"/>
      <c r="D32" s="86"/>
      <c r="E32" s="86"/>
      <c r="F32" s="86"/>
      <c r="G32" s="90"/>
      <c r="H32" s="86"/>
      <c r="I32" s="86"/>
      <c r="J32" s="86"/>
      <c r="K32" s="86"/>
      <c r="L32" s="86"/>
      <c r="M32" s="86"/>
      <c r="N32" s="86"/>
      <c r="O32" s="86"/>
      <c r="P32" s="86"/>
      <c r="Q32" s="86"/>
      <c r="R32" s="86"/>
      <c r="S32" s="90"/>
      <c r="T32" s="86"/>
      <c r="U32" s="86"/>
      <c r="V32" s="86"/>
      <c r="W32" s="86"/>
      <c r="X32" s="86"/>
      <c r="Y32" s="86"/>
      <c r="Z32" s="86"/>
      <c r="AA32" s="86"/>
      <c r="AB32" s="86"/>
      <c r="AC32" s="86"/>
      <c r="AD32" s="86"/>
      <c r="AE32" s="86"/>
      <c r="AF32" s="86"/>
      <c r="AG32" s="86"/>
      <c r="AH32" s="86"/>
      <c r="AI32" s="86"/>
      <c r="AJ32" s="86"/>
      <c r="AK32" s="86"/>
      <c r="AL32" s="86"/>
      <c r="AM32" s="156" t="str">
        <f>VLOOKUP(AM31,市町村データ!A2:AX75,MATCH(手順書_市町村なまえ!$F$55, 市町村データ!A1:AX1, 0),FALSE)</f>
        <v>いるまし</v>
      </c>
      <c r="AN32" s="157"/>
      <c r="AO32" s="157"/>
      <c r="AP32" s="158"/>
      <c r="AQ32" s="156" t="str">
        <f>VLOOKUP(AQ31,市町村データ!A2:AX75,MATCH(手順書_市町村なまえ!$F$55, 市町村データ!A1:AX1, 0),FALSE)</f>
        <v>みよしまち</v>
      </c>
      <c r="AR32" s="157"/>
      <c r="AS32" s="157"/>
      <c r="AT32" s="158"/>
      <c r="AU32" s="156" t="str">
        <f>VLOOKUP(AU31,市町村データ!A2:AX75,MATCH(手順書_市町村なまえ!$F$55, 市町村データ!A1:AX1, 0),FALSE)</f>
        <v>しきし</v>
      </c>
      <c r="AV32" s="157"/>
      <c r="AW32" s="157"/>
      <c r="AX32" s="158"/>
      <c r="AY32" s="156" t="str">
        <f>VLOOKUP(AY31,市町村データ!A2:AX75,MATCH(手順書_市町村なまえ!$F$55, 市町村データ!A1:AX1, 0),FALSE)</f>
        <v>さくらく</v>
      </c>
      <c r="AZ32" s="157"/>
      <c r="BA32" s="157"/>
      <c r="BB32" s="157"/>
      <c r="BC32" s="109" t="str">
        <f>VLOOKUP(BC31,市町村データ!A2:AX75,MATCH(手順書_市町村なまえ!$F$55, 市町村データ!A1:AX1, 0),FALSE)</f>
        <v>みなみく</v>
      </c>
      <c r="BD32" s="157"/>
      <c r="BE32" s="157"/>
      <c r="BF32" s="157"/>
      <c r="BG32" s="109" t="str">
        <f>VLOOKUP(BG31,市町村データ!A2:AX75,MATCH(手順書_市町村なまえ!$F$55, 市町村データ!A1:AX1, 0),FALSE)</f>
        <v>みどりく</v>
      </c>
      <c r="BH32" s="157"/>
      <c r="BI32" s="157"/>
      <c r="BJ32" s="158"/>
      <c r="BK32" s="90"/>
      <c r="BL32" s="86"/>
      <c r="BM32" s="86"/>
      <c r="BN32" s="86"/>
      <c r="BO32" s="86"/>
      <c r="BP32" s="86"/>
      <c r="BQ32" s="86"/>
      <c r="BR32" s="86"/>
      <c r="BS32" s="156" t="str">
        <f>VLOOKUP(BS31,市町村データ!A2:AX75,MATCH(手順書_市町村なまえ!$F$55, 市町村データ!A1:AX1, 0),FALSE)</f>
        <v>みさとし</v>
      </c>
      <c r="BT32" s="157"/>
      <c r="BU32" s="157"/>
      <c r="BV32" s="158"/>
      <c r="BW32" s="90"/>
      <c r="BX32" s="86"/>
      <c r="BY32" s="86"/>
      <c r="BZ32" s="86"/>
      <c r="CA32" s="86"/>
      <c r="CB32" s="85"/>
    </row>
    <row r="33" spans="1:80" ht="21.15" customHeight="1" x14ac:dyDescent="0.55000000000000004">
      <c r="A33" s="85"/>
      <c r="B33" s="86"/>
      <c r="C33" s="86"/>
      <c r="D33" s="86"/>
      <c r="E33" s="86"/>
      <c r="F33" s="86"/>
      <c r="G33" s="90"/>
      <c r="H33" s="86"/>
      <c r="I33" s="86"/>
      <c r="J33" s="86"/>
      <c r="K33" s="86"/>
      <c r="L33" s="86"/>
      <c r="M33" s="86"/>
      <c r="N33" s="86"/>
      <c r="O33" s="86"/>
      <c r="P33" s="86"/>
      <c r="Q33" s="86"/>
      <c r="R33" s="86"/>
      <c r="S33" s="90"/>
      <c r="T33" s="86"/>
      <c r="U33" s="86"/>
      <c r="V33" s="86"/>
      <c r="W33" s="86"/>
      <c r="X33" s="86"/>
      <c r="Y33" s="86"/>
      <c r="Z33" s="86"/>
      <c r="AA33" s="86"/>
      <c r="AB33" s="86"/>
      <c r="AC33" s="86"/>
      <c r="AD33" s="86"/>
      <c r="AE33" s="86"/>
      <c r="AF33" s="86"/>
      <c r="AG33" s="86"/>
      <c r="AH33" s="86"/>
      <c r="AI33" s="97"/>
      <c r="AJ33" s="86"/>
      <c r="AK33" s="86"/>
      <c r="AL33" s="86"/>
      <c r="AM33" s="150"/>
      <c r="AN33" s="151"/>
      <c r="AO33" s="151"/>
      <c r="AP33" s="152"/>
      <c r="AQ33" s="150"/>
      <c r="AR33" s="151"/>
      <c r="AS33" s="151"/>
      <c r="AT33" s="152"/>
      <c r="AU33" s="150"/>
      <c r="AV33" s="151"/>
      <c r="AW33" s="151"/>
      <c r="AX33" s="152"/>
      <c r="AY33" s="150"/>
      <c r="AZ33" s="151"/>
      <c r="BA33" s="151"/>
      <c r="BB33" s="151"/>
      <c r="BC33" s="162"/>
      <c r="BD33" s="151"/>
      <c r="BE33" s="151"/>
      <c r="BF33" s="151"/>
      <c r="BG33" s="162"/>
      <c r="BH33" s="151"/>
      <c r="BI33" s="151"/>
      <c r="BJ33" s="152"/>
      <c r="BK33" s="90"/>
      <c r="BL33" s="86"/>
      <c r="BM33" s="86"/>
      <c r="BN33" s="86"/>
      <c r="BO33" s="86"/>
      <c r="BP33" s="86"/>
      <c r="BQ33" s="86"/>
      <c r="BR33" s="86"/>
      <c r="BS33" s="150"/>
      <c r="BT33" s="151"/>
      <c r="BU33" s="151"/>
      <c r="BV33" s="152"/>
      <c r="BW33" s="90"/>
      <c r="BX33" s="86"/>
      <c r="BY33" s="86"/>
      <c r="BZ33" s="86"/>
      <c r="CA33" s="86"/>
      <c r="CB33" s="85"/>
    </row>
    <row r="34" spans="1:80" ht="21.15" customHeight="1" thickBot="1" x14ac:dyDescent="0.6">
      <c r="A34" s="85"/>
      <c r="B34" s="86"/>
      <c r="C34" s="86"/>
      <c r="D34" s="86"/>
      <c r="E34" s="86"/>
      <c r="F34" s="86"/>
      <c r="G34" s="90"/>
      <c r="H34" s="86"/>
      <c r="I34" s="86"/>
      <c r="J34" s="86"/>
      <c r="K34" s="86"/>
      <c r="L34" s="86"/>
      <c r="M34" s="86"/>
      <c r="N34" s="86"/>
      <c r="O34" s="86"/>
      <c r="P34" s="86"/>
      <c r="Q34" s="86"/>
      <c r="R34" s="86"/>
      <c r="S34" s="90"/>
      <c r="T34" s="86"/>
      <c r="U34" s="86"/>
      <c r="V34" s="86"/>
      <c r="W34" s="86"/>
      <c r="X34" s="86"/>
      <c r="Y34" s="86"/>
      <c r="Z34" s="86"/>
      <c r="AA34" s="86"/>
      <c r="AB34" s="86"/>
      <c r="AC34" s="86"/>
      <c r="AD34" s="86"/>
      <c r="AE34" s="86"/>
      <c r="AF34" s="86"/>
      <c r="AG34" s="86"/>
      <c r="AH34" s="86"/>
      <c r="AI34" s="86"/>
      <c r="AJ34" s="86"/>
      <c r="AK34" s="86"/>
      <c r="AL34" s="86"/>
      <c r="AM34" s="153"/>
      <c r="AN34" s="154"/>
      <c r="AO34" s="154"/>
      <c r="AP34" s="155"/>
      <c r="AQ34" s="153"/>
      <c r="AR34" s="154"/>
      <c r="AS34" s="154"/>
      <c r="AT34" s="155"/>
      <c r="AU34" s="153"/>
      <c r="AV34" s="154"/>
      <c r="AW34" s="154"/>
      <c r="AX34" s="155"/>
      <c r="AY34" s="153"/>
      <c r="AZ34" s="154"/>
      <c r="BA34" s="154"/>
      <c r="BB34" s="154"/>
      <c r="BC34" s="161"/>
      <c r="BD34" s="154"/>
      <c r="BE34" s="154"/>
      <c r="BF34" s="154"/>
      <c r="BG34" s="161"/>
      <c r="BH34" s="154"/>
      <c r="BI34" s="154"/>
      <c r="BJ34" s="155"/>
      <c r="BK34" s="90"/>
      <c r="BL34" s="86"/>
      <c r="BM34" s="86"/>
      <c r="BN34" s="86"/>
      <c r="BO34" s="86"/>
      <c r="BP34" s="86"/>
      <c r="BQ34" s="86"/>
      <c r="BR34" s="86"/>
      <c r="BS34" s="153"/>
      <c r="BT34" s="154"/>
      <c r="BU34" s="154"/>
      <c r="BV34" s="155"/>
      <c r="BW34" s="90"/>
      <c r="BX34" s="86"/>
      <c r="BY34" s="86"/>
      <c r="BZ34" s="86"/>
      <c r="CA34" s="86"/>
      <c r="CB34" s="85"/>
    </row>
    <row r="35" spans="1:80" ht="21.15" customHeight="1" x14ac:dyDescent="0.55000000000000004">
      <c r="A35" s="85"/>
      <c r="B35" s="86"/>
      <c r="C35" s="87" t="s">
        <v>223</v>
      </c>
      <c r="D35" s="86"/>
      <c r="E35" s="86"/>
      <c r="F35" s="86"/>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8">
        <v>64</v>
      </c>
      <c r="AN35" s="138" t="str">
        <f>VLOOKUP(AM35,市町村データ!A2:AX75,MATCH(手順書_市町村なまえ!$G$54, 市町村データ!A1:AX1, 0),FALSE)</f>
        <v>所沢市</v>
      </c>
      <c r="AO35" s="159"/>
      <c r="AP35" s="160"/>
      <c r="AQ35" s="88">
        <v>65</v>
      </c>
      <c r="AR35" s="138" t="str">
        <f>VLOOKUP(AQ35,市町村データ!A2:AX75,MATCH(手順書_市町村なまえ!$G$54, 市町村データ!A1:AX1, 0),FALSE)</f>
        <v>新座市</v>
      </c>
      <c r="AS35" s="159"/>
      <c r="AT35" s="160"/>
      <c r="AU35" s="88">
        <v>66</v>
      </c>
      <c r="AV35" s="138" t="str">
        <f>VLOOKUP(AU35,市町村データ!A2:AX75,MATCH(手順書_市町村なまえ!$G$54, 市町村データ!A1:AX1, 0),FALSE)</f>
        <v>朝霞市</v>
      </c>
      <c r="AW35" s="159"/>
      <c r="AX35" s="160"/>
      <c r="AY35" s="88">
        <v>67</v>
      </c>
      <c r="AZ35" s="138" t="str">
        <f>VLOOKUP(AY35,市町村データ!A2:AX75,MATCH(手順書_市町村なまえ!$G$54, 市町村データ!A1:AX1, 0),FALSE)</f>
        <v>和光市</v>
      </c>
      <c r="BA35" s="159"/>
      <c r="BB35" s="160"/>
      <c r="BC35" s="88">
        <v>68</v>
      </c>
      <c r="BD35" s="138" t="str">
        <f>VLOOKUP(BC35,市町村データ!A2:AX75,MATCH(手順書_市町村なまえ!$G$54, 市町村データ!A1:AX1, 0),FALSE)</f>
        <v>戸田市</v>
      </c>
      <c r="BE35" s="159"/>
      <c r="BF35" s="160"/>
      <c r="BG35" s="88">
        <v>69</v>
      </c>
      <c r="BH35" s="138" t="str">
        <f>VLOOKUP(BG35,市町村データ!A2:AX75,MATCH(手順書_市町村なまえ!$G$54, 市町村データ!A1:AX1, 0),FALSE)</f>
        <v>蕨市</v>
      </c>
      <c r="BI35" s="159"/>
      <c r="BJ35" s="160"/>
      <c r="BK35" s="88">
        <v>70</v>
      </c>
      <c r="BL35" s="138" t="str">
        <f>VLOOKUP(BK35,市町村データ!A2:AX75,MATCH(手順書_市町村なまえ!$G$54, 市町村データ!A1:AX1, 0),FALSE)</f>
        <v>川口市</v>
      </c>
      <c r="BM35" s="159"/>
      <c r="BN35" s="160"/>
      <c r="BO35" s="88">
        <v>71</v>
      </c>
      <c r="BP35" s="138" t="str">
        <f>VLOOKUP(BO35,市町村データ!A2:AX75,MATCH(手順書_市町村なまえ!$G$54, 市町村データ!A1:AX1, 0),FALSE)</f>
        <v>草加市</v>
      </c>
      <c r="BQ35" s="159"/>
      <c r="BR35" s="160"/>
      <c r="BS35" s="88">
        <v>72</v>
      </c>
      <c r="BT35" s="138" t="str">
        <f>VLOOKUP(BS35,市町村データ!A2:AX75,MATCH(手順書_市町村なまえ!$G$54, 市町村データ!A1:AX1, 0),FALSE)</f>
        <v>八潮市</v>
      </c>
      <c r="BU35" s="159"/>
      <c r="BV35" s="160"/>
      <c r="BW35" s="90"/>
      <c r="BX35" s="86"/>
      <c r="BY35" s="86"/>
      <c r="BZ35" s="86"/>
      <c r="CA35" s="86"/>
      <c r="CB35" s="85"/>
    </row>
    <row r="36" spans="1:80"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156" t="str">
        <f>VLOOKUP(AM35,市町村データ!A2:AX75,MATCH(手順書_市町村なまえ!$F$55, 市町村データ!A1:AX1, 0),FALSE)</f>
        <v>ところざわし</v>
      </c>
      <c r="AN36" s="157"/>
      <c r="AO36" s="157"/>
      <c r="AP36" s="158"/>
      <c r="AQ36" s="156" t="str">
        <f>VLOOKUP(AQ35,市町村データ!A2:AX75,MATCH(手順書_市町村なまえ!$F$55, 市町村データ!A1:AX1, 0),FALSE)</f>
        <v>にいざし</v>
      </c>
      <c r="AR36" s="157"/>
      <c r="AS36" s="157"/>
      <c r="AT36" s="158"/>
      <c r="AU36" s="156" t="str">
        <f>VLOOKUP(AU35,市町村データ!A2:AX75,MATCH(手順書_市町村なまえ!$F$55, 市町村データ!A1:AX1, 0),FALSE)</f>
        <v>あさかし</v>
      </c>
      <c r="AV36" s="157"/>
      <c r="AW36" s="157"/>
      <c r="AX36" s="158"/>
      <c r="AY36" s="156" t="str">
        <f>VLOOKUP(AY35,市町村データ!A2:AX75,MATCH(手順書_市町村なまえ!$F$55, 市町村データ!A1:AX1, 0),FALSE)</f>
        <v>わこうし</v>
      </c>
      <c r="AZ36" s="157"/>
      <c r="BA36" s="157"/>
      <c r="BB36" s="158"/>
      <c r="BC36" s="156" t="str">
        <f>VLOOKUP(BC35,市町村データ!A2:AX75,MATCH(手順書_市町村なまえ!$F$55, 市町村データ!A1:AX1, 0),FALSE)</f>
        <v>とだし</v>
      </c>
      <c r="BD36" s="157"/>
      <c r="BE36" s="157"/>
      <c r="BF36" s="158"/>
      <c r="BG36" s="156" t="str">
        <f>VLOOKUP(BG35,市町村データ!A2:AX75,MATCH(手順書_市町村なまえ!$F$55, 市町村データ!A1:AX1, 0),FALSE)</f>
        <v>わらびし</v>
      </c>
      <c r="BH36" s="157"/>
      <c r="BI36" s="157"/>
      <c r="BJ36" s="158"/>
      <c r="BK36" s="156" t="str">
        <f>VLOOKUP(BK35,市町村データ!A2:AX75,MATCH(手順書_市町村なまえ!$F$55, 市町村データ!A1:AX1, 0),FALSE)</f>
        <v>かわぐちし</v>
      </c>
      <c r="BL36" s="157"/>
      <c r="BM36" s="157"/>
      <c r="BN36" s="158"/>
      <c r="BO36" s="156" t="str">
        <f>VLOOKUP(BO35,市町村データ!A2:AX75,MATCH(手順書_市町村なまえ!$F$55, 市町村データ!A1:AX1, 0),FALSE)</f>
        <v>そうかし</v>
      </c>
      <c r="BP36" s="157"/>
      <c r="BQ36" s="157"/>
      <c r="BR36" s="158"/>
      <c r="BS36" s="156" t="str">
        <f>VLOOKUP(BS35,市町村データ!A2:AX75,MATCH(手順書_市町村なまえ!$F$55, 市町村データ!A1:AX1, 0),FALSE)</f>
        <v>やしおし</v>
      </c>
      <c r="BT36" s="157"/>
      <c r="BU36" s="157"/>
      <c r="BV36" s="158"/>
      <c r="BW36" s="90"/>
      <c r="BX36" s="86"/>
      <c r="BY36" s="86"/>
      <c r="BZ36" s="86"/>
      <c r="CA36" s="86"/>
      <c r="CB36" s="85"/>
    </row>
    <row r="37" spans="1:80"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150"/>
      <c r="AN37" s="151"/>
      <c r="AO37" s="151"/>
      <c r="AP37" s="152"/>
      <c r="AQ37" s="150"/>
      <c r="AR37" s="151"/>
      <c r="AS37" s="151"/>
      <c r="AT37" s="152"/>
      <c r="AU37" s="150"/>
      <c r="AV37" s="151"/>
      <c r="AW37" s="151"/>
      <c r="AX37" s="152"/>
      <c r="AY37" s="150"/>
      <c r="AZ37" s="151"/>
      <c r="BA37" s="151"/>
      <c r="BB37" s="152"/>
      <c r="BC37" s="150"/>
      <c r="BD37" s="151"/>
      <c r="BE37" s="151"/>
      <c r="BF37" s="152"/>
      <c r="BG37" s="150"/>
      <c r="BH37" s="151"/>
      <c r="BI37" s="151"/>
      <c r="BJ37" s="152"/>
      <c r="BK37" s="150"/>
      <c r="BL37" s="151"/>
      <c r="BM37" s="151"/>
      <c r="BN37" s="152"/>
      <c r="BO37" s="150"/>
      <c r="BP37" s="151"/>
      <c r="BQ37" s="151"/>
      <c r="BR37" s="152"/>
      <c r="BS37" s="150"/>
      <c r="BT37" s="151"/>
      <c r="BU37" s="151"/>
      <c r="BV37" s="152"/>
      <c r="BW37" s="90"/>
      <c r="BX37" s="86"/>
      <c r="BY37" s="86"/>
      <c r="BZ37" s="86"/>
      <c r="CA37" s="86"/>
      <c r="CB37" s="85"/>
    </row>
    <row r="38" spans="1:80" ht="21.15" customHeight="1" thickBot="1" x14ac:dyDescent="0.6">
      <c r="A38" s="85"/>
      <c r="B38" s="86" t="s">
        <v>361</v>
      </c>
      <c r="C38" s="86"/>
      <c r="D38" s="86"/>
      <c r="E38" s="86"/>
      <c r="F38" s="86"/>
      <c r="G38" s="98"/>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153"/>
      <c r="AN38" s="154"/>
      <c r="AO38" s="154"/>
      <c r="AP38" s="155"/>
      <c r="AQ38" s="153"/>
      <c r="AR38" s="154"/>
      <c r="AS38" s="154"/>
      <c r="AT38" s="155"/>
      <c r="AU38" s="153"/>
      <c r="AV38" s="154"/>
      <c r="AW38" s="154"/>
      <c r="AX38" s="155"/>
      <c r="AY38" s="153"/>
      <c r="AZ38" s="154"/>
      <c r="BA38" s="154"/>
      <c r="BB38" s="155"/>
      <c r="BC38" s="153"/>
      <c r="BD38" s="154"/>
      <c r="BE38" s="154"/>
      <c r="BF38" s="155"/>
      <c r="BG38" s="153"/>
      <c r="BH38" s="154"/>
      <c r="BI38" s="154"/>
      <c r="BJ38" s="155"/>
      <c r="BK38" s="153"/>
      <c r="BL38" s="154"/>
      <c r="BM38" s="154"/>
      <c r="BN38" s="155"/>
      <c r="BO38" s="153"/>
      <c r="BP38" s="154"/>
      <c r="BQ38" s="154"/>
      <c r="BR38" s="155"/>
      <c r="BS38" s="153"/>
      <c r="BT38" s="154"/>
      <c r="BU38" s="154"/>
      <c r="BV38" s="155"/>
      <c r="BW38" s="90"/>
      <c r="BX38" s="86"/>
      <c r="BY38" s="86"/>
      <c r="BZ38" s="86"/>
      <c r="CA38" s="86"/>
      <c r="CB38" s="85"/>
    </row>
    <row r="39" spans="1:80" ht="21.15" customHeight="1" x14ac:dyDescent="0.55000000000000004">
      <c r="A39" s="85"/>
      <c r="B39" s="86" t="s">
        <v>360</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6"/>
      <c r="BX39" s="86"/>
      <c r="BY39" s="86"/>
      <c r="BZ39" s="86"/>
      <c r="CA39" s="86"/>
      <c r="CB39" s="85"/>
    </row>
    <row r="40" spans="1:80"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row>
  </sheetData>
  <mergeCells count="292">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AV23:AX23"/>
    <mergeCell ref="AZ23:BB23"/>
    <mergeCell ref="BD23:BF23"/>
    <mergeCell ref="BH23:BJ23"/>
    <mergeCell ref="BL23:BN23"/>
    <mergeCell ref="BT23:BV23"/>
    <mergeCell ref="BC22:BF22"/>
    <mergeCell ref="BG22:BJ22"/>
    <mergeCell ref="BK22:BN22"/>
    <mergeCell ref="BO22:BR22"/>
    <mergeCell ref="AU24:AX24"/>
    <mergeCell ref="AY24:BB24"/>
    <mergeCell ref="BC24:BF24"/>
    <mergeCell ref="BG24:BJ24"/>
    <mergeCell ref="BK24:BN24"/>
    <mergeCell ref="BS24:BV24"/>
    <mergeCell ref="G24:J24"/>
    <mergeCell ref="S24:V24"/>
    <mergeCell ref="AA24:AD24"/>
    <mergeCell ref="AE24:AH24"/>
    <mergeCell ref="AI24:AL24"/>
    <mergeCell ref="AM24:AP24"/>
    <mergeCell ref="AU25:AX25"/>
    <mergeCell ref="AY25:BB25"/>
    <mergeCell ref="BC25:BF25"/>
    <mergeCell ref="BG25:BJ25"/>
    <mergeCell ref="BK25:BN25"/>
    <mergeCell ref="BS25:BV25"/>
    <mergeCell ref="G25:J25"/>
    <mergeCell ref="S25:V25"/>
    <mergeCell ref="AA25:AD25"/>
    <mergeCell ref="AE25:AH25"/>
    <mergeCell ref="AI25:AL25"/>
    <mergeCell ref="AM25:AP25"/>
    <mergeCell ref="AU26:AX26"/>
    <mergeCell ref="AY26:BB26"/>
    <mergeCell ref="BC26:BF26"/>
    <mergeCell ref="BG26:BJ26"/>
    <mergeCell ref="BK26:BN26"/>
    <mergeCell ref="BS26:BV26"/>
    <mergeCell ref="G26:J26"/>
    <mergeCell ref="S26:V26"/>
    <mergeCell ref="AA26:AD26"/>
    <mergeCell ref="AE26:AH26"/>
    <mergeCell ref="AI26:AL26"/>
    <mergeCell ref="AM26:AP26"/>
    <mergeCell ref="G28:J28"/>
    <mergeCell ref="S28:V28"/>
    <mergeCell ref="AI28:AL28"/>
    <mergeCell ref="AM28:AP28"/>
    <mergeCell ref="AQ28:AT28"/>
    <mergeCell ref="H27:J27"/>
    <mergeCell ref="T27:V27"/>
    <mergeCell ref="AJ27:AL27"/>
    <mergeCell ref="AN27:AP27"/>
    <mergeCell ref="AR27:AT27"/>
    <mergeCell ref="AU28:AX28"/>
    <mergeCell ref="AY28:BB28"/>
    <mergeCell ref="BC28:BF28"/>
    <mergeCell ref="BG28:BJ28"/>
    <mergeCell ref="BK28:BN28"/>
    <mergeCell ref="BS28:BV28"/>
    <mergeCell ref="AZ27:BB27"/>
    <mergeCell ref="BD27:BF27"/>
    <mergeCell ref="BH27:BJ27"/>
    <mergeCell ref="BL27:BN27"/>
    <mergeCell ref="BT27:BV27"/>
    <mergeCell ref="AV27:AX27"/>
    <mergeCell ref="G30:J30"/>
    <mergeCell ref="S30:V30"/>
    <mergeCell ref="AI30:AL30"/>
    <mergeCell ref="AM30:AP30"/>
    <mergeCell ref="AQ30:AT30"/>
    <mergeCell ref="G29:J29"/>
    <mergeCell ref="S29:V29"/>
    <mergeCell ref="AI29:AL29"/>
    <mergeCell ref="AM29:AP29"/>
    <mergeCell ref="AQ29:AT29"/>
    <mergeCell ref="AU30:AX30"/>
    <mergeCell ref="AY30:BB30"/>
    <mergeCell ref="BC30:BF30"/>
    <mergeCell ref="BG30:BJ30"/>
    <mergeCell ref="BK30:BN30"/>
    <mergeCell ref="BS30:BV30"/>
    <mergeCell ref="AY29:BB29"/>
    <mergeCell ref="BC29:BF29"/>
    <mergeCell ref="BG29:BJ29"/>
    <mergeCell ref="BK29:BN29"/>
    <mergeCell ref="BS29:BV29"/>
    <mergeCell ref="AU29:AX29"/>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D3:F3"/>
    <mergeCell ref="C4:F4"/>
    <mergeCell ref="C5:F5"/>
    <mergeCell ref="C6:F6"/>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53"/>
  <sheetViews>
    <sheetView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F1" s="57" t="s">
        <v>555</v>
      </c>
      <c r="G1" s="57"/>
      <c r="I1" s="57"/>
      <c r="M1" s="57"/>
      <c r="Q1" s="57" t="s">
        <v>556</v>
      </c>
      <c r="V1" s="57"/>
      <c r="AF1" s="57" t="s">
        <v>554</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340</v>
      </c>
    </row>
    <row r="13" spans="1:33" ht="21" customHeight="1" x14ac:dyDescent="0.55000000000000004">
      <c r="F13" s="32" t="s">
        <v>180</v>
      </c>
      <c r="G13" s="23" t="s">
        <v>339</v>
      </c>
    </row>
    <row r="14" spans="1:33" ht="21" customHeight="1" x14ac:dyDescent="0.55000000000000004">
      <c r="F14" s="32"/>
    </row>
    <row r="15" spans="1:33" ht="21" customHeight="1" thickBot="1" x14ac:dyDescent="0.45">
      <c r="F15" s="45" t="s">
        <v>194</v>
      </c>
      <c r="Q15" s="45" t="s">
        <v>195</v>
      </c>
    </row>
    <row r="16" spans="1:33" ht="21" customHeight="1" thickTop="1" thickBot="1" x14ac:dyDescent="0.6">
      <c r="A16" s="57" t="s">
        <v>346</v>
      </c>
      <c r="F16" s="105" t="s">
        <v>238</v>
      </c>
      <c r="G16" s="106"/>
      <c r="H16" s="106"/>
      <c r="I16" s="106"/>
      <c r="J16" s="106"/>
      <c r="K16" s="106"/>
      <c r="L16" s="106"/>
      <c r="M16" s="106"/>
      <c r="N16" s="106"/>
      <c r="O16" s="107"/>
      <c r="Q16" s="105" t="s">
        <v>329</v>
      </c>
      <c r="R16" s="106"/>
      <c r="S16" s="106"/>
      <c r="T16" s="107"/>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341</v>
      </c>
    </row>
    <row r="27" spans="1:33" ht="21" customHeight="1" x14ac:dyDescent="0.55000000000000004">
      <c r="F27" s="32"/>
      <c r="G27" s="32" t="s">
        <v>180</v>
      </c>
      <c r="H27" s="23" t="s">
        <v>342</v>
      </c>
    </row>
    <row r="28" spans="1:33" ht="21" customHeight="1" x14ac:dyDescent="0.55000000000000004">
      <c r="F28" s="32"/>
    </row>
    <row r="29" spans="1:33" ht="21" customHeight="1" x14ac:dyDescent="0.55000000000000004">
      <c r="F29" s="32"/>
      <c r="G29" s="23" t="s">
        <v>239</v>
      </c>
    </row>
    <row r="30" spans="1:33" ht="21" customHeight="1" thickBot="1" x14ac:dyDescent="0.45">
      <c r="F30" s="45" t="s">
        <v>194</v>
      </c>
      <c r="Q30" s="45" t="s">
        <v>196</v>
      </c>
    </row>
    <row r="31" spans="1:33" ht="21" customHeight="1" thickTop="1" thickBot="1" x14ac:dyDescent="0.6">
      <c r="A31" s="57" t="s">
        <v>358</v>
      </c>
      <c r="F31" s="105" t="s">
        <v>192</v>
      </c>
      <c r="G31" s="106"/>
      <c r="H31" s="106"/>
      <c r="I31" s="106"/>
      <c r="J31" s="106"/>
      <c r="K31" s="106"/>
      <c r="L31" s="106"/>
      <c r="M31" s="106"/>
      <c r="N31" s="106"/>
      <c r="O31" s="107"/>
      <c r="Q31" s="105" t="s">
        <v>327</v>
      </c>
      <c r="R31" s="107"/>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188</v>
      </c>
    </row>
    <row r="47" spans="4:33" ht="21" customHeight="1" x14ac:dyDescent="0.55000000000000004">
      <c r="P47" s="49" t="s">
        <v>247</v>
      </c>
      <c r="Q47" s="49"/>
      <c r="R47" s="49"/>
      <c r="S47" s="49"/>
      <c r="T47" s="23" t="s">
        <v>344</v>
      </c>
    </row>
    <row r="48" spans="4:33" ht="21" customHeight="1" x14ac:dyDescent="0.55000000000000004">
      <c r="F48" s="32"/>
      <c r="P48" s="32" t="s">
        <v>180</v>
      </c>
      <c r="Q48" s="23" t="s">
        <v>343</v>
      </c>
    </row>
    <row r="49" spans="1:20" ht="21" customHeight="1" x14ac:dyDescent="0.55000000000000004">
      <c r="F49" s="32"/>
    </row>
    <row r="50" spans="1:20" ht="21" customHeight="1" thickBot="1" x14ac:dyDescent="0.45">
      <c r="F50" s="32"/>
      <c r="Q50" s="45" t="s">
        <v>197</v>
      </c>
    </row>
    <row r="51" spans="1:20" ht="21" customHeight="1" thickTop="1" thickBot="1" x14ac:dyDescent="0.6">
      <c r="A51" s="57" t="s">
        <v>615</v>
      </c>
      <c r="F51" s="32"/>
      <c r="Q51" s="105" t="s">
        <v>332</v>
      </c>
      <c r="R51" s="107"/>
    </row>
    <row r="52" spans="1:20" ht="21" customHeight="1" thickTop="1" x14ac:dyDescent="0.55000000000000004">
      <c r="E52" s="23" t="s">
        <v>618</v>
      </c>
    </row>
    <row r="53" spans="1:20" ht="21" customHeight="1" thickBot="1" x14ac:dyDescent="0.6">
      <c r="E53" s="42"/>
      <c r="F53" s="59" t="s">
        <v>163</v>
      </c>
      <c r="G53" s="60" t="s">
        <v>164</v>
      </c>
      <c r="H53" s="60" t="s">
        <v>165</v>
      </c>
      <c r="I53" s="60" t="s">
        <v>166</v>
      </c>
      <c r="J53" s="42"/>
    </row>
    <row r="54" spans="1:20" ht="21" customHeight="1" x14ac:dyDescent="0.55000000000000004">
      <c r="A54" s="57" t="s">
        <v>357</v>
      </c>
      <c r="E54" s="42"/>
      <c r="F54" s="20"/>
      <c r="G54" s="117" t="s">
        <v>172</v>
      </c>
      <c r="H54" s="117"/>
      <c r="I54" s="118"/>
      <c r="J54" s="42"/>
    </row>
    <row r="55" spans="1:20" ht="21" customHeight="1" x14ac:dyDescent="0.55000000000000004">
      <c r="E55" s="42"/>
      <c r="F55" s="166" t="s">
        <v>174</v>
      </c>
      <c r="G55" s="167"/>
      <c r="H55" s="167"/>
      <c r="I55" s="168"/>
      <c r="J55" s="42"/>
    </row>
    <row r="56" spans="1:20" ht="21" customHeight="1" x14ac:dyDescent="0.55000000000000004">
      <c r="E56" s="42"/>
      <c r="F56" s="129" t="s">
        <v>175</v>
      </c>
      <c r="G56" s="130"/>
      <c r="H56" s="130"/>
      <c r="I56" s="131"/>
      <c r="J56" s="42"/>
    </row>
    <row r="57" spans="1:20" ht="21" customHeight="1" thickBot="1" x14ac:dyDescent="0.6">
      <c r="A57" s="57"/>
      <c r="E57" s="42"/>
      <c r="F57" s="135" t="s">
        <v>176</v>
      </c>
      <c r="G57" s="136"/>
      <c r="H57" s="136"/>
      <c r="I57" s="137"/>
      <c r="J57" s="42"/>
    </row>
    <row r="58" spans="1:20" ht="21" customHeight="1" x14ac:dyDescent="0.55000000000000004">
      <c r="E58" s="42"/>
      <c r="F58" s="42"/>
      <c r="G58" s="42"/>
      <c r="H58" s="42"/>
      <c r="I58" s="42"/>
      <c r="J58" s="42"/>
    </row>
    <row r="59" spans="1:20" ht="21" customHeight="1" thickBot="1" x14ac:dyDescent="0.45">
      <c r="Q59" s="45" t="s">
        <v>612</v>
      </c>
    </row>
    <row r="60" spans="1:20" ht="21" customHeight="1" thickTop="1" thickBot="1" x14ac:dyDescent="0.6">
      <c r="A60" s="57" t="s">
        <v>617</v>
      </c>
      <c r="Q60" s="105" t="s">
        <v>616</v>
      </c>
      <c r="R60" s="106"/>
      <c r="S60" s="106"/>
      <c r="T60" s="107"/>
    </row>
    <row r="61" spans="1:20" ht="21" customHeight="1" thickTop="1" x14ac:dyDescent="0.55000000000000004">
      <c r="Q61" s="81" t="s">
        <v>608</v>
      </c>
    </row>
    <row r="63" spans="1:20" ht="21" customHeight="1" x14ac:dyDescent="0.55000000000000004">
      <c r="G63" s="23" t="s">
        <v>189</v>
      </c>
    </row>
    <row r="66" spans="4:33" ht="21" customHeight="1" x14ac:dyDescent="0.55000000000000004">
      <c r="D66" s="31" t="s">
        <v>186</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row>
    <row r="86" spans="1:18" ht="21" customHeight="1" x14ac:dyDescent="0.55000000000000004">
      <c r="H86" s="23" t="s">
        <v>345</v>
      </c>
    </row>
    <row r="88" spans="1:18" ht="21" customHeight="1" thickBot="1" x14ac:dyDescent="0.45">
      <c r="Q88" s="45" t="s">
        <v>359</v>
      </c>
    </row>
    <row r="89" spans="1:18" ht="21" customHeight="1" thickTop="1" thickBot="1" x14ac:dyDescent="0.6">
      <c r="A89" s="57" t="s">
        <v>606</v>
      </c>
      <c r="Q89" s="105" t="s">
        <v>333</v>
      </c>
      <c r="R89" s="107"/>
    </row>
    <row r="90" spans="1:18" ht="21" customHeight="1" thickTop="1" x14ac:dyDescent="0.55000000000000004"/>
    <row r="91" spans="1:18" ht="21" customHeight="1" x14ac:dyDescent="0.55000000000000004">
      <c r="G91" s="32" t="s">
        <v>180</v>
      </c>
      <c r="H91" s="23" t="s">
        <v>605</v>
      </c>
    </row>
    <row r="93" spans="1:18" ht="21" customHeight="1" thickBot="1" x14ac:dyDescent="0.6">
      <c r="E93" s="58"/>
      <c r="F93" s="59" t="s">
        <v>163</v>
      </c>
      <c r="G93" s="60" t="s">
        <v>164</v>
      </c>
      <c r="H93" s="60" t="s">
        <v>165</v>
      </c>
      <c r="I93" s="60" t="s">
        <v>166</v>
      </c>
      <c r="J93" s="60" t="s">
        <v>167</v>
      </c>
      <c r="K93" s="60" t="s">
        <v>168</v>
      </c>
      <c r="L93" s="60" t="s">
        <v>169</v>
      </c>
      <c r="M93" s="60" t="s">
        <v>170</v>
      </c>
      <c r="N93" s="61"/>
    </row>
    <row r="94" spans="1:18" ht="21" customHeight="1" x14ac:dyDescent="0.55000000000000004">
      <c r="A94" s="57" t="s">
        <v>356</v>
      </c>
      <c r="E94" s="58">
        <v>1</v>
      </c>
      <c r="F94" s="23" t="s">
        <v>191</v>
      </c>
      <c r="G94" s="169" t="s">
        <v>178</v>
      </c>
      <c r="H94" s="170"/>
      <c r="I94" s="170"/>
      <c r="J94" s="171" t="s">
        <v>177</v>
      </c>
      <c r="K94" s="172"/>
      <c r="L94" s="134" t="s">
        <v>179</v>
      </c>
      <c r="M94" s="134"/>
      <c r="N94" s="43"/>
    </row>
    <row r="95" spans="1:18" ht="21" customHeight="1" x14ac:dyDescent="0.55000000000000004">
      <c r="E95" s="58">
        <v>2</v>
      </c>
      <c r="F95" s="23">
        <v>1</v>
      </c>
      <c r="G95" s="173">
        <v>14000</v>
      </c>
      <c r="H95" s="123"/>
      <c r="I95" s="123"/>
      <c r="J95" s="174"/>
      <c r="K95" s="175"/>
      <c r="L95" s="176"/>
      <c r="M95" s="176"/>
      <c r="N95" s="43"/>
    </row>
    <row r="96" spans="1:18" ht="21" customHeight="1" x14ac:dyDescent="0.55000000000000004">
      <c r="E96" s="58">
        <v>3</v>
      </c>
      <c r="F96" s="23">
        <v>2</v>
      </c>
      <c r="G96" s="173">
        <v>9000</v>
      </c>
      <c r="H96" s="123"/>
      <c r="I96" s="123"/>
      <c r="J96" s="177"/>
      <c r="K96" s="178"/>
      <c r="L96" s="176"/>
      <c r="M96" s="176"/>
      <c r="N96" s="43"/>
    </row>
    <row r="97" spans="5:14" ht="21" customHeight="1" x14ac:dyDescent="0.55000000000000004">
      <c r="E97" s="58">
        <v>4</v>
      </c>
      <c r="F97" s="23">
        <v>3</v>
      </c>
      <c r="G97" s="173">
        <v>8000</v>
      </c>
      <c r="H97" s="123"/>
      <c r="I97" s="123"/>
      <c r="J97" s="179"/>
      <c r="K97" s="180"/>
      <c r="L97" s="176"/>
      <c r="M97" s="176"/>
      <c r="N97" s="43"/>
    </row>
    <row r="98" spans="5:14" ht="21" customHeight="1" x14ac:dyDescent="0.55000000000000004">
      <c r="E98" s="58">
        <v>5</v>
      </c>
      <c r="F98" s="23">
        <v>4</v>
      </c>
      <c r="G98" s="181">
        <v>7000</v>
      </c>
      <c r="H98" s="182"/>
      <c r="I98" s="182"/>
      <c r="J98" s="183"/>
      <c r="K98" s="184"/>
      <c r="L98" s="185"/>
      <c r="M98" s="185"/>
      <c r="N98" s="43"/>
    </row>
    <row r="99" spans="5:14" ht="21" customHeight="1" x14ac:dyDescent="0.55000000000000004">
      <c r="E99" s="58">
        <v>6</v>
      </c>
      <c r="F99" s="23">
        <v>5</v>
      </c>
      <c r="G99" s="173">
        <v>6000</v>
      </c>
      <c r="H99" s="123"/>
      <c r="I99" s="123"/>
      <c r="J99" s="186"/>
      <c r="K99" s="187"/>
      <c r="L99" s="185"/>
      <c r="M99" s="185"/>
      <c r="N99" s="43"/>
    </row>
    <row r="100" spans="5:14" ht="21" customHeight="1" x14ac:dyDescent="0.55000000000000004">
      <c r="E100" s="58">
        <v>7</v>
      </c>
      <c r="F100" s="23">
        <v>6</v>
      </c>
      <c r="G100" s="173">
        <v>5000</v>
      </c>
      <c r="H100" s="123"/>
      <c r="I100" s="123"/>
      <c r="J100" s="188"/>
      <c r="K100" s="189"/>
      <c r="L100" s="185"/>
      <c r="M100" s="185"/>
      <c r="N100" s="43"/>
    </row>
    <row r="101" spans="5:14" ht="21" customHeight="1" x14ac:dyDescent="0.55000000000000004">
      <c r="E101" s="58">
        <v>8</v>
      </c>
      <c r="F101" s="23">
        <v>7</v>
      </c>
      <c r="G101" s="173">
        <v>4000</v>
      </c>
      <c r="H101" s="123"/>
      <c r="I101" s="123"/>
      <c r="J101" s="190"/>
      <c r="K101" s="191"/>
      <c r="L101" s="185"/>
      <c r="M101" s="185"/>
      <c r="N101" s="43"/>
    </row>
    <row r="102" spans="5:14" ht="21" customHeight="1" x14ac:dyDescent="0.55000000000000004">
      <c r="E102" s="58">
        <v>9</v>
      </c>
      <c r="F102" s="23">
        <v>8</v>
      </c>
      <c r="G102" s="173">
        <v>3000</v>
      </c>
      <c r="H102" s="123"/>
      <c r="I102" s="123"/>
      <c r="J102" s="192"/>
      <c r="K102" s="193"/>
      <c r="L102" s="185"/>
      <c r="M102" s="185"/>
      <c r="N102" s="43"/>
    </row>
    <row r="103" spans="5:14" ht="21" customHeight="1" x14ac:dyDescent="0.55000000000000004">
      <c r="E103" s="58">
        <v>10</v>
      </c>
      <c r="F103" s="23">
        <v>9</v>
      </c>
      <c r="G103" s="173">
        <v>2000</v>
      </c>
      <c r="H103" s="123"/>
      <c r="I103" s="123"/>
      <c r="J103" s="194"/>
      <c r="K103" s="195"/>
      <c r="L103" s="185"/>
      <c r="M103" s="185"/>
      <c r="N103" s="43"/>
    </row>
    <row r="104" spans="5:14" ht="21" customHeight="1" x14ac:dyDescent="0.55000000000000004">
      <c r="E104" s="58">
        <v>11</v>
      </c>
      <c r="F104" s="23">
        <v>10</v>
      </c>
      <c r="G104" s="173">
        <v>1000</v>
      </c>
      <c r="H104" s="123"/>
      <c r="I104" s="123"/>
      <c r="J104" s="196"/>
      <c r="K104" s="197"/>
      <c r="L104" s="185"/>
      <c r="M104" s="185"/>
      <c r="N104" s="43"/>
    </row>
    <row r="105" spans="5:14" ht="21" customHeight="1" thickBot="1" x14ac:dyDescent="0.6">
      <c r="E105" s="58">
        <v>12</v>
      </c>
      <c r="F105" s="23">
        <v>11</v>
      </c>
      <c r="G105" s="198">
        <v>0</v>
      </c>
      <c r="H105" s="199"/>
      <c r="I105" s="199"/>
      <c r="J105" s="200"/>
      <c r="K105" s="201"/>
      <c r="L105" s="185"/>
      <c r="M105" s="185"/>
      <c r="N105" s="43"/>
    </row>
    <row r="106" spans="5:14" ht="21" customHeight="1" x14ac:dyDescent="0.55000000000000004">
      <c r="E106" s="58">
        <v>13</v>
      </c>
      <c r="F106" s="23">
        <v>12</v>
      </c>
      <c r="G106" s="123"/>
      <c r="H106" s="123"/>
      <c r="I106" s="123"/>
      <c r="J106" s="124"/>
      <c r="K106" s="124"/>
      <c r="L106" s="125"/>
      <c r="M106" s="125"/>
      <c r="N106" s="43"/>
    </row>
    <row r="107" spans="5:14" ht="21" customHeight="1" x14ac:dyDescent="0.55000000000000004">
      <c r="E107" s="58">
        <v>14</v>
      </c>
      <c r="F107" s="23">
        <v>13</v>
      </c>
      <c r="G107" s="123"/>
      <c r="H107" s="123"/>
      <c r="I107" s="123"/>
      <c r="J107" s="124"/>
      <c r="K107" s="124"/>
      <c r="L107" s="125"/>
      <c r="M107" s="125"/>
      <c r="N107" s="43"/>
    </row>
    <row r="108" spans="5:14" ht="21" customHeight="1" x14ac:dyDescent="0.55000000000000004">
      <c r="E108" s="58">
        <v>15</v>
      </c>
      <c r="F108" s="23">
        <v>14</v>
      </c>
      <c r="G108" s="123"/>
      <c r="H108" s="123"/>
      <c r="I108" s="123"/>
      <c r="J108" s="124"/>
      <c r="K108" s="124"/>
      <c r="L108" s="125"/>
      <c r="M108" s="125"/>
      <c r="N108" s="43"/>
    </row>
    <row r="109" spans="5:14" ht="21" customHeight="1" x14ac:dyDescent="0.55000000000000004">
      <c r="E109" s="58">
        <v>16</v>
      </c>
      <c r="F109" s="23">
        <v>15</v>
      </c>
      <c r="G109" s="123"/>
      <c r="H109" s="123"/>
      <c r="I109" s="123"/>
      <c r="J109" s="124"/>
      <c r="K109" s="124"/>
      <c r="L109" s="125"/>
      <c r="M109" s="125"/>
      <c r="N109" s="43"/>
    </row>
    <row r="110" spans="5:14" ht="21" customHeight="1" x14ac:dyDescent="0.55000000000000004">
      <c r="E110" s="58">
        <v>17</v>
      </c>
      <c r="F110" s="23">
        <v>16</v>
      </c>
      <c r="G110" s="123"/>
      <c r="H110" s="123"/>
      <c r="I110" s="123"/>
      <c r="J110" s="124"/>
      <c r="K110" s="124"/>
      <c r="L110" s="125"/>
      <c r="M110" s="125"/>
      <c r="N110" s="43"/>
    </row>
    <row r="111" spans="5:14" ht="21" customHeight="1" x14ac:dyDescent="0.55000000000000004">
      <c r="E111" s="58">
        <v>18</v>
      </c>
      <c r="F111" s="23">
        <v>17</v>
      </c>
      <c r="G111" s="123"/>
      <c r="H111" s="123"/>
      <c r="I111" s="123"/>
      <c r="J111" s="124"/>
      <c r="K111" s="124"/>
      <c r="L111" s="125"/>
      <c r="M111" s="125"/>
      <c r="N111" s="43"/>
    </row>
    <row r="112" spans="5:14" ht="21" customHeight="1" x14ac:dyDescent="0.55000000000000004">
      <c r="E112" s="58">
        <v>19</v>
      </c>
      <c r="F112" s="23">
        <v>18</v>
      </c>
      <c r="G112" s="123"/>
      <c r="H112" s="123"/>
      <c r="I112" s="123"/>
      <c r="J112" s="124"/>
      <c r="K112" s="124"/>
      <c r="L112" s="125"/>
      <c r="M112" s="125"/>
      <c r="N112" s="43"/>
    </row>
    <row r="113" spans="1:33" ht="21" customHeight="1" x14ac:dyDescent="0.55000000000000004">
      <c r="E113" s="58">
        <v>20</v>
      </c>
      <c r="F113" s="23">
        <v>19</v>
      </c>
      <c r="G113" s="123"/>
      <c r="H113" s="123"/>
      <c r="I113" s="123"/>
      <c r="J113" s="124"/>
      <c r="K113" s="124"/>
      <c r="L113" s="125"/>
      <c r="M113" s="125"/>
      <c r="N113" s="43"/>
    </row>
    <row r="114" spans="1:33" ht="21" customHeight="1" x14ac:dyDescent="0.55000000000000004">
      <c r="A114" s="57"/>
      <c r="E114" s="58">
        <v>21</v>
      </c>
      <c r="F114" s="23">
        <v>20</v>
      </c>
      <c r="G114" s="123"/>
      <c r="H114" s="123"/>
      <c r="I114" s="123"/>
      <c r="J114" s="124"/>
      <c r="K114" s="124"/>
      <c r="L114" s="125"/>
      <c r="M114" s="125"/>
      <c r="N114" s="43"/>
    </row>
    <row r="115" spans="1:33" ht="21" customHeight="1" x14ac:dyDescent="0.55000000000000004">
      <c r="E115" s="58"/>
      <c r="F115" s="43"/>
      <c r="G115" s="43"/>
      <c r="H115" s="43"/>
      <c r="I115" s="43"/>
      <c r="J115" s="43"/>
      <c r="K115" s="43"/>
      <c r="L115" s="43"/>
      <c r="M115" s="43"/>
      <c r="N115" s="43"/>
    </row>
    <row r="117" spans="1:33" ht="21" customHeight="1" thickBot="1" x14ac:dyDescent="0.45">
      <c r="Q117" s="45" t="s">
        <v>612</v>
      </c>
    </row>
    <row r="118" spans="1:33" ht="21" customHeight="1" thickTop="1" thickBot="1" x14ac:dyDescent="0.6">
      <c r="A118" s="57" t="s">
        <v>611</v>
      </c>
      <c r="Q118" s="105" t="s">
        <v>613</v>
      </c>
      <c r="R118" s="106"/>
      <c r="S118" s="106"/>
      <c r="T118" s="107"/>
    </row>
    <row r="119" spans="1:33" ht="21" customHeight="1" thickTop="1" x14ac:dyDescent="0.55000000000000004">
      <c r="Q119" s="81" t="s">
        <v>608</v>
      </c>
    </row>
    <row r="120" spans="1:33" ht="21" customHeight="1" thickBot="1" x14ac:dyDescent="0.45">
      <c r="F120" s="45" t="s">
        <v>198</v>
      </c>
    </row>
    <row r="121" spans="1:33" ht="21" customHeight="1" thickTop="1" thickBot="1" x14ac:dyDescent="0.6">
      <c r="A121" s="57" t="s">
        <v>609</v>
      </c>
      <c r="F121" s="105" t="s">
        <v>557</v>
      </c>
      <c r="G121" s="106"/>
      <c r="H121" s="106"/>
      <c r="I121" s="107"/>
    </row>
    <row r="122" spans="1:33" ht="21" customHeight="1" thickTop="1" x14ac:dyDescent="0.55000000000000004">
      <c r="F122" s="81" t="s">
        <v>608</v>
      </c>
    </row>
    <row r="125" spans="1:33" ht="21" customHeight="1" x14ac:dyDescent="0.55000000000000004">
      <c r="D125" s="31" t="s">
        <v>186</v>
      </c>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row>
    <row r="127" spans="1:33" ht="21" customHeight="1" thickBot="1" x14ac:dyDescent="0.6">
      <c r="F127" s="32" t="s">
        <v>180</v>
      </c>
      <c r="G127" s="23" t="s">
        <v>181</v>
      </c>
    </row>
    <row r="128" spans="1:33" ht="21" customHeight="1" x14ac:dyDescent="0.55000000000000004">
      <c r="F128" s="33"/>
      <c r="G128" s="34"/>
      <c r="H128" s="34"/>
      <c r="I128" s="34"/>
      <c r="J128" s="34"/>
      <c r="K128" s="34"/>
      <c r="L128" s="34"/>
      <c r="M128" s="34"/>
      <c r="N128" s="35"/>
    </row>
    <row r="129" spans="6:14" ht="21" customHeight="1" x14ac:dyDescent="0.55000000000000004">
      <c r="F129" s="36"/>
      <c r="N129" s="37"/>
    </row>
    <row r="130" spans="6:14" ht="21" customHeight="1" x14ac:dyDescent="0.55000000000000004">
      <c r="F130" s="36"/>
      <c r="N130" s="37"/>
    </row>
    <row r="131" spans="6:14" ht="21" customHeight="1" thickBot="1" x14ac:dyDescent="0.6">
      <c r="F131" s="38"/>
      <c r="G131" s="39"/>
      <c r="H131" s="39"/>
      <c r="I131" s="39"/>
      <c r="J131" s="39"/>
      <c r="K131" s="39"/>
      <c r="L131" s="39"/>
      <c r="M131" s="39"/>
      <c r="N131" s="40"/>
    </row>
    <row r="150" spans="1:8" ht="21" customHeight="1" x14ac:dyDescent="0.55000000000000004">
      <c r="H150" s="23" t="s">
        <v>241</v>
      </c>
    </row>
    <row r="152" spans="1:8" ht="21" customHeight="1" x14ac:dyDescent="0.55000000000000004">
      <c r="B152" s="23" t="s">
        <v>178</v>
      </c>
    </row>
    <row r="153" spans="1:8" ht="21" customHeight="1" x14ac:dyDescent="0.55000000000000004">
      <c r="A153" s="57" t="s">
        <v>328</v>
      </c>
    </row>
  </sheetData>
  <mergeCells count="76">
    <mergeCell ref="Q118:T118"/>
    <mergeCell ref="Q51:R51"/>
    <mergeCell ref="Q60:T60"/>
    <mergeCell ref="F121:I121"/>
    <mergeCell ref="Q89:R89"/>
    <mergeCell ref="G114:I114"/>
    <mergeCell ref="J114:K114"/>
    <mergeCell ref="L114:M114"/>
    <mergeCell ref="G112:I112"/>
    <mergeCell ref="J112:K112"/>
    <mergeCell ref="L112:M112"/>
    <mergeCell ref="G113:I113"/>
    <mergeCell ref="J113:K113"/>
    <mergeCell ref="L113:M113"/>
    <mergeCell ref="G110:I110"/>
    <mergeCell ref="J110:K110"/>
    <mergeCell ref="L110:M110"/>
    <mergeCell ref="G111:I111"/>
    <mergeCell ref="J111:K111"/>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2:I102"/>
    <mergeCell ref="J102:K102"/>
    <mergeCell ref="L102:M102"/>
    <mergeCell ref="G103:I103"/>
    <mergeCell ref="J103:K103"/>
    <mergeCell ref="L103:M103"/>
    <mergeCell ref="G100:I100"/>
    <mergeCell ref="J100:K100"/>
    <mergeCell ref="L100:M100"/>
    <mergeCell ref="G101:I101"/>
    <mergeCell ref="J101:K101"/>
    <mergeCell ref="L101:M101"/>
    <mergeCell ref="G98:I98"/>
    <mergeCell ref="J98:K98"/>
    <mergeCell ref="L98:M98"/>
    <mergeCell ref="G99:I99"/>
    <mergeCell ref="J99:K99"/>
    <mergeCell ref="L99:M99"/>
    <mergeCell ref="G96:I96"/>
    <mergeCell ref="J96:K96"/>
    <mergeCell ref="L96:M96"/>
    <mergeCell ref="G97:I97"/>
    <mergeCell ref="J97:K97"/>
    <mergeCell ref="L97:M97"/>
    <mergeCell ref="G94:I94"/>
    <mergeCell ref="J94:K94"/>
    <mergeCell ref="L94:M94"/>
    <mergeCell ref="G95:I95"/>
    <mergeCell ref="J95:K95"/>
    <mergeCell ref="L95:M95"/>
    <mergeCell ref="Q31:R31"/>
    <mergeCell ref="F57:I57"/>
    <mergeCell ref="F16:O16"/>
    <mergeCell ref="F31:O31"/>
    <mergeCell ref="G54:I54"/>
    <mergeCell ref="F55:I55"/>
    <mergeCell ref="F56:I56"/>
    <mergeCell ref="Q16:T1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721B0-40EC-438D-A97C-70D16FFB06A3}">
  <sheetPr codeName="Sheet8"/>
  <dimension ref="A1:CD40"/>
  <sheetViews>
    <sheetView workbookViewId="0"/>
  </sheetViews>
  <sheetFormatPr defaultColWidth="3.5" defaultRowHeight="21.15" customHeight="1" x14ac:dyDescent="0.55000000000000004"/>
  <sheetData>
    <row r="1" spans="1:82"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row>
    <row r="2" spans="1:82" ht="21.15" customHeight="1" thickBot="1" x14ac:dyDescent="0.6">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5"/>
    </row>
    <row r="3" spans="1:82" ht="21.15" customHeight="1" x14ac:dyDescent="0.55000000000000004">
      <c r="A3" s="85"/>
      <c r="B3" s="86"/>
      <c r="C3" s="99"/>
      <c r="D3" s="138" t="s">
        <v>225</v>
      </c>
      <c r="E3" s="139"/>
      <c r="F3" s="140"/>
      <c r="G3" s="87" t="s">
        <v>217</v>
      </c>
      <c r="H3" s="86"/>
      <c r="I3" s="86"/>
      <c r="J3" s="86"/>
      <c r="K3" s="87" t="s">
        <v>216</v>
      </c>
      <c r="L3" s="86"/>
      <c r="M3" s="86"/>
      <c r="N3" s="86"/>
      <c r="O3" s="87" t="s">
        <v>215</v>
      </c>
      <c r="P3" s="86"/>
      <c r="Q3" s="86"/>
      <c r="R3" s="86"/>
      <c r="S3" s="87" t="s">
        <v>214</v>
      </c>
      <c r="T3" s="86"/>
      <c r="U3" s="86"/>
      <c r="V3" s="86"/>
      <c r="W3" s="87" t="s">
        <v>213</v>
      </c>
      <c r="X3" s="86"/>
      <c r="Y3" s="86"/>
      <c r="Z3" s="86"/>
      <c r="AA3" s="87" t="s">
        <v>212</v>
      </c>
      <c r="AB3" s="86"/>
      <c r="AC3" s="86"/>
      <c r="AD3" s="86"/>
      <c r="AE3" s="87" t="s">
        <v>211</v>
      </c>
      <c r="AF3" s="86"/>
      <c r="AG3" s="86"/>
      <c r="AH3" s="86"/>
      <c r="AI3" s="87" t="s">
        <v>210</v>
      </c>
      <c r="AJ3" s="86"/>
      <c r="AK3" s="86"/>
      <c r="AL3" s="86"/>
      <c r="AM3" s="87" t="s">
        <v>209</v>
      </c>
      <c r="AN3" s="86"/>
      <c r="AO3" s="86"/>
      <c r="AP3" s="86"/>
      <c r="AQ3" s="87" t="s">
        <v>208</v>
      </c>
      <c r="AR3" s="86"/>
      <c r="AS3" s="86"/>
      <c r="AT3" s="86"/>
      <c r="AU3" s="87" t="s">
        <v>207</v>
      </c>
      <c r="AV3" s="86"/>
      <c r="AW3" s="86"/>
      <c r="AX3" s="86"/>
      <c r="AY3" s="87" t="s">
        <v>206</v>
      </c>
      <c r="AZ3" s="86"/>
      <c r="BA3" s="86"/>
      <c r="BB3" s="86"/>
      <c r="BC3" s="87" t="s">
        <v>205</v>
      </c>
      <c r="BD3" s="86"/>
      <c r="BE3" s="86"/>
      <c r="BF3" s="86"/>
      <c r="BG3" s="87" t="s">
        <v>204</v>
      </c>
      <c r="BH3" s="86"/>
      <c r="BI3" s="86"/>
      <c r="BJ3" s="86"/>
      <c r="BK3" s="87" t="s">
        <v>203</v>
      </c>
      <c r="BL3" s="86"/>
      <c r="BM3" s="86"/>
      <c r="BN3" s="86"/>
      <c r="BO3" s="87" t="s">
        <v>202</v>
      </c>
      <c r="BP3" s="86"/>
      <c r="BQ3" s="86"/>
      <c r="BR3" s="86"/>
      <c r="BS3" s="87" t="s">
        <v>201</v>
      </c>
      <c r="BT3" s="86"/>
      <c r="BU3" s="86"/>
      <c r="BV3" s="86"/>
      <c r="BW3" s="86"/>
      <c r="BX3" s="86"/>
      <c r="BY3" s="86"/>
      <c r="BZ3" s="86"/>
      <c r="CA3" s="86"/>
      <c r="CB3" s="86"/>
      <c r="CC3" s="86"/>
      <c r="CD3" s="85"/>
    </row>
    <row r="4" spans="1:82" ht="21.15" customHeight="1" x14ac:dyDescent="0.55000000000000004">
      <c r="A4" s="85"/>
      <c r="B4" s="86"/>
      <c r="C4" s="222" t="s">
        <v>226</v>
      </c>
      <c r="D4" s="145"/>
      <c r="E4" s="145"/>
      <c r="F4" s="14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5"/>
    </row>
    <row r="5" spans="1:82" ht="21.15" customHeight="1" x14ac:dyDescent="0.55000000000000004">
      <c r="A5" s="85"/>
      <c r="B5" s="86"/>
      <c r="C5" s="144" t="s">
        <v>227</v>
      </c>
      <c r="D5" s="145"/>
      <c r="E5" s="145"/>
      <c r="F5" s="14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5"/>
    </row>
    <row r="6" spans="1:82" ht="21.15" customHeight="1" thickBot="1" x14ac:dyDescent="0.6">
      <c r="A6" s="85"/>
      <c r="B6" s="86"/>
      <c r="C6" s="147" t="s">
        <v>331</v>
      </c>
      <c r="D6" s="148"/>
      <c r="E6" s="148"/>
      <c r="F6" s="149"/>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5"/>
    </row>
    <row r="7" spans="1:82" ht="21.15" customHeight="1" x14ac:dyDescent="0.55000000000000004">
      <c r="A7" s="85"/>
      <c r="B7" s="86"/>
      <c r="C7" s="87" t="s">
        <v>200</v>
      </c>
      <c r="D7" s="86"/>
      <c r="E7" s="86"/>
      <c r="F7" s="86"/>
      <c r="G7" s="88">
        <v>1</v>
      </c>
      <c r="H7" s="138" t="str">
        <f>VLOOKUP(G7,市町村データ!A2:AX75,MATCH(手順書_人口密度!$G$54, 市町村データ!A1:AX1, 0),FALSE)</f>
        <v>上里町</v>
      </c>
      <c r="I7" s="159"/>
      <c r="J7" s="160"/>
      <c r="K7" s="88">
        <v>2</v>
      </c>
      <c r="L7" s="138" t="str">
        <f>VLOOKUP(K7,市町村データ!A2:AX75,MATCH(手順書_人口密度!$G$54, 市町村データ!A1:AX1, 0),FALSE)</f>
        <v>本庄市</v>
      </c>
      <c r="M7" s="159"/>
      <c r="N7" s="160"/>
      <c r="O7" s="88">
        <v>3</v>
      </c>
      <c r="P7" s="138" t="str">
        <f>VLOOKUP(O7,市町村データ!A2:AX75,MATCH(手順書_人口密度!$G$54, 市町村データ!A1:AX1, 0),FALSE)</f>
        <v>深谷市</v>
      </c>
      <c r="Q7" s="159"/>
      <c r="R7" s="159"/>
      <c r="S7" s="89"/>
      <c r="T7" s="89"/>
      <c r="U7" s="89"/>
      <c r="V7" s="89"/>
      <c r="W7" s="88">
        <v>4</v>
      </c>
      <c r="X7" s="138" t="str">
        <f>VLOOKUP(W7,市町村データ!A2:AX75,MATCH(手順書_人口密度!$G$54, 市町村データ!A1:AX1, 0),FALSE)</f>
        <v>熊谷市</v>
      </c>
      <c r="Y7" s="159"/>
      <c r="Z7" s="159"/>
      <c r="AA7" s="89"/>
      <c r="AB7" s="89"/>
      <c r="AC7" s="89"/>
      <c r="AD7" s="89"/>
      <c r="AE7" s="89"/>
      <c r="AF7" s="89"/>
      <c r="AG7" s="89"/>
      <c r="AH7" s="89"/>
      <c r="AI7" s="89"/>
      <c r="AJ7" s="89"/>
      <c r="AK7" s="89"/>
      <c r="AL7" s="89"/>
      <c r="AM7" s="89"/>
      <c r="AN7" s="89"/>
      <c r="AO7" s="89"/>
      <c r="AP7" s="89"/>
      <c r="AQ7" s="88">
        <v>5</v>
      </c>
      <c r="AR7" s="138" t="str">
        <f>VLOOKUP(AQ7,市町村データ!A2:AX75,MATCH(手順書_人口密度!$G$54, 市町村データ!A1:AX1, 0),FALSE)</f>
        <v>行田市</v>
      </c>
      <c r="AS7" s="159"/>
      <c r="AT7" s="160"/>
      <c r="AU7" s="88">
        <v>6</v>
      </c>
      <c r="AV7" s="138" t="str">
        <f>VLOOKUP(AU7,市町村データ!A2:AX75,MATCH(手順書_人口密度!$G$54, 市町村データ!A1:AX1, 0),FALSE)</f>
        <v>羽生市</v>
      </c>
      <c r="AW7" s="159"/>
      <c r="AX7" s="160"/>
      <c r="AY7" s="90"/>
      <c r="AZ7" s="86"/>
      <c r="BA7" s="86"/>
      <c r="BB7" s="86"/>
      <c r="BC7" s="86"/>
      <c r="BD7" s="86"/>
      <c r="BE7" s="86"/>
      <c r="BF7" s="86"/>
      <c r="BG7" s="86"/>
      <c r="BH7" s="86"/>
      <c r="BI7" s="86"/>
      <c r="BJ7" s="86"/>
      <c r="BK7" s="86"/>
      <c r="BL7" s="86"/>
      <c r="BM7" s="86"/>
      <c r="BN7" s="86"/>
      <c r="BO7" s="19"/>
      <c r="BP7" s="86"/>
      <c r="BQ7" s="86"/>
      <c r="BR7" s="86"/>
      <c r="BS7" s="86"/>
      <c r="BT7" s="86"/>
      <c r="BU7" s="86"/>
      <c r="BV7" s="86"/>
      <c r="BW7" s="86"/>
      <c r="BX7" s="223" t="s">
        <v>229</v>
      </c>
      <c r="BY7" s="224"/>
      <c r="BZ7" s="224"/>
      <c r="CA7" s="225" t="s">
        <v>228</v>
      </c>
      <c r="CB7" s="226"/>
      <c r="CC7" s="86"/>
      <c r="CD7" s="85"/>
    </row>
    <row r="8" spans="1:82" ht="21.15" customHeight="1" x14ac:dyDescent="0.55000000000000004">
      <c r="A8" s="85"/>
      <c r="B8" s="86"/>
      <c r="C8" s="86"/>
      <c r="D8" s="86"/>
      <c r="E8" s="86"/>
      <c r="F8" s="86"/>
      <c r="G8" s="260">
        <f>VLOOKUP(G7,市町村データ!A2:AX75,MATCH(手順書_人口密度!$F$55, 市町村データ!A1:AX1, 0),FALSE)</f>
        <v>1039.9000000000001</v>
      </c>
      <c r="H8" s="151"/>
      <c r="I8" s="151"/>
      <c r="J8" s="152"/>
      <c r="K8" s="259">
        <f>VLOOKUP(K7,市町村データ!A2:AX75,MATCH(手順書_人口密度!$F$55, 市町村データ!A1:AX1, 0),FALSE)</f>
        <v>876</v>
      </c>
      <c r="L8" s="151"/>
      <c r="M8" s="151"/>
      <c r="N8" s="152"/>
      <c r="O8" s="260">
        <f>VLOOKUP(O7,市町村データ!A2:AX75,MATCH(手順書_人口密度!$F$55, 市町村データ!A1:AX1, 0),FALSE)</f>
        <v>1020.9</v>
      </c>
      <c r="P8" s="151"/>
      <c r="Q8" s="151"/>
      <c r="R8" s="151"/>
      <c r="S8" s="86"/>
      <c r="T8" s="86"/>
      <c r="U8" s="86"/>
      <c r="V8" s="86"/>
      <c r="W8" s="260">
        <f>VLOOKUP(W7,市町村データ!A2:AX75,MATCH(手順書_人口密度!$F$55, 市町村データ!A1:AX1, 0),FALSE)</f>
        <v>1216.5</v>
      </c>
      <c r="X8" s="151"/>
      <c r="Y8" s="151"/>
      <c r="Z8" s="151"/>
      <c r="AA8" s="86"/>
      <c r="AB8" s="86"/>
      <c r="AC8" s="86"/>
      <c r="AD8" s="86"/>
      <c r="AE8" s="86"/>
      <c r="AF8" s="86"/>
      <c r="AG8" s="86"/>
      <c r="AH8" s="86"/>
      <c r="AI8" s="86"/>
      <c r="AJ8" s="86"/>
      <c r="AK8" s="86"/>
      <c r="AL8" s="86"/>
      <c r="AM8" s="86"/>
      <c r="AN8" s="86"/>
      <c r="AO8" s="86"/>
      <c r="AP8" s="86"/>
      <c r="AQ8" s="260">
        <f>VLOOKUP(AQ7,市町村データ!A2:AX75,MATCH(手順書_人口密度!$F$55, 市町村データ!A1:AX1, 0),FALSE)</f>
        <v>1164.9000000000001</v>
      </c>
      <c r="AR8" s="151"/>
      <c r="AS8" s="151"/>
      <c r="AT8" s="152"/>
      <c r="AU8" s="259">
        <f>VLOOKUP(AU7,市町村データ!A2:AX75,MATCH(手順書_人口密度!$F$55, 市町村データ!A1:AX1, 0),FALSE)</f>
        <v>901.5</v>
      </c>
      <c r="AV8" s="151"/>
      <c r="AW8" s="151"/>
      <c r="AX8" s="152"/>
      <c r="AY8" s="90"/>
      <c r="AZ8" s="86"/>
      <c r="BA8" s="86"/>
      <c r="BB8" s="86"/>
      <c r="BC8" s="86"/>
      <c r="BD8" s="86"/>
      <c r="BE8" s="86"/>
      <c r="BF8" s="86"/>
      <c r="BG8" s="86"/>
      <c r="BH8" s="86"/>
      <c r="BI8" s="86"/>
      <c r="BJ8" s="86"/>
      <c r="BK8" s="86"/>
      <c r="BL8" s="86"/>
      <c r="BM8" s="86"/>
      <c r="BN8" s="86"/>
      <c r="BO8" s="86"/>
      <c r="BP8" s="86"/>
      <c r="BQ8" s="86"/>
      <c r="BR8" s="86"/>
      <c r="BS8" s="86"/>
      <c r="BT8" s="86"/>
      <c r="BU8" s="86"/>
      <c r="BV8" s="86"/>
      <c r="BW8" s="91"/>
      <c r="BX8" s="202">
        <v>14000</v>
      </c>
      <c r="BY8" s="145"/>
      <c r="BZ8" s="145"/>
      <c r="CA8" s="219"/>
      <c r="CB8" s="211"/>
      <c r="CC8" s="86"/>
      <c r="CD8" s="85"/>
    </row>
    <row r="9" spans="1:82" ht="21.15" customHeight="1" x14ac:dyDescent="0.55000000000000004">
      <c r="A9" s="85"/>
      <c r="B9" s="86"/>
      <c r="C9" s="86"/>
      <c r="D9" s="86"/>
      <c r="E9" s="86"/>
      <c r="F9" s="86"/>
      <c r="G9" s="257">
        <f>VLOOKUP(G7,市町村データ!A2:AX75,MATCH(手順書_人口密度!$F$56, 市町村データ!A1:AX1, 0),FALSE)</f>
        <v>30343</v>
      </c>
      <c r="H9" s="151"/>
      <c r="I9" s="151"/>
      <c r="J9" s="152"/>
      <c r="K9" s="256">
        <f>VLOOKUP(K7,市町村データ!A2:AX75,MATCH(手順書_人口密度!$F$56, 市町村データ!A1:AX1, 0),FALSE)</f>
        <v>78569</v>
      </c>
      <c r="L9" s="151"/>
      <c r="M9" s="151"/>
      <c r="N9" s="152"/>
      <c r="O9" s="257">
        <f>VLOOKUP(O7,市町村データ!A2:AX75,MATCH(手順書_人口密度!$F$56, 市町村データ!A1:AX1, 0),FALSE)</f>
        <v>141268</v>
      </c>
      <c r="P9" s="151"/>
      <c r="Q9" s="151"/>
      <c r="R9" s="151"/>
      <c r="S9" s="86"/>
      <c r="T9" s="86"/>
      <c r="U9" s="86"/>
      <c r="V9" s="86"/>
      <c r="W9" s="257">
        <f>VLOOKUP(W7,市町村データ!A2:AX75,MATCH(手順書_人口密度!$F$56, 市町村データ!A1:AX1, 0),FALSE)</f>
        <v>194415</v>
      </c>
      <c r="X9" s="151"/>
      <c r="Y9" s="151"/>
      <c r="Z9" s="151"/>
      <c r="AA9" s="86"/>
      <c r="AB9" s="86"/>
      <c r="AC9" s="86"/>
      <c r="AD9" s="86"/>
      <c r="AE9" s="86"/>
      <c r="AF9" s="86"/>
      <c r="AG9" s="86"/>
      <c r="AH9" s="86"/>
      <c r="AI9" s="86"/>
      <c r="AJ9" s="86"/>
      <c r="AK9" s="86"/>
      <c r="AL9" s="86"/>
      <c r="AM9" s="86"/>
      <c r="AN9" s="86"/>
      <c r="AO9" s="86"/>
      <c r="AP9" s="86"/>
      <c r="AQ9" s="257">
        <f>VLOOKUP(AQ7,市町村データ!A2:AX75,MATCH(手順書_人口密度!$F$56, 市町村データ!A1:AX1, 0),FALSE)</f>
        <v>78617</v>
      </c>
      <c r="AR9" s="151"/>
      <c r="AS9" s="151"/>
      <c r="AT9" s="152"/>
      <c r="AU9" s="256">
        <f>VLOOKUP(AU7,市町村データ!A2:AX75,MATCH(手順書_人口密度!$F$56, 市町村データ!A1:AX1, 0),FALSE)</f>
        <v>52862</v>
      </c>
      <c r="AV9" s="151"/>
      <c r="AW9" s="151"/>
      <c r="AX9" s="152"/>
      <c r="AY9" s="90"/>
      <c r="AZ9" s="86"/>
      <c r="BA9" s="86"/>
      <c r="BB9" s="86"/>
      <c r="BC9" s="86"/>
      <c r="BD9" s="86"/>
      <c r="BE9" s="86"/>
      <c r="BF9" s="86"/>
      <c r="BG9" s="86"/>
      <c r="BH9" s="86"/>
      <c r="BI9" s="86"/>
      <c r="BJ9" s="86"/>
      <c r="BK9" s="86"/>
      <c r="BL9" s="86"/>
      <c r="BM9" s="86"/>
      <c r="BN9" s="86"/>
      <c r="BO9" s="86"/>
      <c r="BP9" s="86"/>
      <c r="BQ9" s="86"/>
      <c r="BR9" s="86"/>
      <c r="BS9" s="86"/>
      <c r="BT9" s="86"/>
      <c r="BU9" s="86"/>
      <c r="BV9" s="86"/>
      <c r="BW9" s="91"/>
      <c r="BX9" s="202">
        <v>9000</v>
      </c>
      <c r="BY9" s="145"/>
      <c r="BZ9" s="145"/>
      <c r="CA9" s="220"/>
      <c r="CB9" s="211"/>
      <c r="CC9" s="86"/>
      <c r="CD9" s="85"/>
    </row>
    <row r="10" spans="1:82" ht="21.15" customHeight="1" thickBot="1" x14ac:dyDescent="0.6">
      <c r="A10" s="85"/>
      <c r="B10" s="86"/>
      <c r="C10" s="86"/>
      <c r="D10" s="86"/>
      <c r="E10" s="86"/>
      <c r="F10" s="86"/>
      <c r="G10" s="253">
        <f>VLOOKUP(G7,市町村データ!A2:AX75,MATCH(手順書_人口密度!$F$57, 市町村データ!A1:AX1, 0),FALSE)</f>
        <v>29.18</v>
      </c>
      <c r="H10" s="154"/>
      <c r="I10" s="154"/>
      <c r="J10" s="155"/>
      <c r="K10" s="252">
        <f>VLOOKUP(K7,市町村データ!A2:AX75,MATCH(手順書_人口密度!$F$57, 市町村データ!A1:AX1, 0),FALSE)</f>
        <v>89.69</v>
      </c>
      <c r="L10" s="151"/>
      <c r="M10" s="151"/>
      <c r="N10" s="152"/>
      <c r="O10" s="253">
        <f>VLOOKUP(O7,市町村データ!A2:AX75,MATCH(手順書_人口密度!$F$57, 市町村データ!A1:AX1, 0),FALSE)</f>
        <v>138.37</v>
      </c>
      <c r="P10" s="154"/>
      <c r="Q10" s="154"/>
      <c r="R10" s="154"/>
      <c r="S10" s="86"/>
      <c r="T10" s="86"/>
      <c r="U10" s="86"/>
      <c r="V10" s="86"/>
      <c r="W10" s="262">
        <f>VLOOKUP(W7,市町村データ!A2:AX75,MATCH(手順書_人口密度!$F$57, 市町村データ!A1:AX1, 0),FALSE)</f>
        <v>159.82</v>
      </c>
      <c r="X10" s="151"/>
      <c r="Y10" s="151"/>
      <c r="Z10" s="151"/>
      <c r="AA10" s="86"/>
      <c r="AB10" s="86"/>
      <c r="AC10" s="86"/>
      <c r="AD10" s="86"/>
      <c r="AE10" s="86"/>
      <c r="AF10" s="86"/>
      <c r="AG10" s="86"/>
      <c r="AH10" s="86"/>
      <c r="AI10" s="86"/>
      <c r="AJ10" s="86"/>
      <c r="AK10" s="86"/>
      <c r="AL10" s="86"/>
      <c r="AM10" s="86"/>
      <c r="AN10" s="86"/>
      <c r="AO10" s="86"/>
      <c r="AP10" s="86"/>
      <c r="AQ10" s="253">
        <f>VLOOKUP(AQ7,市町村データ!A2:AX75,MATCH(手順書_人口密度!$F$57, 市町村データ!A1:AX1, 0),FALSE)</f>
        <v>67.489999999999995</v>
      </c>
      <c r="AR10" s="154"/>
      <c r="AS10" s="154"/>
      <c r="AT10" s="155"/>
      <c r="AU10" s="251">
        <f>VLOOKUP(AU7,市町村データ!A2:AX75,MATCH(手順書_人口密度!$F$57, 市町村データ!A1:AX1, 0),FALSE)</f>
        <v>58.64</v>
      </c>
      <c r="AV10" s="154"/>
      <c r="AW10" s="154"/>
      <c r="AX10" s="155"/>
      <c r="AY10" s="90"/>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91"/>
      <c r="BX10" s="202">
        <v>8000</v>
      </c>
      <c r="BY10" s="145"/>
      <c r="BZ10" s="145"/>
      <c r="CA10" s="221"/>
      <c r="CB10" s="211"/>
      <c r="CC10" s="86"/>
      <c r="CD10" s="85"/>
    </row>
    <row r="11" spans="1:82" ht="21.15" customHeight="1" x14ac:dyDescent="0.55000000000000004">
      <c r="A11" s="85"/>
      <c r="B11" s="86"/>
      <c r="C11" s="87" t="s">
        <v>218</v>
      </c>
      <c r="D11" s="86"/>
      <c r="E11" s="86"/>
      <c r="F11" s="86"/>
      <c r="G11" s="88">
        <v>7</v>
      </c>
      <c r="H11" s="138" t="str">
        <f>VLOOKUP(G11,市町村データ!A2:AX75,MATCH(手順書_人口密度!$G$54, 市町村データ!A1:AX1, 0),FALSE)</f>
        <v>神川町</v>
      </c>
      <c r="I11" s="159"/>
      <c r="J11" s="160"/>
      <c r="K11" s="90"/>
      <c r="L11" s="86"/>
      <c r="M11" s="86"/>
      <c r="N11" s="86"/>
      <c r="O11" s="88">
        <v>8</v>
      </c>
      <c r="P11" s="138" t="str">
        <f>VLOOKUP(O11,市町村データ!A2:AX75,MATCH(手順書_人口密度!$G$54, 市町村データ!A1:AX1, 0),FALSE)</f>
        <v>美里町</v>
      </c>
      <c r="Q11" s="159"/>
      <c r="R11" s="160"/>
      <c r="S11" s="90"/>
      <c r="T11" s="86"/>
      <c r="U11" s="86"/>
      <c r="V11" s="86"/>
      <c r="W11" s="90"/>
      <c r="X11" s="86"/>
      <c r="Y11" s="86"/>
      <c r="Z11" s="86"/>
      <c r="AA11" s="86"/>
      <c r="AB11" s="86"/>
      <c r="AC11" s="86"/>
      <c r="AD11" s="86"/>
      <c r="AE11" s="86"/>
      <c r="AF11" s="86"/>
      <c r="AG11" s="86"/>
      <c r="AH11" s="86"/>
      <c r="AI11" s="86"/>
      <c r="AJ11" s="86"/>
      <c r="AK11" s="86"/>
      <c r="AL11" s="86"/>
      <c r="AM11" s="86"/>
      <c r="AN11" s="86"/>
      <c r="AO11" s="86"/>
      <c r="AP11" s="86"/>
      <c r="AQ11" s="88">
        <v>9</v>
      </c>
      <c r="AR11" s="138" t="str">
        <f>VLOOKUP(AQ11,市町村データ!A2:AX75,MATCH(手順書_人口密度!$G$54, 市町村データ!A1:AX1, 0),FALSE)</f>
        <v>鴻巣市</v>
      </c>
      <c r="AS11" s="159"/>
      <c r="AT11" s="160"/>
      <c r="AU11" s="88">
        <v>10</v>
      </c>
      <c r="AV11" s="138" t="str">
        <f>VLOOKUP(AU11,市町村データ!A2:AX75,MATCH(手順書_人口密度!$G$54, 市町村データ!A1:AX1, 0),FALSE)</f>
        <v>加須市</v>
      </c>
      <c r="AW11" s="159"/>
      <c r="AX11" s="159"/>
      <c r="AY11" s="89"/>
      <c r="AZ11" s="89"/>
      <c r="BA11" s="89"/>
      <c r="BB11" s="89"/>
      <c r="BC11" s="89"/>
      <c r="BD11" s="89"/>
      <c r="BE11" s="89"/>
      <c r="BF11" s="89"/>
      <c r="BG11" s="89"/>
      <c r="BH11" s="89"/>
      <c r="BI11" s="89"/>
      <c r="BJ11" s="89"/>
      <c r="BK11" s="89"/>
      <c r="BL11" s="89"/>
      <c r="BM11" s="89"/>
      <c r="BN11" s="89"/>
      <c r="BO11" s="90"/>
      <c r="BP11" s="86"/>
      <c r="BQ11" s="86"/>
      <c r="BR11" s="86"/>
      <c r="BS11" s="86"/>
      <c r="BT11" s="86"/>
      <c r="BU11" s="86"/>
      <c r="BV11" s="86"/>
      <c r="BW11" s="91"/>
      <c r="BX11" s="214">
        <v>7000</v>
      </c>
      <c r="BY11" s="215"/>
      <c r="BZ11" s="215"/>
      <c r="CA11" s="216"/>
      <c r="CB11" s="205"/>
      <c r="CC11" s="86"/>
      <c r="CD11" s="85"/>
    </row>
    <row r="12" spans="1:82" ht="21.15" customHeight="1" x14ac:dyDescent="0.55000000000000004">
      <c r="A12" s="85"/>
      <c r="B12" s="86"/>
      <c r="C12" s="86"/>
      <c r="D12" s="86"/>
      <c r="E12" s="86"/>
      <c r="F12" s="86"/>
      <c r="G12" s="259">
        <f>VLOOKUP(G11,市町村データ!A2:AX75,MATCH(手順書_人口密度!$F$55, 市町村データ!A1:AX1, 0),FALSE)</f>
        <v>281.8</v>
      </c>
      <c r="H12" s="151"/>
      <c r="I12" s="151"/>
      <c r="J12" s="152"/>
      <c r="K12" s="90"/>
      <c r="L12" s="86"/>
      <c r="M12" s="86"/>
      <c r="N12" s="86"/>
      <c r="O12" s="259">
        <f>VLOOKUP(O11,市町村データ!A2:AX75,MATCH(手順書_人口密度!$F$55, 市町村データ!A1:AX1, 0),FALSE)</f>
        <v>330.4</v>
      </c>
      <c r="P12" s="151"/>
      <c r="Q12" s="151"/>
      <c r="R12" s="152"/>
      <c r="S12" s="90"/>
      <c r="T12" s="86"/>
      <c r="U12" s="86"/>
      <c r="V12" s="86"/>
      <c r="W12" s="90"/>
      <c r="X12" s="86"/>
      <c r="Y12" s="86"/>
      <c r="Z12" s="86"/>
      <c r="AA12" s="86"/>
      <c r="AB12" s="86"/>
      <c r="AC12" s="86"/>
      <c r="AD12" s="86"/>
      <c r="AE12" s="86"/>
      <c r="AF12" s="86"/>
      <c r="AG12" s="86"/>
      <c r="AH12" s="86"/>
      <c r="AI12" s="86"/>
      <c r="AJ12" s="86"/>
      <c r="AK12" s="86"/>
      <c r="AL12" s="86"/>
      <c r="AM12" s="86"/>
      <c r="AN12" s="86"/>
      <c r="AO12" s="86"/>
      <c r="AP12" s="86"/>
      <c r="AQ12" s="260">
        <f>VLOOKUP(AQ11,市町村データ!A2:AX75,MATCH(手順書_人口密度!$F$55, 市町村データ!A1:AX1, 0),FALSE)</f>
        <v>1732.3</v>
      </c>
      <c r="AR12" s="151"/>
      <c r="AS12" s="151"/>
      <c r="AT12" s="152"/>
      <c r="AU12" s="259">
        <f>VLOOKUP(AU11,市町村データ!A2:AX75,MATCH(手順書_人口密度!$F$55, 市町村データ!A1:AX1, 0),FALSE)</f>
        <v>837.4</v>
      </c>
      <c r="AV12" s="151"/>
      <c r="AW12" s="151"/>
      <c r="AX12" s="151"/>
      <c r="AY12" s="86"/>
      <c r="AZ12" s="86"/>
      <c r="BA12" s="86"/>
      <c r="BB12" s="86"/>
      <c r="BC12" s="86"/>
      <c r="BD12" s="86"/>
      <c r="BE12" s="86"/>
      <c r="BF12" s="86"/>
      <c r="BG12" s="86"/>
      <c r="BH12" s="86"/>
      <c r="BI12" s="86"/>
      <c r="BJ12" s="86"/>
      <c r="BK12" s="86"/>
      <c r="BL12" s="86"/>
      <c r="BM12" s="86"/>
      <c r="BN12" s="86"/>
      <c r="BO12" s="90"/>
      <c r="BP12" s="86"/>
      <c r="BQ12" s="86"/>
      <c r="BR12" s="86"/>
      <c r="BS12" s="86"/>
      <c r="BT12" s="86"/>
      <c r="BU12" s="86"/>
      <c r="BV12" s="86"/>
      <c r="BW12" s="91"/>
      <c r="BX12" s="202">
        <v>6000</v>
      </c>
      <c r="BY12" s="145"/>
      <c r="BZ12" s="145"/>
      <c r="CA12" s="217"/>
      <c r="CB12" s="211"/>
      <c r="CC12" s="86"/>
      <c r="CD12" s="85"/>
    </row>
    <row r="13" spans="1:82" ht="21.15" customHeight="1" x14ac:dyDescent="0.55000000000000004">
      <c r="A13" s="85"/>
      <c r="B13" s="86"/>
      <c r="C13" s="86"/>
      <c r="D13" s="86"/>
      <c r="E13" s="86"/>
      <c r="F13" s="86"/>
      <c r="G13" s="256">
        <f>VLOOKUP(G11,市町村データ!A2:AX75,MATCH(手順書_人口密度!$F$56, 市町村データ!A1:AX1, 0),FALSE)</f>
        <v>13359</v>
      </c>
      <c r="H13" s="151"/>
      <c r="I13" s="151"/>
      <c r="J13" s="152"/>
      <c r="K13" s="90"/>
      <c r="L13" s="86"/>
      <c r="M13" s="86"/>
      <c r="N13" s="86"/>
      <c r="O13" s="256">
        <f>VLOOKUP(O11,市町村データ!A2:AX75,MATCH(手順書_人口密度!$F$56, 市町村データ!A1:AX1, 0),FALSE)</f>
        <v>11039</v>
      </c>
      <c r="P13" s="151"/>
      <c r="Q13" s="151"/>
      <c r="R13" s="152"/>
      <c r="S13" s="90"/>
      <c r="T13" s="86"/>
      <c r="U13" s="86"/>
      <c r="V13" s="86"/>
      <c r="W13" s="90"/>
      <c r="X13" s="86"/>
      <c r="Y13" s="86"/>
      <c r="Z13" s="86"/>
      <c r="AA13" s="86"/>
      <c r="AB13" s="86"/>
      <c r="AC13" s="86"/>
      <c r="AD13" s="86"/>
      <c r="AE13" s="86"/>
      <c r="AF13" s="86"/>
      <c r="AG13" s="86"/>
      <c r="AH13" s="86"/>
      <c r="AI13" s="86"/>
      <c r="AJ13" s="86"/>
      <c r="AK13" s="86"/>
      <c r="AL13" s="86"/>
      <c r="AM13" s="86"/>
      <c r="AN13" s="86"/>
      <c r="AO13" s="86"/>
      <c r="AP13" s="86"/>
      <c r="AQ13" s="257">
        <f>VLOOKUP(AQ11,市町村データ!A2:AX75,MATCH(手順書_人口密度!$F$56, 市町村データ!A1:AX1, 0),FALSE)</f>
        <v>116828</v>
      </c>
      <c r="AR13" s="151"/>
      <c r="AS13" s="151"/>
      <c r="AT13" s="152"/>
      <c r="AU13" s="256">
        <f>VLOOKUP(AU11,市町村データ!A2:AX75,MATCH(手順書_人口密度!$F$56, 市町村データ!A1:AX1, 0),FALSE)</f>
        <v>111623</v>
      </c>
      <c r="AV13" s="151"/>
      <c r="AW13" s="151"/>
      <c r="AX13" s="151"/>
      <c r="AY13" s="86"/>
      <c r="AZ13" s="86"/>
      <c r="BA13" s="86"/>
      <c r="BB13" s="86"/>
      <c r="BC13" s="86"/>
      <c r="BD13" s="86"/>
      <c r="BE13" s="86"/>
      <c r="BF13" s="86"/>
      <c r="BG13" s="86"/>
      <c r="BH13" s="86"/>
      <c r="BI13" s="86"/>
      <c r="BJ13" s="86"/>
      <c r="BK13" s="86"/>
      <c r="BL13" s="86"/>
      <c r="BM13" s="86"/>
      <c r="BN13" s="86"/>
      <c r="BO13" s="90"/>
      <c r="BP13" s="86"/>
      <c r="BQ13" s="86"/>
      <c r="BR13" s="86"/>
      <c r="BS13" s="86"/>
      <c r="BT13" s="86"/>
      <c r="BU13" s="86"/>
      <c r="BV13" s="86"/>
      <c r="BW13" s="91"/>
      <c r="BX13" s="202">
        <v>5000</v>
      </c>
      <c r="BY13" s="203"/>
      <c r="BZ13" s="203"/>
      <c r="CA13" s="218"/>
      <c r="CB13" s="205"/>
      <c r="CC13" s="86"/>
      <c r="CD13" s="85"/>
    </row>
    <row r="14" spans="1:82" ht="21.15" customHeight="1" thickBot="1" x14ac:dyDescent="0.6">
      <c r="A14" s="85"/>
      <c r="B14" s="86"/>
      <c r="C14" s="86"/>
      <c r="D14" s="86"/>
      <c r="E14" s="86"/>
      <c r="F14" s="86"/>
      <c r="G14" s="252">
        <f>VLOOKUP(G11,市町村データ!A2:AX75,MATCH(手順書_人口密度!$F$57, 市町村データ!A1:AX1, 0),FALSE)</f>
        <v>47.4</v>
      </c>
      <c r="H14" s="151"/>
      <c r="I14" s="151"/>
      <c r="J14" s="152"/>
      <c r="K14" s="90"/>
      <c r="L14" s="86"/>
      <c r="M14" s="86"/>
      <c r="N14" s="86"/>
      <c r="O14" s="251">
        <f>VLOOKUP(O11,市町村データ!A2:AX75,MATCH(手順書_人口密度!$F$57, 市町村データ!A1:AX1, 0),FALSE)</f>
        <v>33.409999999999997</v>
      </c>
      <c r="P14" s="154"/>
      <c r="Q14" s="154"/>
      <c r="R14" s="155"/>
      <c r="S14" s="90"/>
      <c r="T14" s="86"/>
      <c r="U14" s="86"/>
      <c r="V14" s="86"/>
      <c r="W14" s="90"/>
      <c r="X14" s="86"/>
      <c r="Y14" s="86"/>
      <c r="Z14" s="86"/>
      <c r="AA14" s="86"/>
      <c r="AB14" s="86"/>
      <c r="AC14" s="86"/>
      <c r="AD14" s="86"/>
      <c r="AE14" s="86"/>
      <c r="AF14" s="86"/>
      <c r="AG14" s="86"/>
      <c r="AH14" s="86"/>
      <c r="AI14" s="86"/>
      <c r="AJ14" s="86"/>
      <c r="AK14" s="86"/>
      <c r="AL14" s="86"/>
      <c r="AM14" s="86"/>
      <c r="AN14" s="86"/>
      <c r="AO14" s="86"/>
      <c r="AP14" s="86"/>
      <c r="AQ14" s="253">
        <f>VLOOKUP(AQ11,市町村データ!A2:AX75,MATCH(手順書_人口密度!$F$57, 市町村データ!A1:AX1, 0),FALSE)</f>
        <v>67.44</v>
      </c>
      <c r="AR14" s="154"/>
      <c r="AS14" s="154"/>
      <c r="AT14" s="155"/>
      <c r="AU14" s="251">
        <f>VLOOKUP(AU11,市町村データ!A2:AX75,MATCH(手順書_人口密度!$F$57, 市町村データ!A1:AX1, 0),FALSE)</f>
        <v>133.30000000000001</v>
      </c>
      <c r="AV14" s="154"/>
      <c r="AW14" s="154"/>
      <c r="AX14" s="154"/>
      <c r="AY14" s="86"/>
      <c r="AZ14" s="86"/>
      <c r="BA14" s="86"/>
      <c r="BB14" s="86"/>
      <c r="BC14" s="86"/>
      <c r="BD14" s="86"/>
      <c r="BE14" s="86"/>
      <c r="BF14" s="86"/>
      <c r="BG14" s="86"/>
      <c r="BH14" s="86"/>
      <c r="BI14" s="86"/>
      <c r="BJ14" s="86"/>
      <c r="BK14" s="86"/>
      <c r="BL14" s="86"/>
      <c r="BM14" s="86"/>
      <c r="BN14" s="86"/>
      <c r="BO14" s="90"/>
      <c r="BP14" s="86"/>
      <c r="BQ14" s="86"/>
      <c r="BR14" s="86"/>
      <c r="BS14" s="86"/>
      <c r="BT14" s="86"/>
      <c r="BU14" s="86"/>
      <c r="BV14" s="86"/>
      <c r="BW14" s="91"/>
      <c r="BX14" s="202">
        <v>4000</v>
      </c>
      <c r="BY14" s="145"/>
      <c r="BZ14" s="145"/>
      <c r="CA14" s="210"/>
      <c r="CB14" s="211"/>
      <c r="CC14" s="86"/>
      <c r="CD14" s="85"/>
    </row>
    <row r="15" spans="1:82" ht="21.15" customHeight="1" x14ac:dyDescent="0.55000000000000004">
      <c r="A15" s="85"/>
      <c r="B15" s="86"/>
      <c r="C15" s="87" t="s">
        <v>330</v>
      </c>
      <c r="D15" s="86"/>
      <c r="E15" s="86"/>
      <c r="F15" s="86"/>
      <c r="G15" s="90"/>
      <c r="H15" s="86"/>
      <c r="I15" s="86"/>
      <c r="J15" s="86"/>
      <c r="K15" s="90"/>
      <c r="L15" s="86"/>
      <c r="M15" s="86"/>
      <c r="N15" s="86"/>
      <c r="O15" s="88">
        <v>11</v>
      </c>
      <c r="P15" s="138" t="str">
        <f>VLOOKUP(O15,市町村データ!A2:AX75,MATCH(手順書_人口密度!$G$54, 市町村データ!A1:AX1, 0),FALSE)</f>
        <v>長瀞町</v>
      </c>
      <c r="Q15" s="159"/>
      <c r="R15" s="160"/>
      <c r="S15" s="88">
        <v>12</v>
      </c>
      <c r="T15" s="138" t="str">
        <f>VLOOKUP(S15,市町村データ!A2:AX75,MATCH(手順書_人口密度!$G$54, 市町村データ!A1:AX1, 0),FALSE)</f>
        <v>寄居町</v>
      </c>
      <c r="U15" s="159"/>
      <c r="V15" s="160"/>
      <c r="W15" s="88">
        <v>13</v>
      </c>
      <c r="X15" s="138" t="str">
        <f>VLOOKUP(W15,市町村データ!A2:AX75,MATCH(手順書_人口密度!$G$54, 市町村データ!A1:AX1, 0),FALSE)</f>
        <v>小川町</v>
      </c>
      <c r="Y15" s="159"/>
      <c r="Z15" s="160"/>
      <c r="AA15" s="88">
        <v>14</v>
      </c>
      <c r="AB15" s="138" t="str">
        <f>VLOOKUP(AA15,市町村データ!A2:AX75,MATCH(手順書_人口密度!$G$54, 市町村データ!A1:AX1, 0),FALSE)</f>
        <v>嵐山町</v>
      </c>
      <c r="AC15" s="159"/>
      <c r="AD15" s="160"/>
      <c r="AE15" s="88">
        <v>15</v>
      </c>
      <c r="AF15" s="138" t="str">
        <f>VLOOKUP(AE15,市町村データ!A2:AX75,MATCH(手順書_人口密度!$G$54, 市町村データ!A1:AX1, 0),FALSE)</f>
        <v>滑川町</v>
      </c>
      <c r="AG15" s="159"/>
      <c r="AH15" s="160"/>
      <c r="AI15" s="88">
        <v>16</v>
      </c>
      <c r="AJ15" s="138" t="str">
        <f>VLOOKUP(AI15,市町村データ!A2:AX75,MATCH(手順書_人口密度!$G$54, 市町村データ!A1:AX1, 0),FALSE)</f>
        <v>東松山市</v>
      </c>
      <c r="AK15" s="159"/>
      <c r="AL15" s="160"/>
      <c r="AM15" s="88">
        <v>17</v>
      </c>
      <c r="AN15" s="138" t="str">
        <f>VLOOKUP(AM15,市町村データ!A2:AX75,MATCH(手順書_人口密度!$G$54, 市町村データ!A1:AX1, 0),FALSE)</f>
        <v>吉見町</v>
      </c>
      <c r="AO15" s="159"/>
      <c r="AP15" s="160"/>
      <c r="AQ15" s="88">
        <v>18</v>
      </c>
      <c r="AR15" s="138" t="str">
        <f>VLOOKUP(AQ15,市町村データ!A2:AX75,MATCH(手順書_人口密度!$G$54, 市町村データ!A1:AX1, 0),FALSE)</f>
        <v>北本市</v>
      </c>
      <c r="AS15" s="159"/>
      <c r="AT15" s="160"/>
      <c r="AU15" s="88">
        <v>19</v>
      </c>
      <c r="AV15" s="138" t="str">
        <f>VLOOKUP(AU15,市町村データ!A2:AX75,MATCH(手順書_人口密度!$G$54, 市町村データ!A1:AX1, 0),FALSE)</f>
        <v>久喜市</v>
      </c>
      <c r="AW15" s="159"/>
      <c r="AX15" s="159"/>
      <c r="AY15" s="89"/>
      <c r="AZ15" s="89"/>
      <c r="BA15" s="89"/>
      <c r="BB15" s="89"/>
      <c r="BC15" s="89"/>
      <c r="BD15" s="89"/>
      <c r="BE15" s="89"/>
      <c r="BF15" s="89"/>
      <c r="BG15" s="89"/>
      <c r="BH15" s="89"/>
      <c r="BI15" s="89"/>
      <c r="BJ15" s="89"/>
      <c r="BK15" s="89"/>
      <c r="BL15" s="89"/>
      <c r="BM15" s="89"/>
      <c r="BN15" s="89"/>
      <c r="BO15" s="88">
        <v>20</v>
      </c>
      <c r="BP15" s="138" t="str">
        <f>VLOOKUP(BO15,市町村データ!A2:AX75,MATCH(手順書_人口密度!$G$54, 市町村データ!A1:AX1, 0),FALSE)</f>
        <v>幸手市</v>
      </c>
      <c r="BQ15" s="159"/>
      <c r="BR15" s="160"/>
      <c r="BS15" s="90"/>
      <c r="BT15" s="86"/>
      <c r="BU15" s="86"/>
      <c r="BV15" s="86"/>
      <c r="BW15" s="91"/>
      <c r="BX15" s="202">
        <v>3000</v>
      </c>
      <c r="BY15" s="203"/>
      <c r="BZ15" s="203"/>
      <c r="CA15" s="212"/>
      <c r="CB15" s="205"/>
      <c r="CC15" s="86"/>
      <c r="CD15" s="85"/>
    </row>
    <row r="16" spans="1:82" ht="21.15" customHeight="1" x14ac:dyDescent="0.55000000000000004">
      <c r="A16" s="85"/>
      <c r="B16" s="86"/>
      <c r="C16" s="86"/>
      <c r="D16" s="86"/>
      <c r="E16" s="86"/>
      <c r="F16" s="86"/>
      <c r="G16" s="90"/>
      <c r="H16" s="86"/>
      <c r="I16" s="86"/>
      <c r="J16" s="86"/>
      <c r="K16" s="90"/>
      <c r="L16" s="86"/>
      <c r="M16" s="86"/>
      <c r="N16" s="86"/>
      <c r="O16" s="259">
        <f>VLOOKUP(O15,市町村データ!A2:AX75,MATCH(手順書_人口密度!$F$55, 市町村データ!A1:AX1, 0),FALSE)</f>
        <v>223.7</v>
      </c>
      <c r="P16" s="151"/>
      <c r="Q16" s="151"/>
      <c r="R16" s="152"/>
      <c r="S16" s="259">
        <f>VLOOKUP(S15,市町村データ!A2:AX75,MATCH(手順書_人口密度!$F$55, 市町村データ!A1:AX1, 0),FALSE)</f>
        <v>503.9</v>
      </c>
      <c r="T16" s="151"/>
      <c r="U16" s="151"/>
      <c r="V16" s="152"/>
      <c r="W16" s="259">
        <f>VLOOKUP(W15,市町村データ!A2:AX75,MATCH(手順書_人口密度!$F$55, 市町村データ!A1:AX1, 0),FALSE)</f>
        <v>472.6</v>
      </c>
      <c r="X16" s="151"/>
      <c r="Y16" s="151"/>
      <c r="Z16" s="152"/>
      <c r="AA16" s="259">
        <f>VLOOKUP(AA15,市町村データ!A2:AX75,MATCH(手順書_人口密度!$F$55, 市町村データ!A1:AX1, 0),FALSE)</f>
        <v>597.9</v>
      </c>
      <c r="AB16" s="151"/>
      <c r="AC16" s="151"/>
      <c r="AD16" s="152"/>
      <c r="AE16" s="259">
        <f>VLOOKUP(AE15,市町村データ!A2:AX75,MATCH(手順書_人口密度!$F$55, 市町村データ!A1:AX1, 0),FALSE)</f>
        <v>664.8</v>
      </c>
      <c r="AF16" s="151"/>
      <c r="AG16" s="151"/>
      <c r="AH16" s="152"/>
      <c r="AI16" s="260">
        <f>VLOOKUP(AI15,市町村データ!A2:AX75,MATCH(手順書_人口密度!$F$55, 市町村データ!A1:AX1, 0),FALSE)</f>
        <v>1404.6</v>
      </c>
      <c r="AJ16" s="151"/>
      <c r="AK16" s="151"/>
      <c r="AL16" s="152"/>
      <c r="AM16" s="259">
        <f>VLOOKUP(AM15,市町村データ!A2:AX75,MATCH(手順書_人口密度!$F$55, 市町村データ!A1:AX1, 0),FALSE)</f>
        <v>470.8</v>
      </c>
      <c r="AN16" s="151"/>
      <c r="AO16" s="151"/>
      <c r="AP16" s="152"/>
      <c r="AQ16" s="248">
        <f>VLOOKUP(AQ15,市町村データ!A2:AX75,MATCH(手順書_人口密度!$F$55, 市町村データ!A1:AX1, 0),FALSE)</f>
        <v>3289.7</v>
      </c>
      <c r="AR16" s="151"/>
      <c r="AS16" s="151"/>
      <c r="AT16" s="152"/>
      <c r="AU16" s="260">
        <f>VLOOKUP(AU15,市町村データ!A2:AX75,MATCH(手順書_人口密度!$F$55, 市町村データ!A1:AX1, 0),FALSE)</f>
        <v>1827.2</v>
      </c>
      <c r="AV16" s="151"/>
      <c r="AW16" s="151"/>
      <c r="AX16" s="151"/>
      <c r="AY16" s="86"/>
      <c r="AZ16" s="86"/>
      <c r="BA16" s="86"/>
      <c r="BB16" s="86"/>
      <c r="BC16" s="86"/>
      <c r="BD16" s="86"/>
      <c r="BE16" s="86"/>
      <c r="BF16" s="86"/>
      <c r="BG16" s="86"/>
      <c r="BH16" s="86"/>
      <c r="BI16" s="86"/>
      <c r="BJ16" s="86"/>
      <c r="BK16" s="86"/>
      <c r="BL16" s="86"/>
      <c r="BM16" s="86"/>
      <c r="BN16" s="86"/>
      <c r="BO16" s="260">
        <f>VLOOKUP(BO15,市町村データ!A2:AX75,MATCH(手順書_人口密度!$F$55, 市町村データ!A1:AX1, 0),FALSE)</f>
        <v>1475.6</v>
      </c>
      <c r="BP16" s="151"/>
      <c r="BQ16" s="151"/>
      <c r="BR16" s="152"/>
      <c r="BS16" s="90"/>
      <c r="BT16" s="86"/>
      <c r="BU16" s="86"/>
      <c r="BV16" s="86"/>
      <c r="BW16" s="91"/>
      <c r="BX16" s="202">
        <v>2000</v>
      </c>
      <c r="BY16" s="203"/>
      <c r="BZ16" s="203"/>
      <c r="CA16" s="213"/>
      <c r="CB16" s="205"/>
      <c r="CC16" s="86"/>
      <c r="CD16" s="85"/>
    </row>
    <row r="17" spans="1:82" ht="21.15" customHeight="1" x14ac:dyDescent="0.55000000000000004">
      <c r="A17" s="85"/>
      <c r="B17" s="86"/>
      <c r="C17" s="86"/>
      <c r="D17" s="86"/>
      <c r="E17" s="86"/>
      <c r="F17" s="86"/>
      <c r="G17" s="90"/>
      <c r="H17" s="86"/>
      <c r="I17" s="86"/>
      <c r="J17" s="86"/>
      <c r="K17" s="90"/>
      <c r="L17" s="86"/>
      <c r="M17" s="86"/>
      <c r="N17" s="86"/>
      <c r="O17" s="256">
        <f>VLOOKUP(O15,市町村データ!A2:AX75,MATCH(手順書_人口密度!$F$56, 市町村データ!A1:AX1, 0),FALSE)</f>
        <v>6807</v>
      </c>
      <c r="P17" s="151"/>
      <c r="Q17" s="151"/>
      <c r="R17" s="152"/>
      <c r="S17" s="256">
        <f>VLOOKUP(S15,市町村データ!A2:AX75,MATCH(手順書_人口密度!$F$56, 市町村データ!A1:AX1, 0),FALSE)</f>
        <v>32374</v>
      </c>
      <c r="T17" s="151"/>
      <c r="U17" s="151"/>
      <c r="V17" s="152"/>
      <c r="W17" s="256">
        <f>VLOOKUP(W15,市町村データ!A2:AX75,MATCH(手順書_人口密度!$F$56, 市町村データ!A1:AX1, 0),FALSE)</f>
        <v>28524</v>
      </c>
      <c r="X17" s="151"/>
      <c r="Y17" s="151"/>
      <c r="Z17" s="152"/>
      <c r="AA17" s="256">
        <f>VLOOKUP(AA15,市町村データ!A2:AX75,MATCH(手順書_人口密度!$F$56, 市町村データ!A1:AX1, 0),FALSE)</f>
        <v>17889</v>
      </c>
      <c r="AB17" s="151"/>
      <c r="AC17" s="151"/>
      <c r="AD17" s="152"/>
      <c r="AE17" s="256">
        <f>VLOOKUP(AE15,市町村データ!A2:AX75,MATCH(手順書_人口密度!$F$56, 市町村データ!A1:AX1, 0),FALSE)</f>
        <v>19732</v>
      </c>
      <c r="AF17" s="151"/>
      <c r="AG17" s="151"/>
      <c r="AH17" s="152"/>
      <c r="AI17" s="257">
        <f>VLOOKUP(AI15,市町村データ!A2:AX75,MATCH(手順書_人口密度!$F$56, 市町村データ!A1:AX1, 0),FALSE)</f>
        <v>91791</v>
      </c>
      <c r="AJ17" s="151"/>
      <c r="AK17" s="151"/>
      <c r="AL17" s="152"/>
      <c r="AM17" s="256">
        <f>VLOOKUP(AM15,市町村データ!A2:AX75,MATCH(手順書_人口密度!$F$56, 市町村データ!A1:AX1, 0),FALSE)</f>
        <v>18192</v>
      </c>
      <c r="AN17" s="151"/>
      <c r="AO17" s="151"/>
      <c r="AP17" s="152"/>
      <c r="AQ17" s="242">
        <f>VLOOKUP(AQ15,市町村データ!A2:AX75,MATCH(手順書_人口密度!$F$56, 市町村データ!A1:AX1, 0),FALSE)</f>
        <v>65201</v>
      </c>
      <c r="AR17" s="151"/>
      <c r="AS17" s="151"/>
      <c r="AT17" s="152"/>
      <c r="AU17" s="257">
        <f>VLOOKUP(AU15,市町村データ!A2:AX75,MATCH(手順書_人口密度!$F$56, 市町村データ!A1:AX1, 0),FALSE)</f>
        <v>150582</v>
      </c>
      <c r="AV17" s="151"/>
      <c r="AW17" s="151"/>
      <c r="AX17" s="151"/>
      <c r="AY17" s="86"/>
      <c r="AZ17" s="86"/>
      <c r="BA17" s="86"/>
      <c r="BB17" s="86"/>
      <c r="BC17" s="86"/>
      <c r="BD17" s="86"/>
      <c r="BE17" s="86"/>
      <c r="BF17" s="86"/>
      <c r="BG17" s="86"/>
      <c r="BH17" s="86"/>
      <c r="BI17" s="86"/>
      <c r="BJ17" s="86"/>
      <c r="BK17" s="86"/>
      <c r="BL17" s="86"/>
      <c r="BM17" s="86"/>
      <c r="BN17" s="86"/>
      <c r="BO17" s="257">
        <f>VLOOKUP(BO15,市町村データ!A2:AX75,MATCH(手順書_人口密度!$F$56, 市町村データ!A1:AX1, 0),FALSE)</f>
        <v>50066</v>
      </c>
      <c r="BP17" s="151"/>
      <c r="BQ17" s="151"/>
      <c r="BR17" s="152"/>
      <c r="BS17" s="90"/>
      <c r="BT17" s="86"/>
      <c r="BU17" s="86"/>
      <c r="BV17" s="86"/>
      <c r="BW17" s="86"/>
      <c r="BX17" s="202">
        <v>1000</v>
      </c>
      <c r="BY17" s="203"/>
      <c r="BZ17" s="203"/>
      <c r="CA17" s="204"/>
      <c r="CB17" s="205"/>
      <c r="CC17" s="86"/>
      <c r="CD17" s="85"/>
    </row>
    <row r="18" spans="1:82" ht="21.15" customHeight="1" thickBot="1" x14ac:dyDescent="0.6">
      <c r="A18" s="85"/>
      <c r="B18" s="86"/>
      <c r="C18" s="86"/>
      <c r="D18" s="86"/>
      <c r="E18" s="86"/>
      <c r="F18" s="86"/>
      <c r="G18" s="90"/>
      <c r="H18" s="86"/>
      <c r="I18" s="86"/>
      <c r="J18" s="86"/>
      <c r="K18" s="90"/>
      <c r="L18" s="86"/>
      <c r="M18" s="86"/>
      <c r="N18" s="86"/>
      <c r="O18" s="251">
        <f>VLOOKUP(O15,市町村データ!A2:AX75,MATCH(手順書_人口密度!$F$57, 市町村データ!A1:AX1, 0),FALSE)</f>
        <v>30.43</v>
      </c>
      <c r="P18" s="154"/>
      <c r="Q18" s="154"/>
      <c r="R18" s="155"/>
      <c r="S18" s="251">
        <f>VLOOKUP(S15,市町村データ!A2:AX75,MATCH(手順書_人口密度!$F$57, 市町村データ!A1:AX1, 0),FALSE)</f>
        <v>64.25</v>
      </c>
      <c r="T18" s="154"/>
      <c r="U18" s="154"/>
      <c r="V18" s="155"/>
      <c r="W18" s="251">
        <f>VLOOKUP(W15,市町村データ!A2:AX75,MATCH(手順書_人口密度!$F$57, 市町村データ!A1:AX1, 0),FALSE)</f>
        <v>60.36</v>
      </c>
      <c r="X18" s="154"/>
      <c r="Y18" s="154"/>
      <c r="Z18" s="155"/>
      <c r="AA18" s="251">
        <f>VLOOKUP(AA15,市町村データ!A2:AX75,MATCH(手順書_人口密度!$F$57, 市町村データ!A1:AX1, 0),FALSE)</f>
        <v>29.92</v>
      </c>
      <c r="AB18" s="154"/>
      <c r="AC18" s="154"/>
      <c r="AD18" s="155"/>
      <c r="AE18" s="251">
        <f>VLOOKUP(AE15,市町村データ!A2:AX75,MATCH(手順書_人口密度!$F$57, 市町村データ!A1:AX1, 0),FALSE)</f>
        <v>29.68</v>
      </c>
      <c r="AF18" s="154"/>
      <c r="AG18" s="154"/>
      <c r="AH18" s="155"/>
      <c r="AI18" s="253">
        <f>VLOOKUP(AI15,市町村データ!A2:AX75,MATCH(手順書_人口密度!$F$57, 市町村データ!A1:AX1, 0),FALSE)</f>
        <v>65.349999999999994</v>
      </c>
      <c r="AJ18" s="154"/>
      <c r="AK18" s="154"/>
      <c r="AL18" s="155"/>
      <c r="AM18" s="251">
        <f>VLOOKUP(AM15,市町村データ!A2:AX75,MATCH(手順書_人口密度!$F$57, 市町村データ!A1:AX1, 0),FALSE)</f>
        <v>38.64</v>
      </c>
      <c r="AN18" s="154"/>
      <c r="AO18" s="154"/>
      <c r="AP18" s="155"/>
      <c r="AQ18" s="245">
        <f>VLOOKUP(AQ15,市町村データ!A2:AX75,MATCH(手順書_人口密度!$F$57, 市町村データ!A1:AX1, 0),FALSE)</f>
        <v>19.82</v>
      </c>
      <c r="AR18" s="154"/>
      <c r="AS18" s="154"/>
      <c r="AT18" s="155"/>
      <c r="AU18" s="253">
        <f>VLOOKUP(AU15,市町村データ!A2:AX75,MATCH(手順書_人口密度!$F$57, 市町村データ!A1:AX1, 0),FALSE)</f>
        <v>82.41</v>
      </c>
      <c r="AV18" s="154"/>
      <c r="AW18" s="154"/>
      <c r="AX18" s="154"/>
      <c r="AY18" s="86"/>
      <c r="AZ18" s="86"/>
      <c r="BA18" s="86"/>
      <c r="BB18" s="86"/>
      <c r="BC18" s="86"/>
      <c r="BD18" s="86"/>
      <c r="BE18" s="86"/>
      <c r="BF18" s="86"/>
      <c r="BG18" s="86"/>
      <c r="BH18" s="86"/>
      <c r="BI18" s="86"/>
      <c r="BJ18" s="86"/>
      <c r="BK18" s="86"/>
      <c r="BL18" s="86"/>
      <c r="BM18" s="86"/>
      <c r="BN18" s="86"/>
      <c r="BO18" s="253">
        <f>VLOOKUP(BO15,市町村データ!A2:AX75,MATCH(手順書_人口密度!$F$57, 市町村データ!A1:AX1, 0),FALSE)</f>
        <v>33.93</v>
      </c>
      <c r="BP18" s="154"/>
      <c r="BQ18" s="154"/>
      <c r="BR18" s="155"/>
      <c r="BS18" s="90"/>
      <c r="BT18" s="86"/>
      <c r="BU18" s="86"/>
      <c r="BV18" s="86"/>
      <c r="BW18" s="86"/>
      <c r="BX18" s="206">
        <v>0</v>
      </c>
      <c r="BY18" s="207"/>
      <c r="BZ18" s="207"/>
      <c r="CA18" s="208"/>
      <c r="CB18" s="209"/>
      <c r="CC18" s="86"/>
      <c r="CD18" s="85"/>
    </row>
    <row r="19" spans="1:82" ht="21.15" customHeight="1" x14ac:dyDescent="0.55000000000000004">
      <c r="A19" s="85"/>
      <c r="B19" s="86"/>
      <c r="C19" s="87" t="s">
        <v>219</v>
      </c>
      <c r="D19" s="86"/>
      <c r="E19" s="86"/>
      <c r="F19" s="86"/>
      <c r="G19" s="90"/>
      <c r="H19" s="86"/>
      <c r="I19" s="86"/>
      <c r="J19" s="86"/>
      <c r="K19" s="88">
        <v>21</v>
      </c>
      <c r="L19" s="138" t="str">
        <f>VLOOKUP(K19,市町村データ!A2:AX75,MATCH(手順書_人口密度!$G$54, 市町村データ!A1:AX1, 0),FALSE)</f>
        <v>皆野町</v>
      </c>
      <c r="M19" s="159"/>
      <c r="N19" s="160"/>
      <c r="O19" s="88">
        <v>22</v>
      </c>
      <c r="P19" s="138" t="str">
        <f>VLOOKUP(O19,市町村データ!A2:AX75,MATCH(手順書_人口密度!$G$54, 市町村データ!A1:AX1, 0),FALSE)</f>
        <v>東秩父村</v>
      </c>
      <c r="Q19" s="159"/>
      <c r="R19" s="159"/>
      <c r="S19" s="89"/>
      <c r="T19" s="89"/>
      <c r="U19" s="89"/>
      <c r="V19" s="89"/>
      <c r="W19" s="88">
        <v>23</v>
      </c>
      <c r="X19" s="138" t="str">
        <f>VLOOKUP(W19,市町村データ!A2:AX75,MATCH(手順書_人口密度!$G$54, 市町村データ!A1:AX1, 0),FALSE)</f>
        <v>ときがわ町</v>
      </c>
      <c r="Y19" s="159"/>
      <c r="Z19" s="160"/>
      <c r="AA19" s="88">
        <v>24</v>
      </c>
      <c r="AB19" s="138" t="str">
        <f>VLOOKUP(AA19,市町村データ!A2:AX75,MATCH(手順書_人口密度!$G$54, 市町村データ!A1:AX1, 0),FALSE)</f>
        <v>鳩山町</v>
      </c>
      <c r="AC19" s="159"/>
      <c r="AD19" s="159"/>
      <c r="AE19" s="89"/>
      <c r="AF19" s="89"/>
      <c r="AG19" s="89"/>
      <c r="AH19" s="89"/>
      <c r="AI19" s="88">
        <v>25</v>
      </c>
      <c r="AJ19" s="138" t="str">
        <f>VLOOKUP(AI19,市町村データ!A2:AX75,MATCH(手順書_人口密度!$G$54, 市町村データ!A1:AX1, 0),FALSE)</f>
        <v>坂戸市</v>
      </c>
      <c r="AK19" s="159"/>
      <c r="AL19" s="160"/>
      <c r="AM19" s="88">
        <v>26</v>
      </c>
      <c r="AN19" s="138" t="str">
        <f>VLOOKUP(AM19,市町村データ!A2:AX75,MATCH(手順書_人口密度!$G$54, 市町村データ!A1:AX1, 0),FALSE)</f>
        <v>川島町</v>
      </c>
      <c r="AO19" s="159"/>
      <c r="AP19" s="160"/>
      <c r="AQ19" s="88">
        <v>27</v>
      </c>
      <c r="AR19" s="138" t="str">
        <f>VLOOKUP(AQ19,市町村データ!A2:AX75,MATCH(手順書_人口密度!$G$54, 市町村データ!A1:AX1, 0),FALSE)</f>
        <v>桶川市</v>
      </c>
      <c r="AS19" s="159"/>
      <c r="AT19" s="160"/>
      <c r="AU19" s="88">
        <v>28</v>
      </c>
      <c r="AV19" s="138" t="str">
        <f>VLOOKUP(AU19,市町村データ!A2:AX75,MATCH(手順書_人口密度!$G$54, 市町村データ!A1:AX1, 0),FALSE)</f>
        <v>上尾市</v>
      </c>
      <c r="AW19" s="159"/>
      <c r="AX19" s="160"/>
      <c r="AY19" s="88">
        <v>29</v>
      </c>
      <c r="AZ19" s="138" t="str">
        <f>VLOOKUP(AY19,市町村データ!A2:AX75,MATCH(手順書_人口密度!$G$54, 市町村データ!A1:AX1, 0),FALSE)</f>
        <v>伊奈町</v>
      </c>
      <c r="BA19" s="159"/>
      <c r="BB19" s="160"/>
      <c r="BC19" s="88">
        <v>30</v>
      </c>
      <c r="BD19" s="138" t="str">
        <f>VLOOKUP(BC19,市町村データ!A2:AX75,MATCH(手順書_人口密度!$G$54, 市町村データ!A1:AX1, 0),FALSE)</f>
        <v>蓮田市</v>
      </c>
      <c r="BE19" s="159"/>
      <c r="BF19" s="160"/>
      <c r="BG19" s="88">
        <v>31</v>
      </c>
      <c r="BH19" s="138" t="str">
        <f>VLOOKUP(BG19,市町村データ!A2:AX75,MATCH(手順書_人口密度!$G$54, 市町村データ!A1:AX1, 0),FALSE)</f>
        <v>白岡市</v>
      </c>
      <c r="BI19" s="159"/>
      <c r="BJ19" s="160"/>
      <c r="BK19" s="88">
        <v>32</v>
      </c>
      <c r="BL19" s="138" t="str">
        <f>VLOOKUP(BK19,市町村データ!A2:AX75,MATCH(手順書_人口密度!$G$54, 市町村データ!A1:AX1, 0),FALSE)</f>
        <v>宮代町</v>
      </c>
      <c r="BM19" s="159"/>
      <c r="BN19" s="160"/>
      <c r="BO19" s="88">
        <v>33</v>
      </c>
      <c r="BP19" s="138" t="str">
        <f>VLOOKUP(BO19,市町村データ!A2:AX75,MATCH(手順書_人口密度!$G$54, 市町村データ!A1:AX1, 0),FALSE)</f>
        <v>杉戸町</v>
      </c>
      <c r="BQ19" s="159"/>
      <c r="BR19" s="160"/>
      <c r="BS19" s="90"/>
      <c r="BT19" s="86"/>
      <c r="BU19" s="86"/>
      <c r="BV19" s="86"/>
      <c r="BW19" s="86"/>
      <c r="BX19" s="91"/>
      <c r="BY19" s="91"/>
      <c r="BZ19" s="91"/>
      <c r="CA19" s="91"/>
      <c r="CB19" s="91"/>
      <c r="CC19" s="86"/>
      <c r="CD19" s="85"/>
    </row>
    <row r="20" spans="1:82" ht="21.15" customHeight="1" x14ac:dyDescent="0.55000000000000004">
      <c r="A20" s="85"/>
      <c r="B20" s="86"/>
      <c r="C20" s="86"/>
      <c r="D20" s="86"/>
      <c r="E20" s="86"/>
      <c r="F20" s="86"/>
      <c r="G20" s="90"/>
      <c r="H20" s="86"/>
      <c r="I20" s="86"/>
      <c r="J20" s="86"/>
      <c r="K20" s="259">
        <f>VLOOKUP(K19,市町村データ!A2:AX75,MATCH(手順書_人口密度!$F$55, 市町村データ!A1:AX1, 0),FALSE)</f>
        <v>145.9</v>
      </c>
      <c r="L20" s="151"/>
      <c r="M20" s="151"/>
      <c r="N20" s="152"/>
      <c r="O20" s="259">
        <f>VLOOKUP(O19,市町村データ!A2:AX75,MATCH(手順書_人口密度!$F$55, 市町村データ!A1:AX1, 0),FALSE)</f>
        <v>73.099999999999994</v>
      </c>
      <c r="P20" s="151"/>
      <c r="Q20" s="151"/>
      <c r="R20" s="151"/>
      <c r="S20" s="86"/>
      <c r="T20" s="86"/>
      <c r="U20" s="86"/>
      <c r="V20" s="86"/>
      <c r="W20" s="259">
        <f>VLOOKUP(W19,市町村データ!A2:AX75,MATCH(手順書_人口密度!$F$55, 市町村データ!A1:AX1, 0),FALSE)</f>
        <v>188.6</v>
      </c>
      <c r="X20" s="151"/>
      <c r="Y20" s="151"/>
      <c r="Z20" s="152"/>
      <c r="AA20" s="259">
        <f>VLOOKUP(AA19,市町村データ!A2:AX75,MATCH(手順書_人口密度!$F$55, 市町村データ!A1:AX1, 0),FALSE)</f>
        <v>527</v>
      </c>
      <c r="AB20" s="151"/>
      <c r="AC20" s="151"/>
      <c r="AD20" s="151"/>
      <c r="AE20" s="86"/>
      <c r="AF20" s="86"/>
      <c r="AG20" s="86"/>
      <c r="AH20" s="86"/>
      <c r="AI20" s="249">
        <f>VLOOKUP(AI19,市町村データ!A2:AX75,MATCH(手順書_人口密度!$F$55, 市町村データ!A1:AX1, 0),FALSE)</f>
        <v>2444.5</v>
      </c>
      <c r="AJ20" s="151"/>
      <c r="AK20" s="151"/>
      <c r="AL20" s="152"/>
      <c r="AM20" s="259">
        <f>VLOOKUP(AM19,市町村データ!A2:AX75,MATCH(手順書_人口密度!$F$55, 市町村データ!A1:AX1, 0),FALSE)</f>
        <v>465.5</v>
      </c>
      <c r="AN20" s="151"/>
      <c r="AO20" s="151"/>
      <c r="AP20" s="152"/>
      <c r="AQ20" s="249">
        <f>VLOOKUP(AQ19,市町村データ!A2:AX75,MATCH(手順書_人口密度!$F$55, 市町村データ!A1:AX1, 0),FALSE)</f>
        <v>2948.6</v>
      </c>
      <c r="AR20" s="151"/>
      <c r="AS20" s="151"/>
      <c r="AT20" s="152"/>
      <c r="AU20" s="239">
        <f>VLOOKUP(AU19,市町村データ!A2:AX75,MATCH(手順書_人口密度!$F$55, 市町村データ!A1:AX1, 0),FALSE)</f>
        <v>4986.6000000000004</v>
      </c>
      <c r="AV20" s="151"/>
      <c r="AW20" s="151"/>
      <c r="AX20" s="152"/>
      <c r="AY20" s="248">
        <f>VLOOKUP(AY19,市町村データ!A2:AX75,MATCH(手順書_人口密度!$F$55, 市町村データ!A1:AX1, 0),FALSE)</f>
        <v>3031.8</v>
      </c>
      <c r="AZ20" s="151"/>
      <c r="BA20" s="151"/>
      <c r="BB20" s="152"/>
      <c r="BC20" s="249">
        <f>VLOOKUP(BC19,市町村データ!A2:AX75,MATCH(手順書_人口密度!$F$55, 市町村データ!A1:AX1, 0),FALSE)</f>
        <v>2254.4</v>
      </c>
      <c r="BD20" s="151"/>
      <c r="BE20" s="151"/>
      <c r="BF20" s="152"/>
      <c r="BG20" s="249">
        <f>VLOOKUP(BG19,市町村データ!A2:AX75,MATCH(手順書_人口密度!$F$55, 市町村データ!A1:AX1, 0),FALSE)</f>
        <v>2095.3000000000002</v>
      </c>
      <c r="BH20" s="151"/>
      <c r="BI20" s="151"/>
      <c r="BJ20" s="152"/>
      <c r="BK20" s="249">
        <f>VLOOKUP(BK19,市町村データ!A2:AX75,MATCH(手順書_人口密度!$F$55, 市町村データ!A1:AX1, 0),FALSE)</f>
        <v>2140.9</v>
      </c>
      <c r="BL20" s="151"/>
      <c r="BM20" s="151"/>
      <c r="BN20" s="152"/>
      <c r="BO20" s="260">
        <f>VLOOKUP(BO19,市町村データ!A2:AX75,MATCH(手順書_人口密度!$F$55, 市町村データ!A1:AX1, 0),FALSE)</f>
        <v>1460</v>
      </c>
      <c r="BP20" s="151"/>
      <c r="BQ20" s="151"/>
      <c r="BR20" s="152"/>
      <c r="BS20" s="90"/>
      <c r="BT20" s="86"/>
      <c r="BU20" s="86"/>
      <c r="BV20" s="86"/>
      <c r="BW20" s="86"/>
      <c r="BX20" s="91"/>
      <c r="BY20" s="91"/>
      <c r="BZ20" s="91"/>
      <c r="CA20" s="91"/>
      <c r="CB20" s="91"/>
      <c r="CC20" s="86"/>
      <c r="CD20" s="85"/>
    </row>
    <row r="21" spans="1:82" ht="21.15" customHeight="1" x14ac:dyDescent="0.55000000000000004">
      <c r="A21" s="85"/>
      <c r="B21" s="86"/>
      <c r="C21" s="86"/>
      <c r="D21" s="86"/>
      <c r="E21" s="86"/>
      <c r="F21" s="86"/>
      <c r="G21" s="90"/>
      <c r="H21" s="86"/>
      <c r="I21" s="86"/>
      <c r="J21" s="86"/>
      <c r="K21" s="256">
        <f>VLOOKUP(K19,市町村データ!A2:AX75,MATCH(手順書_人口密度!$F$56, 市町村データ!A1:AX1, 0),FALSE)</f>
        <v>9302</v>
      </c>
      <c r="L21" s="151"/>
      <c r="M21" s="151"/>
      <c r="N21" s="152"/>
      <c r="O21" s="256">
        <f>VLOOKUP(O19,市町村データ!A2:AX75,MATCH(手順書_人口密度!$F$56, 市町村データ!A1:AX1, 0),FALSE)</f>
        <v>2709</v>
      </c>
      <c r="P21" s="151"/>
      <c r="Q21" s="151"/>
      <c r="R21" s="151"/>
      <c r="S21" s="86"/>
      <c r="T21" s="86"/>
      <c r="U21" s="86"/>
      <c r="V21" s="86"/>
      <c r="W21" s="256">
        <f>VLOOKUP(W19,市町村データ!A2:AX75,MATCH(手順書_人口密度!$F$56, 市町村データ!A1:AX1, 0),FALSE)</f>
        <v>10540</v>
      </c>
      <c r="X21" s="151"/>
      <c r="Y21" s="151"/>
      <c r="Z21" s="152"/>
      <c r="AA21" s="256">
        <f>VLOOKUP(AA19,市町村データ!A2:AX75,MATCH(手順書_人口密度!$F$56, 市町村データ!A1:AX1, 0),FALSE)</f>
        <v>13560</v>
      </c>
      <c r="AB21" s="151"/>
      <c r="AC21" s="151"/>
      <c r="AD21" s="151"/>
      <c r="AE21" s="86"/>
      <c r="AF21" s="86"/>
      <c r="AG21" s="86"/>
      <c r="AH21" s="86"/>
      <c r="AI21" s="243">
        <f>VLOOKUP(AI19,市町村データ!A2:AX75,MATCH(手順書_人口密度!$F$56, 市町村データ!A1:AX1, 0),FALSE)</f>
        <v>100275</v>
      </c>
      <c r="AJ21" s="151"/>
      <c r="AK21" s="151"/>
      <c r="AL21" s="152"/>
      <c r="AM21" s="256">
        <f>VLOOKUP(AM19,市町村データ!A2:AX75,MATCH(手順書_人口密度!$F$56, 市町村データ!A1:AX1, 0),FALSE)</f>
        <v>19378</v>
      </c>
      <c r="AN21" s="151"/>
      <c r="AO21" s="151"/>
      <c r="AP21" s="152"/>
      <c r="AQ21" s="243">
        <f>VLOOKUP(AQ19,市町村データ!A2:AX75,MATCH(手順書_人口密度!$F$56, 市町村データ!A1:AX1, 0),FALSE)</f>
        <v>74748</v>
      </c>
      <c r="AR21" s="151"/>
      <c r="AS21" s="151"/>
      <c r="AT21" s="152"/>
      <c r="AU21" s="235">
        <f>VLOOKUP(AU19,市町村データ!A2:AX75,MATCH(手順書_人口密度!$F$56, 市町村データ!A1:AX1, 0),FALSE)</f>
        <v>226940</v>
      </c>
      <c r="AV21" s="151"/>
      <c r="AW21" s="151"/>
      <c r="AX21" s="152"/>
      <c r="AY21" s="242">
        <f>VLOOKUP(AY19,市町村データ!A2:AX75,MATCH(手順書_人口密度!$F$56, 市町村データ!A1:AX1, 0),FALSE)</f>
        <v>44841</v>
      </c>
      <c r="AZ21" s="151"/>
      <c r="BA21" s="151"/>
      <c r="BB21" s="152"/>
      <c r="BC21" s="243">
        <f>VLOOKUP(BC19,市町村データ!A2:AX75,MATCH(手順書_人口密度!$F$56, 市町村データ!A1:AX1, 0),FALSE)</f>
        <v>61499</v>
      </c>
      <c r="BD21" s="151"/>
      <c r="BE21" s="151"/>
      <c r="BF21" s="152"/>
      <c r="BG21" s="243">
        <f>VLOOKUP(BG19,市町村データ!A2:AX75,MATCH(手順書_人口密度!$F$56, 市町村データ!A1:AX1, 0),FALSE)</f>
        <v>52214</v>
      </c>
      <c r="BH21" s="151"/>
      <c r="BI21" s="151"/>
      <c r="BJ21" s="152"/>
      <c r="BK21" s="243">
        <f>VLOOKUP(BK19,市町村データ!A2:AX75,MATCH(手順書_人口密度!$F$56, 市町村データ!A1:AX1, 0),FALSE)</f>
        <v>34147</v>
      </c>
      <c r="BL21" s="151"/>
      <c r="BM21" s="151"/>
      <c r="BN21" s="152"/>
      <c r="BO21" s="257">
        <f>VLOOKUP(BO19,市町村データ!A2:AX75,MATCH(手順書_人口密度!$F$56, 市町村データ!A1:AX1, 0),FALSE)</f>
        <v>43845</v>
      </c>
      <c r="BP21" s="151"/>
      <c r="BQ21" s="151"/>
      <c r="BR21" s="152"/>
      <c r="BS21" s="90"/>
      <c r="BT21" s="86"/>
      <c r="BU21" s="86"/>
      <c r="BV21" s="86"/>
      <c r="BW21" s="86"/>
      <c r="BX21" s="91"/>
      <c r="BY21" s="91"/>
      <c r="BZ21" s="91"/>
      <c r="CA21" s="91"/>
      <c r="CB21" s="91"/>
      <c r="CC21" s="86"/>
      <c r="CD21" s="85"/>
    </row>
    <row r="22" spans="1:82" ht="21.15" customHeight="1" thickBot="1" x14ac:dyDescent="0.6">
      <c r="A22" s="85"/>
      <c r="B22" s="86"/>
      <c r="C22" s="86"/>
      <c r="D22" s="86"/>
      <c r="E22" s="86"/>
      <c r="F22" s="86"/>
      <c r="G22" s="90"/>
      <c r="H22" s="86"/>
      <c r="I22" s="86"/>
      <c r="J22" s="86"/>
      <c r="K22" s="251">
        <f>VLOOKUP(K19,市町村データ!A2:AX75,MATCH(手順書_人口密度!$F$57, 市町村データ!A1:AX1, 0),FALSE)</f>
        <v>63.74</v>
      </c>
      <c r="L22" s="154"/>
      <c r="M22" s="154"/>
      <c r="N22" s="155"/>
      <c r="O22" s="251">
        <f>VLOOKUP(O19,市町村データ!A2:AX75,MATCH(手順書_人口密度!$F$57, 市町村データ!A1:AX1, 0),FALSE)</f>
        <v>37.06</v>
      </c>
      <c r="P22" s="154"/>
      <c r="Q22" s="154"/>
      <c r="R22" s="154"/>
      <c r="S22" s="86"/>
      <c r="T22" s="86"/>
      <c r="U22" s="86"/>
      <c r="V22" s="86"/>
      <c r="W22" s="252">
        <f>VLOOKUP(W19,市町村データ!A2:AX75,MATCH(手順書_人口密度!$F$57, 市町村データ!A1:AX1, 0),FALSE)</f>
        <v>55.9</v>
      </c>
      <c r="X22" s="151"/>
      <c r="Y22" s="151"/>
      <c r="Z22" s="152"/>
      <c r="AA22" s="251">
        <f>VLOOKUP(AA19,市町村データ!A2:AX75,MATCH(手順書_人口密度!$F$57, 市町村データ!A1:AX1, 0),FALSE)</f>
        <v>25.73</v>
      </c>
      <c r="AB22" s="154"/>
      <c r="AC22" s="154"/>
      <c r="AD22" s="154"/>
      <c r="AE22" s="86"/>
      <c r="AF22" s="86"/>
      <c r="AG22" s="86"/>
      <c r="AH22" s="86"/>
      <c r="AI22" s="246">
        <f>VLOOKUP(AI19,市町村データ!A2:AX75,MATCH(手順書_人口密度!$F$57, 市町村データ!A1:AX1, 0),FALSE)</f>
        <v>41.02</v>
      </c>
      <c r="AJ22" s="154"/>
      <c r="AK22" s="154"/>
      <c r="AL22" s="155"/>
      <c r="AM22" s="251">
        <f>VLOOKUP(AM19,市町村データ!A2:AX75,MATCH(手順書_人口密度!$F$57, 市町村データ!A1:AX1, 0),FALSE)</f>
        <v>41.63</v>
      </c>
      <c r="AN22" s="154"/>
      <c r="AO22" s="154"/>
      <c r="AP22" s="155"/>
      <c r="AQ22" s="246">
        <f>VLOOKUP(AQ19,市町村データ!A2:AX75,MATCH(手順書_人口密度!$F$57, 市町村データ!A1:AX1, 0),FALSE)</f>
        <v>25.35</v>
      </c>
      <c r="AR22" s="154"/>
      <c r="AS22" s="154"/>
      <c r="AT22" s="155"/>
      <c r="AU22" s="228">
        <f>VLOOKUP(AU19,市町村データ!A2:AX75,MATCH(手順書_人口密度!$F$57, 市町村データ!A1:AX1, 0),FALSE)</f>
        <v>45.51</v>
      </c>
      <c r="AV22" s="154"/>
      <c r="AW22" s="154"/>
      <c r="AX22" s="155"/>
      <c r="AY22" s="245">
        <f>VLOOKUP(AY19,市町村データ!A2:AX75,MATCH(手順書_人口密度!$F$57, 市町村データ!A1:AX1, 0),FALSE)</f>
        <v>14.79</v>
      </c>
      <c r="AZ22" s="154"/>
      <c r="BA22" s="154"/>
      <c r="BB22" s="155"/>
      <c r="BC22" s="246">
        <f>VLOOKUP(BC19,市町村データ!A2:AX75,MATCH(手順書_人口密度!$F$57, 市町村データ!A1:AX1, 0),FALSE)</f>
        <v>27.28</v>
      </c>
      <c r="BD22" s="154"/>
      <c r="BE22" s="154"/>
      <c r="BF22" s="155"/>
      <c r="BG22" s="246">
        <f>VLOOKUP(BG19,市町村データ!A2:AX75,MATCH(手順書_人口密度!$F$57, 市町村データ!A1:AX1, 0),FALSE)</f>
        <v>24.92</v>
      </c>
      <c r="BH22" s="154"/>
      <c r="BI22" s="154"/>
      <c r="BJ22" s="155"/>
      <c r="BK22" s="246">
        <f>VLOOKUP(BK19,市町村データ!A2:AX75,MATCH(手順書_人口密度!$F$57, 市町村データ!A1:AX1, 0),FALSE)</f>
        <v>15.95</v>
      </c>
      <c r="BL22" s="154"/>
      <c r="BM22" s="154"/>
      <c r="BN22" s="155"/>
      <c r="BO22" s="253">
        <f>VLOOKUP(BO19,市町村データ!A2:AX75,MATCH(手順書_人口密度!$F$57, 市町村データ!A1:AX1, 0),FALSE)</f>
        <v>30.03</v>
      </c>
      <c r="BP22" s="154"/>
      <c r="BQ22" s="154"/>
      <c r="BR22" s="155"/>
      <c r="BS22" s="90"/>
      <c r="BT22" s="86"/>
      <c r="BU22" s="86"/>
      <c r="BV22" s="86"/>
      <c r="BW22" s="86"/>
      <c r="BX22" s="91"/>
      <c r="BY22" s="91"/>
      <c r="BZ22" s="91"/>
      <c r="CA22" s="91"/>
      <c r="CB22" s="91"/>
      <c r="CC22" s="86"/>
      <c r="CD22" s="85"/>
    </row>
    <row r="23" spans="1:82" ht="21.15" customHeight="1" x14ac:dyDescent="0.55000000000000004">
      <c r="A23" s="85"/>
      <c r="B23" s="86"/>
      <c r="C23" s="87" t="s">
        <v>220</v>
      </c>
      <c r="D23" s="86"/>
      <c r="E23" s="86"/>
      <c r="F23" s="86"/>
      <c r="G23" s="88">
        <v>34</v>
      </c>
      <c r="H23" s="138" t="str">
        <f>VLOOKUP(G23,市町村データ!A2:AX75,MATCH(手順書_人口密度!$G$54, 市町村データ!A1:AX1, 0),FALSE)</f>
        <v>秩父市</v>
      </c>
      <c r="I23" s="159"/>
      <c r="J23" s="159"/>
      <c r="K23" s="89"/>
      <c r="L23" s="89"/>
      <c r="M23" s="89"/>
      <c r="N23" s="89"/>
      <c r="O23" s="89"/>
      <c r="P23" s="89"/>
      <c r="Q23" s="89"/>
      <c r="R23" s="89"/>
      <c r="S23" s="88">
        <v>35</v>
      </c>
      <c r="T23" s="138" t="str">
        <f>VLOOKUP(S23,市町村データ!A2:AX75,MATCH(手順書_人口密度!$G$54, 市町村データ!A1:AX1, 0),FALSE)</f>
        <v>横瀬町</v>
      </c>
      <c r="U23" s="159"/>
      <c r="V23" s="160"/>
      <c r="W23" s="90"/>
      <c r="X23" s="86"/>
      <c r="Y23" s="86"/>
      <c r="Z23" s="86"/>
      <c r="AA23" s="88">
        <v>36</v>
      </c>
      <c r="AB23" s="138" t="str">
        <f>VLOOKUP(AA23,市町村データ!A2:AX75,MATCH(手順書_人口密度!$G$54, 市町村データ!A1:AX1, 0),FALSE)</f>
        <v>越生町</v>
      </c>
      <c r="AC23" s="159"/>
      <c r="AD23" s="160"/>
      <c r="AE23" s="88">
        <v>37</v>
      </c>
      <c r="AF23" s="138" t="str">
        <f>VLOOKUP(AE23,市町村データ!A2:AX75,MATCH(手順書_人口密度!$G$54, 市町村データ!A1:AX1, 0),FALSE)</f>
        <v>毛呂山町</v>
      </c>
      <c r="AG23" s="159"/>
      <c r="AH23" s="160"/>
      <c r="AI23" s="88">
        <v>38</v>
      </c>
      <c r="AJ23" s="138" t="str">
        <f>VLOOKUP(AI23,市町村データ!A2:AX75,MATCH(手順書_人口密度!$G$54, 市町村データ!A1:AX1, 0),FALSE)</f>
        <v>鶴ヶ島市</v>
      </c>
      <c r="AK23" s="159"/>
      <c r="AL23" s="160"/>
      <c r="AM23" s="88">
        <v>39</v>
      </c>
      <c r="AN23" s="138" t="str">
        <f>VLOOKUP(AM23,市町村データ!A2:AX75,MATCH(手順書_人口密度!$G$54, 市町村データ!A1:AX1, 0),FALSE)</f>
        <v>川越市</v>
      </c>
      <c r="AO23" s="159"/>
      <c r="AP23" s="159"/>
      <c r="AQ23" s="89"/>
      <c r="AR23" s="89"/>
      <c r="AS23" s="89"/>
      <c r="AT23" s="89"/>
      <c r="AU23" s="100"/>
      <c r="AV23" s="89"/>
      <c r="AW23" s="89"/>
      <c r="AX23" s="89"/>
      <c r="AY23" s="101"/>
      <c r="AZ23" s="89"/>
      <c r="BA23" s="89"/>
      <c r="BB23" s="89"/>
      <c r="BC23" s="101"/>
      <c r="BD23" s="89"/>
      <c r="BE23" s="89"/>
      <c r="BF23" s="89"/>
      <c r="BG23" s="101"/>
      <c r="BH23" s="89"/>
      <c r="BI23" s="89"/>
      <c r="BJ23" s="89"/>
      <c r="BK23" s="88">
        <v>44</v>
      </c>
      <c r="BL23" s="138" t="str">
        <f>VLOOKUP(BK23,市町村データ!A2:AX75,MATCH(手順書_人口密度!$G$54, 市町村データ!A1:AX1, 0),FALSE)</f>
        <v>春日部市</v>
      </c>
      <c r="BM23" s="159"/>
      <c r="BN23" s="159"/>
      <c r="BO23" s="89"/>
      <c r="BP23" s="89"/>
      <c r="BQ23" s="89"/>
      <c r="BR23" s="89"/>
      <c r="BS23" s="88">
        <v>45</v>
      </c>
      <c r="BT23" s="138" t="str">
        <f>VLOOKUP(BS23,市町村データ!A2:AX75,MATCH(手順書_人口密度!$G$54, 市町村データ!A1:AX1, 0),FALSE)</f>
        <v>松伏町</v>
      </c>
      <c r="BU23" s="159"/>
      <c r="BV23" s="160"/>
      <c r="BW23" s="90"/>
      <c r="BX23" s="91"/>
      <c r="BY23" s="91"/>
      <c r="BZ23" s="91"/>
      <c r="CA23" s="91"/>
      <c r="CB23" s="91"/>
      <c r="CC23" s="86"/>
      <c r="CD23" s="85"/>
    </row>
    <row r="24" spans="1:82" ht="21.15" customHeight="1" x14ac:dyDescent="0.55000000000000004">
      <c r="A24" s="85"/>
      <c r="B24" s="86"/>
      <c r="C24" s="86"/>
      <c r="D24" s="86"/>
      <c r="E24" s="86"/>
      <c r="F24" s="86"/>
      <c r="G24" s="259">
        <f>VLOOKUP(G23,市町村データ!A2:AX75,MATCH(手順書_人口密度!$F$55, 市町村データ!A1:AX1, 0),FALSE)</f>
        <v>103.3</v>
      </c>
      <c r="H24" s="151"/>
      <c r="I24" s="151"/>
      <c r="J24" s="151"/>
      <c r="K24" s="86"/>
      <c r="L24" s="86"/>
      <c r="M24" s="86"/>
      <c r="N24" s="86"/>
      <c r="O24" s="86"/>
      <c r="P24" s="86"/>
      <c r="Q24" s="86"/>
      <c r="R24" s="86"/>
      <c r="S24" s="259">
        <f>VLOOKUP(S23,市町村データ!A2:AX75,MATCH(手順書_人口密度!$F$55, 市町村データ!A1:AX1, 0),FALSE)</f>
        <v>161.6</v>
      </c>
      <c r="T24" s="151"/>
      <c r="U24" s="151"/>
      <c r="V24" s="152"/>
      <c r="W24" s="90"/>
      <c r="X24" s="86"/>
      <c r="Y24" s="86"/>
      <c r="Z24" s="86"/>
      <c r="AA24" s="259">
        <f>VLOOKUP(AA23,市町村データ!A2:AX75,MATCH(手順書_人口密度!$F$55, 市町村データ!A1:AX1, 0),FALSE)</f>
        <v>273.10000000000002</v>
      </c>
      <c r="AB24" s="151"/>
      <c r="AC24" s="151"/>
      <c r="AD24" s="152"/>
      <c r="AE24" s="260">
        <f>VLOOKUP(AE23,市町村データ!A2:AX75,MATCH(手順書_人口密度!$F$55, 市町村データ!A1:AX1, 0),FALSE)</f>
        <v>1038</v>
      </c>
      <c r="AF24" s="151"/>
      <c r="AG24" s="151"/>
      <c r="AH24" s="152"/>
      <c r="AI24" s="248">
        <f>VLOOKUP(AI23,市町村データ!A2:AX75,MATCH(手順書_人口密度!$F$55, 市町村データ!A1:AX1, 0),FALSE)</f>
        <v>3972.6</v>
      </c>
      <c r="AJ24" s="151"/>
      <c r="AK24" s="151"/>
      <c r="AL24" s="152"/>
      <c r="AM24" s="248">
        <f>VLOOKUP(AM23,市町村データ!A2:AX75,MATCH(手順書_人口密度!$F$55, 市町村データ!A1:AX1, 0),FALSE)</f>
        <v>3249.1</v>
      </c>
      <c r="AN24" s="151"/>
      <c r="AO24" s="151"/>
      <c r="AP24" s="151"/>
      <c r="AQ24" s="86"/>
      <c r="AR24" s="86"/>
      <c r="AS24" s="86"/>
      <c r="AT24" s="86"/>
      <c r="AU24" s="102"/>
      <c r="AV24" s="86"/>
      <c r="AW24" s="86"/>
      <c r="AX24" s="86"/>
      <c r="AY24" s="97"/>
      <c r="AZ24" s="86"/>
      <c r="BA24" s="86"/>
      <c r="BB24" s="86"/>
      <c r="BC24" s="97"/>
      <c r="BD24" s="86"/>
      <c r="BE24" s="86"/>
      <c r="BF24" s="86"/>
      <c r="BG24" s="97"/>
      <c r="BH24" s="86"/>
      <c r="BI24" s="86"/>
      <c r="BJ24" s="86"/>
      <c r="BK24" s="248">
        <f>VLOOKUP(BK23,市町村データ!A2:AX75,MATCH(手順書_人口密度!$F$55, 市町村データ!A1:AX1, 0),FALSE)</f>
        <v>3481.7</v>
      </c>
      <c r="BL24" s="151"/>
      <c r="BM24" s="151"/>
      <c r="BN24" s="151"/>
      <c r="BO24" s="86"/>
      <c r="BP24" s="86"/>
      <c r="BQ24" s="86"/>
      <c r="BR24" s="86"/>
      <c r="BS24" s="260">
        <f>VLOOKUP(BS23,市町村データ!A2:AX75,MATCH(手順書_人口密度!$F$55, 市町村データ!A1:AX1, 0),FALSE)</f>
        <v>1744.8</v>
      </c>
      <c r="BT24" s="151"/>
      <c r="BU24" s="151"/>
      <c r="BV24" s="152"/>
      <c r="BW24" s="90"/>
      <c r="BX24" s="91"/>
      <c r="BY24" s="91"/>
      <c r="BZ24" s="91"/>
      <c r="CA24" s="91"/>
      <c r="CB24" s="91"/>
      <c r="CC24" s="86"/>
      <c r="CD24" s="85"/>
    </row>
    <row r="25" spans="1:82" ht="21.15" customHeight="1" x14ac:dyDescent="0.55000000000000004">
      <c r="A25" s="85"/>
      <c r="B25" s="86"/>
      <c r="C25" s="86"/>
      <c r="D25" s="86"/>
      <c r="E25" s="86"/>
      <c r="F25" s="86"/>
      <c r="G25" s="256">
        <f>VLOOKUP(G23,市町村データ!A2:AX75,MATCH(手順書_人口密度!$F$56, 市町村データ!A1:AX1, 0),FALSE)</f>
        <v>59674</v>
      </c>
      <c r="H25" s="151"/>
      <c r="I25" s="151"/>
      <c r="J25" s="151"/>
      <c r="K25" s="86"/>
      <c r="L25" s="86"/>
      <c r="M25" s="86"/>
      <c r="N25" s="86"/>
      <c r="O25" s="86"/>
      <c r="P25" s="86"/>
      <c r="Q25" s="86"/>
      <c r="R25" s="86"/>
      <c r="S25" s="256">
        <f>VLOOKUP(S23,市町村データ!A2:AX75,MATCH(手順書_人口密度!$F$56, 市町村データ!A1:AX1, 0),FALSE)</f>
        <v>7979</v>
      </c>
      <c r="T25" s="151"/>
      <c r="U25" s="151"/>
      <c r="V25" s="152"/>
      <c r="W25" s="90"/>
      <c r="X25" s="86"/>
      <c r="Y25" s="86"/>
      <c r="Z25" s="86"/>
      <c r="AA25" s="256">
        <f>VLOOKUP(AA23,市町村データ!A2:AX75,MATCH(手順書_人口密度!$F$56, 市町村データ!A1:AX1, 0),FALSE)</f>
        <v>11029</v>
      </c>
      <c r="AB25" s="151"/>
      <c r="AC25" s="151"/>
      <c r="AD25" s="152"/>
      <c r="AE25" s="257">
        <f>VLOOKUP(AE23,市町村データ!A2:AX75,MATCH(手順書_人口密度!$F$56, 市町村データ!A1:AX1, 0),FALSE)</f>
        <v>35366</v>
      </c>
      <c r="AF25" s="151"/>
      <c r="AG25" s="151"/>
      <c r="AH25" s="152"/>
      <c r="AI25" s="242">
        <f>VLOOKUP(AI23,市町村データ!A2:AX75,MATCH(手順書_人口密度!$F$56, 市町村データ!A1:AX1, 0),FALSE)</f>
        <v>70117</v>
      </c>
      <c r="AJ25" s="151"/>
      <c r="AK25" s="151"/>
      <c r="AL25" s="152"/>
      <c r="AM25" s="242">
        <f>VLOOKUP(AM23,市町村データ!A2:AX75,MATCH(手順書_人口密度!$F$56, 市町村データ!A1:AX1, 0),FALSE)</f>
        <v>354571</v>
      </c>
      <c r="AN25" s="151"/>
      <c r="AO25" s="151"/>
      <c r="AP25" s="151"/>
      <c r="AQ25" s="86"/>
      <c r="AR25" s="86"/>
      <c r="AS25" s="86"/>
      <c r="AT25" s="86"/>
      <c r="AU25" s="90"/>
      <c r="AV25" s="86"/>
      <c r="AW25" s="86"/>
      <c r="AX25" s="86"/>
      <c r="AY25" s="86"/>
      <c r="AZ25" s="86"/>
      <c r="BA25" s="86"/>
      <c r="BB25" s="86"/>
      <c r="BC25" s="86"/>
      <c r="BD25" s="86"/>
      <c r="BE25" s="86"/>
      <c r="BF25" s="86"/>
      <c r="BG25" s="86"/>
      <c r="BH25" s="86"/>
      <c r="BI25" s="86"/>
      <c r="BJ25" s="86"/>
      <c r="BK25" s="242">
        <f>VLOOKUP(BK23,市町村データ!A2:AX75,MATCH(手順書_人口密度!$F$56, 市町村データ!A1:AX1, 0),FALSE)</f>
        <v>229792</v>
      </c>
      <c r="BL25" s="151"/>
      <c r="BM25" s="151"/>
      <c r="BN25" s="151"/>
      <c r="BO25" s="86"/>
      <c r="BP25" s="86"/>
      <c r="BQ25" s="86"/>
      <c r="BR25" s="86"/>
      <c r="BS25" s="257">
        <f>VLOOKUP(BS23,市町村データ!A2:AX75,MATCH(手順書_人口密度!$F$56, 市町村データ!A1:AX1, 0),FALSE)</f>
        <v>28266</v>
      </c>
      <c r="BT25" s="151"/>
      <c r="BU25" s="151"/>
      <c r="BV25" s="152"/>
      <c r="BW25" s="90"/>
      <c r="BX25" s="91"/>
      <c r="BY25" s="91"/>
      <c r="BZ25" s="91"/>
      <c r="CA25" s="91"/>
      <c r="CB25" s="91"/>
      <c r="CC25" s="86"/>
      <c r="CD25" s="85"/>
    </row>
    <row r="26" spans="1:82" ht="21.15" customHeight="1" thickBot="1" x14ac:dyDescent="0.6">
      <c r="A26" s="85"/>
      <c r="B26" s="86"/>
      <c r="C26" s="86"/>
      <c r="D26" s="86"/>
      <c r="E26" s="86"/>
      <c r="F26" s="86"/>
      <c r="G26" s="251">
        <f>VLOOKUP(G23,市町村データ!A2:AX75,MATCH(手順書_人口密度!$F$57, 市町村データ!A1:AX1, 0),FALSE)</f>
        <v>577.83000000000004</v>
      </c>
      <c r="H26" s="154"/>
      <c r="I26" s="154"/>
      <c r="J26" s="154"/>
      <c r="K26" s="86"/>
      <c r="L26" s="86"/>
      <c r="M26" s="86"/>
      <c r="N26" s="86"/>
      <c r="O26" s="86"/>
      <c r="P26" s="86"/>
      <c r="Q26" s="86"/>
      <c r="R26" s="86"/>
      <c r="S26" s="251">
        <f>VLOOKUP(S23,市町村データ!A2:AX75,MATCH(手順書_人口密度!$F$57, 市町村データ!A1:AX1, 0),FALSE)</f>
        <v>49.36</v>
      </c>
      <c r="T26" s="154"/>
      <c r="U26" s="154"/>
      <c r="V26" s="155"/>
      <c r="W26" s="90"/>
      <c r="X26" s="86"/>
      <c r="Y26" s="86"/>
      <c r="Z26" s="86"/>
      <c r="AA26" s="251">
        <f>VLOOKUP(AA23,市町村データ!A2:AX75,MATCH(手順書_人口密度!$F$57, 市町村データ!A1:AX1, 0),FALSE)</f>
        <v>40.39</v>
      </c>
      <c r="AB26" s="154"/>
      <c r="AC26" s="154"/>
      <c r="AD26" s="155"/>
      <c r="AE26" s="253">
        <f>VLOOKUP(AE23,市町村データ!A2:AX75,MATCH(手順書_人口密度!$F$57, 市町村データ!A1:AX1, 0),FALSE)</f>
        <v>34.07</v>
      </c>
      <c r="AF26" s="154"/>
      <c r="AG26" s="154"/>
      <c r="AH26" s="155"/>
      <c r="AI26" s="245">
        <f>VLOOKUP(AI23,市町村データ!A2:AX75,MATCH(手順書_人口密度!$F$57, 市町村データ!A1:AX1, 0),FALSE)</f>
        <v>17.649999999999999</v>
      </c>
      <c r="AJ26" s="154"/>
      <c r="AK26" s="154"/>
      <c r="AL26" s="155"/>
      <c r="AM26" s="245">
        <f>VLOOKUP(AM23,市町村データ!A2:AX75,MATCH(手順書_人口密度!$F$57, 市町村データ!A1:AX1, 0),FALSE)</f>
        <v>109.13</v>
      </c>
      <c r="AN26" s="154"/>
      <c r="AO26" s="154"/>
      <c r="AP26" s="154"/>
      <c r="AQ26" s="86"/>
      <c r="AR26" s="86"/>
      <c r="AS26" s="86"/>
      <c r="AT26" s="86"/>
      <c r="AU26" s="90"/>
      <c r="AV26" s="86"/>
      <c r="AW26" s="86"/>
      <c r="AX26" s="86"/>
      <c r="AY26" s="86"/>
      <c r="AZ26" s="86"/>
      <c r="BA26" s="86"/>
      <c r="BB26" s="86"/>
      <c r="BC26" s="86"/>
      <c r="BD26" s="86"/>
      <c r="BE26" s="86"/>
      <c r="BF26" s="86"/>
      <c r="BG26" s="86"/>
      <c r="BH26" s="86"/>
      <c r="BI26" s="86"/>
      <c r="BJ26" s="86"/>
      <c r="BK26" s="245">
        <f>VLOOKUP(BK23,市町村データ!A2:AX75,MATCH(手順書_人口密度!$F$57, 市町村データ!A1:AX1, 0),FALSE)</f>
        <v>66</v>
      </c>
      <c r="BL26" s="154"/>
      <c r="BM26" s="154"/>
      <c r="BN26" s="154"/>
      <c r="BO26" s="86"/>
      <c r="BP26" s="86"/>
      <c r="BQ26" s="86"/>
      <c r="BR26" s="86"/>
      <c r="BS26" s="253">
        <f>VLOOKUP(BS23,市町村データ!A2:AX75,MATCH(手順書_人口密度!$F$57, 市町村データ!A1:AX1, 0),FALSE)</f>
        <v>16.2</v>
      </c>
      <c r="BT26" s="154"/>
      <c r="BU26" s="154"/>
      <c r="BV26" s="155"/>
      <c r="BW26" s="90"/>
      <c r="BX26" s="91"/>
      <c r="BY26" s="91"/>
      <c r="BZ26" s="91"/>
      <c r="CA26" s="91"/>
      <c r="CB26" s="91"/>
      <c r="CC26" s="86"/>
      <c r="CD26" s="85"/>
    </row>
    <row r="27" spans="1:82" ht="21.15" customHeight="1" x14ac:dyDescent="0.55000000000000004">
      <c r="A27" s="85"/>
      <c r="B27" s="86"/>
      <c r="C27" s="87" t="s">
        <v>221</v>
      </c>
      <c r="D27" s="86"/>
      <c r="E27" s="86"/>
      <c r="F27" s="86"/>
      <c r="G27" s="88">
        <v>46</v>
      </c>
      <c r="H27" s="138" t="str">
        <f>VLOOKUP(G27,市町村データ!A2:AX75,MATCH(手順書_人口密度!$G$54, 市町村データ!A1:AX1, 0),FALSE)</f>
        <v>小鹿野町</v>
      </c>
      <c r="I27" s="159"/>
      <c r="J27" s="160"/>
      <c r="K27" s="90"/>
      <c r="L27" s="86"/>
      <c r="M27" s="86"/>
      <c r="N27" s="86"/>
      <c r="O27" s="86"/>
      <c r="P27" s="86"/>
      <c r="Q27" s="86"/>
      <c r="R27" s="86"/>
      <c r="S27" s="88">
        <v>47</v>
      </c>
      <c r="T27" s="138" t="str">
        <f>VLOOKUP(S27,市町村データ!A2:AX75,MATCH(手順書_人口密度!$G$54, 市町村データ!A1:AX1, 0),FALSE)</f>
        <v>飯能市</v>
      </c>
      <c r="U27" s="159"/>
      <c r="V27" s="159"/>
      <c r="W27" s="89"/>
      <c r="X27" s="89"/>
      <c r="Y27" s="89"/>
      <c r="Z27" s="89"/>
      <c r="AA27" s="89"/>
      <c r="AB27" s="89"/>
      <c r="AC27" s="89"/>
      <c r="AD27" s="89"/>
      <c r="AE27" s="89"/>
      <c r="AF27" s="89"/>
      <c r="AG27" s="89"/>
      <c r="AH27" s="89"/>
      <c r="AI27" s="88">
        <v>48</v>
      </c>
      <c r="AJ27" s="138" t="str">
        <f>VLOOKUP(AI27,市町村データ!A2:AX75,MATCH(手順書_人口密度!$G$54, 市町村データ!A1:AX1, 0),FALSE)</f>
        <v>日高市</v>
      </c>
      <c r="AK27" s="159"/>
      <c r="AL27" s="160"/>
      <c r="AM27" s="88">
        <v>49</v>
      </c>
      <c r="AN27" s="138" t="str">
        <f>VLOOKUP(AM27,市町村データ!A2:AX75,MATCH(手順書_人口密度!$G$54, 市町村データ!A1:AX1, 0),FALSE)</f>
        <v>狭山市</v>
      </c>
      <c r="AO27" s="159"/>
      <c r="AP27" s="160"/>
      <c r="AQ27" s="88">
        <v>50</v>
      </c>
      <c r="AR27" s="138" t="str">
        <f>VLOOKUP(AQ27,市町村データ!A2:AX75,MATCH(手順書_人口密度!$G$54, 市町村データ!A1:AX1, 0),FALSE)</f>
        <v>ふじみ野市</v>
      </c>
      <c r="AS27" s="159"/>
      <c r="AT27" s="160"/>
      <c r="AU27" s="88">
        <v>51</v>
      </c>
      <c r="AV27" s="138" t="str">
        <f>VLOOKUP(AU27,市町村データ!A2:AX75,MATCH(手順書_人口密度!$G$54, 市町村データ!A1:AX1, 0),FALSE)</f>
        <v>富士見市</v>
      </c>
      <c r="AW27" s="159"/>
      <c r="AX27" s="160"/>
      <c r="AY27" s="103"/>
      <c r="AZ27" s="86"/>
      <c r="BA27" s="86"/>
      <c r="BB27" s="86"/>
      <c r="BC27" s="95" t="s">
        <v>200</v>
      </c>
      <c r="BD27" s="163" t="str">
        <f>VLOOKUP(BC27,市町村データ!A2:AX75,MATCH(手順書_人口密度!$G$54, 市町村データ!A1:AX1, 0),FALSE)</f>
        <v>さいたま市</v>
      </c>
      <c r="BE27" s="157"/>
      <c r="BF27" s="157"/>
      <c r="BG27" s="19"/>
      <c r="BH27" s="86"/>
      <c r="BI27" s="86"/>
      <c r="BJ27" s="86"/>
      <c r="BK27" s="88">
        <v>55</v>
      </c>
      <c r="BL27" s="138" t="str">
        <f>VLOOKUP(BK27,市町村データ!A2:AX75,MATCH(手順書_人口密度!$G$54, 市町村データ!A1:AX1, 0),FALSE)</f>
        <v>越谷市</v>
      </c>
      <c r="BM27" s="159"/>
      <c r="BN27" s="159"/>
      <c r="BO27" s="89"/>
      <c r="BP27" s="89"/>
      <c r="BQ27" s="89"/>
      <c r="BR27" s="89"/>
      <c r="BS27" s="88">
        <v>56</v>
      </c>
      <c r="BT27" s="138" t="str">
        <f>VLOOKUP(BS27,市町村データ!A2:AX75,MATCH(手順書_人口密度!$G$54, 市町村データ!A1:AX1, 0),FALSE)</f>
        <v>吉川市</v>
      </c>
      <c r="BU27" s="159"/>
      <c r="BV27" s="160"/>
      <c r="BW27" s="90"/>
      <c r="BX27" s="91"/>
      <c r="BY27" s="91"/>
      <c r="BZ27" s="91"/>
      <c r="CA27" s="91"/>
      <c r="CB27" s="91"/>
      <c r="CC27" s="86"/>
      <c r="CD27" s="85"/>
    </row>
    <row r="28" spans="1:82" ht="21.15" customHeight="1" x14ac:dyDescent="0.55000000000000004">
      <c r="A28" s="85"/>
      <c r="B28" s="86"/>
      <c r="C28" s="86"/>
      <c r="D28" s="86"/>
      <c r="E28" s="86"/>
      <c r="F28" s="86"/>
      <c r="G28" s="259">
        <f>VLOOKUP(G27,市町村データ!A2:AX75,MATCH(手順書_人口密度!$F$55, 市町村データ!A1:AX1, 0),FALSE)</f>
        <v>63.8</v>
      </c>
      <c r="H28" s="151"/>
      <c r="I28" s="151"/>
      <c r="J28" s="152"/>
      <c r="K28" s="90"/>
      <c r="L28" s="86"/>
      <c r="M28" s="86"/>
      <c r="N28" s="86"/>
      <c r="O28" s="86"/>
      <c r="P28" s="86"/>
      <c r="Q28" s="86"/>
      <c r="R28" s="86"/>
      <c r="S28" s="259">
        <f>VLOOKUP(S27,市町村データ!A2:AX75,MATCH(手順書_人口密度!$F$55, 市町村データ!A1:AX1, 0),FALSE)</f>
        <v>416.3</v>
      </c>
      <c r="T28" s="151"/>
      <c r="U28" s="151"/>
      <c r="V28" s="151"/>
      <c r="W28" s="86"/>
      <c r="X28" s="86"/>
      <c r="Y28" s="86"/>
      <c r="Z28" s="86"/>
      <c r="AA28" s="86"/>
      <c r="AB28" s="86"/>
      <c r="AC28" s="86"/>
      <c r="AD28" s="86"/>
      <c r="AE28" s="86"/>
      <c r="AF28" s="86"/>
      <c r="AG28" s="86"/>
      <c r="AH28" s="86"/>
      <c r="AI28" s="260">
        <f>VLOOKUP(AI27,市町村データ!A2:AX75,MATCH(手順書_人口密度!$F$55, 市町村データ!A1:AX1, 0),FALSE)</f>
        <v>1149.3</v>
      </c>
      <c r="AJ28" s="151"/>
      <c r="AK28" s="151"/>
      <c r="AL28" s="152"/>
      <c r="AM28" s="248">
        <f>VLOOKUP(AM27,市町村データ!A2:AX75,MATCH(手順書_人口密度!$F$55, 市町村データ!A1:AX1, 0),FALSE)</f>
        <v>3035.3</v>
      </c>
      <c r="AN28" s="151"/>
      <c r="AO28" s="151"/>
      <c r="AP28" s="152"/>
      <c r="AQ28" s="240">
        <f>VLOOKUP(AQ27,市町村データ!A2:AX75,MATCH(手順書_人口密度!$F$55, 市町村データ!A1:AX1, 0),FALSE)</f>
        <v>7759.4</v>
      </c>
      <c r="AR28" s="151"/>
      <c r="AS28" s="151"/>
      <c r="AT28" s="152"/>
      <c r="AU28" s="234">
        <f>VLOOKUP(AU27,市町村データ!A2:AX75,MATCH(手順書_人口密度!$F$55, 市町村データ!A1:AX1, 0),FALSE)</f>
        <v>5658</v>
      </c>
      <c r="AV28" s="151"/>
      <c r="AW28" s="151"/>
      <c r="AX28" s="152"/>
      <c r="AY28" s="102"/>
      <c r="AZ28" s="86"/>
      <c r="BA28" s="86"/>
      <c r="BB28" s="86"/>
      <c r="BC28" s="261">
        <f>VLOOKUP(BC27,市町村データ!A2:AX75,MATCH(手順書_人口密度!$F$55, 市町村データ!A1:AX1, 0),FALSE)</f>
        <v>6089.4</v>
      </c>
      <c r="BD28" s="151"/>
      <c r="BE28" s="151"/>
      <c r="BF28" s="151"/>
      <c r="BG28" s="97"/>
      <c r="BH28" s="86"/>
      <c r="BI28" s="86"/>
      <c r="BJ28" s="86"/>
      <c r="BK28" s="234">
        <f>VLOOKUP(BK27,市町村データ!A2:AX75,MATCH(手順書_人口密度!$F$55, 市町村データ!A1:AX1, 0),FALSE)</f>
        <v>5671</v>
      </c>
      <c r="BL28" s="151"/>
      <c r="BM28" s="151"/>
      <c r="BN28" s="151"/>
      <c r="BO28" s="86"/>
      <c r="BP28" s="86"/>
      <c r="BQ28" s="86"/>
      <c r="BR28" s="86"/>
      <c r="BS28" s="249">
        <f>VLOOKUP(BS27,市町村データ!A2:AX75,MATCH(手順書_人口密度!$F$55, 市町村データ!A1:AX1, 0),FALSE)</f>
        <v>2273.5</v>
      </c>
      <c r="BT28" s="151"/>
      <c r="BU28" s="151"/>
      <c r="BV28" s="152"/>
      <c r="BW28" s="90"/>
      <c r="BX28" s="86"/>
      <c r="BY28" s="86"/>
      <c r="BZ28" s="86"/>
      <c r="CA28" s="86"/>
      <c r="CB28" s="86"/>
      <c r="CC28" s="86"/>
      <c r="CD28" s="85"/>
    </row>
    <row r="29" spans="1:82" ht="21.15" customHeight="1" x14ac:dyDescent="0.55000000000000004">
      <c r="A29" s="85"/>
      <c r="B29" s="86"/>
      <c r="C29" s="86"/>
      <c r="D29" s="86"/>
      <c r="E29" s="86"/>
      <c r="F29" s="86"/>
      <c r="G29" s="256">
        <f>VLOOKUP(G27,市町村データ!A2:AX75,MATCH(手順書_人口密度!$F$56, 市町村データ!A1:AX1, 0),FALSE)</f>
        <v>10928</v>
      </c>
      <c r="H29" s="151"/>
      <c r="I29" s="151"/>
      <c r="J29" s="152"/>
      <c r="K29" s="90"/>
      <c r="L29" s="86"/>
      <c r="M29" s="86"/>
      <c r="N29" s="86"/>
      <c r="O29" s="86"/>
      <c r="P29" s="86"/>
      <c r="Q29" s="86"/>
      <c r="R29" s="86"/>
      <c r="S29" s="256">
        <f>VLOOKUP(S27,市町村データ!A2:AX75,MATCH(手順書_人口密度!$F$56, 市町村データ!A1:AX1, 0),FALSE)</f>
        <v>80361</v>
      </c>
      <c r="T29" s="151"/>
      <c r="U29" s="151"/>
      <c r="V29" s="151"/>
      <c r="W29" s="86"/>
      <c r="X29" s="86"/>
      <c r="Y29" s="86"/>
      <c r="Z29" s="86"/>
      <c r="AA29" s="86"/>
      <c r="AB29" s="86"/>
      <c r="AC29" s="86"/>
      <c r="AD29" s="86"/>
      <c r="AE29" s="86"/>
      <c r="AF29" s="86"/>
      <c r="AG29" s="86"/>
      <c r="AH29" s="86"/>
      <c r="AI29" s="257">
        <f>VLOOKUP(AI27,市町村データ!A2:AX75,MATCH(手順書_人口密度!$F$56, 市町村データ!A1:AX1, 0),FALSE)</f>
        <v>54571</v>
      </c>
      <c r="AJ29" s="151"/>
      <c r="AK29" s="151"/>
      <c r="AL29" s="152"/>
      <c r="AM29" s="242">
        <f>VLOOKUP(AM27,市町村データ!A2:AX75,MATCH(手順書_人口密度!$F$56, 市町村データ!A1:AX1, 0),FALSE)</f>
        <v>148699</v>
      </c>
      <c r="AN29" s="151"/>
      <c r="AO29" s="151"/>
      <c r="AP29" s="152"/>
      <c r="AQ29" s="236">
        <f>VLOOKUP(AQ27,市町村データ!A2:AX75,MATCH(手順書_人口密度!$F$56, 市町村データ!A1:AX1, 0),FALSE)</f>
        <v>113597</v>
      </c>
      <c r="AR29" s="151"/>
      <c r="AS29" s="151"/>
      <c r="AT29" s="152"/>
      <c r="AU29" s="227">
        <f>VLOOKUP(AU27,市町村データ!A2:AX75,MATCH(手順書_人口密度!$F$56, 市町村データ!A1:AX1, 0),FALSE)</f>
        <v>111859</v>
      </c>
      <c r="AV29" s="151"/>
      <c r="AW29" s="151"/>
      <c r="AX29" s="152"/>
      <c r="AY29" s="90"/>
      <c r="AZ29" s="86"/>
      <c r="BA29" s="86"/>
      <c r="BB29" s="86"/>
      <c r="BC29" s="258">
        <f>VLOOKUP(BC27,市町村データ!A2:AX75,MATCH(手順書_人口密度!$F$56, 市町村データ!A1:AX1, 0),FALSE)</f>
        <v>1324025</v>
      </c>
      <c r="BD29" s="151"/>
      <c r="BE29" s="151"/>
      <c r="BF29" s="151"/>
      <c r="BG29" s="86"/>
      <c r="BH29" s="86"/>
      <c r="BI29" s="86"/>
      <c r="BJ29" s="86"/>
      <c r="BK29" s="227">
        <f>VLOOKUP(BK27,市町村データ!A2:AX75,MATCH(手順書_人口密度!$F$56, 市町村データ!A1:AX1, 0),FALSE)</f>
        <v>341621</v>
      </c>
      <c r="BL29" s="151"/>
      <c r="BM29" s="151"/>
      <c r="BN29" s="151"/>
      <c r="BO29" s="86"/>
      <c r="BP29" s="86"/>
      <c r="BQ29" s="86"/>
      <c r="BR29" s="86"/>
      <c r="BS29" s="243">
        <f>VLOOKUP(BS27,市町村データ!A2:AX75,MATCH(手順書_人口密度!$F$56, 市町村データ!A1:AX1, 0),FALSE)</f>
        <v>71979</v>
      </c>
      <c r="BT29" s="151"/>
      <c r="BU29" s="151"/>
      <c r="BV29" s="152"/>
      <c r="BW29" s="90"/>
      <c r="BX29" s="86"/>
      <c r="BY29" s="86"/>
      <c r="BZ29" s="86"/>
      <c r="CA29" s="86"/>
      <c r="CB29" s="86"/>
      <c r="CC29" s="86"/>
      <c r="CD29" s="85"/>
    </row>
    <row r="30" spans="1:82" ht="21.15" customHeight="1" thickBot="1" x14ac:dyDescent="0.6">
      <c r="A30" s="85"/>
      <c r="B30" s="86"/>
      <c r="C30" s="86"/>
      <c r="D30" s="86"/>
      <c r="E30" s="86"/>
      <c r="F30" s="86"/>
      <c r="G30" s="251">
        <f>VLOOKUP(G27,市町村データ!A2:AX75,MATCH(手順書_人口密度!$F$57, 市町村データ!A1:AX1, 0),FALSE)</f>
        <v>171.26</v>
      </c>
      <c r="H30" s="154"/>
      <c r="I30" s="154"/>
      <c r="J30" s="155"/>
      <c r="K30" s="90"/>
      <c r="L30" s="86"/>
      <c r="M30" s="86"/>
      <c r="N30" s="86"/>
      <c r="O30" s="86"/>
      <c r="P30" s="86"/>
      <c r="Q30" s="86"/>
      <c r="R30" s="86"/>
      <c r="S30" s="252">
        <f>VLOOKUP(S27,市町村データ!A2:AX75,MATCH(手順書_人口密度!$F$57, 市町村データ!A1:AX1, 0),FALSE)</f>
        <v>193.05</v>
      </c>
      <c r="T30" s="151"/>
      <c r="U30" s="151"/>
      <c r="V30" s="151"/>
      <c r="W30" s="86"/>
      <c r="X30" s="86"/>
      <c r="Y30" s="86"/>
      <c r="Z30" s="86"/>
      <c r="AA30" s="86"/>
      <c r="AB30" s="86"/>
      <c r="AC30" s="86"/>
      <c r="AD30" s="86"/>
      <c r="AE30" s="86"/>
      <c r="AF30" s="86"/>
      <c r="AG30" s="86"/>
      <c r="AH30" s="86"/>
      <c r="AI30" s="253">
        <f>VLOOKUP(AI27,市町村データ!A2:AX75,MATCH(手順書_人口密度!$F$57, 市町村データ!A1:AX1, 0),FALSE)</f>
        <v>47.48</v>
      </c>
      <c r="AJ30" s="154"/>
      <c r="AK30" s="154"/>
      <c r="AL30" s="155"/>
      <c r="AM30" s="245">
        <f>VLOOKUP(AM27,市町村データ!A2:AX75,MATCH(手順書_人口密度!$F$57, 市町村データ!A1:AX1, 0),FALSE)</f>
        <v>48.99</v>
      </c>
      <c r="AN30" s="154"/>
      <c r="AO30" s="154"/>
      <c r="AP30" s="155"/>
      <c r="AQ30" s="229">
        <f>VLOOKUP(AQ27,市町村データ!A2:AX75,MATCH(手順書_人口密度!$F$57, 市町村データ!A1:AX1, 0),FALSE)</f>
        <v>14.64</v>
      </c>
      <c r="AR30" s="154"/>
      <c r="AS30" s="154"/>
      <c r="AT30" s="155"/>
      <c r="AU30" s="232">
        <f>VLOOKUP(AU27,市町村データ!A2:AX75,MATCH(手順書_人口密度!$F$57, 市町村データ!A1:AX1, 0),FALSE)</f>
        <v>19.77</v>
      </c>
      <c r="AV30" s="154"/>
      <c r="AW30" s="154"/>
      <c r="AX30" s="155"/>
      <c r="AY30" s="90"/>
      <c r="AZ30" s="86"/>
      <c r="BA30" s="86"/>
      <c r="BB30" s="86"/>
      <c r="BC30" s="254">
        <f>VLOOKUP(BC27,市町村データ!A2:AX75,MATCH(手順書_人口密度!$F$57, 市町村データ!A1:AX1, 0),FALSE)</f>
        <v>217.43</v>
      </c>
      <c r="BD30" s="151"/>
      <c r="BE30" s="151"/>
      <c r="BF30" s="151"/>
      <c r="BG30" s="86"/>
      <c r="BH30" s="86"/>
      <c r="BI30" s="86"/>
      <c r="BJ30" s="86"/>
      <c r="BK30" s="255">
        <f>VLOOKUP(BK27,市町村データ!A2:AX75,MATCH(手順書_人口密度!$F$57, 市町村データ!A1:AX1, 0),FALSE)</f>
        <v>60.24</v>
      </c>
      <c r="BL30" s="151"/>
      <c r="BM30" s="151"/>
      <c r="BN30" s="151"/>
      <c r="BO30" s="86"/>
      <c r="BP30" s="86"/>
      <c r="BQ30" s="86"/>
      <c r="BR30" s="86"/>
      <c r="BS30" s="246">
        <f>VLOOKUP(BS27,市町村データ!A2:AX75,MATCH(手順書_人口密度!$F$57, 市町村データ!A1:AX1, 0),FALSE)</f>
        <v>31.66</v>
      </c>
      <c r="BT30" s="154"/>
      <c r="BU30" s="154"/>
      <c r="BV30" s="155"/>
      <c r="BW30" s="90"/>
      <c r="BX30" s="86"/>
      <c r="BY30" s="86"/>
      <c r="BZ30" s="86"/>
      <c r="CA30" s="86"/>
      <c r="CB30" s="86"/>
      <c r="CC30" s="86"/>
      <c r="CD30" s="85"/>
    </row>
    <row r="31" spans="1:82" ht="21.15" customHeight="1" x14ac:dyDescent="0.55000000000000004">
      <c r="A31" s="85"/>
      <c r="B31" s="86"/>
      <c r="C31" s="87" t="s">
        <v>222</v>
      </c>
      <c r="D31" s="86"/>
      <c r="E31" s="86"/>
      <c r="F31" s="86"/>
      <c r="G31" s="96"/>
      <c r="H31" s="89"/>
      <c r="I31" s="89"/>
      <c r="J31" s="89"/>
      <c r="K31" s="86"/>
      <c r="L31" s="86"/>
      <c r="M31" s="86"/>
      <c r="N31" s="86"/>
      <c r="O31" s="86"/>
      <c r="P31" s="86"/>
      <c r="Q31" s="86"/>
      <c r="R31" s="86"/>
      <c r="S31" s="90"/>
      <c r="T31" s="86"/>
      <c r="U31" s="86"/>
      <c r="V31" s="86"/>
      <c r="W31" s="86"/>
      <c r="X31" s="86"/>
      <c r="Y31" s="86"/>
      <c r="Z31" s="86"/>
      <c r="AA31" s="86"/>
      <c r="AB31" s="86"/>
      <c r="AC31" s="86"/>
      <c r="AD31" s="86"/>
      <c r="AE31" s="86"/>
      <c r="AF31" s="86"/>
      <c r="AG31" s="86"/>
      <c r="AH31" s="86"/>
      <c r="AI31" s="89"/>
      <c r="AJ31" s="89"/>
      <c r="AK31" s="89"/>
      <c r="AL31" s="89"/>
      <c r="AM31" s="88">
        <v>57</v>
      </c>
      <c r="AN31" s="138" t="str">
        <f>VLOOKUP(AM31,市町村データ!A2:AX75,MATCH(手順書_人口密度!$G$54, 市町村データ!A1:AX1, 0),FALSE)</f>
        <v>入間市</v>
      </c>
      <c r="AO31" s="159"/>
      <c r="AP31" s="160"/>
      <c r="AQ31" s="88">
        <v>58</v>
      </c>
      <c r="AR31" s="138" t="str">
        <f>VLOOKUP(AQ31,市町村データ!A2:AX75,MATCH(手順書_人口密度!$G$54, 市町村データ!A1:AX1, 0),FALSE)</f>
        <v>三芳町</v>
      </c>
      <c r="AS31" s="159"/>
      <c r="AT31" s="160"/>
      <c r="AU31" s="88">
        <v>59</v>
      </c>
      <c r="AV31" s="138" t="str">
        <f>VLOOKUP(AU31,市町村データ!A2:AX75,MATCH(手順書_人口密度!$G$54, 市町村データ!A1:AX1, 0),FALSE)</f>
        <v>志木市</v>
      </c>
      <c r="AW31" s="159"/>
      <c r="AX31" s="160"/>
      <c r="AY31" s="103"/>
      <c r="AZ31" s="86"/>
      <c r="BA31" s="86"/>
      <c r="BB31" s="86"/>
      <c r="BC31" s="19"/>
      <c r="BD31" s="86"/>
      <c r="BE31" s="86"/>
      <c r="BF31" s="86"/>
      <c r="BG31" s="19"/>
      <c r="BH31" s="86"/>
      <c r="BI31" s="86"/>
      <c r="BJ31" s="86"/>
      <c r="BK31" s="90"/>
      <c r="BL31" s="86"/>
      <c r="BM31" s="86"/>
      <c r="BN31" s="86"/>
      <c r="BO31" s="86"/>
      <c r="BP31" s="86"/>
      <c r="BQ31" s="86"/>
      <c r="BR31" s="86"/>
      <c r="BS31" s="88">
        <v>63</v>
      </c>
      <c r="BT31" s="138" t="str">
        <f>VLOOKUP(BS31,市町村データ!A2:AX75,MATCH(手順書_人口密度!$G$54, 市町村データ!A1:AX1, 0),FALSE)</f>
        <v>三郷市</v>
      </c>
      <c r="BU31" s="159"/>
      <c r="BV31" s="160"/>
      <c r="BW31" s="90"/>
      <c r="BX31" s="86"/>
      <c r="BY31" s="86"/>
      <c r="BZ31" s="86"/>
      <c r="CA31" s="86"/>
      <c r="CB31" s="86"/>
      <c r="CC31" s="86"/>
      <c r="CD31" s="85"/>
    </row>
    <row r="32" spans="1:82" ht="21.15" customHeight="1" x14ac:dyDescent="0.55000000000000004">
      <c r="A32" s="85"/>
      <c r="B32" s="86"/>
      <c r="C32" s="86"/>
      <c r="D32" s="86"/>
      <c r="E32" s="86"/>
      <c r="F32" s="86"/>
      <c r="G32" s="90"/>
      <c r="H32" s="86"/>
      <c r="I32" s="86"/>
      <c r="J32" s="86"/>
      <c r="K32" s="86"/>
      <c r="L32" s="86"/>
      <c r="M32" s="86"/>
      <c r="N32" s="86"/>
      <c r="O32" s="86"/>
      <c r="P32" s="86"/>
      <c r="Q32" s="86"/>
      <c r="R32" s="86"/>
      <c r="S32" s="90"/>
      <c r="T32" s="86"/>
      <c r="U32" s="86"/>
      <c r="V32" s="86"/>
      <c r="W32" s="86"/>
      <c r="X32" s="86"/>
      <c r="Y32" s="86"/>
      <c r="Z32" s="86"/>
      <c r="AA32" s="86"/>
      <c r="AB32" s="86"/>
      <c r="AC32" s="86"/>
      <c r="AD32" s="86"/>
      <c r="AE32" s="86"/>
      <c r="AF32" s="86"/>
      <c r="AG32" s="86"/>
      <c r="AH32" s="86"/>
      <c r="AI32" s="86"/>
      <c r="AJ32" s="86"/>
      <c r="AK32" s="86"/>
      <c r="AL32" s="86"/>
      <c r="AM32" s="248">
        <f>VLOOKUP(AM31,市町村データ!A2:AX75,MATCH(手順書_人口密度!$F$55, 市町村データ!A1:AX1, 0),FALSE)</f>
        <v>3259.1</v>
      </c>
      <c r="AN32" s="151"/>
      <c r="AO32" s="151"/>
      <c r="AP32" s="152"/>
      <c r="AQ32" s="249">
        <f>VLOOKUP(AQ31,市町村データ!A2:AX75,MATCH(手順書_人口密度!$F$55, 市町村データ!A1:AX1, 0),FALSE)</f>
        <v>2507.1</v>
      </c>
      <c r="AR32" s="151"/>
      <c r="AS32" s="151"/>
      <c r="AT32" s="152"/>
      <c r="AU32" s="250">
        <f>VLOOKUP(AU31,市町村データ!A2:AX75,MATCH(手順書_人口密度!$F$55, 市町村データ!A1:AX1, 0),FALSE)</f>
        <v>8325.5</v>
      </c>
      <c r="AV32" s="151"/>
      <c r="AW32" s="151"/>
      <c r="AX32" s="152"/>
      <c r="AY32" s="102"/>
      <c r="AZ32" s="86"/>
      <c r="BA32" s="86"/>
      <c r="BB32" s="86"/>
      <c r="BC32" s="97"/>
      <c r="BD32" s="86"/>
      <c r="BE32" s="86"/>
      <c r="BF32" s="86"/>
      <c r="BG32" s="97"/>
      <c r="BH32" s="86"/>
      <c r="BI32" s="86"/>
      <c r="BJ32" s="86"/>
      <c r="BK32" s="90"/>
      <c r="BL32" s="86"/>
      <c r="BM32" s="86"/>
      <c r="BN32" s="86"/>
      <c r="BO32" s="86"/>
      <c r="BP32" s="86"/>
      <c r="BQ32" s="86"/>
      <c r="BR32" s="86"/>
      <c r="BS32" s="239">
        <f>VLOOKUP(BS31,市町村データ!A2:AX75,MATCH(手順書_人口密度!$F$55, 市町村データ!A1:AX1, 0),FALSE)</f>
        <v>4717.7</v>
      </c>
      <c r="BT32" s="151"/>
      <c r="BU32" s="151"/>
      <c r="BV32" s="152"/>
      <c r="BW32" s="90"/>
      <c r="BX32" s="86"/>
      <c r="BY32" s="86"/>
      <c r="BZ32" s="86"/>
      <c r="CA32" s="86"/>
      <c r="CB32" s="86"/>
      <c r="CC32" s="86"/>
      <c r="CD32" s="85"/>
    </row>
    <row r="33" spans="1:82" ht="21.15" customHeight="1" x14ac:dyDescent="0.55000000000000004">
      <c r="A33" s="85"/>
      <c r="B33" s="86"/>
      <c r="C33" s="86"/>
      <c r="D33" s="86"/>
      <c r="E33" s="86"/>
      <c r="F33" s="86"/>
      <c r="G33" s="90"/>
      <c r="H33" s="86"/>
      <c r="I33" s="86"/>
      <c r="J33" s="86"/>
      <c r="K33" s="86"/>
      <c r="L33" s="86"/>
      <c r="M33" s="86"/>
      <c r="N33" s="86"/>
      <c r="O33" s="86"/>
      <c r="P33" s="86"/>
      <c r="Q33" s="86"/>
      <c r="R33" s="86"/>
      <c r="S33" s="90"/>
      <c r="T33" s="86"/>
      <c r="U33" s="86"/>
      <c r="V33" s="86"/>
      <c r="W33" s="86"/>
      <c r="X33" s="86"/>
      <c r="Y33" s="86"/>
      <c r="Z33" s="86"/>
      <c r="AA33" s="86"/>
      <c r="AB33" s="86"/>
      <c r="AC33" s="86"/>
      <c r="AD33" s="86"/>
      <c r="AE33" s="86"/>
      <c r="AF33" s="86"/>
      <c r="AG33" s="86"/>
      <c r="AH33" s="86"/>
      <c r="AI33" s="97"/>
      <c r="AJ33" s="86"/>
      <c r="AK33" s="86"/>
      <c r="AL33" s="86"/>
      <c r="AM33" s="242">
        <f>VLOOKUP(AM31,市町村データ!A2:AX75,MATCH(手順書_人口密度!$F$56, 市町村データ!A1:AX1, 0),FALSE)</f>
        <v>145651</v>
      </c>
      <c r="AN33" s="151"/>
      <c r="AO33" s="151"/>
      <c r="AP33" s="152"/>
      <c r="AQ33" s="243">
        <f>VLOOKUP(AQ31,市町村データ!A2:AX75,MATCH(手順書_人口密度!$F$56, 市町村データ!A1:AX1, 0),FALSE)</f>
        <v>38434</v>
      </c>
      <c r="AR33" s="151"/>
      <c r="AS33" s="151"/>
      <c r="AT33" s="152"/>
      <c r="AU33" s="244">
        <f>VLOOKUP(AU31,市町村データ!A2:AX75,MATCH(手順書_人口密度!$F$56, 市町村データ!A1:AX1, 0),FALSE)</f>
        <v>75346</v>
      </c>
      <c r="AV33" s="151"/>
      <c r="AW33" s="151"/>
      <c r="AX33" s="152"/>
      <c r="AY33" s="90"/>
      <c r="AZ33" s="86"/>
      <c r="BA33" s="86"/>
      <c r="BB33" s="86"/>
      <c r="BC33" s="86"/>
      <c r="BD33" s="86"/>
      <c r="BE33" s="86"/>
      <c r="BF33" s="86"/>
      <c r="BG33" s="86"/>
      <c r="BH33" s="86"/>
      <c r="BI33" s="86"/>
      <c r="BJ33" s="86"/>
      <c r="BK33" s="90"/>
      <c r="BL33" s="86"/>
      <c r="BM33" s="86"/>
      <c r="BN33" s="86"/>
      <c r="BO33" s="86"/>
      <c r="BP33" s="86"/>
      <c r="BQ33" s="86"/>
      <c r="BR33" s="86"/>
      <c r="BS33" s="235">
        <f>VLOOKUP(BS31,市町村データ!A2:AX75,MATCH(手順書_人口密度!$F$56, 市町村データ!A1:AX1, 0),FALSE)</f>
        <v>142145</v>
      </c>
      <c r="BT33" s="151"/>
      <c r="BU33" s="151"/>
      <c r="BV33" s="152"/>
      <c r="BW33" s="90"/>
      <c r="BX33" s="86"/>
      <c r="BY33" s="86"/>
      <c r="BZ33" s="86"/>
      <c r="CA33" s="86"/>
      <c r="CB33" s="86"/>
      <c r="CC33" s="86"/>
      <c r="CD33" s="85"/>
    </row>
    <row r="34" spans="1:82" ht="21.15" customHeight="1" thickBot="1" x14ac:dyDescent="0.6">
      <c r="A34" s="85"/>
      <c r="B34" s="86"/>
      <c r="C34" s="86"/>
      <c r="D34" s="86"/>
      <c r="E34" s="86"/>
      <c r="F34" s="86"/>
      <c r="G34" s="90"/>
      <c r="H34" s="86"/>
      <c r="I34" s="86"/>
      <c r="J34" s="86"/>
      <c r="K34" s="86"/>
      <c r="L34" s="86"/>
      <c r="M34" s="86"/>
      <c r="N34" s="86"/>
      <c r="O34" s="86"/>
      <c r="P34" s="86"/>
      <c r="Q34" s="86"/>
      <c r="R34" s="86"/>
      <c r="S34" s="90"/>
      <c r="T34" s="86"/>
      <c r="U34" s="86"/>
      <c r="V34" s="86"/>
      <c r="W34" s="86"/>
      <c r="X34" s="86"/>
      <c r="Y34" s="86"/>
      <c r="Z34" s="86"/>
      <c r="AA34" s="86"/>
      <c r="AB34" s="86"/>
      <c r="AC34" s="86"/>
      <c r="AD34" s="86"/>
      <c r="AE34" s="86"/>
      <c r="AF34" s="86"/>
      <c r="AG34" s="86"/>
      <c r="AH34" s="86"/>
      <c r="AI34" s="86"/>
      <c r="AJ34" s="86"/>
      <c r="AK34" s="86"/>
      <c r="AL34" s="86"/>
      <c r="AM34" s="245">
        <f>VLOOKUP(AM31,市町村データ!A2:AX75,MATCH(手順書_人口密度!$F$57, 市町村データ!A1:AX1, 0),FALSE)</f>
        <v>44.69</v>
      </c>
      <c r="AN34" s="154"/>
      <c r="AO34" s="154"/>
      <c r="AP34" s="155"/>
      <c r="AQ34" s="246">
        <f>VLOOKUP(AQ31,市町村データ!A2:AX75,MATCH(手順書_人口密度!$F$57, 市町村データ!A1:AX1, 0),FALSE)</f>
        <v>15.33</v>
      </c>
      <c r="AR34" s="154"/>
      <c r="AS34" s="154"/>
      <c r="AT34" s="155"/>
      <c r="AU34" s="247">
        <f>VLOOKUP(AU31,市町村データ!A2:AX75,MATCH(手順書_人口密度!$F$57, 市町村データ!A1:AX1, 0),FALSE)</f>
        <v>9.0500000000000007</v>
      </c>
      <c r="AV34" s="154"/>
      <c r="AW34" s="154"/>
      <c r="AX34" s="155"/>
      <c r="AY34" s="90"/>
      <c r="AZ34" s="86"/>
      <c r="BA34" s="86"/>
      <c r="BB34" s="86"/>
      <c r="BC34" s="86"/>
      <c r="BD34" s="86"/>
      <c r="BE34" s="86"/>
      <c r="BF34" s="86"/>
      <c r="BG34" s="86"/>
      <c r="BH34" s="86"/>
      <c r="BI34" s="86"/>
      <c r="BJ34" s="86"/>
      <c r="BK34" s="90"/>
      <c r="BL34" s="86"/>
      <c r="BM34" s="86"/>
      <c r="BN34" s="86"/>
      <c r="BO34" s="86"/>
      <c r="BP34" s="86"/>
      <c r="BQ34" s="86"/>
      <c r="BR34" s="86"/>
      <c r="BS34" s="228">
        <f>VLOOKUP(BS31,市町村データ!A2:AX75,MATCH(手順書_人口密度!$F$57, 市町村データ!A1:AX1, 0),FALSE)</f>
        <v>30.13</v>
      </c>
      <c r="BT34" s="154"/>
      <c r="BU34" s="154"/>
      <c r="BV34" s="155"/>
      <c r="BW34" s="90"/>
      <c r="BX34" s="86"/>
      <c r="BY34" s="86"/>
      <c r="BZ34" s="86"/>
      <c r="CA34" s="86"/>
      <c r="CB34" s="86"/>
      <c r="CC34" s="86"/>
      <c r="CD34" s="85"/>
    </row>
    <row r="35" spans="1:82" ht="21.15" customHeight="1" x14ac:dyDescent="0.55000000000000004">
      <c r="A35" s="85"/>
      <c r="B35" s="86"/>
      <c r="C35" s="87" t="s">
        <v>223</v>
      </c>
      <c r="D35" s="86"/>
      <c r="E35" s="86"/>
      <c r="F35" s="86"/>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8">
        <v>64</v>
      </c>
      <c r="AN35" s="138" t="str">
        <f>VLOOKUP(AM35,市町村データ!A2:AX75,MATCH(手順書_人口密度!$G$54, 市町村データ!A1:AX1, 0),FALSE)</f>
        <v>所沢市</v>
      </c>
      <c r="AO35" s="159"/>
      <c r="AP35" s="160"/>
      <c r="AQ35" s="88">
        <v>65</v>
      </c>
      <c r="AR35" s="138" t="str">
        <f>VLOOKUP(AQ35,市町村データ!A2:AX75,MATCH(手順書_人口密度!$G$54, 市町村データ!A1:AX1, 0),FALSE)</f>
        <v>新座市</v>
      </c>
      <c r="AS35" s="159"/>
      <c r="AT35" s="160"/>
      <c r="AU35" s="88">
        <v>66</v>
      </c>
      <c r="AV35" s="138" t="str">
        <f>VLOOKUP(AU35,市町村データ!A2:AX75,MATCH(手順書_人口密度!$G$54, 市町村データ!A1:AX1, 0),FALSE)</f>
        <v>朝霞市</v>
      </c>
      <c r="AW35" s="159"/>
      <c r="AX35" s="160"/>
      <c r="AY35" s="88">
        <v>67</v>
      </c>
      <c r="AZ35" s="138" t="str">
        <f>VLOOKUP(AY35,市町村データ!A2:AX75,MATCH(手順書_人口密度!$G$54, 市町村データ!A1:AX1, 0),FALSE)</f>
        <v>和光市</v>
      </c>
      <c r="BA35" s="159"/>
      <c r="BB35" s="160"/>
      <c r="BC35" s="88">
        <v>68</v>
      </c>
      <c r="BD35" s="138" t="str">
        <f>VLOOKUP(BC35,市町村データ!A2:AX75,MATCH(手順書_人口密度!$G$54, 市町村データ!A1:AX1, 0),FALSE)</f>
        <v>戸田市</v>
      </c>
      <c r="BE35" s="159"/>
      <c r="BF35" s="160"/>
      <c r="BG35" s="88">
        <v>69</v>
      </c>
      <c r="BH35" s="138" t="str">
        <f>VLOOKUP(BG35,市町村データ!A2:AX75,MATCH(手順書_人口密度!$G$54, 市町村データ!A1:AX1, 0),FALSE)</f>
        <v>蕨市</v>
      </c>
      <c r="BI35" s="159"/>
      <c r="BJ35" s="160"/>
      <c r="BK35" s="88">
        <v>70</v>
      </c>
      <c r="BL35" s="138" t="str">
        <f>VLOOKUP(BK35,市町村データ!A2:AX75,MATCH(手順書_人口密度!$G$54, 市町村データ!A1:AX1, 0),FALSE)</f>
        <v>川口市</v>
      </c>
      <c r="BM35" s="159"/>
      <c r="BN35" s="160"/>
      <c r="BO35" s="88">
        <v>71</v>
      </c>
      <c r="BP35" s="138" t="str">
        <f>VLOOKUP(BO35,市町村データ!A2:AX75,MATCH(手順書_人口密度!$G$54, 市町村データ!A1:AX1, 0),FALSE)</f>
        <v>草加市</v>
      </c>
      <c r="BQ35" s="159"/>
      <c r="BR35" s="160"/>
      <c r="BS35" s="88">
        <v>72</v>
      </c>
      <c r="BT35" s="138" t="str">
        <f>VLOOKUP(BS35,市町村データ!A2:AX75,MATCH(手順書_人口密度!$G$54, 市町村データ!A1:AX1, 0),FALSE)</f>
        <v>八潮市</v>
      </c>
      <c r="BU35" s="159"/>
      <c r="BV35" s="160"/>
      <c r="BW35" s="90"/>
      <c r="BX35" s="86"/>
      <c r="BY35" s="86"/>
      <c r="BZ35" s="86"/>
      <c r="CA35" s="86"/>
      <c r="CB35" s="86"/>
      <c r="CC35" s="86"/>
      <c r="CD35" s="85"/>
    </row>
    <row r="36" spans="1:82"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104">
        <v>40</v>
      </c>
      <c r="AE36" s="104">
        <v>41</v>
      </c>
      <c r="AF36" s="104">
        <v>42</v>
      </c>
      <c r="AG36" s="104">
        <v>43</v>
      </c>
      <c r="AH36" s="86" t="s">
        <v>224</v>
      </c>
      <c r="AI36" s="104" t="s">
        <v>200</v>
      </c>
      <c r="AJ36" s="86"/>
      <c r="AK36" s="86"/>
      <c r="AL36" s="86"/>
      <c r="AM36" s="239">
        <f>VLOOKUP(AM35,市町村データ!A2:AX75,MATCH(手順書_人口密度!$F$55, 市町村データ!A1:AX1, 0),FALSE)</f>
        <v>4749.2</v>
      </c>
      <c r="AN36" s="151"/>
      <c r="AO36" s="151"/>
      <c r="AP36" s="152"/>
      <c r="AQ36" s="240">
        <f>VLOOKUP(AQ35,市町村データ!A2:AX75,MATCH(手順書_人口密度!$F$55, 市町村データ!A1:AX1, 0),FALSE)</f>
        <v>7287.8</v>
      </c>
      <c r="AR36" s="151"/>
      <c r="AS36" s="151"/>
      <c r="AT36" s="152"/>
      <c r="AU36" s="240">
        <f>VLOOKUP(AU35,市町村データ!A2:AX75,MATCH(手順書_人口密度!$F$55, 市町村データ!A1:AX1, 0),FALSE)</f>
        <v>7692.6</v>
      </c>
      <c r="AV36" s="151"/>
      <c r="AW36" s="151"/>
      <c r="AX36" s="152"/>
      <c r="AY36" s="240">
        <f>VLOOKUP(AY35,市町村データ!A2:AX75,MATCH(手順書_人口密度!$F$55, 市町村データ!A1:AX1, 0),FALSE)</f>
        <v>7607.7</v>
      </c>
      <c r="AZ36" s="151"/>
      <c r="BA36" s="151"/>
      <c r="BB36" s="152"/>
      <c r="BC36" s="240">
        <f>VLOOKUP(BC35,市町村データ!A2:AX75,MATCH(手順書_人口密度!$F$55, 市町村データ!A1:AX1, 0),FALSE)</f>
        <v>7746</v>
      </c>
      <c r="BD36" s="151"/>
      <c r="BE36" s="151"/>
      <c r="BF36" s="152"/>
      <c r="BG36" s="241">
        <f>VLOOKUP(BG35,市町村データ!A2:AX75,MATCH(手順書_人口密度!$F$55, 市町村データ!A1:AX1, 0),FALSE)</f>
        <v>14536.8</v>
      </c>
      <c r="BH36" s="151"/>
      <c r="BI36" s="151"/>
      <c r="BJ36" s="152"/>
      <c r="BK36" s="233">
        <f>VLOOKUP(BK35,市町村データ!A2:AX75,MATCH(手順書_人口密度!$F$55, 市町村データ!A1:AX1, 0),FALSE)</f>
        <v>9592.7999999999993</v>
      </c>
      <c r="BL36" s="151"/>
      <c r="BM36" s="151"/>
      <c r="BN36" s="152"/>
      <c r="BO36" s="233">
        <f>VLOOKUP(BO35,市町村データ!A2:AX75,MATCH(手順書_人口密度!$F$55, 市町村データ!A1:AX1, 0),FALSE)</f>
        <v>9042.4</v>
      </c>
      <c r="BP36" s="151"/>
      <c r="BQ36" s="151"/>
      <c r="BR36" s="152"/>
      <c r="BS36" s="234">
        <f>VLOOKUP(BS35,市町村データ!A2:AX75,MATCH(手順書_人口密度!$F$55, 市町村データ!A1:AX1, 0),FALSE)</f>
        <v>5181.1000000000004</v>
      </c>
      <c r="BT36" s="151"/>
      <c r="BU36" s="151"/>
      <c r="BV36" s="152"/>
      <c r="BW36" s="90"/>
      <c r="BX36" s="86"/>
      <c r="BY36" s="86"/>
      <c r="BZ36" s="86"/>
      <c r="CA36" s="86"/>
      <c r="CB36" s="86"/>
      <c r="CC36" s="86"/>
      <c r="CD36" s="85"/>
    </row>
    <row r="37" spans="1:82"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104">
        <v>52</v>
      </c>
      <c r="AF37" s="104">
        <v>53</v>
      </c>
      <c r="AG37" s="104">
        <v>54</v>
      </c>
      <c r="AH37" s="86"/>
      <c r="AI37" s="86"/>
      <c r="AJ37" s="86"/>
      <c r="AK37" s="86"/>
      <c r="AL37" s="86"/>
      <c r="AM37" s="235">
        <f>VLOOKUP(AM35,市町村データ!A2:AX75,MATCH(手順書_人口密度!$F$56, 市町村データ!A1:AX1, 0),FALSE)</f>
        <v>342464</v>
      </c>
      <c r="AN37" s="151"/>
      <c r="AO37" s="151"/>
      <c r="AP37" s="152"/>
      <c r="AQ37" s="236">
        <f>VLOOKUP(AQ35,市町村データ!A2:AX75,MATCH(手順書_人口密度!$F$56, 市町村データ!A1:AX1, 0),FALSE)</f>
        <v>166017</v>
      </c>
      <c r="AR37" s="151"/>
      <c r="AS37" s="151"/>
      <c r="AT37" s="152"/>
      <c r="AU37" s="236">
        <f>VLOOKUP(AU35,市町村データ!A2:AX75,MATCH(手順書_人口密度!$F$56, 市町村データ!A1:AX1, 0),FALSE)</f>
        <v>141083</v>
      </c>
      <c r="AV37" s="151"/>
      <c r="AW37" s="151"/>
      <c r="AX37" s="152"/>
      <c r="AY37" s="236">
        <f>VLOOKUP(AY35,市町村データ!A2:AX75,MATCH(手順書_人口密度!$F$56, 市町村データ!A1:AX1, 0),FALSE)</f>
        <v>83989</v>
      </c>
      <c r="AZ37" s="151"/>
      <c r="BA37" s="151"/>
      <c r="BB37" s="152"/>
      <c r="BC37" s="236">
        <f>VLOOKUP(BC35,市町村データ!A2:AX75,MATCH(手順書_人口密度!$F$56, 市町村データ!A1:AX1, 0),FALSE)</f>
        <v>140899</v>
      </c>
      <c r="BD37" s="151"/>
      <c r="BE37" s="151"/>
      <c r="BF37" s="152"/>
      <c r="BG37" s="237">
        <f>VLOOKUP(BG35,市町村データ!A2:AX75,MATCH(手順書_人口密度!$F$56, 市町村データ!A1:AX1, 0),FALSE)</f>
        <v>74283</v>
      </c>
      <c r="BH37" s="151"/>
      <c r="BI37" s="151"/>
      <c r="BJ37" s="152"/>
      <c r="BK37" s="238">
        <f>VLOOKUP(BK35,市町村データ!A2:AX75,MATCH(手順書_人口密度!$F$56, 市町村データ!A1:AX1, 0),FALSE)</f>
        <v>594274</v>
      </c>
      <c r="BL37" s="151"/>
      <c r="BM37" s="151"/>
      <c r="BN37" s="152"/>
      <c r="BO37" s="238">
        <f>VLOOKUP(BO35,市町村データ!A2:AX75,MATCH(手順書_人口密度!$F$56, 市町村データ!A1:AX1, 0),FALSE)</f>
        <v>248304</v>
      </c>
      <c r="BP37" s="151"/>
      <c r="BQ37" s="151"/>
      <c r="BR37" s="152"/>
      <c r="BS37" s="227">
        <f>VLOOKUP(BS35,市町村データ!A2:AX75,MATCH(手順書_人口密度!$F$56, 市町村データ!A1:AX1, 0),FALSE)</f>
        <v>93363</v>
      </c>
      <c r="BT37" s="151"/>
      <c r="BU37" s="151"/>
      <c r="BV37" s="152"/>
      <c r="BW37" s="90"/>
      <c r="BX37" s="86"/>
      <c r="BY37" s="86"/>
      <c r="BZ37" s="86"/>
      <c r="CA37" s="86"/>
      <c r="CB37" s="86"/>
      <c r="CC37" s="86"/>
      <c r="CD37" s="85"/>
    </row>
    <row r="38" spans="1:82" ht="21.15" customHeight="1" thickBot="1" x14ac:dyDescent="0.6">
      <c r="A38" s="85"/>
      <c r="B38" s="86" t="s">
        <v>361</v>
      </c>
      <c r="C38" s="86"/>
      <c r="D38" s="86"/>
      <c r="E38" s="86"/>
      <c r="F38" s="86"/>
      <c r="G38" s="98"/>
      <c r="H38" s="86"/>
      <c r="I38" s="86"/>
      <c r="J38" s="86"/>
      <c r="K38" s="86"/>
      <c r="L38" s="86"/>
      <c r="M38" s="86"/>
      <c r="N38" s="86"/>
      <c r="O38" s="86"/>
      <c r="P38" s="86"/>
      <c r="Q38" s="86"/>
      <c r="R38" s="86"/>
      <c r="S38" s="86"/>
      <c r="T38" s="86"/>
      <c r="U38" s="86"/>
      <c r="V38" s="86"/>
      <c r="W38" s="86"/>
      <c r="X38" s="86"/>
      <c r="Y38" s="86"/>
      <c r="Z38" s="86"/>
      <c r="AA38" s="86"/>
      <c r="AB38" s="86"/>
      <c r="AC38" s="86"/>
      <c r="AD38" s="86"/>
      <c r="AE38" s="104">
        <v>60</v>
      </c>
      <c r="AF38" s="104">
        <v>61</v>
      </c>
      <c r="AG38" s="104">
        <v>62</v>
      </c>
      <c r="AH38" s="86"/>
      <c r="AI38" s="86"/>
      <c r="AJ38" s="86"/>
      <c r="AK38" s="86"/>
      <c r="AL38" s="86"/>
      <c r="AM38" s="228">
        <f>VLOOKUP(AM35,市町村データ!A2:AX75,MATCH(手順書_人口密度!$F$57, 市町村データ!A1:AX1, 0),FALSE)</f>
        <v>72.11</v>
      </c>
      <c r="AN38" s="154"/>
      <c r="AO38" s="154"/>
      <c r="AP38" s="155"/>
      <c r="AQ38" s="229">
        <f>VLOOKUP(AQ35,市町村データ!A2:AX75,MATCH(手順書_人口密度!$F$57, 市町村データ!A1:AX1, 0),FALSE)</f>
        <v>22.78</v>
      </c>
      <c r="AR38" s="154"/>
      <c r="AS38" s="154"/>
      <c r="AT38" s="155"/>
      <c r="AU38" s="229">
        <f>VLOOKUP(AU35,市町村データ!A2:AX75,MATCH(手順書_人口密度!$F$57, 市町村データ!A1:AX1, 0),FALSE)</f>
        <v>18.34</v>
      </c>
      <c r="AV38" s="154"/>
      <c r="AW38" s="154"/>
      <c r="AX38" s="155"/>
      <c r="AY38" s="229">
        <f>VLOOKUP(AY35,市町村データ!A2:AX75,MATCH(手順書_人口密度!$F$57, 市町村データ!A1:AX1, 0),FALSE)</f>
        <v>11.04</v>
      </c>
      <c r="AZ38" s="154"/>
      <c r="BA38" s="154"/>
      <c r="BB38" s="155"/>
      <c r="BC38" s="229">
        <f>VLOOKUP(BC35,市町村データ!A2:AX75,MATCH(手順書_人口密度!$F$57, 市町村データ!A1:AX1, 0),FALSE)</f>
        <v>18.190000000000001</v>
      </c>
      <c r="BD38" s="154"/>
      <c r="BE38" s="154"/>
      <c r="BF38" s="155"/>
      <c r="BG38" s="230">
        <f>VLOOKUP(BG35,市町村データ!A2:AX75,MATCH(手順書_人口密度!$F$57, 市町村データ!A1:AX1, 0),FALSE)</f>
        <v>5.1100000000000003</v>
      </c>
      <c r="BH38" s="154"/>
      <c r="BI38" s="154"/>
      <c r="BJ38" s="155"/>
      <c r="BK38" s="231">
        <f>VLOOKUP(BK35,市町村データ!A2:AX75,MATCH(手順書_人口密度!$F$57, 市町村データ!A1:AX1, 0),FALSE)</f>
        <v>61.95</v>
      </c>
      <c r="BL38" s="154"/>
      <c r="BM38" s="154"/>
      <c r="BN38" s="155"/>
      <c r="BO38" s="231">
        <f>VLOOKUP(BO35,市町村データ!A2:AX75,MATCH(手順書_人口密度!$F$57, 市町村データ!A1:AX1, 0),FALSE)</f>
        <v>27.46</v>
      </c>
      <c r="BP38" s="154"/>
      <c r="BQ38" s="154"/>
      <c r="BR38" s="155"/>
      <c r="BS38" s="232">
        <f>VLOOKUP(BS35,市町村データ!A2:AX75,MATCH(手順書_人口密度!$F$57, 市町村データ!A1:AX1, 0),FALSE)</f>
        <v>18.02</v>
      </c>
      <c r="BT38" s="154"/>
      <c r="BU38" s="154"/>
      <c r="BV38" s="155"/>
      <c r="BW38" s="90"/>
      <c r="BX38" s="86"/>
      <c r="BY38" s="86"/>
      <c r="BZ38" s="86"/>
      <c r="CA38" s="86"/>
      <c r="CB38" s="86"/>
      <c r="CC38" s="86"/>
      <c r="CD38" s="85"/>
    </row>
    <row r="39" spans="1:82" ht="21.15" customHeight="1" x14ac:dyDescent="0.55000000000000004">
      <c r="A39" s="85"/>
      <c r="B39" s="86" t="s">
        <v>360</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6"/>
      <c r="BX39" s="86"/>
      <c r="BY39" s="86"/>
      <c r="BZ39" s="86"/>
      <c r="CA39" s="86"/>
      <c r="CB39" s="86"/>
      <c r="CC39" s="86"/>
      <c r="CD39" s="85"/>
    </row>
    <row r="40" spans="1:82"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row>
  </sheetData>
  <mergeCells count="280">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X11:BZ11"/>
    <mergeCell ref="CA11:CB11"/>
    <mergeCell ref="BX12:BZ12"/>
    <mergeCell ref="CA12:CB12"/>
    <mergeCell ref="BX13:BZ13"/>
    <mergeCell ref="CA13:CB13"/>
    <mergeCell ref="BX8:BZ8"/>
    <mergeCell ref="CA8:CB8"/>
    <mergeCell ref="BX9:BZ9"/>
    <mergeCell ref="CA9:CB9"/>
    <mergeCell ref="BX10:BZ10"/>
    <mergeCell ref="CA10:CB10"/>
    <mergeCell ref="BX17:BZ17"/>
    <mergeCell ref="CA17:CB17"/>
    <mergeCell ref="BX18:BZ18"/>
    <mergeCell ref="CA18:CB18"/>
    <mergeCell ref="BX14:BZ14"/>
    <mergeCell ref="CA14:CB14"/>
    <mergeCell ref="BX15:BZ15"/>
    <mergeCell ref="CA15:CB15"/>
    <mergeCell ref="BX16:BZ16"/>
    <mergeCell ref="CA16:CB16"/>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53"/>
  <sheetViews>
    <sheetView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F1" s="57" t="s">
        <v>555</v>
      </c>
      <c r="G1" s="57"/>
      <c r="I1" s="57"/>
      <c r="M1" s="57"/>
      <c r="Q1" s="57" t="s">
        <v>556</v>
      </c>
      <c r="V1" s="57"/>
      <c r="AF1" s="57" t="s">
        <v>554</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340</v>
      </c>
    </row>
    <row r="13" spans="1:33" ht="21" customHeight="1" x14ac:dyDescent="0.55000000000000004">
      <c r="F13" s="32" t="s">
        <v>180</v>
      </c>
      <c r="G13" s="23" t="s">
        <v>339</v>
      </c>
    </row>
    <row r="14" spans="1:33" ht="21" customHeight="1" x14ac:dyDescent="0.55000000000000004">
      <c r="F14" s="32"/>
    </row>
    <row r="15" spans="1:33" ht="21" customHeight="1" thickBot="1" x14ac:dyDescent="0.45">
      <c r="F15" s="45" t="s">
        <v>194</v>
      </c>
      <c r="Q15" s="45" t="s">
        <v>195</v>
      </c>
    </row>
    <row r="16" spans="1:33" ht="21" customHeight="1" thickTop="1" thickBot="1" x14ac:dyDescent="0.6">
      <c r="A16" s="57" t="s">
        <v>346</v>
      </c>
      <c r="F16" s="105" t="s">
        <v>238</v>
      </c>
      <c r="G16" s="106"/>
      <c r="H16" s="106"/>
      <c r="I16" s="106"/>
      <c r="J16" s="106"/>
      <c r="K16" s="106"/>
      <c r="L16" s="106"/>
      <c r="M16" s="106"/>
      <c r="N16" s="106"/>
      <c r="O16" s="107"/>
      <c r="Q16" s="105" t="s">
        <v>329</v>
      </c>
      <c r="R16" s="106"/>
      <c r="S16" s="106"/>
      <c r="T16" s="107"/>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341</v>
      </c>
    </row>
    <row r="27" spans="1:33" ht="21" customHeight="1" x14ac:dyDescent="0.55000000000000004">
      <c r="F27" s="32"/>
      <c r="G27" s="32" t="s">
        <v>180</v>
      </c>
      <c r="H27" s="23" t="s">
        <v>342</v>
      </c>
    </row>
    <row r="28" spans="1:33" ht="21" customHeight="1" x14ac:dyDescent="0.55000000000000004">
      <c r="F28" s="32"/>
    </row>
    <row r="29" spans="1:33" ht="21" customHeight="1" x14ac:dyDescent="0.55000000000000004">
      <c r="F29" s="32"/>
      <c r="G29" s="23" t="s">
        <v>239</v>
      </c>
    </row>
    <row r="30" spans="1:33" ht="21" customHeight="1" thickBot="1" x14ac:dyDescent="0.45">
      <c r="F30" s="45" t="s">
        <v>194</v>
      </c>
      <c r="Q30" s="45" t="s">
        <v>196</v>
      </c>
    </row>
    <row r="31" spans="1:33" ht="21" customHeight="1" thickTop="1" thickBot="1" x14ac:dyDescent="0.6">
      <c r="A31" s="57" t="s">
        <v>358</v>
      </c>
      <c r="F31" s="105" t="s">
        <v>187</v>
      </c>
      <c r="G31" s="106"/>
      <c r="H31" s="106"/>
      <c r="I31" s="106"/>
      <c r="J31" s="106"/>
      <c r="K31" s="106"/>
      <c r="L31" s="106"/>
      <c r="M31" s="106"/>
      <c r="N31" s="106"/>
      <c r="O31" s="107"/>
      <c r="Q31" s="105" t="s">
        <v>327</v>
      </c>
      <c r="R31" s="107"/>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188</v>
      </c>
    </row>
    <row r="47" spans="4:33" ht="21" customHeight="1" x14ac:dyDescent="0.55000000000000004">
      <c r="P47" s="49" t="s">
        <v>247</v>
      </c>
      <c r="Q47" s="49"/>
      <c r="R47" s="49"/>
      <c r="S47" s="49"/>
      <c r="T47" s="23" t="s">
        <v>344</v>
      </c>
    </row>
    <row r="48" spans="4:33" ht="21" customHeight="1" x14ac:dyDescent="0.55000000000000004">
      <c r="F48" s="32"/>
      <c r="P48" s="32" t="s">
        <v>180</v>
      </c>
      <c r="Q48" s="23" t="s">
        <v>343</v>
      </c>
    </row>
    <row r="49" spans="1:20" ht="21" customHeight="1" x14ac:dyDescent="0.55000000000000004">
      <c r="F49" s="32"/>
    </row>
    <row r="50" spans="1:20" ht="21" customHeight="1" thickBot="1" x14ac:dyDescent="0.45">
      <c r="F50" s="32"/>
      <c r="Q50" s="45" t="s">
        <v>197</v>
      </c>
    </row>
    <row r="51" spans="1:20" ht="21" customHeight="1" thickTop="1" thickBot="1" x14ac:dyDescent="0.6">
      <c r="A51" s="57" t="s">
        <v>615</v>
      </c>
      <c r="F51" s="32"/>
      <c r="Q51" s="105" t="s">
        <v>332</v>
      </c>
      <c r="R51" s="107"/>
    </row>
    <row r="52" spans="1:20" ht="21" customHeight="1" thickTop="1" x14ac:dyDescent="0.55000000000000004">
      <c r="E52" s="23" t="s">
        <v>618</v>
      </c>
    </row>
    <row r="53" spans="1:20" ht="21" customHeight="1" thickBot="1" x14ac:dyDescent="0.6">
      <c r="E53" s="42"/>
      <c r="F53" s="59" t="s">
        <v>163</v>
      </c>
      <c r="G53" s="60" t="s">
        <v>164</v>
      </c>
      <c r="H53" s="60" t="s">
        <v>165</v>
      </c>
      <c r="I53" s="60" t="s">
        <v>166</v>
      </c>
      <c r="J53" s="42"/>
    </row>
    <row r="54" spans="1:20" ht="21" customHeight="1" x14ac:dyDescent="0.55000000000000004">
      <c r="A54" s="57" t="s">
        <v>357</v>
      </c>
      <c r="E54" s="58">
        <v>1</v>
      </c>
      <c r="F54" s="20"/>
      <c r="G54" s="117" t="s">
        <v>172</v>
      </c>
      <c r="H54" s="117"/>
      <c r="I54" s="118"/>
      <c r="J54" s="42"/>
    </row>
    <row r="55" spans="1:20" ht="21" customHeight="1" x14ac:dyDescent="0.55000000000000004">
      <c r="E55" s="58">
        <v>2</v>
      </c>
      <c r="F55" s="129" t="s">
        <v>174</v>
      </c>
      <c r="G55" s="130"/>
      <c r="H55" s="130"/>
      <c r="I55" s="131"/>
      <c r="J55" s="42"/>
    </row>
    <row r="56" spans="1:20" ht="21" customHeight="1" x14ac:dyDescent="0.55000000000000004">
      <c r="E56" s="58">
        <v>3</v>
      </c>
      <c r="F56" s="166" t="s">
        <v>175</v>
      </c>
      <c r="G56" s="167"/>
      <c r="H56" s="167"/>
      <c r="I56" s="168"/>
      <c r="J56" s="42"/>
    </row>
    <row r="57" spans="1:20" ht="21" customHeight="1" thickBot="1" x14ac:dyDescent="0.6">
      <c r="A57" s="57"/>
      <c r="E57" s="58">
        <v>4</v>
      </c>
      <c r="F57" s="135" t="s">
        <v>176</v>
      </c>
      <c r="G57" s="136"/>
      <c r="H57" s="136"/>
      <c r="I57" s="137"/>
      <c r="J57" s="42"/>
    </row>
    <row r="58" spans="1:20" ht="21" customHeight="1" x14ac:dyDescent="0.55000000000000004">
      <c r="E58" s="42"/>
      <c r="F58" s="42"/>
      <c r="G58" s="42"/>
      <c r="H58" s="42"/>
      <c r="I58" s="42"/>
      <c r="J58" s="42"/>
    </row>
    <row r="59" spans="1:20" ht="21" customHeight="1" thickBot="1" x14ac:dyDescent="0.45">
      <c r="Q59" s="45" t="s">
        <v>612</v>
      </c>
    </row>
    <row r="60" spans="1:20" ht="21" customHeight="1" thickTop="1" thickBot="1" x14ac:dyDescent="0.6">
      <c r="A60" s="57" t="s">
        <v>617</v>
      </c>
      <c r="Q60" s="105" t="s">
        <v>616</v>
      </c>
      <c r="R60" s="106"/>
      <c r="S60" s="106"/>
      <c r="T60" s="107"/>
    </row>
    <row r="61" spans="1:20" ht="21" customHeight="1" thickTop="1" x14ac:dyDescent="0.55000000000000004">
      <c r="Q61" s="81" t="s">
        <v>608</v>
      </c>
    </row>
    <row r="63" spans="1:20" ht="21" customHeight="1" x14ac:dyDescent="0.55000000000000004">
      <c r="G63" s="23" t="s">
        <v>189</v>
      </c>
    </row>
    <row r="66" spans="4:33" ht="21" customHeight="1" x14ac:dyDescent="0.55000000000000004">
      <c r="D66" s="31" t="s">
        <v>186</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row>
    <row r="86" spans="1:18" ht="21" customHeight="1" x14ac:dyDescent="0.55000000000000004">
      <c r="H86" s="23" t="s">
        <v>345</v>
      </c>
    </row>
    <row r="88" spans="1:18" ht="21" customHeight="1" thickBot="1" x14ac:dyDescent="0.45">
      <c r="Q88" s="45" t="s">
        <v>359</v>
      </c>
    </row>
    <row r="89" spans="1:18" ht="21" customHeight="1" thickTop="1" thickBot="1" x14ac:dyDescent="0.6">
      <c r="A89" s="57" t="s">
        <v>606</v>
      </c>
      <c r="Q89" s="105" t="s">
        <v>333</v>
      </c>
      <c r="R89" s="107"/>
    </row>
    <row r="90" spans="1:18" ht="21" customHeight="1" thickTop="1" x14ac:dyDescent="0.55000000000000004"/>
    <row r="91" spans="1:18" ht="21" customHeight="1" x14ac:dyDescent="0.55000000000000004">
      <c r="G91" s="32" t="s">
        <v>180</v>
      </c>
      <c r="H91" s="23" t="s">
        <v>605</v>
      </c>
    </row>
    <row r="93" spans="1:18" ht="21" customHeight="1" thickBot="1" x14ac:dyDescent="0.6">
      <c r="E93" s="58"/>
      <c r="F93" s="59" t="s">
        <v>163</v>
      </c>
      <c r="G93" s="60" t="s">
        <v>164</v>
      </c>
      <c r="H93" s="60" t="s">
        <v>165</v>
      </c>
      <c r="I93" s="60" t="s">
        <v>166</v>
      </c>
      <c r="J93" s="60" t="s">
        <v>167</v>
      </c>
      <c r="K93" s="60" t="s">
        <v>168</v>
      </c>
      <c r="L93" s="60" t="s">
        <v>169</v>
      </c>
      <c r="M93" s="60" t="s">
        <v>170</v>
      </c>
      <c r="N93" s="61"/>
    </row>
    <row r="94" spans="1:18" ht="21" customHeight="1" x14ac:dyDescent="0.55000000000000004">
      <c r="A94" s="57" t="s">
        <v>356</v>
      </c>
      <c r="E94" s="58">
        <v>1</v>
      </c>
      <c r="F94" s="23" t="s">
        <v>191</v>
      </c>
      <c r="G94" s="169" t="s">
        <v>178</v>
      </c>
      <c r="H94" s="170"/>
      <c r="I94" s="170"/>
      <c r="J94" s="171" t="s">
        <v>177</v>
      </c>
      <c r="K94" s="172"/>
      <c r="L94" s="134" t="s">
        <v>179</v>
      </c>
      <c r="M94" s="134"/>
      <c r="N94" s="43"/>
    </row>
    <row r="95" spans="1:18" ht="21" customHeight="1" x14ac:dyDescent="0.55000000000000004">
      <c r="E95" s="58">
        <v>2</v>
      </c>
      <c r="F95" s="23">
        <v>1</v>
      </c>
      <c r="G95" s="173">
        <v>1000000</v>
      </c>
      <c r="H95" s="123"/>
      <c r="I95" s="123"/>
      <c r="J95" s="174"/>
      <c r="K95" s="175"/>
      <c r="L95" s="176"/>
      <c r="M95" s="176"/>
      <c r="N95" s="43"/>
    </row>
    <row r="96" spans="1:18" ht="21" customHeight="1" x14ac:dyDescent="0.55000000000000004">
      <c r="E96" s="58">
        <v>3</v>
      </c>
      <c r="F96" s="23">
        <v>2</v>
      </c>
      <c r="G96" s="173">
        <v>500000</v>
      </c>
      <c r="H96" s="123"/>
      <c r="I96" s="123"/>
      <c r="J96" s="177"/>
      <c r="K96" s="178"/>
      <c r="L96" s="176"/>
      <c r="M96" s="176"/>
      <c r="N96" s="43"/>
    </row>
    <row r="97" spans="5:14" ht="21" customHeight="1" x14ac:dyDescent="0.55000000000000004">
      <c r="E97" s="58">
        <v>4</v>
      </c>
      <c r="F97" s="23">
        <v>3</v>
      </c>
      <c r="G97" s="173">
        <v>250000</v>
      </c>
      <c r="H97" s="123"/>
      <c r="I97" s="123"/>
      <c r="J97" s="179"/>
      <c r="K97" s="180"/>
      <c r="L97" s="176"/>
      <c r="M97" s="176"/>
      <c r="N97" s="43"/>
    </row>
    <row r="98" spans="5:14" ht="21" customHeight="1" x14ac:dyDescent="0.55000000000000004">
      <c r="E98" s="58">
        <v>5</v>
      </c>
      <c r="F98" s="23">
        <v>4</v>
      </c>
      <c r="G98" s="173">
        <v>125000</v>
      </c>
      <c r="H98" s="123"/>
      <c r="I98" s="123"/>
      <c r="J98" s="183"/>
      <c r="K98" s="184"/>
      <c r="L98" s="185"/>
      <c r="M98" s="185"/>
      <c r="N98" s="43"/>
    </row>
    <row r="99" spans="5:14" ht="21" customHeight="1" x14ac:dyDescent="0.55000000000000004">
      <c r="E99" s="58">
        <v>6</v>
      </c>
      <c r="F99" s="23">
        <v>5</v>
      </c>
      <c r="G99" s="173">
        <v>62500</v>
      </c>
      <c r="H99" s="123"/>
      <c r="I99" s="123"/>
      <c r="J99" s="186"/>
      <c r="K99" s="187"/>
      <c r="L99" s="185"/>
      <c r="M99" s="185"/>
      <c r="N99" s="43"/>
    </row>
    <row r="100" spans="5:14" ht="21" customHeight="1" x14ac:dyDescent="0.55000000000000004">
      <c r="E100" s="58">
        <v>7</v>
      </c>
      <c r="F100" s="23">
        <v>6</v>
      </c>
      <c r="G100" s="173">
        <v>31250</v>
      </c>
      <c r="H100" s="123"/>
      <c r="I100" s="123"/>
      <c r="J100" s="188"/>
      <c r="K100" s="189"/>
      <c r="L100" s="185"/>
      <c r="M100" s="185"/>
      <c r="N100" s="43"/>
    </row>
    <row r="101" spans="5:14" ht="21" customHeight="1" x14ac:dyDescent="0.55000000000000004">
      <c r="E101" s="58">
        <v>8</v>
      </c>
      <c r="F101" s="23">
        <v>7</v>
      </c>
      <c r="G101" s="173">
        <v>15625</v>
      </c>
      <c r="H101" s="123"/>
      <c r="I101" s="123"/>
      <c r="J101" s="190"/>
      <c r="K101" s="191"/>
      <c r="L101" s="185"/>
      <c r="M101" s="185"/>
      <c r="N101" s="43"/>
    </row>
    <row r="102" spans="5:14" ht="21" customHeight="1" x14ac:dyDescent="0.55000000000000004">
      <c r="E102" s="58">
        <v>9</v>
      </c>
      <c r="F102" s="23">
        <v>8</v>
      </c>
      <c r="G102" s="173">
        <v>7812</v>
      </c>
      <c r="H102" s="123"/>
      <c r="I102" s="123"/>
      <c r="J102" s="192"/>
      <c r="K102" s="193"/>
      <c r="L102" s="185"/>
      <c r="M102" s="185"/>
      <c r="N102" s="43"/>
    </row>
    <row r="103" spans="5:14" ht="21" customHeight="1" x14ac:dyDescent="0.55000000000000004">
      <c r="E103" s="58">
        <v>10</v>
      </c>
      <c r="F103" s="23">
        <v>9</v>
      </c>
      <c r="G103" s="173">
        <v>3906</v>
      </c>
      <c r="H103" s="123"/>
      <c r="I103" s="123"/>
      <c r="J103" s="194"/>
      <c r="K103" s="195"/>
      <c r="L103" s="185"/>
      <c r="M103" s="185"/>
      <c r="N103" s="43"/>
    </row>
    <row r="104" spans="5:14" ht="21" customHeight="1" x14ac:dyDescent="0.55000000000000004">
      <c r="E104" s="58">
        <v>11</v>
      </c>
      <c r="F104" s="23">
        <v>10</v>
      </c>
      <c r="G104" s="173">
        <v>1953</v>
      </c>
      <c r="H104" s="123"/>
      <c r="I104" s="123"/>
      <c r="J104" s="196"/>
      <c r="K104" s="197"/>
      <c r="L104" s="185"/>
      <c r="M104" s="185"/>
      <c r="N104" s="43"/>
    </row>
    <row r="105" spans="5:14" ht="21" customHeight="1" thickBot="1" x14ac:dyDescent="0.6">
      <c r="E105" s="58">
        <v>12</v>
      </c>
      <c r="F105" s="23">
        <v>11</v>
      </c>
      <c r="G105" s="198">
        <v>0</v>
      </c>
      <c r="H105" s="199"/>
      <c r="I105" s="199"/>
      <c r="J105" s="200"/>
      <c r="K105" s="201"/>
      <c r="L105" s="185"/>
      <c r="M105" s="185"/>
      <c r="N105" s="43"/>
    </row>
    <row r="106" spans="5:14" ht="21" customHeight="1" x14ac:dyDescent="0.55000000000000004">
      <c r="E106" s="58">
        <v>13</v>
      </c>
      <c r="F106" s="23">
        <v>12</v>
      </c>
      <c r="G106" s="123"/>
      <c r="H106" s="123"/>
      <c r="I106" s="123"/>
      <c r="J106" s="124"/>
      <c r="K106" s="124"/>
      <c r="L106" s="125"/>
      <c r="M106" s="125"/>
      <c r="N106" s="43"/>
    </row>
    <row r="107" spans="5:14" ht="21" customHeight="1" x14ac:dyDescent="0.55000000000000004">
      <c r="E107" s="58">
        <v>14</v>
      </c>
      <c r="F107" s="23">
        <v>13</v>
      </c>
      <c r="G107" s="123"/>
      <c r="H107" s="123"/>
      <c r="I107" s="123"/>
      <c r="J107" s="124"/>
      <c r="K107" s="124"/>
      <c r="L107" s="125"/>
      <c r="M107" s="125"/>
      <c r="N107" s="43"/>
    </row>
    <row r="108" spans="5:14" ht="21" customHeight="1" x14ac:dyDescent="0.55000000000000004">
      <c r="E108" s="58">
        <v>15</v>
      </c>
      <c r="F108" s="23">
        <v>14</v>
      </c>
      <c r="G108" s="123"/>
      <c r="H108" s="123"/>
      <c r="I108" s="123"/>
      <c r="J108" s="124"/>
      <c r="K108" s="124"/>
      <c r="L108" s="125"/>
      <c r="M108" s="125"/>
      <c r="N108" s="43"/>
    </row>
    <row r="109" spans="5:14" ht="21" customHeight="1" x14ac:dyDescent="0.55000000000000004">
      <c r="E109" s="58">
        <v>16</v>
      </c>
      <c r="F109" s="23">
        <v>15</v>
      </c>
      <c r="G109" s="123"/>
      <c r="H109" s="123"/>
      <c r="I109" s="123"/>
      <c r="J109" s="124"/>
      <c r="K109" s="124"/>
      <c r="L109" s="125"/>
      <c r="M109" s="125"/>
      <c r="N109" s="43"/>
    </row>
    <row r="110" spans="5:14" ht="21" customHeight="1" x14ac:dyDescent="0.55000000000000004">
      <c r="E110" s="58">
        <v>17</v>
      </c>
      <c r="F110" s="23">
        <v>16</v>
      </c>
      <c r="G110" s="123"/>
      <c r="H110" s="123"/>
      <c r="I110" s="123"/>
      <c r="J110" s="124"/>
      <c r="K110" s="124"/>
      <c r="L110" s="125"/>
      <c r="M110" s="125"/>
      <c r="N110" s="43"/>
    </row>
    <row r="111" spans="5:14" ht="21" customHeight="1" x14ac:dyDescent="0.55000000000000004">
      <c r="E111" s="58">
        <v>18</v>
      </c>
      <c r="F111" s="23">
        <v>17</v>
      </c>
      <c r="G111" s="123"/>
      <c r="H111" s="123"/>
      <c r="I111" s="123"/>
      <c r="J111" s="124"/>
      <c r="K111" s="124"/>
      <c r="L111" s="125"/>
      <c r="M111" s="125"/>
      <c r="N111" s="43"/>
    </row>
    <row r="112" spans="5:14" ht="21" customHeight="1" x14ac:dyDescent="0.55000000000000004">
      <c r="E112" s="58">
        <v>19</v>
      </c>
      <c r="F112" s="23">
        <v>18</v>
      </c>
      <c r="G112" s="123"/>
      <c r="H112" s="123"/>
      <c r="I112" s="123"/>
      <c r="J112" s="124"/>
      <c r="K112" s="124"/>
      <c r="L112" s="125"/>
      <c r="M112" s="125"/>
      <c r="N112" s="43"/>
    </row>
    <row r="113" spans="1:33" ht="21" customHeight="1" x14ac:dyDescent="0.55000000000000004">
      <c r="E113" s="58">
        <v>20</v>
      </c>
      <c r="F113" s="23">
        <v>19</v>
      </c>
      <c r="G113" s="123"/>
      <c r="H113" s="123"/>
      <c r="I113" s="123"/>
      <c r="J113" s="124"/>
      <c r="K113" s="124"/>
      <c r="L113" s="125"/>
      <c r="M113" s="125"/>
      <c r="N113" s="43"/>
    </row>
    <row r="114" spans="1:33" ht="21" customHeight="1" x14ac:dyDescent="0.55000000000000004">
      <c r="A114" s="57"/>
      <c r="E114" s="58">
        <v>21</v>
      </c>
      <c r="F114" s="23">
        <v>20</v>
      </c>
      <c r="G114" s="123"/>
      <c r="H114" s="123"/>
      <c r="I114" s="123"/>
      <c r="J114" s="124"/>
      <c r="K114" s="124"/>
      <c r="L114" s="125"/>
      <c r="M114" s="125"/>
      <c r="N114" s="43"/>
    </row>
    <row r="115" spans="1:33" ht="21" customHeight="1" x14ac:dyDescent="0.55000000000000004">
      <c r="E115" s="58"/>
      <c r="F115" s="43"/>
      <c r="G115" s="43"/>
      <c r="H115" s="43"/>
      <c r="I115" s="43"/>
      <c r="J115" s="43"/>
      <c r="K115" s="43"/>
      <c r="L115" s="43"/>
      <c r="M115" s="43"/>
      <c r="N115" s="43"/>
    </row>
    <row r="117" spans="1:33" ht="21" customHeight="1" thickBot="1" x14ac:dyDescent="0.45">
      <c r="Q117" s="45" t="s">
        <v>612</v>
      </c>
    </row>
    <row r="118" spans="1:33" ht="21" customHeight="1" thickTop="1" thickBot="1" x14ac:dyDescent="0.6">
      <c r="A118" s="57" t="s">
        <v>611</v>
      </c>
      <c r="Q118" s="105" t="s">
        <v>613</v>
      </c>
      <c r="R118" s="106"/>
      <c r="S118" s="106"/>
      <c r="T118" s="107"/>
    </row>
    <row r="119" spans="1:33" ht="21" customHeight="1" thickTop="1" x14ac:dyDescent="0.55000000000000004">
      <c r="Q119" s="81" t="s">
        <v>608</v>
      </c>
    </row>
    <row r="120" spans="1:33" ht="21" customHeight="1" thickBot="1" x14ac:dyDescent="0.45">
      <c r="F120" s="45" t="s">
        <v>198</v>
      </c>
    </row>
    <row r="121" spans="1:33" ht="21" customHeight="1" thickTop="1" thickBot="1" x14ac:dyDescent="0.6">
      <c r="A121" s="57" t="s">
        <v>609</v>
      </c>
      <c r="F121" s="105" t="s">
        <v>557</v>
      </c>
      <c r="G121" s="106"/>
      <c r="H121" s="106"/>
      <c r="I121" s="107"/>
    </row>
    <row r="122" spans="1:33" ht="21" customHeight="1" thickTop="1" x14ac:dyDescent="0.55000000000000004">
      <c r="F122" s="81" t="s">
        <v>608</v>
      </c>
    </row>
    <row r="125" spans="1:33" ht="21" customHeight="1" x14ac:dyDescent="0.55000000000000004">
      <c r="D125" s="31" t="s">
        <v>186</v>
      </c>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row>
    <row r="127" spans="1:33" ht="21" customHeight="1" thickBot="1" x14ac:dyDescent="0.6">
      <c r="F127" s="32" t="s">
        <v>180</v>
      </c>
      <c r="G127" s="23" t="s">
        <v>181</v>
      </c>
    </row>
    <row r="128" spans="1:33" ht="21" customHeight="1" x14ac:dyDescent="0.55000000000000004">
      <c r="F128" s="33"/>
      <c r="G128" s="34"/>
      <c r="H128" s="34"/>
      <c r="I128" s="34"/>
      <c r="J128" s="34"/>
      <c r="K128" s="34"/>
      <c r="L128" s="34"/>
      <c r="M128" s="34"/>
      <c r="N128" s="35"/>
    </row>
    <row r="129" spans="6:14" ht="21" customHeight="1" x14ac:dyDescent="0.55000000000000004">
      <c r="F129" s="36"/>
      <c r="N129" s="37"/>
    </row>
    <row r="130" spans="6:14" ht="21" customHeight="1" x14ac:dyDescent="0.55000000000000004">
      <c r="F130" s="36"/>
      <c r="N130" s="37"/>
    </row>
    <row r="131" spans="6:14" ht="21" customHeight="1" thickBot="1" x14ac:dyDescent="0.6">
      <c r="F131" s="38"/>
      <c r="G131" s="39"/>
      <c r="H131" s="39"/>
      <c r="I131" s="39"/>
      <c r="J131" s="39"/>
      <c r="K131" s="39"/>
      <c r="L131" s="39"/>
      <c r="M131" s="39"/>
      <c r="N131" s="40"/>
    </row>
    <row r="150" spans="1:8" ht="21" customHeight="1" x14ac:dyDescent="0.55000000000000004">
      <c r="H150" s="23" t="s">
        <v>241</v>
      </c>
    </row>
    <row r="152" spans="1:8" ht="21" customHeight="1" x14ac:dyDescent="0.55000000000000004">
      <c r="B152" s="23" t="s">
        <v>178</v>
      </c>
    </row>
    <row r="153" spans="1:8" ht="21" customHeight="1" x14ac:dyDescent="0.55000000000000004">
      <c r="A153" s="57" t="s">
        <v>328</v>
      </c>
    </row>
  </sheetData>
  <mergeCells count="76">
    <mergeCell ref="Q118:T118"/>
    <mergeCell ref="Q51:R51"/>
    <mergeCell ref="Q60:T60"/>
    <mergeCell ref="G114:I114"/>
    <mergeCell ref="J114:K114"/>
    <mergeCell ref="G94:I94"/>
    <mergeCell ref="G96:I96"/>
    <mergeCell ref="G97:I97"/>
    <mergeCell ref="G98:I98"/>
    <mergeCell ref="G99:I99"/>
    <mergeCell ref="G100:I100"/>
    <mergeCell ref="G101:I101"/>
    <mergeCell ref="G102:I102"/>
    <mergeCell ref="G103:I103"/>
    <mergeCell ref="G104:I104"/>
    <mergeCell ref="G105:I105"/>
    <mergeCell ref="L101:M101"/>
    <mergeCell ref="L102:M102"/>
    <mergeCell ref="L103:M103"/>
    <mergeCell ref="G111:I111"/>
    <mergeCell ref="G112:I112"/>
    <mergeCell ref="G108:I108"/>
    <mergeCell ref="G109:I109"/>
    <mergeCell ref="L109:M109"/>
    <mergeCell ref="G106:I106"/>
    <mergeCell ref="G107:I107"/>
    <mergeCell ref="G110:I110"/>
    <mergeCell ref="L104:M104"/>
    <mergeCell ref="L105:M105"/>
    <mergeCell ref="L106:M106"/>
    <mergeCell ref="G113:I113"/>
    <mergeCell ref="L114:M114"/>
    <mergeCell ref="J96:K96"/>
    <mergeCell ref="J97:K97"/>
    <mergeCell ref="J98:K98"/>
    <mergeCell ref="J101:K101"/>
    <mergeCell ref="J104:K104"/>
    <mergeCell ref="J100:K100"/>
    <mergeCell ref="J99:K99"/>
    <mergeCell ref="L97:M97"/>
    <mergeCell ref="L96:M96"/>
    <mergeCell ref="L110:M110"/>
    <mergeCell ref="L111:M111"/>
    <mergeCell ref="L112:M112"/>
    <mergeCell ref="L107:M107"/>
    <mergeCell ref="L108:M108"/>
    <mergeCell ref="F121:I121"/>
    <mergeCell ref="L98:M98"/>
    <mergeCell ref="L99:M99"/>
    <mergeCell ref="J110:K110"/>
    <mergeCell ref="J113:K113"/>
    <mergeCell ref="J103:K103"/>
    <mergeCell ref="J102:K102"/>
    <mergeCell ref="J112:K112"/>
    <mergeCell ref="J111:K111"/>
    <mergeCell ref="J106:K106"/>
    <mergeCell ref="J105:K105"/>
    <mergeCell ref="J109:K109"/>
    <mergeCell ref="J108:K108"/>
    <mergeCell ref="J107:K107"/>
    <mergeCell ref="L100:M100"/>
    <mergeCell ref="L113:M113"/>
    <mergeCell ref="Q31:R31"/>
    <mergeCell ref="G95:I95"/>
    <mergeCell ref="F16:O16"/>
    <mergeCell ref="G54:I54"/>
    <mergeCell ref="F55:I55"/>
    <mergeCell ref="F56:I56"/>
    <mergeCell ref="F57:I57"/>
    <mergeCell ref="F31:O31"/>
    <mergeCell ref="L95:M95"/>
    <mergeCell ref="L94:M94"/>
    <mergeCell ref="J94:K94"/>
    <mergeCell ref="J95:K95"/>
    <mergeCell ref="Q16:T16"/>
    <mergeCell ref="Q89:R8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F51D5-DB03-46CC-942C-53B8723DB5B5}">
  <sheetPr codeName="Sheet10"/>
  <dimension ref="A1:CD40"/>
  <sheetViews>
    <sheetView workbookViewId="0"/>
  </sheetViews>
  <sheetFormatPr defaultColWidth="3.5" defaultRowHeight="21.15" customHeight="1" x14ac:dyDescent="0.55000000000000004"/>
  <sheetData>
    <row r="1" spans="1:82"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row>
    <row r="2" spans="1:82" ht="21.15" customHeight="1" thickBot="1" x14ac:dyDescent="0.6">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5"/>
    </row>
    <row r="3" spans="1:82" ht="21.15" customHeight="1" x14ac:dyDescent="0.55000000000000004">
      <c r="A3" s="85"/>
      <c r="B3" s="86"/>
      <c r="C3" s="99"/>
      <c r="D3" s="138" t="s">
        <v>225</v>
      </c>
      <c r="E3" s="139"/>
      <c r="F3" s="140"/>
      <c r="G3" s="87" t="s">
        <v>217</v>
      </c>
      <c r="H3" s="86"/>
      <c r="I3" s="86"/>
      <c r="J3" s="86"/>
      <c r="K3" s="87" t="s">
        <v>216</v>
      </c>
      <c r="L3" s="86"/>
      <c r="M3" s="86"/>
      <c r="N3" s="86"/>
      <c r="O3" s="87" t="s">
        <v>215</v>
      </c>
      <c r="P3" s="86"/>
      <c r="Q3" s="86"/>
      <c r="R3" s="86"/>
      <c r="S3" s="87" t="s">
        <v>214</v>
      </c>
      <c r="T3" s="86"/>
      <c r="U3" s="86"/>
      <c r="V3" s="86"/>
      <c r="W3" s="87" t="s">
        <v>213</v>
      </c>
      <c r="X3" s="86"/>
      <c r="Y3" s="86"/>
      <c r="Z3" s="86"/>
      <c r="AA3" s="87" t="s">
        <v>212</v>
      </c>
      <c r="AB3" s="86"/>
      <c r="AC3" s="86"/>
      <c r="AD3" s="86"/>
      <c r="AE3" s="87" t="s">
        <v>211</v>
      </c>
      <c r="AF3" s="86"/>
      <c r="AG3" s="86"/>
      <c r="AH3" s="86"/>
      <c r="AI3" s="87" t="s">
        <v>210</v>
      </c>
      <c r="AJ3" s="86"/>
      <c r="AK3" s="86"/>
      <c r="AL3" s="86"/>
      <c r="AM3" s="87" t="s">
        <v>209</v>
      </c>
      <c r="AN3" s="86"/>
      <c r="AO3" s="86"/>
      <c r="AP3" s="86"/>
      <c r="AQ3" s="87" t="s">
        <v>208</v>
      </c>
      <c r="AR3" s="86"/>
      <c r="AS3" s="86"/>
      <c r="AT3" s="86"/>
      <c r="AU3" s="87" t="s">
        <v>207</v>
      </c>
      <c r="AV3" s="86"/>
      <c r="AW3" s="86"/>
      <c r="AX3" s="86"/>
      <c r="AY3" s="87" t="s">
        <v>206</v>
      </c>
      <c r="AZ3" s="86"/>
      <c r="BA3" s="86"/>
      <c r="BB3" s="86"/>
      <c r="BC3" s="87" t="s">
        <v>205</v>
      </c>
      <c r="BD3" s="86"/>
      <c r="BE3" s="86"/>
      <c r="BF3" s="86"/>
      <c r="BG3" s="87" t="s">
        <v>204</v>
      </c>
      <c r="BH3" s="86"/>
      <c r="BI3" s="86"/>
      <c r="BJ3" s="86"/>
      <c r="BK3" s="87" t="s">
        <v>203</v>
      </c>
      <c r="BL3" s="86"/>
      <c r="BM3" s="86"/>
      <c r="BN3" s="86"/>
      <c r="BO3" s="87" t="s">
        <v>202</v>
      </c>
      <c r="BP3" s="86"/>
      <c r="BQ3" s="86"/>
      <c r="BR3" s="86"/>
      <c r="BS3" s="87" t="s">
        <v>201</v>
      </c>
      <c r="BT3" s="86"/>
      <c r="BU3" s="86"/>
      <c r="BV3" s="86"/>
      <c r="BW3" s="86"/>
      <c r="BX3" s="86"/>
      <c r="BY3" s="86"/>
      <c r="BZ3" s="86"/>
      <c r="CA3" s="86"/>
      <c r="CB3" s="86"/>
      <c r="CC3" s="86"/>
      <c r="CD3" s="85"/>
    </row>
    <row r="4" spans="1:82" ht="21.15" customHeight="1" x14ac:dyDescent="0.55000000000000004">
      <c r="A4" s="85"/>
      <c r="B4" s="86"/>
      <c r="C4" s="144" t="s">
        <v>226</v>
      </c>
      <c r="D4" s="145"/>
      <c r="E4" s="145"/>
      <c r="F4" s="14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5"/>
    </row>
    <row r="5" spans="1:82" ht="21.15" customHeight="1" x14ac:dyDescent="0.55000000000000004">
      <c r="A5" s="85"/>
      <c r="B5" s="86"/>
      <c r="C5" s="222" t="s">
        <v>227</v>
      </c>
      <c r="D5" s="145"/>
      <c r="E5" s="145"/>
      <c r="F5" s="14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5"/>
    </row>
    <row r="6" spans="1:82" ht="21.15" customHeight="1" thickBot="1" x14ac:dyDescent="0.6">
      <c r="A6" s="85"/>
      <c r="B6" s="86"/>
      <c r="C6" s="147" t="s">
        <v>331</v>
      </c>
      <c r="D6" s="148"/>
      <c r="E6" s="148"/>
      <c r="F6" s="149"/>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5"/>
    </row>
    <row r="7" spans="1:82" ht="21.15" customHeight="1" x14ac:dyDescent="0.55000000000000004">
      <c r="A7" s="85"/>
      <c r="B7" s="86"/>
      <c r="C7" s="87" t="s">
        <v>200</v>
      </c>
      <c r="D7" s="86"/>
      <c r="E7" s="86"/>
      <c r="F7" s="86"/>
      <c r="G7" s="88">
        <v>1</v>
      </c>
      <c r="H7" s="138" t="str">
        <f>VLOOKUP(G7,市町村データ!A2:AX75,MATCH(手順書_人口!$G$54, 市町村データ!A1:AX1, 0),FALSE)</f>
        <v>上里町</v>
      </c>
      <c r="I7" s="159"/>
      <c r="J7" s="160"/>
      <c r="K7" s="88">
        <v>2</v>
      </c>
      <c r="L7" s="138" t="str">
        <f>VLOOKUP(K7,市町村データ!A2:AX75,MATCH(手順書_人口!$G$54, 市町村データ!A1:AX1, 0),FALSE)</f>
        <v>本庄市</v>
      </c>
      <c r="M7" s="159"/>
      <c r="N7" s="160"/>
      <c r="O7" s="88">
        <v>3</v>
      </c>
      <c r="P7" s="138" t="str">
        <f>VLOOKUP(O7,市町村データ!A2:AX75,MATCH(手順書_人口!$G$54, 市町村データ!A1:AX1, 0),FALSE)</f>
        <v>深谷市</v>
      </c>
      <c r="Q7" s="159"/>
      <c r="R7" s="159"/>
      <c r="S7" s="89"/>
      <c r="T7" s="89"/>
      <c r="U7" s="89"/>
      <c r="V7" s="89"/>
      <c r="W7" s="88">
        <v>4</v>
      </c>
      <c r="X7" s="138" t="str">
        <f>VLOOKUP(W7,市町村データ!A2:AX75,MATCH(手順書_人口!$G$54, 市町村データ!A1:AX1, 0),FALSE)</f>
        <v>熊谷市</v>
      </c>
      <c r="Y7" s="159"/>
      <c r="Z7" s="159"/>
      <c r="AA7" s="89"/>
      <c r="AB7" s="89"/>
      <c r="AC7" s="89"/>
      <c r="AD7" s="89"/>
      <c r="AE7" s="89"/>
      <c r="AF7" s="89"/>
      <c r="AG7" s="89"/>
      <c r="AH7" s="89"/>
      <c r="AI7" s="89"/>
      <c r="AJ7" s="89"/>
      <c r="AK7" s="89"/>
      <c r="AL7" s="89"/>
      <c r="AM7" s="89"/>
      <c r="AN7" s="89"/>
      <c r="AO7" s="89"/>
      <c r="AP7" s="89"/>
      <c r="AQ7" s="88">
        <v>5</v>
      </c>
      <c r="AR7" s="138" t="str">
        <f>VLOOKUP(AQ7,市町村データ!A2:AX75,MATCH(手順書_人口!$G$54, 市町村データ!A1:AX1, 0),FALSE)</f>
        <v>行田市</v>
      </c>
      <c r="AS7" s="159"/>
      <c r="AT7" s="160"/>
      <c r="AU7" s="88">
        <v>6</v>
      </c>
      <c r="AV7" s="138" t="str">
        <f>VLOOKUP(AU7,市町村データ!A2:AX75,MATCH(手順書_人口!$G$54, 市町村データ!A1:AX1, 0),FALSE)</f>
        <v>羽生市</v>
      </c>
      <c r="AW7" s="159"/>
      <c r="AX7" s="160"/>
      <c r="AY7" s="90"/>
      <c r="AZ7" s="86"/>
      <c r="BA7" s="86"/>
      <c r="BB7" s="86"/>
      <c r="BC7" s="86"/>
      <c r="BD7" s="86"/>
      <c r="BE7" s="86"/>
      <c r="BF7" s="86"/>
      <c r="BG7" s="86"/>
      <c r="BH7" s="86"/>
      <c r="BI7" s="86"/>
      <c r="BJ7" s="86"/>
      <c r="BK7" s="86"/>
      <c r="BL7" s="86"/>
      <c r="BM7" s="86"/>
      <c r="BN7" s="86"/>
      <c r="BO7" s="19"/>
      <c r="BP7" s="86"/>
      <c r="BQ7" s="86"/>
      <c r="BR7" s="86"/>
      <c r="BS7" s="86"/>
      <c r="BT7" s="86"/>
      <c r="BU7" s="86"/>
      <c r="BV7" s="86"/>
      <c r="BW7" s="86"/>
      <c r="BX7" s="223" t="s">
        <v>229</v>
      </c>
      <c r="BY7" s="224"/>
      <c r="BZ7" s="224"/>
      <c r="CA7" s="225" t="s">
        <v>228</v>
      </c>
      <c r="CB7" s="226"/>
      <c r="CC7" s="86"/>
      <c r="CD7" s="85"/>
    </row>
    <row r="8" spans="1:82" ht="21.15" customHeight="1" x14ac:dyDescent="0.55000000000000004">
      <c r="A8" s="85"/>
      <c r="B8" s="86"/>
      <c r="C8" s="86"/>
      <c r="D8" s="86"/>
      <c r="E8" s="86"/>
      <c r="F8" s="86"/>
      <c r="G8" s="235">
        <f>VLOOKUP(G7,市町村データ!A2:AX75,MATCH(手順書_人口!$F$55, 市町村データ!A1:AX1, 0),FALSE)</f>
        <v>1039.9000000000001</v>
      </c>
      <c r="H8" s="151"/>
      <c r="I8" s="151"/>
      <c r="J8" s="152"/>
      <c r="K8" s="265">
        <f>VLOOKUP(K7,市町村データ!A2:AX75,MATCH(手順書_人口!$F$55, 市町村データ!A1:AX1, 0),FALSE)</f>
        <v>876</v>
      </c>
      <c r="L8" s="151"/>
      <c r="M8" s="151"/>
      <c r="N8" s="152"/>
      <c r="O8" s="236">
        <f>VLOOKUP(O7,市町村データ!A2:AX75,MATCH(手順書_人口!$F$55, 市町村データ!A1:AX1, 0),FALSE)</f>
        <v>1020.9</v>
      </c>
      <c r="P8" s="151"/>
      <c r="Q8" s="151"/>
      <c r="R8" s="151"/>
      <c r="S8" s="86"/>
      <c r="T8" s="86"/>
      <c r="U8" s="86"/>
      <c r="V8" s="86"/>
      <c r="W8" s="236">
        <f>VLOOKUP(W7,市町村データ!A2:AX75,MATCH(手順書_人口!$F$55, 市町村データ!A1:AX1, 0),FALSE)</f>
        <v>1216.5</v>
      </c>
      <c r="X8" s="151"/>
      <c r="Y8" s="151"/>
      <c r="Z8" s="151"/>
      <c r="AA8" s="86"/>
      <c r="AB8" s="86"/>
      <c r="AC8" s="86"/>
      <c r="AD8" s="86"/>
      <c r="AE8" s="86"/>
      <c r="AF8" s="86"/>
      <c r="AG8" s="86"/>
      <c r="AH8" s="86"/>
      <c r="AI8" s="86"/>
      <c r="AJ8" s="86"/>
      <c r="AK8" s="86"/>
      <c r="AL8" s="86"/>
      <c r="AM8" s="86"/>
      <c r="AN8" s="86"/>
      <c r="AO8" s="86"/>
      <c r="AP8" s="86"/>
      <c r="AQ8" s="265">
        <f>VLOOKUP(AQ7,市町村データ!A2:AX75,MATCH(手順書_人口!$F$55, 市町村データ!A1:AX1, 0),FALSE)</f>
        <v>1164.9000000000001</v>
      </c>
      <c r="AR8" s="151"/>
      <c r="AS8" s="151"/>
      <c r="AT8" s="152"/>
      <c r="AU8" s="227">
        <f>VLOOKUP(AU7,市町村データ!A2:AX75,MATCH(手順書_人口!$F$55, 市町村データ!A1:AX1, 0),FALSE)</f>
        <v>901.5</v>
      </c>
      <c r="AV8" s="151"/>
      <c r="AW8" s="151"/>
      <c r="AX8" s="152"/>
      <c r="AY8" s="90"/>
      <c r="AZ8" s="86"/>
      <c r="BA8" s="86"/>
      <c r="BB8" s="86"/>
      <c r="BC8" s="86"/>
      <c r="BD8" s="86"/>
      <c r="BE8" s="86"/>
      <c r="BF8" s="86"/>
      <c r="BG8" s="86"/>
      <c r="BH8" s="86"/>
      <c r="BI8" s="86"/>
      <c r="BJ8" s="86"/>
      <c r="BK8" s="86"/>
      <c r="BL8" s="86"/>
      <c r="BM8" s="86"/>
      <c r="BN8" s="86"/>
      <c r="BO8" s="86"/>
      <c r="BP8" s="86"/>
      <c r="BQ8" s="86"/>
      <c r="BR8" s="86"/>
      <c r="BS8" s="86"/>
      <c r="BT8" s="86"/>
      <c r="BU8" s="86"/>
      <c r="BV8" s="86"/>
      <c r="BW8" s="91"/>
      <c r="BX8" s="202">
        <v>1000000</v>
      </c>
      <c r="BY8" s="145"/>
      <c r="BZ8" s="145"/>
      <c r="CA8" s="219"/>
      <c r="CB8" s="211"/>
      <c r="CC8" s="86"/>
      <c r="CD8" s="85"/>
    </row>
    <row r="9" spans="1:82" ht="21.15" customHeight="1" x14ac:dyDescent="0.55000000000000004">
      <c r="A9" s="85"/>
      <c r="B9" s="86"/>
      <c r="C9" s="86"/>
      <c r="D9" s="86"/>
      <c r="E9" s="86"/>
      <c r="F9" s="86"/>
      <c r="G9" s="239">
        <f>VLOOKUP(G7,市町村データ!A2:AX75,MATCH(手順書_人口!$F$56, 市町村データ!A1:AX1, 0),FALSE)</f>
        <v>30343</v>
      </c>
      <c r="H9" s="151"/>
      <c r="I9" s="151"/>
      <c r="J9" s="152"/>
      <c r="K9" s="263">
        <f>VLOOKUP(K7,市町村データ!A2:AX75,MATCH(手順書_人口!$F$56, 市町村データ!A1:AX1, 0),FALSE)</f>
        <v>78569</v>
      </c>
      <c r="L9" s="151"/>
      <c r="M9" s="151"/>
      <c r="N9" s="152"/>
      <c r="O9" s="240">
        <f>VLOOKUP(O7,市町村データ!A2:AX75,MATCH(手順書_人口!$F$56, 市町村データ!A1:AX1, 0),FALSE)</f>
        <v>141268</v>
      </c>
      <c r="P9" s="151"/>
      <c r="Q9" s="151"/>
      <c r="R9" s="151"/>
      <c r="S9" s="86"/>
      <c r="T9" s="86"/>
      <c r="U9" s="86"/>
      <c r="V9" s="86"/>
      <c r="W9" s="240">
        <f>VLOOKUP(W7,市町村データ!A2:AX75,MATCH(手順書_人口!$F$56, 市町村データ!A1:AX1, 0),FALSE)</f>
        <v>194415</v>
      </c>
      <c r="X9" s="151"/>
      <c r="Y9" s="151"/>
      <c r="Z9" s="151"/>
      <c r="AA9" s="86"/>
      <c r="AB9" s="86"/>
      <c r="AC9" s="86"/>
      <c r="AD9" s="86"/>
      <c r="AE9" s="86"/>
      <c r="AF9" s="86"/>
      <c r="AG9" s="86"/>
      <c r="AH9" s="86"/>
      <c r="AI9" s="86"/>
      <c r="AJ9" s="86"/>
      <c r="AK9" s="86"/>
      <c r="AL9" s="86"/>
      <c r="AM9" s="86"/>
      <c r="AN9" s="86"/>
      <c r="AO9" s="86"/>
      <c r="AP9" s="86"/>
      <c r="AQ9" s="263">
        <f>VLOOKUP(AQ7,市町村データ!A2:AX75,MATCH(手順書_人口!$F$56, 市町村データ!A1:AX1, 0),FALSE)</f>
        <v>78617</v>
      </c>
      <c r="AR9" s="151"/>
      <c r="AS9" s="151"/>
      <c r="AT9" s="152"/>
      <c r="AU9" s="234">
        <f>VLOOKUP(AU7,市町村データ!A2:AX75,MATCH(手順書_人口!$F$56, 市町村データ!A1:AX1, 0),FALSE)</f>
        <v>52862</v>
      </c>
      <c r="AV9" s="151"/>
      <c r="AW9" s="151"/>
      <c r="AX9" s="152"/>
      <c r="AY9" s="90"/>
      <c r="AZ9" s="86"/>
      <c r="BA9" s="86"/>
      <c r="BB9" s="86"/>
      <c r="BC9" s="86"/>
      <c r="BD9" s="86"/>
      <c r="BE9" s="86"/>
      <c r="BF9" s="86"/>
      <c r="BG9" s="86"/>
      <c r="BH9" s="86"/>
      <c r="BI9" s="86"/>
      <c r="BJ9" s="86"/>
      <c r="BK9" s="86"/>
      <c r="BL9" s="86"/>
      <c r="BM9" s="86"/>
      <c r="BN9" s="86"/>
      <c r="BO9" s="86"/>
      <c r="BP9" s="86"/>
      <c r="BQ9" s="86"/>
      <c r="BR9" s="86"/>
      <c r="BS9" s="86"/>
      <c r="BT9" s="86"/>
      <c r="BU9" s="86"/>
      <c r="BV9" s="86"/>
      <c r="BW9" s="91"/>
      <c r="BX9" s="202">
        <v>500000</v>
      </c>
      <c r="BY9" s="145"/>
      <c r="BZ9" s="145"/>
      <c r="CA9" s="220"/>
      <c r="CB9" s="211"/>
      <c r="CC9" s="86"/>
      <c r="CD9" s="85"/>
    </row>
    <row r="10" spans="1:82" ht="21.15" customHeight="1" thickBot="1" x14ac:dyDescent="0.6">
      <c r="A10" s="85"/>
      <c r="B10" s="86"/>
      <c r="C10" s="86"/>
      <c r="D10" s="86"/>
      <c r="E10" s="86"/>
      <c r="F10" s="86"/>
      <c r="G10" s="228">
        <f>VLOOKUP(G7,市町村データ!A2:AX75,MATCH(手順書_人口!$F$57, 市町村データ!A1:AX1, 0),FALSE)</f>
        <v>29.18</v>
      </c>
      <c r="H10" s="154"/>
      <c r="I10" s="154"/>
      <c r="J10" s="155"/>
      <c r="K10" s="266">
        <f>VLOOKUP(K7,市町村データ!A2:AX75,MATCH(手順書_人口!$F$57, 市町村データ!A1:AX1, 0),FALSE)</f>
        <v>89.69</v>
      </c>
      <c r="L10" s="151"/>
      <c r="M10" s="151"/>
      <c r="N10" s="152"/>
      <c r="O10" s="229">
        <f>VLOOKUP(O7,市町村データ!A2:AX75,MATCH(手順書_人口!$F$57, 市町村データ!A1:AX1, 0),FALSE)</f>
        <v>138.37</v>
      </c>
      <c r="P10" s="154"/>
      <c r="Q10" s="154"/>
      <c r="R10" s="154"/>
      <c r="S10" s="86"/>
      <c r="T10" s="86"/>
      <c r="U10" s="86"/>
      <c r="V10" s="86"/>
      <c r="W10" s="272">
        <f>VLOOKUP(W7,市町村データ!A2:AX75,MATCH(手順書_人口!$F$57, 市町村データ!A1:AX1, 0),FALSE)</f>
        <v>159.82</v>
      </c>
      <c r="X10" s="151"/>
      <c r="Y10" s="151"/>
      <c r="Z10" s="151"/>
      <c r="AA10" s="86"/>
      <c r="AB10" s="86"/>
      <c r="AC10" s="86"/>
      <c r="AD10" s="86"/>
      <c r="AE10" s="86"/>
      <c r="AF10" s="86"/>
      <c r="AG10" s="86"/>
      <c r="AH10" s="86"/>
      <c r="AI10" s="86"/>
      <c r="AJ10" s="86"/>
      <c r="AK10" s="86"/>
      <c r="AL10" s="86"/>
      <c r="AM10" s="86"/>
      <c r="AN10" s="86"/>
      <c r="AO10" s="86"/>
      <c r="AP10" s="86"/>
      <c r="AQ10" s="264">
        <f>VLOOKUP(AQ7,市町村データ!A2:AX75,MATCH(手順書_人口!$F$57, 市町村データ!A1:AX1, 0),FALSE)</f>
        <v>67.489999999999995</v>
      </c>
      <c r="AR10" s="154"/>
      <c r="AS10" s="154"/>
      <c r="AT10" s="155"/>
      <c r="AU10" s="232">
        <f>VLOOKUP(AU7,市町村データ!A2:AX75,MATCH(手順書_人口!$F$57, 市町村データ!A1:AX1, 0),FALSE)</f>
        <v>58.64</v>
      </c>
      <c r="AV10" s="154"/>
      <c r="AW10" s="154"/>
      <c r="AX10" s="155"/>
      <c r="AY10" s="90"/>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91"/>
      <c r="BX10" s="202">
        <v>250000</v>
      </c>
      <c r="BY10" s="145"/>
      <c r="BZ10" s="145"/>
      <c r="CA10" s="221"/>
      <c r="CB10" s="211"/>
      <c r="CC10" s="86"/>
      <c r="CD10" s="85"/>
    </row>
    <row r="11" spans="1:82" ht="21.15" customHeight="1" x14ac:dyDescent="0.55000000000000004">
      <c r="A11" s="85"/>
      <c r="B11" s="86"/>
      <c r="C11" s="87" t="s">
        <v>218</v>
      </c>
      <c r="D11" s="86"/>
      <c r="E11" s="86"/>
      <c r="F11" s="86"/>
      <c r="G11" s="88">
        <v>7</v>
      </c>
      <c r="H11" s="138" t="str">
        <f>VLOOKUP(G11,市町村データ!A2:AX75,MATCH(手順書_人口!$G$54, 市町村データ!A1:AX1, 0),FALSE)</f>
        <v>神川町</v>
      </c>
      <c r="I11" s="159"/>
      <c r="J11" s="160"/>
      <c r="K11" s="90"/>
      <c r="L11" s="86"/>
      <c r="M11" s="86"/>
      <c r="N11" s="86"/>
      <c r="O11" s="88">
        <v>8</v>
      </c>
      <c r="P11" s="138" t="str">
        <f>VLOOKUP(O11,市町村データ!A2:AX75,MATCH(手順書_人口!$G$54, 市町村データ!A1:AX1, 0),FALSE)</f>
        <v>美里町</v>
      </c>
      <c r="Q11" s="159"/>
      <c r="R11" s="160"/>
      <c r="S11" s="90"/>
      <c r="T11" s="86"/>
      <c r="U11" s="86"/>
      <c r="V11" s="86"/>
      <c r="W11" s="90"/>
      <c r="X11" s="86"/>
      <c r="Y11" s="86"/>
      <c r="Z11" s="86"/>
      <c r="AA11" s="86"/>
      <c r="AB11" s="86"/>
      <c r="AC11" s="86"/>
      <c r="AD11" s="86"/>
      <c r="AE11" s="86"/>
      <c r="AF11" s="86"/>
      <c r="AG11" s="86"/>
      <c r="AH11" s="86"/>
      <c r="AI11" s="86"/>
      <c r="AJ11" s="86"/>
      <c r="AK11" s="86"/>
      <c r="AL11" s="86"/>
      <c r="AM11" s="86"/>
      <c r="AN11" s="86"/>
      <c r="AO11" s="86"/>
      <c r="AP11" s="86"/>
      <c r="AQ11" s="88">
        <v>9</v>
      </c>
      <c r="AR11" s="138" t="str">
        <f>VLOOKUP(AQ11,市町村データ!A2:AX75,MATCH(手順書_人口!$G$54, 市町村データ!A1:AX1, 0),FALSE)</f>
        <v>鴻巣市</v>
      </c>
      <c r="AS11" s="159"/>
      <c r="AT11" s="160"/>
      <c r="AU11" s="88">
        <v>10</v>
      </c>
      <c r="AV11" s="138" t="str">
        <f>VLOOKUP(AU11,市町村データ!A2:AX75,MATCH(手順書_人口!$G$54, 市町村データ!A1:AX1, 0),FALSE)</f>
        <v>加須市</v>
      </c>
      <c r="AW11" s="159"/>
      <c r="AX11" s="159"/>
      <c r="AY11" s="89"/>
      <c r="AZ11" s="89"/>
      <c r="BA11" s="89"/>
      <c r="BB11" s="89"/>
      <c r="BC11" s="89"/>
      <c r="BD11" s="89"/>
      <c r="BE11" s="89"/>
      <c r="BF11" s="89"/>
      <c r="BG11" s="89"/>
      <c r="BH11" s="89"/>
      <c r="BI11" s="89"/>
      <c r="BJ11" s="89"/>
      <c r="BK11" s="89"/>
      <c r="BL11" s="89"/>
      <c r="BM11" s="89"/>
      <c r="BN11" s="89"/>
      <c r="BO11" s="90"/>
      <c r="BP11" s="86"/>
      <c r="BQ11" s="86"/>
      <c r="BR11" s="86"/>
      <c r="BS11" s="86"/>
      <c r="BT11" s="86"/>
      <c r="BU11" s="86"/>
      <c r="BV11" s="86"/>
      <c r="BW11" s="91"/>
      <c r="BX11" s="202">
        <v>125000</v>
      </c>
      <c r="BY11" s="203"/>
      <c r="BZ11" s="203"/>
      <c r="CA11" s="216"/>
      <c r="CB11" s="205"/>
      <c r="CC11" s="86"/>
      <c r="CD11" s="85"/>
    </row>
    <row r="12" spans="1:82" ht="21.15" customHeight="1" x14ac:dyDescent="0.55000000000000004">
      <c r="A12" s="85"/>
      <c r="B12" s="86"/>
      <c r="C12" s="86"/>
      <c r="D12" s="86"/>
      <c r="E12" s="86"/>
      <c r="F12" s="86"/>
      <c r="G12" s="242">
        <f>VLOOKUP(G11,市町村データ!A2:AX75,MATCH(手順書_人口!$F$55, 市町村データ!A1:AX1, 0),FALSE)</f>
        <v>281.8</v>
      </c>
      <c r="H12" s="151"/>
      <c r="I12" s="151"/>
      <c r="J12" s="152"/>
      <c r="K12" s="90"/>
      <c r="L12" s="86"/>
      <c r="M12" s="86"/>
      <c r="N12" s="86"/>
      <c r="O12" s="242">
        <f>VLOOKUP(O11,市町村データ!A2:AX75,MATCH(手順書_人口!$F$55, 市町村データ!A1:AX1, 0),FALSE)</f>
        <v>330.4</v>
      </c>
      <c r="P12" s="151"/>
      <c r="Q12" s="151"/>
      <c r="R12" s="152"/>
      <c r="S12" s="90"/>
      <c r="T12" s="86"/>
      <c r="U12" s="86"/>
      <c r="V12" s="86"/>
      <c r="W12" s="90"/>
      <c r="X12" s="86"/>
      <c r="Y12" s="86"/>
      <c r="Z12" s="86"/>
      <c r="AA12" s="86"/>
      <c r="AB12" s="86"/>
      <c r="AC12" s="86"/>
      <c r="AD12" s="86"/>
      <c r="AE12" s="86"/>
      <c r="AF12" s="86"/>
      <c r="AG12" s="86"/>
      <c r="AH12" s="86"/>
      <c r="AI12" s="86"/>
      <c r="AJ12" s="86"/>
      <c r="AK12" s="86"/>
      <c r="AL12" s="86"/>
      <c r="AM12" s="86"/>
      <c r="AN12" s="86"/>
      <c r="AO12" s="86"/>
      <c r="AP12" s="86"/>
      <c r="AQ12" s="265">
        <f>VLOOKUP(AQ11,市町村データ!A2:AX75,MATCH(手順書_人口!$F$55, 市町村データ!A1:AX1, 0),FALSE)</f>
        <v>1732.3</v>
      </c>
      <c r="AR12" s="151"/>
      <c r="AS12" s="151"/>
      <c r="AT12" s="152"/>
      <c r="AU12" s="265">
        <f>VLOOKUP(AU11,市町村データ!A2:AX75,MATCH(手順書_人口!$F$55, 市町村データ!A1:AX1, 0),FALSE)</f>
        <v>837.4</v>
      </c>
      <c r="AV12" s="151"/>
      <c r="AW12" s="151"/>
      <c r="AX12" s="151"/>
      <c r="AY12" s="86"/>
      <c r="AZ12" s="86"/>
      <c r="BA12" s="86"/>
      <c r="BB12" s="86"/>
      <c r="BC12" s="86"/>
      <c r="BD12" s="86"/>
      <c r="BE12" s="86"/>
      <c r="BF12" s="86"/>
      <c r="BG12" s="86"/>
      <c r="BH12" s="86"/>
      <c r="BI12" s="86"/>
      <c r="BJ12" s="86"/>
      <c r="BK12" s="86"/>
      <c r="BL12" s="86"/>
      <c r="BM12" s="86"/>
      <c r="BN12" s="86"/>
      <c r="BO12" s="90"/>
      <c r="BP12" s="86"/>
      <c r="BQ12" s="86"/>
      <c r="BR12" s="86"/>
      <c r="BS12" s="86"/>
      <c r="BT12" s="86"/>
      <c r="BU12" s="86"/>
      <c r="BV12" s="86"/>
      <c r="BW12" s="91"/>
      <c r="BX12" s="202">
        <v>62500</v>
      </c>
      <c r="BY12" s="145"/>
      <c r="BZ12" s="145"/>
      <c r="CA12" s="217"/>
      <c r="CB12" s="211"/>
      <c r="CC12" s="86"/>
      <c r="CD12" s="85"/>
    </row>
    <row r="13" spans="1:82" ht="21.15" customHeight="1" x14ac:dyDescent="0.55000000000000004">
      <c r="A13" s="85"/>
      <c r="B13" s="86"/>
      <c r="C13" s="86"/>
      <c r="D13" s="86"/>
      <c r="E13" s="86"/>
      <c r="F13" s="86"/>
      <c r="G13" s="248">
        <f>VLOOKUP(G11,市町村データ!A2:AX75,MATCH(手順書_人口!$F$56, 市町村データ!A1:AX1, 0),FALSE)</f>
        <v>13359</v>
      </c>
      <c r="H13" s="151"/>
      <c r="I13" s="151"/>
      <c r="J13" s="152"/>
      <c r="K13" s="90"/>
      <c r="L13" s="86"/>
      <c r="M13" s="86"/>
      <c r="N13" s="86"/>
      <c r="O13" s="248">
        <f>VLOOKUP(O11,市町村データ!A2:AX75,MATCH(手順書_人口!$F$56, 市町村データ!A1:AX1, 0),FALSE)</f>
        <v>11039</v>
      </c>
      <c r="P13" s="151"/>
      <c r="Q13" s="151"/>
      <c r="R13" s="152"/>
      <c r="S13" s="90"/>
      <c r="T13" s="86"/>
      <c r="U13" s="86"/>
      <c r="V13" s="86"/>
      <c r="W13" s="90"/>
      <c r="X13" s="86"/>
      <c r="Y13" s="86"/>
      <c r="Z13" s="86"/>
      <c r="AA13" s="86"/>
      <c r="AB13" s="86"/>
      <c r="AC13" s="86"/>
      <c r="AD13" s="86"/>
      <c r="AE13" s="86"/>
      <c r="AF13" s="86"/>
      <c r="AG13" s="86"/>
      <c r="AH13" s="86"/>
      <c r="AI13" s="86"/>
      <c r="AJ13" s="86"/>
      <c r="AK13" s="86"/>
      <c r="AL13" s="86"/>
      <c r="AM13" s="86"/>
      <c r="AN13" s="86"/>
      <c r="AO13" s="86"/>
      <c r="AP13" s="86"/>
      <c r="AQ13" s="263">
        <f>VLOOKUP(AQ11,市町村データ!A2:AX75,MATCH(手順書_人口!$F$56, 市町村データ!A1:AX1, 0),FALSE)</f>
        <v>116828</v>
      </c>
      <c r="AR13" s="151"/>
      <c r="AS13" s="151"/>
      <c r="AT13" s="152"/>
      <c r="AU13" s="263">
        <f>VLOOKUP(AU11,市町村データ!A2:AX75,MATCH(手順書_人口!$F$56, 市町村データ!A1:AX1, 0),FALSE)</f>
        <v>111623</v>
      </c>
      <c r="AV13" s="151"/>
      <c r="AW13" s="151"/>
      <c r="AX13" s="151"/>
      <c r="AY13" s="86"/>
      <c r="AZ13" s="86"/>
      <c r="BA13" s="86"/>
      <c r="BB13" s="86"/>
      <c r="BC13" s="86"/>
      <c r="BD13" s="86"/>
      <c r="BE13" s="86"/>
      <c r="BF13" s="86"/>
      <c r="BG13" s="86"/>
      <c r="BH13" s="86"/>
      <c r="BI13" s="86"/>
      <c r="BJ13" s="86"/>
      <c r="BK13" s="86"/>
      <c r="BL13" s="86"/>
      <c r="BM13" s="86"/>
      <c r="BN13" s="86"/>
      <c r="BO13" s="90"/>
      <c r="BP13" s="86"/>
      <c r="BQ13" s="86"/>
      <c r="BR13" s="86"/>
      <c r="BS13" s="86"/>
      <c r="BT13" s="86"/>
      <c r="BU13" s="86"/>
      <c r="BV13" s="86"/>
      <c r="BW13" s="91"/>
      <c r="BX13" s="202">
        <v>31250</v>
      </c>
      <c r="BY13" s="203"/>
      <c r="BZ13" s="203"/>
      <c r="CA13" s="218"/>
      <c r="CB13" s="205"/>
      <c r="CC13" s="86"/>
      <c r="CD13" s="85"/>
    </row>
    <row r="14" spans="1:82" ht="21.15" customHeight="1" thickBot="1" x14ac:dyDescent="0.6">
      <c r="A14" s="85"/>
      <c r="B14" s="86"/>
      <c r="C14" s="86"/>
      <c r="D14" s="86"/>
      <c r="E14" s="86"/>
      <c r="F14" s="86"/>
      <c r="G14" s="271">
        <f>VLOOKUP(G11,市町村データ!A2:AX75,MATCH(手順書_人口!$F$57, 市町村データ!A1:AX1, 0),FALSE)</f>
        <v>47.4</v>
      </c>
      <c r="H14" s="151"/>
      <c r="I14" s="151"/>
      <c r="J14" s="152"/>
      <c r="K14" s="90"/>
      <c r="L14" s="86"/>
      <c r="M14" s="86"/>
      <c r="N14" s="86"/>
      <c r="O14" s="245">
        <f>VLOOKUP(O11,市町村データ!A2:AX75,MATCH(手順書_人口!$F$57, 市町村データ!A1:AX1, 0),FALSE)</f>
        <v>33.409999999999997</v>
      </c>
      <c r="P14" s="154"/>
      <c r="Q14" s="154"/>
      <c r="R14" s="155"/>
      <c r="S14" s="90"/>
      <c r="T14" s="86"/>
      <c r="U14" s="86"/>
      <c r="V14" s="86"/>
      <c r="W14" s="90"/>
      <c r="X14" s="86"/>
      <c r="Y14" s="86"/>
      <c r="Z14" s="86"/>
      <c r="AA14" s="86"/>
      <c r="AB14" s="86"/>
      <c r="AC14" s="86"/>
      <c r="AD14" s="86"/>
      <c r="AE14" s="86"/>
      <c r="AF14" s="86"/>
      <c r="AG14" s="86"/>
      <c r="AH14" s="86"/>
      <c r="AI14" s="86"/>
      <c r="AJ14" s="86"/>
      <c r="AK14" s="86"/>
      <c r="AL14" s="86"/>
      <c r="AM14" s="86"/>
      <c r="AN14" s="86"/>
      <c r="AO14" s="86"/>
      <c r="AP14" s="86"/>
      <c r="AQ14" s="264">
        <f>VLOOKUP(AQ11,市町村データ!A2:AX75,MATCH(手順書_人口!$F$57, 市町村データ!A1:AX1, 0),FALSE)</f>
        <v>67.44</v>
      </c>
      <c r="AR14" s="154"/>
      <c r="AS14" s="154"/>
      <c r="AT14" s="155"/>
      <c r="AU14" s="264">
        <f>VLOOKUP(AU11,市町村データ!A2:AX75,MATCH(手順書_人口!$F$57, 市町村データ!A1:AX1, 0),FALSE)</f>
        <v>133.30000000000001</v>
      </c>
      <c r="AV14" s="154"/>
      <c r="AW14" s="154"/>
      <c r="AX14" s="154"/>
      <c r="AY14" s="86"/>
      <c r="AZ14" s="86"/>
      <c r="BA14" s="86"/>
      <c r="BB14" s="86"/>
      <c r="BC14" s="86"/>
      <c r="BD14" s="86"/>
      <c r="BE14" s="86"/>
      <c r="BF14" s="86"/>
      <c r="BG14" s="86"/>
      <c r="BH14" s="86"/>
      <c r="BI14" s="86"/>
      <c r="BJ14" s="86"/>
      <c r="BK14" s="86"/>
      <c r="BL14" s="86"/>
      <c r="BM14" s="86"/>
      <c r="BN14" s="86"/>
      <c r="BO14" s="90"/>
      <c r="BP14" s="86"/>
      <c r="BQ14" s="86"/>
      <c r="BR14" s="86"/>
      <c r="BS14" s="86"/>
      <c r="BT14" s="86"/>
      <c r="BU14" s="86"/>
      <c r="BV14" s="86"/>
      <c r="BW14" s="91"/>
      <c r="BX14" s="202">
        <v>15625</v>
      </c>
      <c r="BY14" s="145"/>
      <c r="BZ14" s="145"/>
      <c r="CA14" s="210"/>
      <c r="CB14" s="211"/>
      <c r="CC14" s="86"/>
      <c r="CD14" s="85"/>
    </row>
    <row r="15" spans="1:82" ht="21.15" customHeight="1" x14ac:dyDescent="0.55000000000000004">
      <c r="A15" s="85"/>
      <c r="B15" s="86"/>
      <c r="C15" s="87" t="s">
        <v>330</v>
      </c>
      <c r="D15" s="86"/>
      <c r="E15" s="86"/>
      <c r="F15" s="86"/>
      <c r="G15" s="90"/>
      <c r="H15" s="86"/>
      <c r="I15" s="86"/>
      <c r="J15" s="86"/>
      <c r="K15" s="90"/>
      <c r="L15" s="86"/>
      <c r="M15" s="86"/>
      <c r="N15" s="86"/>
      <c r="O15" s="88">
        <v>11</v>
      </c>
      <c r="P15" s="138" t="str">
        <f>VLOOKUP(O15,市町村データ!A2:AX75,MATCH(手順書_人口!$G$54, 市町村データ!A1:AX1, 0),FALSE)</f>
        <v>長瀞町</v>
      </c>
      <c r="Q15" s="159"/>
      <c r="R15" s="160"/>
      <c r="S15" s="88">
        <v>12</v>
      </c>
      <c r="T15" s="138" t="str">
        <f>VLOOKUP(S15,市町村データ!A2:AX75,MATCH(手順書_人口!$G$54, 市町村データ!A1:AX1, 0),FALSE)</f>
        <v>寄居町</v>
      </c>
      <c r="U15" s="159"/>
      <c r="V15" s="160"/>
      <c r="W15" s="88">
        <v>13</v>
      </c>
      <c r="X15" s="138" t="str">
        <f>VLOOKUP(W15,市町村データ!A2:AX75,MATCH(手順書_人口!$G$54, 市町村データ!A1:AX1, 0),FALSE)</f>
        <v>小川町</v>
      </c>
      <c r="Y15" s="159"/>
      <c r="Z15" s="160"/>
      <c r="AA15" s="88">
        <v>14</v>
      </c>
      <c r="AB15" s="138" t="str">
        <f>VLOOKUP(AA15,市町村データ!A2:AX75,MATCH(手順書_人口!$G$54, 市町村データ!A1:AX1, 0),FALSE)</f>
        <v>嵐山町</v>
      </c>
      <c r="AC15" s="159"/>
      <c r="AD15" s="160"/>
      <c r="AE15" s="88">
        <v>15</v>
      </c>
      <c r="AF15" s="138" t="str">
        <f>VLOOKUP(AE15,市町村データ!A2:AX75,MATCH(手順書_人口!$G$54, 市町村データ!A1:AX1, 0),FALSE)</f>
        <v>滑川町</v>
      </c>
      <c r="AG15" s="159"/>
      <c r="AH15" s="160"/>
      <c r="AI15" s="88">
        <v>16</v>
      </c>
      <c r="AJ15" s="138" t="str">
        <f>VLOOKUP(AI15,市町村データ!A2:AX75,MATCH(手順書_人口!$G$54, 市町村データ!A1:AX1, 0),FALSE)</f>
        <v>東松山市</v>
      </c>
      <c r="AK15" s="159"/>
      <c r="AL15" s="160"/>
      <c r="AM15" s="88">
        <v>17</v>
      </c>
      <c r="AN15" s="138" t="str">
        <f>VLOOKUP(AM15,市町村データ!A2:AX75,MATCH(手順書_人口!$G$54, 市町村データ!A1:AX1, 0),FALSE)</f>
        <v>吉見町</v>
      </c>
      <c r="AO15" s="159"/>
      <c r="AP15" s="160"/>
      <c r="AQ15" s="88">
        <v>18</v>
      </c>
      <c r="AR15" s="138" t="str">
        <f>VLOOKUP(AQ15,市町村データ!A2:AX75,MATCH(手順書_人口!$G$54, 市町村データ!A1:AX1, 0),FALSE)</f>
        <v>北本市</v>
      </c>
      <c r="AS15" s="159"/>
      <c r="AT15" s="160"/>
      <c r="AU15" s="88">
        <v>19</v>
      </c>
      <c r="AV15" s="138" t="str">
        <f>VLOOKUP(AU15,市町村データ!A2:AX75,MATCH(手順書_人口!$G$54, 市町村データ!A1:AX1, 0),FALSE)</f>
        <v>久喜市</v>
      </c>
      <c r="AW15" s="159"/>
      <c r="AX15" s="159"/>
      <c r="AY15" s="89"/>
      <c r="AZ15" s="89"/>
      <c r="BA15" s="89"/>
      <c r="BB15" s="89"/>
      <c r="BC15" s="89"/>
      <c r="BD15" s="89"/>
      <c r="BE15" s="89"/>
      <c r="BF15" s="89"/>
      <c r="BG15" s="89"/>
      <c r="BH15" s="89"/>
      <c r="BI15" s="89"/>
      <c r="BJ15" s="89"/>
      <c r="BK15" s="89"/>
      <c r="BL15" s="89"/>
      <c r="BM15" s="89"/>
      <c r="BN15" s="89"/>
      <c r="BO15" s="88">
        <v>20</v>
      </c>
      <c r="BP15" s="138" t="str">
        <f>VLOOKUP(BO15,市町村データ!A2:AX75,MATCH(手順書_人口!$G$54, 市町村データ!A1:AX1, 0),FALSE)</f>
        <v>幸手市</v>
      </c>
      <c r="BQ15" s="159"/>
      <c r="BR15" s="160"/>
      <c r="BS15" s="90"/>
      <c r="BT15" s="86"/>
      <c r="BU15" s="86"/>
      <c r="BV15" s="86"/>
      <c r="BW15" s="91"/>
      <c r="BX15" s="202">
        <v>7812</v>
      </c>
      <c r="BY15" s="203"/>
      <c r="BZ15" s="203"/>
      <c r="CA15" s="212"/>
      <c r="CB15" s="205"/>
      <c r="CC15" s="86"/>
      <c r="CD15" s="85"/>
    </row>
    <row r="16" spans="1:82" ht="21.15" customHeight="1" x14ac:dyDescent="0.55000000000000004">
      <c r="A16" s="85"/>
      <c r="B16" s="86"/>
      <c r="C16" s="86"/>
      <c r="D16" s="86"/>
      <c r="E16" s="86"/>
      <c r="F16" s="86"/>
      <c r="G16" s="90"/>
      <c r="H16" s="86"/>
      <c r="I16" s="86"/>
      <c r="J16" s="86"/>
      <c r="K16" s="90"/>
      <c r="L16" s="86"/>
      <c r="M16" s="86"/>
      <c r="N16" s="86"/>
      <c r="O16" s="243">
        <f>VLOOKUP(O15,市町村データ!A2:AX75,MATCH(手順書_人口!$F$55, 市町村データ!A1:AX1, 0),FALSE)</f>
        <v>223.7</v>
      </c>
      <c r="P16" s="151"/>
      <c r="Q16" s="151"/>
      <c r="R16" s="152"/>
      <c r="S16" s="227">
        <f>VLOOKUP(S15,市町村データ!A2:AX75,MATCH(手順書_人口!$F$55, 市町村データ!A1:AX1, 0),FALSE)</f>
        <v>503.9</v>
      </c>
      <c r="T16" s="151"/>
      <c r="U16" s="151"/>
      <c r="V16" s="152"/>
      <c r="W16" s="235">
        <f>VLOOKUP(W15,市町村データ!A2:AX75,MATCH(手順書_人口!$F$55, 市町村データ!A1:AX1, 0),FALSE)</f>
        <v>472.6</v>
      </c>
      <c r="X16" s="151"/>
      <c r="Y16" s="151"/>
      <c r="Z16" s="152"/>
      <c r="AA16" s="235">
        <f>VLOOKUP(AA15,市町村データ!A2:AX75,MATCH(手順書_人口!$F$55, 市町村データ!A1:AX1, 0),FALSE)</f>
        <v>597.9</v>
      </c>
      <c r="AB16" s="151"/>
      <c r="AC16" s="151"/>
      <c r="AD16" s="152"/>
      <c r="AE16" s="235">
        <f>VLOOKUP(AE15,市町村データ!A2:AX75,MATCH(手順書_人口!$F$55, 市町村データ!A1:AX1, 0),FALSE)</f>
        <v>664.8</v>
      </c>
      <c r="AF16" s="151"/>
      <c r="AG16" s="151"/>
      <c r="AH16" s="152"/>
      <c r="AI16" s="265">
        <f>VLOOKUP(AI15,市町村データ!A2:AX75,MATCH(手順書_人口!$F$55, 市町村データ!A1:AX1, 0),FALSE)</f>
        <v>1404.6</v>
      </c>
      <c r="AJ16" s="151"/>
      <c r="AK16" s="151"/>
      <c r="AL16" s="152"/>
      <c r="AM16" s="235">
        <f>VLOOKUP(AM15,市町村データ!A2:AX75,MATCH(手順書_人口!$F$55, 市町村データ!A1:AX1, 0),FALSE)</f>
        <v>470.8</v>
      </c>
      <c r="AN16" s="151"/>
      <c r="AO16" s="151"/>
      <c r="AP16" s="152"/>
      <c r="AQ16" s="265">
        <f>VLOOKUP(AQ15,市町村データ!A2:AX75,MATCH(手順書_人口!$F$55, 市町村データ!A1:AX1, 0),FALSE)</f>
        <v>3289.7</v>
      </c>
      <c r="AR16" s="151"/>
      <c r="AS16" s="151"/>
      <c r="AT16" s="152"/>
      <c r="AU16" s="236">
        <f>VLOOKUP(AU15,市町村データ!A2:AX75,MATCH(手順書_人口!$F$55, 市町村データ!A1:AX1, 0),FALSE)</f>
        <v>1827.2</v>
      </c>
      <c r="AV16" s="151"/>
      <c r="AW16" s="151"/>
      <c r="AX16" s="151"/>
      <c r="AY16" s="86"/>
      <c r="AZ16" s="86"/>
      <c r="BA16" s="86"/>
      <c r="BB16" s="86"/>
      <c r="BC16" s="86"/>
      <c r="BD16" s="86"/>
      <c r="BE16" s="86"/>
      <c r="BF16" s="86"/>
      <c r="BG16" s="86"/>
      <c r="BH16" s="86"/>
      <c r="BI16" s="86"/>
      <c r="BJ16" s="86"/>
      <c r="BK16" s="86"/>
      <c r="BL16" s="86"/>
      <c r="BM16" s="86"/>
      <c r="BN16" s="86"/>
      <c r="BO16" s="227">
        <f>VLOOKUP(BO15,市町村データ!A2:AX75,MATCH(手順書_人口!$F$55, 市町村データ!A1:AX1, 0),FALSE)</f>
        <v>1475.6</v>
      </c>
      <c r="BP16" s="151"/>
      <c r="BQ16" s="151"/>
      <c r="BR16" s="152"/>
      <c r="BS16" s="90"/>
      <c r="BT16" s="86"/>
      <c r="BU16" s="86"/>
      <c r="BV16" s="86"/>
      <c r="BW16" s="91"/>
      <c r="BX16" s="202">
        <v>3906</v>
      </c>
      <c r="BY16" s="203"/>
      <c r="BZ16" s="203"/>
      <c r="CA16" s="213"/>
      <c r="CB16" s="205"/>
      <c r="CC16" s="86"/>
      <c r="CD16" s="85"/>
    </row>
    <row r="17" spans="1:82" ht="21.15" customHeight="1" x14ac:dyDescent="0.55000000000000004">
      <c r="A17" s="85"/>
      <c r="B17" s="86"/>
      <c r="C17" s="86"/>
      <c r="D17" s="86"/>
      <c r="E17" s="86"/>
      <c r="F17" s="86"/>
      <c r="G17" s="90"/>
      <c r="H17" s="86"/>
      <c r="I17" s="86"/>
      <c r="J17" s="86"/>
      <c r="K17" s="90"/>
      <c r="L17" s="86"/>
      <c r="M17" s="86"/>
      <c r="N17" s="86"/>
      <c r="O17" s="249">
        <f>VLOOKUP(O15,市町村データ!A2:AX75,MATCH(手順書_人口!$F$56, 市町村データ!A1:AX1, 0),FALSE)</f>
        <v>6807</v>
      </c>
      <c r="P17" s="151"/>
      <c r="Q17" s="151"/>
      <c r="R17" s="152"/>
      <c r="S17" s="234">
        <f>VLOOKUP(S15,市町村データ!A2:AX75,MATCH(手順書_人口!$F$56, 市町村データ!A1:AX1, 0),FALSE)</f>
        <v>32374</v>
      </c>
      <c r="T17" s="151"/>
      <c r="U17" s="151"/>
      <c r="V17" s="152"/>
      <c r="W17" s="239">
        <f>VLOOKUP(W15,市町村データ!A2:AX75,MATCH(手順書_人口!$F$56, 市町村データ!A1:AX1, 0),FALSE)</f>
        <v>28524</v>
      </c>
      <c r="X17" s="151"/>
      <c r="Y17" s="151"/>
      <c r="Z17" s="152"/>
      <c r="AA17" s="239">
        <f>VLOOKUP(AA15,市町村データ!A2:AX75,MATCH(手順書_人口!$F$56, 市町村データ!A1:AX1, 0),FALSE)</f>
        <v>17889</v>
      </c>
      <c r="AB17" s="151"/>
      <c r="AC17" s="151"/>
      <c r="AD17" s="152"/>
      <c r="AE17" s="239">
        <f>VLOOKUP(AE15,市町村データ!A2:AX75,MATCH(手順書_人口!$F$56, 市町村データ!A1:AX1, 0),FALSE)</f>
        <v>19732</v>
      </c>
      <c r="AF17" s="151"/>
      <c r="AG17" s="151"/>
      <c r="AH17" s="152"/>
      <c r="AI17" s="263">
        <f>VLOOKUP(AI15,市町村データ!A2:AX75,MATCH(手順書_人口!$F$56, 市町村データ!A1:AX1, 0),FALSE)</f>
        <v>91791</v>
      </c>
      <c r="AJ17" s="151"/>
      <c r="AK17" s="151"/>
      <c r="AL17" s="152"/>
      <c r="AM17" s="239">
        <f>VLOOKUP(AM15,市町村データ!A2:AX75,MATCH(手順書_人口!$F$56, 市町村データ!A1:AX1, 0),FALSE)</f>
        <v>18192</v>
      </c>
      <c r="AN17" s="151"/>
      <c r="AO17" s="151"/>
      <c r="AP17" s="152"/>
      <c r="AQ17" s="263">
        <f>VLOOKUP(AQ15,市町村データ!A2:AX75,MATCH(手順書_人口!$F$56, 市町村データ!A1:AX1, 0),FALSE)</f>
        <v>65201</v>
      </c>
      <c r="AR17" s="151"/>
      <c r="AS17" s="151"/>
      <c r="AT17" s="152"/>
      <c r="AU17" s="240">
        <f>VLOOKUP(AU15,市町村データ!A2:AX75,MATCH(手順書_人口!$F$56, 市町村データ!A1:AX1, 0),FALSE)</f>
        <v>150582</v>
      </c>
      <c r="AV17" s="151"/>
      <c r="AW17" s="151"/>
      <c r="AX17" s="151"/>
      <c r="AY17" s="86"/>
      <c r="AZ17" s="86"/>
      <c r="BA17" s="86"/>
      <c r="BB17" s="86"/>
      <c r="BC17" s="86"/>
      <c r="BD17" s="86"/>
      <c r="BE17" s="86"/>
      <c r="BF17" s="86"/>
      <c r="BG17" s="86"/>
      <c r="BH17" s="86"/>
      <c r="BI17" s="86"/>
      <c r="BJ17" s="86"/>
      <c r="BK17" s="86"/>
      <c r="BL17" s="86"/>
      <c r="BM17" s="86"/>
      <c r="BN17" s="86"/>
      <c r="BO17" s="234">
        <f>VLOOKUP(BO15,市町村データ!A2:AX75,MATCH(手順書_人口!$F$56, 市町村データ!A1:AX1, 0),FALSE)</f>
        <v>50066</v>
      </c>
      <c r="BP17" s="151"/>
      <c r="BQ17" s="151"/>
      <c r="BR17" s="152"/>
      <c r="BS17" s="90"/>
      <c r="BT17" s="86"/>
      <c r="BU17" s="86"/>
      <c r="BV17" s="86"/>
      <c r="BW17" s="86"/>
      <c r="BX17" s="202">
        <v>1953</v>
      </c>
      <c r="BY17" s="203"/>
      <c r="BZ17" s="203"/>
      <c r="CA17" s="204"/>
      <c r="CB17" s="205"/>
      <c r="CC17" s="86"/>
      <c r="CD17" s="85"/>
    </row>
    <row r="18" spans="1:82" ht="21.15" customHeight="1" thickBot="1" x14ac:dyDescent="0.6">
      <c r="A18" s="85"/>
      <c r="B18" s="86"/>
      <c r="C18" s="86"/>
      <c r="D18" s="86"/>
      <c r="E18" s="86"/>
      <c r="F18" s="86"/>
      <c r="G18" s="90"/>
      <c r="H18" s="86"/>
      <c r="I18" s="86"/>
      <c r="J18" s="86"/>
      <c r="K18" s="90"/>
      <c r="L18" s="86"/>
      <c r="M18" s="86"/>
      <c r="N18" s="86"/>
      <c r="O18" s="246">
        <f>VLOOKUP(O15,市町村データ!A2:AX75,MATCH(手順書_人口!$F$57, 市町村データ!A1:AX1, 0),FALSE)</f>
        <v>30.43</v>
      </c>
      <c r="P18" s="154"/>
      <c r="Q18" s="154"/>
      <c r="R18" s="155"/>
      <c r="S18" s="232">
        <f>VLOOKUP(S15,市町村データ!A2:AX75,MATCH(手順書_人口!$F$57, 市町村データ!A1:AX1, 0),FALSE)</f>
        <v>64.25</v>
      </c>
      <c r="T18" s="154"/>
      <c r="U18" s="154"/>
      <c r="V18" s="155"/>
      <c r="W18" s="228">
        <f>VLOOKUP(W15,市町村データ!A2:AX75,MATCH(手順書_人口!$F$57, 市町村データ!A1:AX1, 0),FALSE)</f>
        <v>60.36</v>
      </c>
      <c r="X18" s="154"/>
      <c r="Y18" s="154"/>
      <c r="Z18" s="155"/>
      <c r="AA18" s="228">
        <f>VLOOKUP(AA15,市町村データ!A2:AX75,MATCH(手順書_人口!$F$57, 市町村データ!A1:AX1, 0),FALSE)</f>
        <v>29.92</v>
      </c>
      <c r="AB18" s="154"/>
      <c r="AC18" s="154"/>
      <c r="AD18" s="155"/>
      <c r="AE18" s="228">
        <f>VLOOKUP(AE15,市町村データ!A2:AX75,MATCH(手順書_人口!$F$57, 市町村データ!A1:AX1, 0),FALSE)</f>
        <v>29.68</v>
      </c>
      <c r="AF18" s="154"/>
      <c r="AG18" s="154"/>
      <c r="AH18" s="155"/>
      <c r="AI18" s="264">
        <f>VLOOKUP(AI15,市町村データ!A2:AX75,MATCH(手順書_人口!$F$57, 市町村データ!A1:AX1, 0),FALSE)</f>
        <v>65.349999999999994</v>
      </c>
      <c r="AJ18" s="154"/>
      <c r="AK18" s="154"/>
      <c r="AL18" s="155"/>
      <c r="AM18" s="228">
        <f>VLOOKUP(AM15,市町村データ!A2:AX75,MATCH(手順書_人口!$F$57, 市町村データ!A1:AX1, 0),FALSE)</f>
        <v>38.64</v>
      </c>
      <c r="AN18" s="154"/>
      <c r="AO18" s="154"/>
      <c r="AP18" s="155"/>
      <c r="AQ18" s="264">
        <f>VLOOKUP(AQ15,市町村データ!A2:AX75,MATCH(手順書_人口!$F$57, 市町村データ!A1:AX1, 0),FALSE)</f>
        <v>19.82</v>
      </c>
      <c r="AR18" s="154"/>
      <c r="AS18" s="154"/>
      <c r="AT18" s="155"/>
      <c r="AU18" s="229">
        <f>VLOOKUP(AU15,市町村データ!A2:AX75,MATCH(手順書_人口!$F$57, 市町村データ!A1:AX1, 0),FALSE)</f>
        <v>82.41</v>
      </c>
      <c r="AV18" s="154"/>
      <c r="AW18" s="154"/>
      <c r="AX18" s="154"/>
      <c r="AY18" s="86"/>
      <c r="AZ18" s="86"/>
      <c r="BA18" s="86"/>
      <c r="BB18" s="86"/>
      <c r="BC18" s="86"/>
      <c r="BD18" s="86"/>
      <c r="BE18" s="86"/>
      <c r="BF18" s="86"/>
      <c r="BG18" s="86"/>
      <c r="BH18" s="86"/>
      <c r="BI18" s="86"/>
      <c r="BJ18" s="86"/>
      <c r="BK18" s="86"/>
      <c r="BL18" s="86"/>
      <c r="BM18" s="86"/>
      <c r="BN18" s="86"/>
      <c r="BO18" s="232">
        <f>VLOOKUP(BO15,市町村データ!A2:AX75,MATCH(手順書_人口!$F$57, 市町村データ!A1:AX1, 0),FALSE)</f>
        <v>33.93</v>
      </c>
      <c r="BP18" s="154"/>
      <c r="BQ18" s="154"/>
      <c r="BR18" s="155"/>
      <c r="BS18" s="90"/>
      <c r="BT18" s="86"/>
      <c r="BU18" s="86"/>
      <c r="BV18" s="86"/>
      <c r="BW18" s="86"/>
      <c r="BX18" s="206">
        <v>0</v>
      </c>
      <c r="BY18" s="207"/>
      <c r="BZ18" s="207"/>
      <c r="CA18" s="208"/>
      <c r="CB18" s="209"/>
      <c r="CC18" s="86"/>
      <c r="CD18" s="85"/>
    </row>
    <row r="19" spans="1:82" ht="21.15" customHeight="1" x14ac:dyDescent="0.55000000000000004">
      <c r="A19" s="85"/>
      <c r="B19" s="86"/>
      <c r="C19" s="87" t="s">
        <v>219</v>
      </c>
      <c r="D19" s="86"/>
      <c r="E19" s="86"/>
      <c r="F19" s="86"/>
      <c r="G19" s="90"/>
      <c r="H19" s="86"/>
      <c r="I19" s="86"/>
      <c r="J19" s="86"/>
      <c r="K19" s="88">
        <v>21</v>
      </c>
      <c r="L19" s="138" t="str">
        <f>VLOOKUP(K19,市町村データ!A2:AX75,MATCH(手順書_人口!$G$54, 市町村データ!A1:AX1, 0),FALSE)</f>
        <v>皆野町</v>
      </c>
      <c r="M19" s="159"/>
      <c r="N19" s="160"/>
      <c r="O19" s="88">
        <v>22</v>
      </c>
      <c r="P19" s="138" t="str">
        <f>VLOOKUP(O19,市町村データ!A2:AX75,MATCH(手順書_人口!$G$54, 市町村データ!A1:AX1, 0),FALSE)</f>
        <v>東秩父村</v>
      </c>
      <c r="Q19" s="159"/>
      <c r="R19" s="159"/>
      <c r="S19" s="89"/>
      <c r="T19" s="89"/>
      <c r="U19" s="89"/>
      <c r="V19" s="89"/>
      <c r="W19" s="88">
        <v>23</v>
      </c>
      <c r="X19" s="138" t="str">
        <f>VLOOKUP(W19,市町村データ!A2:AX75,MATCH(手順書_人口!$G$54, 市町村データ!A1:AX1, 0),FALSE)</f>
        <v>ときがわ町</v>
      </c>
      <c r="Y19" s="159"/>
      <c r="Z19" s="160"/>
      <c r="AA19" s="88">
        <v>24</v>
      </c>
      <c r="AB19" s="138" t="str">
        <f>VLOOKUP(AA19,市町村データ!A2:AX75,MATCH(手順書_人口!$G$54, 市町村データ!A1:AX1, 0),FALSE)</f>
        <v>鳩山町</v>
      </c>
      <c r="AC19" s="159"/>
      <c r="AD19" s="159"/>
      <c r="AE19" s="89"/>
      <c r="AF19" s="89"/>
      <c r="AG19" s="89"/>
      <c r="AH19" s="89"/>
      <c r="AI19" s="88">
        <v>25</v>
      </c>
      <c r="AJ19" s="138" t="str">
        <f>VLOOKUP(AI19,市町村データ!A2:AX75,MATCH(手順書_人口!$G$54, 市町村データ!A1:AX1, 0),FALSE)</f>
        <v>坂戸市</v>
      </c>
      <c r="AK19" s="159"/>
      <c r="AL19" s="160"/>
      <c r="AM19" s="88">
        <v>26</v>
      </c>
      <c r="AN19" s="138" t="str">
        <f>VLOOKUP(AM19,市町村データ!A2:AX75,MATCH(手順書_人口!$G$54, 市町村データ!A1:AX1, 0),FALSE)</f>
        <v>川島町</v>
      </c>
      <c r="AO19" s="159"/>
      <c r="AP19" s="160"/>
      <c r="AQ19" s="88">
        <v>27</v>
      </c>
      <c r="AR19" s="138" t="str">
        <f>VLOOKUP(AQ19,市町村データ!A2:AX75,MATCH(手順書_人口!$G$54, 市町村データ!A1:AX1, 0),FALSE)</f>
        <v>桶川市</v>
      </c>
      <c r="AS19" s="159"/>
      <c r="AT19" s="160"/>
      <c r="AU19" s="88">
        <v>28</v>
      </c>
      <c r="AV19" s="138" t="str">
        <f>VLOOKUP(AU19,市町村データ!A2:AX75,MATCH(手順書_人口!$G$54, 市町村データ!A1:AX1, 0),FALSE)</f>
        <v>上尾市</v>
      </c>
      <c r="AW19" s="159"/>
      <c r="AX19" s="160"/>
      <c r="AY19" s="88">
        <v>29</v>
      </c>
      <c r="AZ19" s="138" t="str">
        <f>VLOOKUP(AY19,市町村データ!A2:AX75,MATCH(手順書_人口!$G$54, 市町村データ!A1:AX1, 0),FALSE)</f>
        <v>伊奈町</v>
      </c>
      <c r="BA19" s="159"/>
      <c r="BB19" s="160"/>
      <c r="BC19" s="88">
        <v>30</v>
      </c>
      <c r="BD19" s="138" t="str">
        <f>VLOOKUP(BC19,市町村データ!A2:AX75,MATCH(手順書_人口!$G$54, 市町村データ!A1:AX1, 0),FALSE)</f>
        <v>蓮田市</v>
      </c>
      <c r="BE19" s="159"/>
      <c r="BF19" s="160"/>
      <c r="BG19" s="88">
        <v>31</v>
      </c>
      <c r="BH19" s="138" t="str">
        <f>VLOOKUP(BG19,市町村データ!A2:AX75,MATCH(手順書_人口!$G$54, 市町村データ!A1:AX1, 0),FALSE)</f>
        <v>白岡市</v>
      </c>
      <c r="BI19" s="159"/>
      <c r="BJ19" s="160"/>
      <c r="BK19" s="88">
        <v>32</v>
      </c>
      <c r="BL19" s="138" t="str">
        <f>VLOOKUP(BK19,市町村データ!A2:AX75,MATCH(手順書_人口!$G$54, 市町村データ!A1:AX1, 0),FALSE)</f>
        <v>宮代町</v>
      </c>
      <c r="BM19" s="159"/>
      <c r="BN19" s="160"/>
      <c r="BO19" s="88">
        <v>33</v>
      </c>
      <c r="BP19" s="138" t="str">
        <f>VLOOKUP(BO19,市町村データ!A2:AX75,MATCH(手順書_人口!$G$54, 市町村データ!A1:AX1, 0),FALSE)</f>
        <v>杉戸町</v>
      </c>
      <c r="BQ19" s="159"/>
      <c r="BR19" s="160"/>
      <c r="BS19" s="90"/>
      <c r="BT19" s="86"/>
      <c r="BU19" s="86"/>
      <c r="BV19" s="86"/>
      <c r="BW19" s="86"/>
      <c r="BX19" s="91"/>
      <c r="BY19" s="91"/>
      <c r="BZ19" s="91"/>
      <c r="CA19" s="91"/>
      <c r="CB19" s="91"/>
      <c r="CC19" s="86"/>
      <c r="CD19" s="85"/>
    </row>
    <row r="20" spans="1:82" ht="21.15" customHeight="1" x14ac:dyDescent="0.55000000000000004">
      <c r="A20" s="85"/>
      <c r="B20" s="86"/>
      <c r="C20" s="86"/>
      <c r="D20" s="86"/>
      <c r="E20" s="86"/>
      <c r="F20" s="86"/>
      <c r="G20" s="90"/>
      <c r="H20" s="86"/>
      <c r="I20" s="86"/>
      <c r="J20" s="86"/>
      <c r="K20" s="242">
        <f>VLOOKUP(K19,市町村データ!A2:AX75,MATCH(手順書_人口!$F$55, 市町村データ!A1:AX1, 0),FALSE)</f>
        <v>145.9</v>
      </c>
      <c r="L20" s="151"/>
      <c r="M20" s="151"/>
      <c r="N20" s="152"/>
      <c r="O20" s="257">
        <f>VLOOKUP(O19,市町村データ!A2:AX75,MATCH(手順書_人口!$F$55, 市町村データ!A1:AX1, 0),FALSE)</f>
        <v>73.099999999999994</v>
      </c>
      <c r="P20" s="151"/>
      <c r="Q20" s="151"/>
      <c r="R20" s="151"/>
      <c r="S20" s="86"/>
      <c r="T20" s="86"/>
      <c r="U20" s="86"/>
      <c r="V20" s="86"/>
      <c r="W20" s="242">
        <f>VLOOKUP(W19,市町村データ!A2:AX75,MATCH(手順書_人口!$F$55, 市町村データ!A1:AX1, 0),FALSE)</f>
        <v>188.6</v>
      </c>
      <c r="X20" s="151"/>
      <c r="Y20" s="151"/>
      <c r="Z20" s="152"/>
      <c r="AA20" s="242">
        <f>VLOOKUP(AA19,市町村データ!A2:AX75,MATCH(手順書_人口!$F$55, 市町村データ!A1:AX1, 0),FALSE)</f>
        <v>527</v>
      </c>
      <c r="AB20" s="151"/>
      <c r="AC20" s="151"/>
      <c r="AD20" s="151"/>
      <c r="AE20" s="86"/>
      <c r="AF20" s="86"/>
      <c r="AG20" s="86"/>
      <c r="AH20" s="86"/>
      <c r="AI20" s="265">
        <f>VLOOKUP(AI19,市町村データ!A2:AX75,MATCH(手順書_人口!$F$55, 市町村データ!A1:AX1, 0),FALSE)</f>
        <v>2444.5</v>
      </c>
      <c r="AJ20" s="151"/>
      <c r="AK20" s="151"/>
      <c r="AL20" s="152"/>
      <c r="AM20" s="235">
        <f>VLOOKUP(AM19,市町村データ!A2:AX75,MATCH(手順書_人口!$F$55, 市町村データ!A1:AX1, 0),FALSE)</f>
        <v>465.5</v>
      </c>
      <c r="AN20" s="151"/>
      <c r="AO20" s="151"/>
      <c r="AP20" s="152"/>
      <c r="AQ20" s="265">
        <f>VLOOKUP(AQ19,市町村データ!A2:AX75,MATCH(手順書_人口!$F$55, 市町村データ!A1:AX1, 0),FALSE)</f>
        <v>2948.6</v>
      </c>
      <c r="AR20" s="151"/>
      <c r="AS20" s="151"/>
      <c r="AT20" s="152"/>
      <c r="AU20" s="236">
        <f>VLOOKUP(AU19,市町村データ!A2:AX75,MATCH(手順書_人口!$F$55, 市町村データ!A1:AX1, 0),FALSE)</f>
        <v>4986.6000000000004</v>
      </c>
      <c r="AV20" s="151"/>
      <c r="AW20" s="151"/>
      <c r="AX20" s="152"/>
      <c r="AY20" s="227">
        <f>VLOOKUP(AY19,市町村データ!A2:AX75,MATCH(手順書_人口!$F$55, 市町村データ!A1:AX1, 0),FALSE)</f>
        <v>3031.8</v>
      </c>
      <c r="AZ20" s="151"/>
      <c r="BA20" s="151"/>
      <c r="BB20" s="152"/>
      <c r="BC20" s="227">
        <f>VLOOKUP(BC19,市町村データ!A2:AX75,MATCH(手順書_人口!$F$55, 市町村データ!A1:AX1, 0),FALSE)</f>
        <v>2254.4</v>
      </c>
      <c r="BD20" s="151"/>
      <c r="BE20" s="151"/>
      <c r="BF20" s="152"/>
      <c r="BG20" s="227">
        <f>VLOOKUP(BG19,市町村データ!A2:AX75,MATCH(手順書_人口!$F$55, 市町村データ!A1:AX1, 0),FALSE)</f>
        <v>2095.3000000000002</v>
      </c>
      <c r="BH20" s="151"/>
      <c r="BI20" s="151"/>
      <c r="BJ20" s="152"/>
      <c r="BK20" s="227">
        <f>VLOOKUP(BK19,市町村データ!A2:AX75,MATCH(手順書_人口!$F$55, 市町村データ!A1:AX1, 0),FALSE)</f>
        <v>2140.9</v>
      </c>
      <c r="BL20" s="151"/>
      <c r="BM20" s="151"/>
      <c r="BN20" s="152"/>
      <c r="BO20" s="227">
        <f>VLOOKUP(BO19,市町村データ!A2:AX75,MATCH(手順書_人口!$F$55, 市町村データ!A1:AX1, 0),FALSE)</f>
        <v>1460</v>
      </c>
      <c r="BP20" s="151"/>
      <c r="BQ20" s="151"/>
      <c r="BR20" s="152"/>
      <c r="BS20" s="90"/>
      <c r="BT20" s="86"/>
      <c r="BU20" s="86"/>
      <c r="BV20" s="86"/>
      <c r="BW20" s="86"/>
      <c r="BX20" s="91"/>
      <c r="BY20" s="91"/>
      <c r="BZ20" s="91"/>
      <c r="CA20" s="91"/>
      <c r="CB20" s="91"/>
      <c r="CC20" s="86"/>
      <c r="CD20" s="85"/>
    </row>
    <row r="21" spans="1:82" ht="21.15" customHeight="1" x14ac:dyDescent="0.55000000000000004">
      <c r="A21" s="85"/>
      <c r="B21" s="86"/>
      <c r="C21" s="86"/>
      <c r="D21" s="86"/>
      <c r="E21" s="86"/>
      <c r="F21" s="86"/>
      <c r="G21" s="90"/>
      <c r="H21" s="86"/>
      <c r="I21" s="86"/>
      <c r="J21" s="86"/>
      <c r="K21" s="248">
        <f>VLOOKUP(K19,市町村データ!A2:AX75,MATCH(手順書_人口!$F$56, 市町村データ!A1:AX1, 0),FALSE)</f>
        <v>9302</v>
      </c>
      <c r="L21" s="151"/>
      <c r="M21" s="151"/>
      <c r="N21" s="152"/>
      <c r="O21" s="260">
        <f>VLOOKUP(O19,市町村データ!A2:AX75,MATCH(手順書_人口!$F$56, 市町村データ!A1:AX1, 0),FALSE)</f>
        <v>2709</v>
      </c>
      <c r="P21" s="151"/>
      <c r="Q21" s="151"/>
      <c r="R21" s="151"/>
      <c r="S21" s="86"/>
      <c r="T21" s="86"/>
      <c r="U21" s="86"/>
      <c r="V21" s="86"/>
      <c r="W21" s="248">
        <f>VLOOKUP(W19,市町村データ!A2:AX75,MATCH(手順書_人口!$F$56, 市町村データ!A1:AX1, 0),FALSE)</f>
        <v>10540</v>
      </c>
      <c r="X21" s="151"/>
      <c r="Y21" s="151"/>
      <c r="Z21" s="152"/>
      <c r="AA21" s="248">
        <f>VLOOKUP(AA19,市町村データ!A2:AX75,MATCH(手順書_人口!$F$56, 市町村データ!A1:AX1, 0),FALSE)</f>
        <v>13560</v>
      </c>
      <c r="AB21" s="151"/>
      <c r="AC21" s="151"/>
      <c r="AD21" s="151"/>
      <c r="AE21" s="86"/>
      <c r="AF21" s="86"/>
      <c r="AG21" s="86"/>
      <c r="AH21" s="86"/>
      <c r="AI21" s="263">
        <f>VLOOKUP(AI19,市町村データ!A2:AX75,MATCH(手順書_人口!$F$56, 市町村データ!A1:AX1, 0),FALSE)</f>
        <v>100275</v>
      </c>
      <c r="AJ21" s="151"/>
      <c r="AK21" s="151"/>
      <c r="AL21" s="152"/>
      <c r="AM21" s="239">
        <f>VLOOKUP(AM19,市町村データ!A2:AX75,MATCH(手順書_人口!$F$56, 市町村データ!A1:AX1, 0),FALSE)</f>
        <v>19378</v>
      </c>
      <c r="AN21" s="151"/>
      <c r="AO21" s="151"/>
      <c r="AP21" s="152"/>
      <c r="AQ21" s="263">
        <f>VLOOKUP(AQ19,市町村データ!A2:AX75,MATCH(手順書_人口!$F$56, 市町村データ!A1:AX1, 0),FALSE)</f>
        <v>74748</v>
      </c>
      <c r="AR21" s="151"/>
      <c r="AS21" s="151"/>
      <c r="AT21" s="152"/>
      <c r="AU21" s="240">
        <f>VLOOKUP(AU19,市町村データ!A2:AX75,MATCH(手順書_人口!$F$56, 市町村データ!A1:AX1, 0),FALSE)</f>
        <v>226940</v>
      </c>
      <c r="AV21" s="151"/>
      <c r="AW21" s="151"/>
      <c r="AX21" s="152"/>
      <c r="AY21" s="234">
        <f>VLOOKUP(AY19,市町村データ!A2:AX75,MATCH(手順書_人口!$F$56, 市町村データ!A1:AX1, 0),FALSE)</f>
        <v>44841</v>
      </c>
      <c r="AZ21" s="151"/>
      <c r="BA21" s="151"/>
      <c r="BB21" s="152"/>
      <c r="BC21" s="234">
        <f>VLOOKUP(BC19,市町村データ!A2:AX75,MATCH(手順書_人口!$F$56, 市町村データ!A1:AX1, 0),FALSE)</f>
        <v>61499</v>
      </c>
      <c r="BD21" s="151"/>
      <c r="BE21" s="151"/>
      <c r="BF21" s="152"/>
      <c r="BG21" s="234">
        <f>VLOOKUP(BG19,市町村データ!A2:AX75,MATCH(手順書_人口!$F$56, 市町村データ!A1:AX1, 0),FALSE)</f>
        <v>52214</v>
      </c>
      <c r="BH21" s="151"/>
      <c r="BI21" s="151"/>
      <c r="BJ21" s="152"/>
      <c r="BK21" s="234">
        <f>VLOOKUP(BK19,市町村データ!A2:AX75,MATCH(手順書_人口!$F$56, 市町村データ!A1:AX1, 0),FALSE)</f>
        <v>34147</v>
      </c>
      <c r="BL21" s="151"/>
      <c r="BM21" s="151"/>
      <c r="BN21" s="152"/>
      <c r="BO21" s="234">
        <f>VLOOKUP(BO19,市町村データ!A2:AX75,MATCH(手順書_人口!$F$56, 市町村データ!A1:AX1, 0),FALSE)</f>
        <v>43845</v>
      </c>
      <c r="BP21" s="151"/>
      <c r="BQ21" s="151"/>
      <c r="BR21" s="152"/>
      <c r="BS21" s="90"/>
      <c r="BT21" s="86"/>
      <c r="BU21" s="86"/>
      <c r="BV21" s="86"/>
      <c r="BW21" s="86"/>
      <c r="BX21" s="91"/>
      <c r="BY21" s="91"/>
      <c r="BZ21" s="91"/>
      <c r="CA21" s="91"/>
      <c r="CB21" s="91"/>
      <c r="CC21" s="86"/>
      <c r="CD21" s="85"/>
    </row>
    <row r="22" spans="1:82" ht="21.15" customHeight="1" thickBot="1" x14ac:dyDescent="0.6">
      <c r="A22" s="85"/>
      <c r="B22" s="86"/>
      <c r="C22" s="86"/>
      <c r="D22" s="86"/>
      <c r="E22" s="86"/>
      <c r="F22" s="86"/>
      <c r="G22" s="90"/>
      <c r="H22" s="86"/>
      <c r="I22" s="86"/>
      <c r="J22" s="86"/>
      <c r="K22" s="245">
        <f>VLOOKUP(K19,市町村データ!A2:AX75,MATCH(手順書_人口!$F$57, 市町村データ!A1:AX1, 0),FALSE)</f>
        <v>63.74</v>
      </c>
      <c r="L22" s="154"/>
      <c r="M22" s="154"/>
      <c r="N22" s="155"/>
      <c r="O22" s="253">
        <f>VLOOKUP(O19,市町村データ!A2:AX75,MATCH(手順書_人口!$F$57, 市町村データ!A1:AX1, 0),FALSE)</f>
        <v>37.06</v>
      </c>
      <c r="P22" s="154"/>
      <c r="Q22" s="154"/>
      <c r="R22" s="154"/>
      <c r="S22" s="86"/>
      <c r="T22" s="86"/>
      <c r="U22" s="86"/>
      <c r="V22" s="86"/>
      <c r="W22" s="271">
        <f>VLOOKUP(W19,市町村データ!A2:AX75,MATCH(手順書_人口!$F$57, 市町村データ!A1:AX1, 0),FALSE)</f>
        <v>55.9</v>
      </c>
      <c r="X22" s="151"/>
      <c r="Y22" s="151"/>
      <c r="Z22" s="152"/>
      <c r="AA22" s="245">
        <f>VLOOKUP(AA19,市町村データ!A2:AX75,MATCH(手順書_人口!$F$57, 市町村データ!A1:AX1, 0),FALSE)</f>
        <v>25.73</v>
      </c>
      <c r="AB22" s="154"/>
      <c r="AC22" s="154"/>
      <c r="AD22" s="154"/>
      <c r="AE22" s="86"/>
      <c r="AF22" s="86"/>
      <c r="AG22" s="86"/>
      <c r="AH22" s="86"/>
      <c r="AI22" s="264">
        <f>VLOOKUP(AI19,市町村データ!A2:AX75,MATCH(手順書_人口!$F$57, 市町村データ!A1:AX1, 0),FALSE)</f>
        <v>41.02</v>
      </c>
      <c r="AJ22" s="154"/>
      <c r="AK22" s="154"/>
      <c r="AL22" s="155"/>
      <c r="AM22" s="228">
        <f>VLOOKUP(AM19,市町村データ!A2:AX75,MATCH(手順書_人口!$F$57, 市町村データ!A1:AX1, 0),FALSE)</f>
        <v>41.63</v>
      </c>
      <c r="AN22" s="154"/>
      <c r="AO22" s="154"/>
      <c r="AP22" s="155"/>
      <c r="AQ22" s="264">
        <f>VLOOKUP(AQ19,市町村データ!A2:AX75,MATCH(手順書_人口!$F$57, 市町村データ!A1:AX1, 0),FALSE)</f>
        <v>25.35</v>
      </c>
      <c r="AR22" s="154"/>
      <c r="AS22" s="154"/>
      <c r="AT22" s="155"/>
      <c r="AU22" s="229">
        <f>VLOOKUP(AU19,市町村データ!A2:AX75,MATCH(手順書_人口!$F$57, 市町村データ!A1:AX1, 0),FALSE)</f>
        <v>45.51</v>
      </c>
      <c r="AV22" s="154"/>
      <c r="AW22" s="154"/>
      <c r="AX22" s="155"/>
      <c r="AY22" s="232">
        <f>VLOOKUP(AY19,市町村データ!A2:AX75,MATCH(手順書_人口!$F$57, 市町村データ!A1:AX1, 0),FALSE)</f>
        <v>14.79</v>
      </c>
      <c r="AZ22" s="154"/>
      <c r="BA22" s="154"/>
      <c r="BB22" s="155"/>
      <c r="BC22" s="232">
        <f>VLOOKUP(BC19,市町村データ!A2:AX75,MATCH(手順書_人口!$F$57, 市町村データ!A1:AX1, 0),FALSE)</f>
        <v>27.28</v>
      </c>
      <c r="BD22" s="154"/>
      <c r="BE22" s="154"/>
      <c r="BF22" s="155"/>
      <c r="BG22" s="232">
        <f>VLOOKUP(BG19,市町村データ!A2:AX75,MATCH(手順書_人口!$F$57, 市町村データ!A1:AX1, 0),FALSE)</f>
        <v>24.92</v>
      </c>
      <c r="BH22" s="154"/>
      <c r="BI22" s="154"/>
      <c r="BJ22" s="155"/>
      <c r="BK22" s="232">
        <f>VLOOKUP(BK19,市町村データ!A2:AX75,MATCH(手順書_人口!$F$57, 市町村データ!A1:AX1, 0),FALSE)</f>
        <v>15.95</v>
      </c>
      <c r="BL22" s="154"/>
      <c r="BM22" s="154"/>
      <c r="BN22" s="155"/>
      <c r="BO22" s="232">
        <f>VLOOKUP(BO19,市町村データ!A2:AX75,MATCH(手順書_人口!$F$57, 市町村データ!A1:AX1, 0),FALSE)</f>
        <v>30.03</v>
      </c>
      <c r="BP22" s="154"/>
      <c r="BQ22" s="154"/>
      <c r="BR22" s="155"/>
      <c r="BS22" s="90"/>
      <c r="BT22" s="86"/>
      <c r="BU22" s="86"/>
      <c r="BV22" s="86"/>
      <c r="BW22" s="86"/>
      <c r="BX22" s="91"/>
      <c r="BY22" s="91"/>
      <c r="BZ22" s="91"/>
      <c r="CA22" s="91"/>
      <c r="CB22" s="91"/>
      <c r="CC22" s="86"/>
      <c r="CD22" s="85"/>
    </row>
    <row r="23" spans="1:82" ht="21.15" customHeight="1" x14ac:dyDescent="0.55000000000000004">
      <c r="A23" s="85"/>
      <c r="B23" s="86"/>
      <c r="C23" s="87" t="s">
        <v>220</v>
      </c>
      <c r="D23" s="86"/>
      <c r="E23" s="86"/>
      <c r="F23" s="86"/>
      <c r="G23" s="88">
        <v>34</v>
      </c>
      <c r="H23" s="138" t="str">
        <f>VLOOKUP(G23,市町村データ!A2:AX75,MATCH(手順書_人口!$G$54, 市町村データ!A1:AX1, 0),FALSE)</f>
        <v>秩父市</v>
      </c>
      <c r="I23" s="159"/>
      <c r="J23" s="159"/>
      <c r="K23" s="89"/>
      <c r="L23" s="89"/>
      <c r="M23" s="89"/>
      <c r="N23" s="89"/>
      <c r="O23" s="89"/>
      <c r="P23" s="89"/>
      <c r="Q23" s="89"/>
      <c r="R23" s="89"/>
      <c r="S23" s="88">
        <v>35</v>
      </c>
      <c r="T23" s="138" t="str">
        <f>VLOOKUP(S23,市町村データ!A2:AX75,MATCH(手順書_人口!$G$54, 市町村データ!A1:AX1, 0),FALSE)</f>
        <v>横瀬町</v>
      </c>
      <c r="U23" s="159"/>
      <c r="V23" s="160"/>
      <c r="W23" s="90"/>
      <c r="X23" s="86"/>
      <c r="Y23" s="86"/>
      <c r="Z23" s="86"/>
      <c r="AA23" s="88">
        <v>36</v>
      </c>
      <c r="AB23" s="138" t="str">
        <f>VLOOKUP(AA23,市町村データ!A2:AX75,MATCH(手順書_人口!$G$54, 市町村データ!A1:AX1, 0),FALSE)</f>
        <v>越生町</v>
      </c>
      <c r="AC23" s="159"/>
      <c r="AD23" s="160"/>
      <c r="AE23" s="88">
        <v>37</v>
      </c>
      <c r="AF23" s="138" t="str">
        <f>VLOOKUP(AE23,市町村データ!A2:AX75,MATCH(手順書_人口!$G$54, 市町村データ!A1:AX1, 0),FALSE)</f>
        <v>毛呂山町</v>
      </c>
      <c r="AG23" s="159"/>
      <c r="AH23" s="160"/>
      <c r="AI23" s="88">
        <v>38</v>
      </c>
      <c r="AJ23" s="138" t="str">
        <f>VLOOKUP(AI23,市町村データ!A2:AX75,MATCH(手順書_人口!$G$54, 市町村データ!A1:AX1, 0),FALSE)</f>
        <v>鶴ヶ島市</v>
      </c>
      <c r="AK23" s="159"/>
      <c r="AL23" s="160"/>
      <c r="AM23" s="88">
        <v>39</v>
      </c>
      <c r="AN23" s="138" t="str">
        <f>VLOOKUP(AM23,市町村データ!A2:AX75,MATCH(手順書_人口!$G$54, 市町村データ!A1:AX1, 0),FALSE)</f>
        <v>川越市</v>
      </c>
      <c r="AO23" s="159"/>
      <c r="AP23" s="159"/>
      <c r="AQ23" s="89"/>
      <c r="AR23" s="89"/>
      <c r="AS23" s="89"/>
      <c r="AT23" s="89"/>
      <c r="AU23" s="100"/>
      <c r="AV23" s="89"/>
      <c r="AW23" s="89"/>
      <c r="AX23" s="89"/>
      <c r="AY23" s="101"/>
      <c r="AZ23" s="89"/>
      <c r="BA23" s="89"/>
      <c r="BB23" s="89"/>
      <c r="BC23" s="101"/>
      <c r="BD23" s="89"/>
      <c r="BE23" s="89"/>
      <c r="BF23" s="89"/>
      <c r="BG23" s="101"/>
      <c r="BH23" s="89"/>
      <c r="BI23" s="89"/>
      <c r="BJ23" s="89"/>
      <c r="BK23" s="88">
        <v>44</v>
      </c>
      <c r="BL23" s="138" t="str">
        <f>VLOOKUP(BK23,市町村データ!A2:AX75,MATCH(手順書_人口!$G$54, 市町村データ!A1:AX1, 0),FALSE)</f>
        <v>春日部市</v>
      </c>
      <c r="BM23" s="159"/>
      <c r="BN23" s="159"/>
      <c r="BO23" s="89"/>
      <c r="BP23" s="89"/>
      <c r="BQ23" s="89"/>
      <c r="BR23" s="89"/>
      <c r="BS23" s="88">
        <v>45</v>
      </c>
      <c r="BT23" s="138" t="str">
        <f>VLOOKUP(BS23,市町村データ!A2:AX75,MATCH(手順書_人口!$G$54, 市町村データ!A1:AX1, 0),FALSE)</f>
        <v>松伏町</v>
      </c>
      <c r="BU23" s="159"/>
      <c r="BV23" s="160"/>
      <c r="BW23" s="90"/>
      <c r="BX23" s="91"/>
      <c r="BY23" s="91"/>
      <c r="BZ23" s="91"/>
      <c r="CA23" s="91"/>
      <c r="CB23" s="91"/>
      <c r="CC23" s="86"/>
      <c r="CD23" s="85"/>
    </row>
    <row r="24" spans="1:82" ht="21.15" customHeight="1" x14ac:dyDescent="0.55000000000000004">
      <c r="A24" s="85"/>
      <c r="B24" s="86"/>
      <c r="C24" s="86"/>
      <c r="D24" s="86"/>
      <c r="E24" s="86"/>
      <c r="F24" s="86"/>
      <c r="G24" s="227">
        <f>VLOOKUP(G23,市町村データ!A2:AX75,MATCH(手順書_人口!$F$55, 市町村データ!A1:AX1, 0),FALSE)</f>
        <v>103.3</v>
      </c>
      <c r="H24" s="151"/>
      <c r="I24" s="151"/>
      <c r="J24" s="151"/>
      <c r="K24" s="86"/>
      <c r="L24" s="86"/>
      <c r="M24" s="86"/>
      <c r="N24" s="86"/>
      <c r="O24" s="86"/>
      <c r="P24" s="86"/>
      <c r="Q24" s="86"/>
      <c r="R24" s="86"/>
      <c r="S24" s="242">
        <f>VLOOKUP(S23,市町村データ!A2:AX75,MATCH(手順書_人口!$F$55, 市町村データ!A1:AX1, 0),FALSE)</f>
        <v>161.6</v>
      </c>
      <c r="T24" s="151"/>
      <c r="U24" s="151"/>
      <c r="V24" s="152"/>
      <c r="W24" s="90"/>
      <c r="X24" s="86"/>
      <c r="Y24" s="86"/>
      <c r="Z24" s="86"/>
      <c r="AA24" s="242">
        <f>VLOOKUP(AA23,市町村データ!A2:AX75,MATCH(手順書_人口!$F$55, 市町村データ!A1:AX1, 0),FALSE)</f>
        <v>273.10000000000002</v>
      </c>
      <c r="AB24" s="151"/>
      <c r="AC24" s="151"/>
      <c r="AD24" s="152"/>
      <c r="AE24" s="227">
        <f>VLOOKUP(AE23,市町村データ!A2:AX75,MATCH(手順書_人口!$F$55, 市町村データ!A1:AX1, 0),FALSE)</f>
        <v>1038</v>
      </c>
      <c r="AF24" s="151"/>
      <c r="AG24" s="151"/>
      <c r="AH24" s="152"/>
      <c r="AI24" s="265">
        <f>VLOOKUP(AI23,市町村データ!A2:AX75,MATCH(手順書_人口!$F$55, 市町村データ!A1:AX1, 0),FALSE)</f>
        <v>3972.6</v>
      </c>
      <c r="AJ24" s="151"/>
      <c r="AK24" s="151"/>
      <c r="AL24" s="152"/>
      <c r="AM24" s="244">
        <f>VLOOKUP(AM23,市町村データ!A2:AX75,MATCH(手順書_人口!$F$55, 市町村データ!A1:AX1, 0),FALSE)</f>
        <v>3249.1</v>
      </c>
      <c r="AN24" s="151"/>
      <c r="AO24" s="151"/>
      <c r="AP24" s="151"/>
      <c r="AQ24" s="86"/>
      <c r="AR24" s="86"/>
      <c r="AS24" s="86"/>
      <c r="AT24" s="86"/>
      <c r="AU24" s="102"/>
      <c r="AV24" s="86"/>
      <c r="AW24" s="86"/>
      <c r="AX24" s="86"/>
      <c r="AY24" s="97"/>
      <c r="AZ24" s="86"/>
      <c r="BA24" s="86"/>
      <c r="BB24" s="86"/>
      <c r="BC24" s="97"/>
      <c r="BD24" s="86"/>
      <c r="BE24" s="86"/>
      <c r="BF24" s="86"/>
      <c r="BG24" s="97"/>
      <c r="BH24" s="86"/>
      <c r="BI24" s="86"/>
      <c r="BJ24" s="86"/>
      <c r="BK24" s="236">
        <f>VLOOKUP(BK23,市町村データ!A2:AX75,MATCH(手順書_人口!$F$55, 市町村データ!A1:AX1, 0),FALSE)</f>
        <v>3481.7</v>
      </c>
      <c r="BL24" s="151"/>
      <c r="BM24" s="151"/>
      <c r="BN24" s="151"/>
      <c r="BO24" s="86"/>
      <c r="BP24" s="86"/>
      <c r="BQ24" s="86"/>
      <c r="BR24" s="86"/>
      <c r="BS24" s="235">
        <f>VLOOKUP(BS23,市町村データ!A2:AX75,MATCH(手順書_人口!$F$55, 市町村データ!A1:AX1, 0),FALSE)</f>
        <v>1744.8</v>
      </c>
      <c r="BT24" s="151"/>
      <c r="BU24" s="151"/>
      <c r="BV24" s="152"/>
      <c r="BW24" s="90"/>
      <c r="BX24" s="91"/>
      <c r="BY24" s="91"/>
      <c r="BZ24" s="91"/>
      <c r="CA24" s="91"/>
      <c r="CB24" s="91"/>
      <c r="CC24" s="86"/>
      <c r="CD24" s="85"/>
    </row>
    <row r="25" spans="1:82" ht="21.15" customHeight="1" x14ac:dyDescent="0.55000000000000004">
      <c r="A25" s="85"/>
      <c r="B25" s="86"/>
      <c r="C25" s="86"/>
      <c r="D25" s="86"/>
      <c r="E25" s="86"/>
      <c r="F25" s="86"/>
      <c r="G25" s="234">
        <f>VLOOKUP(G23,市町村データ!A2:AX75,MATCH(手順書_人口!$F$56, 市町村データ!A1:AX1, 0),FALSE)</f>
        <v>59674</v>
      </c>
      <c r="H25" s="151"/>
      <c r="I25" s="151"/>
      <c r="J25" s="151"/>
      <c r="K25" s="86"/>
      <c r="L25" s="86"/>
      <c r="M25" s="86"/>
      <c r="N25" s="86"/>
      <c r="O25" s="86"/>
      <c r="P25" s="86"/>
      <c r="Q25" s="86"/>
      <c r="R25" s="86"/>
      <c r="S25" s="248">
        <f>VLOOKUP(S23,市町村データ!A2:AX75,MATCH(手順書_人口!$F$56, 市町村データ!A1:AX1, 0),FALSE)</f>
        <v>7979</v>
      </c>
      <c r="T25" s="151"/>
      <c r="U25" s="151"/>
      <c r="V25" s="152"/>
      <c r="W25" s="90"/>
      <c r="X25" s="86"/>
      <c r="Y25" s="86"/>
      <c r="Z25" s="86"/>
      <c r="AA25" s="248">
        <f>VLOOKUP(AA23,市町村データ!A2:AX75,MATCH(手順書_人口!$F$56, 市町村データ!A1:AX1, 0),FALSE)</f>
        <v>11029</v>
      </c>
      <c r="AB25" s="151"/>
      <c r="AC25" s="151"/>
      <c r="AD25" s="152"/>
      <c r="AE25" s="234">
        <f>VLOOKUP(AE23,市町村データ!A2:AX75,MATCH(手順書_人口!$F$56, 市町村データ!A1:AX1, 0),FALSE)</f>
        <v>35366</v>
      </c>
      <c r="AF25" s="151"/>
      <c r="AG25" s="151"/>
      <c r="AH25" s="152"/>
      <c r="AI25" s="263">
        <f>VLOOKUP(AI23,市町村データ!A2:AX75,MATCH(手順書_人口!$F$56, 市町村データ!A1:AX1, 0),FALSE)</f>
        <v>70117</v>
      </c>
      <c r="AJ25" s="151"/>
      <c r="AK25" s="151"/>
      <c r="AL25" s="152"/>
      <c r="AM25" s="250">
        <f>VLOOKUP(AM23,市町村データ!A2:AX75,MATCH(手順書_人口!$F$56, 市町村データ!A1:AX1, 0),FALSE)</f>
        <v>354571</v>
      </c>
      <c r="AN25" s="151"/>
      <c r="AO25" s="151"/>
      <c r="AP25" s="151"/>
      <c r="AQ25" s="86"/>
      <c r="AR25" s="86"/>
      <c r="AS25" s="86"/>
      <c r="AT25" s="86"/>
      <c r="AU25" s="90"/>
      <c r="AV25" s="86"/>
      <c r="AW25" s="86"/>
      <c r="AX25" s="86"/>
      <c r="AY25" s="86"/>
      <c r="AZ25" s="86"/>
      <c r="BA25" s="86"/>
      <c r="BB25" s="86"/>
      <c r="BC25" s="86"/>
      <c r="BD25" s="86"/>
      <c r="BE25" s="86"/>
      <c r="BF25" s="86"/>
      <c r="BG25" s="86"/>
      <c r="BH25" s="86"/>
      <c r="BI25" s="86"/>
      <c r="BJ25" s="86"/>
      <c r="BK25" s="240">
        <f>VLOOKUP(BK23,市町村データ!A2:AX75,MATCH(手順書_人口!$F$56, 市町村データ!A1:AX1, 0),FALSE)</f>
        <v>229792</v>
      </c>
      <c r="BL25" s="151"/>
      <c r="BM25" s="151"/>
      <c r="BN25" s="151"/>
      <c r="BO25" s="86"/>
      <c r="BP25" s="86"/>
      <c r="BQ25" s="86"/>
      <c r="BR25" s="86"/>
      <c r="BS25" s="239">
        <f>VLOOKUP(BS23,市町村データ!A2:AX75,MATCH(手順書_人口!$F$56, 市町村データ!A1:AX1, 0),FALSE)</f>
        <v>28266</v>
      </c>
      <c r="BT25" s="151"/>
      <c r="BU25" s="151"/>
      <c r="BV25" s="152"/>
      <c r="BW25" s="90"/>
      <c r="BX25" s="91"/>
      <c r="BY25" s="91"/>
      <c r="BZ25" s="91"/>
      <c r="CA25" s="91"/>
      <c r="CB25" s="91"/>
      <c r="CC25" s="86"/>
      <c r="CD25" s="85"/>
    </row>
    <row r="26" spans="1:82" ht="21.15" customHeight="1" thickBot="1" x14ac:dyDescent="0.6">
      <c r="A26" s="85"/>
      <c r="B26" s="86"/>
      <c r="C26" s="86"/>
      <c r="D26" s="86"/>
      <c r="E26" s="86"/>
      <c r="F26" s="86"/>
      <c r="G26" s="232">
        <f>VLOOKUP(G23,市町村データ!A2:AX75,MATCH(手順書_人口!$F$57, 市町村データ!A1:AX1, 0),FALSE)</f>
        <v>577.83000000000004</v>
      </c>
      <c r="H26" s="154"/>
      <c r="I26" s="154"/>
      <c r="J26" s="154"/>
      <c r="K26" s="86"/>
      <c r="L26" s="86"/>
      <c r="M26" s="86"/>
      <c r="N26" s="86"/>
      <c r="O26" s="86"/>
      <c r="P26" s="86"/>
      <c r="Q26" s="86"/>
      <c r="R26" s="86"/>
      <c r="S26" s="245">
        <f>VLOOKUP(S23,市町村データ!A2:AX75,MATCH(手順書_人口!$F$57, 市町村データ!A1:AX1, 0),FALSE)</f>
        <v>49.36</v>
      </c>
      <c r="T26" s="154"/>
      <c r="U26" s="154"/>
      <c r="V26" s="155"/>
      <c r="W26" s="90"/>
      <c r="X26" s="86"/>
      <c r="Y26" s="86"/>
      <c r="Z26" s="86"/>
      <c r="AA26" s="245">
        <f>VLOOKUP(AA23,市町村データ!A2:AX75,MATCH(手順書_人口!$F$57, 市町村データ!A1:AX1, 0),FALSE)</f>
        <v>40.39</v>
      </c>
      <c r="AB26" s="154"/>
      <c r="AC26" s="154"/>
      <c r="AD26" s="155"/>
      <c r="AE26" s="232">
        <f>VLOOKUP(AE23,市町村データ!A2:AX75,MATCH(手順書_人口!$F$57, 市町村データ!A1:AX1, 0),FALSE)</f>
        <v>34.07</v>
      </c>
      <c r="AF26" s="154"/>
      <c r="AG26" s="154"/>
      <c r="AH26" s="155"/>
      <c r="AI26" s="264">
        <f>VLOOKUP(AI23,市町村データ!A2:AX75,MATCH(手順書_人口!$F$57, 市町村データ!A1:AX1, 0),FALSE)</f>
        <v>17.649999999999999</v>
      </c>
      <c r="AJ26" s="154"/>
      <c r="AK26" s="154"/>
      <c r="AL26" s="155"/>
      <c r="AM26" s="247">
        <f>VLOOKUP(AM23,市町村データ!A2:AX75,MATCH(手順書_人口!$F$57, 市町村データ!A1:AX1, 0),FALSE)</f>
        <v>109.13</v>
      </c>
      <c r="AN26" s="154"/>
      <c r="AO26" s="154"/>
      <c r="AP26" s="154"/>
      <c r="AQ26" s="86"/>
      <c r="AR26" s="86"/>
      <c r="AS26" s="86"/>
      <c r="AT26" s="86"/>
      <c r="AU26" s="90"/>
      <c r="AV26" s="86"/>
      <c r="AW26" s="86"/>
      <c r="AX26" s="86"/>
      <c r="AY26" s="86"/>
      <c r="AZ26" s="86"/>
      <c r="BA26" s="86"/>
      <c r="BB26" s="86"/>
      <c r="BC26" s="86"/>
      <c r="BD26" s="86"/>
      <c r="BE26" s="86"/>
      <c r="BF26" s="86"/>
      <c r="BG26" s="86"/>
      <c r="BH26" s="86"/>
      <c r="BI26" s="86"/>
      <c r="BJ26" s="86"/>
      <c r="BK26" s="229">
        <f>VLOOKUP(BK23,市町村データ!A2:AX75,MATCH(手順書_人口!$F$57, 市町村データ!A1:AX1, 0),FALSE)</f>
        <v>66</v>
      </c>
      <c r="BL26" s="154"/>
      <c r="BM26" s="154"/>
      <c r="BN26" s="154"/>
      <c r="BO26" s="86"/>
      <c r="BP26" s="86"/>
      <c r="BQ26" s="86"/>
      <c r="BR26" s="86"/>
      <c r="BS26" s="228">
        <f>VLOOKUP(BS23,市町村データ!A2:AX75,MATCH(手順書_人口!$F$57, 市町村データ!A1:AX1, 0),FALSE)</f>
        <v>16.2</v>
      </c>
      <c r="BT26" s="154"/>
      <c r="BU26" s="154"/>
      <c r="BV26" s="155"/>
      <c r="BW26" s="90"/>
      <c r="BX26" s="91"/>
      <c r="BY26" s="91"/>
      <c r="BZ26" s="91"/>
      <c r="CA26" s="91"/>
      <c r="CB26" s="91"/>
      <c r="CC26" s="86"/>
      <c r="CD26" s="85"/>
    </row>
    <row r="27" spans="1:82" ht="21.15" customHeight="1" x14ac:dyDescent="0.55000000000000004">
      <c r="A27" s="85"/>
      <c r="B27" s="86"/>
      <c r="C27" s="87" t="s">
        <v>221</v>
      </c>
      <c r="D27" s="86"/>
      <c r="E27" s="86"/>
      <c r="F27" s="86"/>
      <c r="G27" s="88">
        <v>46</v>
      </c>
      <c r="H27" s="138" t="str">
        <f>VLOOKUP(G27,市町村データ!A2:AX75,MATCH(手順書_人口!$G$54, 市町村データ!A1:AX1, 0),FALSE)</f>
        <v>小鹿野町</v>
      </c>
      <c r="I27" s="159"/>
      <c r="J27" s="160"/>
      <c r="K27" s="90"/>
      <c r="L27" s="86"/>
      <c r="M27" s="86"/>
      <c r="N27" s="86"/>
      <c r="O27" s="86"/>
      <c r="P27" s="86"/>
      <c r="Q27" s="86"/>
      <c r="R27" s="86"/>
      <c r="S27" s="88">
        <v>47</v>
      </c>
      <c r="T27" s="138" t="str">
        <f>VLOOKUP(S27,市町村データ!A2:AX75,MATCH(手順書_人口!$G$54, 市町村データ!A1:AX1, 0),FALSE)</f>
        <v>飯能市</v>
      </c>
      <c r="U27" s="159"/>
      <c r="V27" s="159"/>
      <c r="W27" s="89"/>
      <c r="X27" s="89"/>
      <c r="Y27" s="89"/>
      <c r="Z27" s="89"/>
      <c r="AA27" s="89"/>
      <c r="AB27" s="89"/>
      <c r="AC27" s="89"/>
      <c r="AD27" s="89"/>
      <c r="AE27" s="89"/>
      <c r="AF27" s="89"/>
      <c r="AG27" s="89"/>
      <c r="AH27" s="89"/>
      <c r="AI27" s="88">
        <v>48</v>
      </c>
      <c r="AJ27" s="138" t="str">
        <f>VLOOKUP(AI27,市町村データ!A2:AX75,MATCH(手順書_人口!$G$54, 市町村データ!A1:AX1, 0),FALSE)</f>
        <v>日高市</v>
      </c>
      <c r="AK27" s="159"/>
      <c r="AL27" s="160"/>
      <c r="AM27" s="88">
        <v>49</v>
      </c>
      <c r="AN27" s="138" t="str">
        <f>VLOOKUP(AM27,市町村データ!A2:AX75,MATCH(手順書_人口!$G$54, 市町村データ!A1:AX1, 0),FALSE)</f>
        <v>狭山市</v>
      </c>
      <c r="AO27" s="159"/>
      <c r="AP27" s="160"/>
      <c r="AQ27" s="88">
        <v>50</v>
      </c>
      <c r="AR27" s="138" t="str">
        <f>VLOOKUP(AQ27,市町村データ!A2:AX75,MATCH(手順書_人口!$G$54, 市町村データ!A1:AX1, 0),FALSE)</f>
        <v>ふじみ野市</v>
      </c>
      <c r="AS27" s="159"/>
      <c r="AT27" s="160"/>
      <c r="AU27" s="88">
        <v>51</v>
      </c>
      <c r="AV27" s="138" t="str">
        <f>VLOOKUP(AU27,市町村データ!A2:AX75,MATCH(手順書_人口!$G$54, 市町村データ!A1:AX1, 0),FALSE)</f>
        <v>富士見市</v>
      </c>
      <c r="AW27" s="159"/>
      <c r="AX27" s="160"/>
      <c r="AY27" s="103"/>
      <c r="AZ27" s="86"/>
      <c r="BA27" s="86"/>
      <c r="BB27" s="86"/>
      <c r="BC27" s="95" t="s">
        <v>200</v>
      </c>
      <c r="BD27" s="163" t="str">
        <f>VLOOKUP(BC27,市町村データ!A2:AX75,MATCH(手順書_人口!$G$54, 市町村データ!A1:AX1, 0),FALSE)</f>
        <v>さいたま市</v>
      </c>
      <c r="BE27" s="157"/>
      <c r="BF27" s="157"/>
      <c r="BG27" s="19"/>
      <c r="BH27" s="86"/>
      <c r="BI27" s="86"/>
      <c r="BJ27" s="86"/>
      <c r="BK27" s="88">
        <v>55</v>
      </c>
      <c r="BL27" s="138" t="str">
        <f>VLOOKUP(BK27,市町村データ!A2:AX75,MATCH(手順書_人口!$G$54, 市町村データ!A1:AX1, 0),FALSE)</f>
        <v>越谷市</v>
      </c>
      <c r="BM27" s="159"/>
      <c r="BN27" s="159"/>
      <c r="BO27" s="89"/>
      <c r="BP27" s="89"/>
      <c r="BQ27" s="89"/>
      <c r="BR27" s="89"/>
      <c r="BS27" s="88">
        <v>56</v>
      </c>
      <c r="BT27" s="138" t="str">
        <f>VLOOKUP(BS27,市町村データ!A2:AX75,MATCH(手順書_人口!$G$54, 市町村データ!A1:AX1, 0),FALSE)</f>
        <v>吉川市</v>
      </c>
      <c r="BU27" s="159"/>
      <c r="BV27" s="160"/>
      <c r="BW27" s="90"/>
      <c r="BX27" s="91"/>
      <c r="BY27" s="91"/>
      <c r="BZ27" s="91"/>
      <c r="CA27" s="91"/>
      <c r="CB27" s="91"/>
      <c r="CC27" s="86"/>
      <c r="CD27" s="85"/>
    </row>
    <row r="28" spans="1:82" ht="21.15" customHeight="1" x14ac:dyDescent="0.55000000000000004">
      <c r="A28" s="85"/>
      <c r="B28" s="86"/>
      <c r="C28" s="86"/>
      <c r="D28" s="86"/>
      <c r="E28" s="86"/>
      <c r="F28" s="86"/>
      <c r="G28" s="242">
        <f>VLOOKUP(G27,市町村データ!A2:AX75,MATCH(手順書_人口!$F$55, 市町村データ!A1:AX1, 0),FALSE)</f>
        <v>63.8</v>
      </c>
      <c r="H28" s="151"/>
      <c r="I28" s="151"/>
      <c r="J28" s="152"/>
      <c r="K28" s="90"/>
      <c r="L28" s="86"/>
      <c r="M28" s="86"/>
      <c r="N28" s="86"/>
      <c r="O28" s="86"/>
      <c r="P28" s="86"/>
      <c r="Q28" s="86"/>
      <c r="R28" s="86"/>
      <c r="S28" s="265">
        <f>VLOOKUP(S27,市町村データ!A2:AX75,MATCH(手順書_人口!$F$55, 市町村データ!A1:AX1, 0),FALSE)</f>
        <v>416.3</v>
      </c>
      <c r="T28" s="151"/>
      <c r="U28" s="151"/>
      <c r="V28" s="151"/>
      <c r="W28" s="86"/>
      <c r="X28" s="86"/>
      <c r="Y28" s="86"/>
      <c r="Z28" s="86"/>
      <c r="AA28" s="86"/>
      <c r="AB28" s="86"/>
      <c r="AC28" s="86"/>
      <c r="AD28" s="86"/>
      <c r="AE28" s="86"/>
      <c r="AF28" s="86"/>
      <c r="AG28" s="86"/>
      <c r="AH28" s="86"/>
      <c r="AI28" s="227">
        <f>VLOOKUP(AI27,市町村データ!A2:AX75,MATCH(手順書_人口!$F$55, 市町村データ!A1:AX1, 0),FALSE)</f>
        <v>1149.3</v>
      </c>
      <c r="AJ28" s="151"/>
      <c r="AK28" s="151"/>
      <c r="AL28" s="152"/>
      <c r="AM28" s="236">
        <f>VLOOKUP(AM27,市町村データ!A2:AX75,MATCH(手順書_人口!$F$55, 市町村データ!A1:AX1, 0),FALSE)</f>
        <v>3035.3</v>
      </c>
      <c r="AN28" s="151"/>
      <c r="AO28" s="151"/>
      <c r="AP28" s="152"/>
      <c r="AQ28" s="265">
        <f>VLOOKUP(AQ27,市町村データ!A2:AX75,MATCH(手順書_人口!$F$55, 市町村データ!A1:AX1, 0),FALSE)</f>
        <v>7759.4</v>
      </c>
      <c r="AR28" s="151"/>
      <c r="AS28" s="151"/>
      <c r="AT28" s="152"/>
      <c r="AU28" s="265">
        <f>VLOOKUP(AU27,市町村データ!A2:AX75,MATCH(手順書_人口!$F$55, 市町村データ!A1:AX1, 0),FALSE)</f>
        <v>5658</v>
      </c>
      <c r="AV28" s="151"/>
      <c r="AW28" s="151"/>
      <c r="AX28" s="152"/>
      <c r="AY28" s="102"/>
      <c r="AZ28" s="86"/>
      <c r="BA28" s="86"/>
      <c r="BB28" s="86"/>
      <c r="BC28" s="270">
        <f>VLOOKUP(BC27,市町村データ!A2:AX75,MATCH(手順書_人口!$F$55, 市町村データ!A1:AX1, 0),FALSE)</f>
        <v>6089.4</v>
      </c>
      <c r="BD28" s="151"/>
      <c r="BE28" s="151"/>
      <c r="BF28" s="151"/>
      <c r="BG28" s="97"/>
      <c r="BH28" s="86"/>
      <c r="BI28" s="86"/>
      <c r="BJ28" s="86"/>
      <c r="BK28" s="244">
        <f>VLOOKUP(BK27,市町村データ!A2:AX75,MATCH(手順書_人口!$F$55, 市町村データ!A1:AX1, 0),FALSE)</f>
        <v>5671</v>
      </c>
      <c r="BL28" s="151"/>
      <c r="BM28" s="151"/>
      <c r="BN28" s="151"/>
      <c r="BO28" s="86"/>
      <c r="BP28" s="86"/>
      <c r="BQ28" s="86"/>
      <c r="BR28" s="86"/>
      <c r="BS28" s="265">
        <f>VLOOKUP(BS27,市町村データ!A2:AX75,MATCH(手順書_人口!$F$55, 市町村データ!A1:AX1, 0),FALSE)</f>
        <v>2273.5</v>
      </c>
      <c r="BT28" s="151"/>
      <c r="BU28" s="151"/>
      <c r="BV28" s="152"/>
      <c r="BW28" s="90"/>
      <c r="BX28" s="86"/>
      <c r="BY28" s="86"/>
      <c r="BZ28" s="86"/>
      <c r="CA28" s="86"/>
      <c r="CB28" s="86"/>
      <c r="CC28" s="86"/>
      <c r="CD28" s="85"/>
    </row>
    <row r="29" spans="1:82" ht="21.15" customHeight="1" x14ac:dyDescent="0.55000000000000004">
      <c r="A29" s="85"/>
      <c r="B29" s="86"/>
      <c r="C29" s="86"/>
      <c r="D29" s="86"/>
      <c r="E29" s="86"/>
      <c r="F29" s="86"/>
      <c r="G29" s="248">
        <f>VLOOKUP(G27,市町村データ!A2:AX75,MATCH(手順書_人口!$F$56, 市町村データ!A1:AX1, 0),FALSE)</f>
        <v>10928</v>
      </c>
      <c r="H29" s="151"/>
      <c r="I29" s="151"/>
      <c r="J29" s="152"/>
      <c r="K29" s="90"/>
      <c r="L29" s="86"/>
      <c r="M29" s="86"/>
      <c r="N29" s="86"/>
      <c r="O29" s="86"/>
      <c r="P29" s="86"/>
      <c r="Q29" s="86"/>
      <c r="R29" s="86"/>
      <c r="S29" s="263">
        <f>VLOOKUP(S27,市町村データ!A2:AX75,MATCH(手順書_人口!$F$56, 市町村データ!A1:AX1, 0),FALSE)</f>
        <v>80361</v>
      </c>
      <c r="T29" s="151"/>
      <c r="U29" s="151"/>
      <c r="V29" s="151"/>
      <c r="W29" s="86"/>
      <c r="X29" s="86"/>
      <c r="Y29" s="86"/>
      <c r="Z29" s="86"/>
      <c r="AA29" s="86"/>
      <c r="AB29" s="86"/>
      <c r="AC29" s="86"/>
      <c r="AD29" s="86"/>
      <c r="AE29" s="86"/>
      <c r="AF29" s="86"/>
      <c r="AG29" s="86"/>
      <c r="AH29" s="86"/>
      <c r="AI29" s="234">
        <f>VLOOKUP(AI27,市町村データ!A2:AX75,MATCH(手順書_人口!$F$56, 市町村データ!A1:AX1, 0),FALSE)</f>
        <v>54571</v>
      </c>
      <c r="AJ29" s="151"/>
      <c r="AK29" s="151"/>
      <c r="AL29" s="152"/>
      <c r="AM29" s="240">
        <f>VLOOKUP(AM27,市町村データ!A2:AX75,MATCH(手順書_人口!$F$56, 市町村データ!A1:AX1, 0),FALSE)</f>
        <v>148699</v>
      </c>
      <c r="AN29" s="151"/>
      <c r="AO29" s="151"/>
      <c r="AP29" s="152"/>
      <c r="AQ29" s="263">
        <f>VLOOKUP(AQ27,市町村データ!A2:AX75,MATCH(手順書_人口!$F$56, 市町村データ!A1:AX1, 0),FALSE)</f>
        <v>113597</v>
      </c>
      <c r="AR29" s="151"/>
      <c r="AS29" s="151"/>
      <c r="AT29" s="152"/>
      <c r="AU29" s="263">
        <f>VLOOKUP(AU27,市町村データ!A2:AX75,MATCH(手順書_人口!$F$56, 市町村データ!A1:AX1, 0),FALSE)</f>
        <v>111859</v>
      </c>
      <c r="AV29" s="151"/>
      <c r="AW29" s="151"/>
      <c r="AX29" s="152"/>
      <c r="AY29" s="90"/>
      <c r="AZ29" s="86"/>
      <c r="BA29" s="86"/>
      <c r="BB29" s="86"/>
      <c r="BC29" s="269">
        <f>VLOOKUP(BC27,市町村データ!A2:AX75,MATCH(手順書_人口!$F$56, 市町村データ!A1:AX1, 0),FALSE)</f>
        <v>1324025</v>
      </c>
      <c r="BD29" s="151"/>
      <c r="BE29" s="151"/>
      <c r="BF29" s="151"/>
      <c r="BG29" s="86"/>
      <c r="BH29" s="86"/>
      <c r="BI29" s="86"/>
      <c r="BJ29" s="86"/>
      <c r="BK29" s="250">
        <f>VLOOKUP(BK27,市町村データ!A2:AX75,MATCH(手順書_人口!$F$56, 市町村データ!A1:AX1, 0),FALSE)</f>
        <v>341621</v>
      </c>
      <c r="BL29" s="151"/>
      <c r="BM29" s="151"/>
      <c r="BN29" s="151"/>
      <c r="BO29" s="86"/>
      <c r="BP29" s="86"/>
      <c r="BQ29" s="86"/>
      <c r="BR29" s="86"/>
      <c r="BS29" s="263">
        <f>VLOOKUP(BS27,市町村データ!A2:AX75,MATCH(手順書_人口!$F$56, 市町村データ!A1:AX1, 0),FALSE)</f>
        <v>71979</v>
      </c>
      <c r="BT29" s="151"/>
      <c r="BU29" s="151"/>
      <c r="BV29" s="152"/>
      <c r="BW29" s="90"/>
      <c r="BX29" s="86"/>
      <c r="BY29" s="86"/>
      <c r="BZ29" s="86"/>
      <c r="CA29" s="86"/>
      <c r="CB29" s="86"/>
      <c r="CC29" s="86"/>
      <c r="CD29" s="85"/>
    </row>
    <row r="30" spans="1:82" ht="21.15" customHeight="1" thickBot="1" x14ac:dyDescent="0.6">
      <c r="A30" s="85"/>
      <c r="B30" s="86"/>
      <c r="C30" s="86"/>
      <c r="D30" s="86"/>
      <c r="E30" s="86"/>
      <c r="F30" s="86"/>
      <c r="G30" s="245">
        <f>VLOOKUP(G27,市町村データ!A2:AX75,MATCH(手順書_人口!$F$57, 市町村データ!A1:AX1, 0),FALSE)</f>
        <v>171.26</v>
      </c>
      <c r="H30" s="154"/>
      <c r="I30" s="154"/>
      <c r="J30" s="155"/>
      <c r="K30" s="90"/>
      <c r="L30" s="86"/>
      <c r="M30" s="86"/>
      <c r="N30" s="86"/>
      <c r="O30" s="86"/>
      <c r="P30" s="86"/>
      <c r="Q30" s="86"/>
      <c r="R30" s="86"/>
      <c r="S30" s="266">
        <f>VLOOKUP(S27,市町村データ!A2:AX75,MATCH(手順書_人口!$F$57, 市町村データ!A1:AX1, 0),FALSE)</f>
        <v>193.05</v>
      </c>
      <c r="T30" s="151"/>
      <c r="U30" s="151"/>
      <c r="V30" s="151"/>
      <c r="W30" s="86"/>
      <c r="X30" s="86"/>
      <c r="Y30" s="86"/>
      <c r="Z30" s="86"/>
      <c r="AA30" s="86"/>
      <c r="AB30" s="86"/>
      <c r="AC30" s="86"/>
      <c r="AD30" s="86"/>
      <c r="AE30" s="86"/>
      <c r="AF30" s="86"/>
      <c r="AG30" s="86"/>
      <c r="AH30" s="86"/>
      <c r="AI30" s="232">
        <f>VLOOKUP(AI27,市町村データ!A2:AX75,MATCH(手順書_人口!$F$57, 市町村データ!A1:AX1, 0),FALSE)</f>
        <v>47.48</v>
      </c>
      <c r="AJ30" s="154"/>
      <c r="AK30" s="154"/>
      <c r="AL30" s="155"/>
      <c r="AM30" s="229">
        <f>VLOOKUP(AM27,市町村データ!A2:AX75,MATCH(手順書_人口!$F$57, 市町村データ!A1:AX1, 0),FALSE)</f>
        <v>48.99</v>
      </c>
      <c r="AN30" s="154"/>
      <c r="AO30" s="154"/>
      <c r="AP30" s="155"/>
      <c r="AQ30" s="264">
        <f>VLOOKUP(AQ27,市町村データ!A2:AX75,MATCH(手順書_人口!$F$57, 市町村データ!A1:AX1, 0),FALSE)</f>
        <v>14.64</v>
      </c>
      <c r="AR30" s="154"/>
      <c r="AS30" s="154"/>
      <c r="AT30" s="155"/>
      <c r="AU30" s="264">
        <f>VLOOKUP(AU27,市町村データ!A2:AX75,MATCH(手順書_人口!$F$57, 市町村データ!A1:AX1, 0),FALSE)</f>
        <v>19.77</v>
      </c>
      <c r="AV30" s="154"/>
      <c r="AW30" s="154"/>
      <c r="AX30" s="155"/>
      <c r="AY30" s="90"/>
      <c r="AZ30" s="86"/>
      <c r="BA30" s="86"/>
      <c r="BB30" s="86"/>
      <c r="BC30" s="267">
        <f>VLOOKUP(BC27,市町村データ!A2:AX75,MATCH(手順書_人口!$F$57, 市町村データ!A1:AX1, 0),FALSE)</f>
        <v>217.43</v>
      </c>
      <c r="BD30" s="151"/>
      <c r="BE30" s="151"/>
      <c r="BF30" s="151"/>
      <c r="BG30" s="86"/>
      <c r="BH30" s="86"/>
      <c r="BI30" s="86"/>
      <c r="BJ30" s="86"/>
      <c r="BK30" s="268">
        <f>VLOOKUP(BK27,市町村データ!A2:AX75,MATCH(手順書_人口!$F$57, 市町村データ!A1:AX1, 0),FALSE)</f>
        <v>60.24</v>
      </c>
      <c r="BL30" s="151"/>
      <c r="BM30" s="151"/>
      <c r="BN30" s="151"/>
      <c r="BO30" s="86"/>
      <c r="BP30" s="86"/>
      <c r="BQ30" s="86"/>
      <c r="BR30" s="86"/>
      <c r="BS30" s="264">
        <f>VLOOKUP(BS27,市町村データ!A2:AX75,MATCH(手順書_人口!$F$57, 市町村データ!A1:AX1, 0),FALSE)</f>
        <v>31.66</v>
      </c>
      <c r="BT30" s="154"/>
      <c r="BU30" s="154"/>
      <c r="BV30" s="155"/>
      <c r="BW30" s="90"/>
      <c r="BX30" s="86"/>
      <c r="BY30" s="86"/>
      <c r="BZ30" s="86"/>
      <c r="CA30" s="86"/>
      <c r="CB30" s="86"/>
      <c r="CC30" s="86"/>
      <c r="CD30" s="85"/>
    </row>
    <row r="31" spans="1:82" ht="21.15" customHeight="1" x14ac:dyDescent="0.55000000000000004">
      <c r="A31" s="85"/>
      <c r="B31" s="86"/>
      <c r="C31" s="87" t="s">
        <v>222</v>
      </c>
      <c r="D31" s="86"/>
      <c r="E31" s="86"/>
      <c r="F31" s="86"/>
      <c r="G31" s="96"/>
      <c r="H31" s="89"/>
      <c r="I31" s="89"/>
      <c r="J31" s="89"/>
      <c r="K31" s="86"/>
      <c r="L31" s="86"/>
      <c r="M31" s="86"/>
      <c r="N31" s="86"/>
      <c r="O31" s="86"/>
      <c r="P31" s="86"/>
      <c r="Q31" s="86"/>
      <c r="R31" s="86"/>
      <c r="S31" s="90"/>
      <c r="T31" s="86"/>
      <c r="U31" s="86"/>
      <c r="V31" s="86"/>
      <c r="W31" s="86"/>
      <c r="X31" s="86"/>
      <c r="Y31" s="86"/>
      <c r="Z31" s="86"/>
      <c r="AA31" s="86"/>
      <c r="AB31" s="86"/>
      <c r="AC31" s="86"/>
      <c r="AD31" s="86"/>
      <c r="AE31" s="86"/>
      <c r="AF31" s="86"/>
      <c r="AG31" s="86"/>
      <c r="AH31" s="86"/>
      <c r="AI31" s="89"/>
      <c r="AJ31" s="89"/>
      <c r="AK31" s="89"/>
      <c r="AL31" s="89"/>
      <c r="AM31" s="88">
        <v>57</v>
      </c>
      <c r="AN31" s="138" t="str">
        <f>VLOOKUP(AM31,市町村データ!A2:AX75,MATCH(手順書_人口!$G$54, 市町村データ!A1:AX1, 0),FALSE)</f>
        <v>入間市</v>
      </c>
      <c r="AO31" s="159"/>
      <c r="AP31" s="160"/>
      <c r="AQ31" s="88">
        <v>58</v>
      </c>
      <c r="AR31" s="138" t="str">
        <f>VLOOKUP(AQ31,市町村データ!A2:AX75,MATCH(手順書_人口!$G$54, 市町村データ!A1:AX1, 0),FALSE)</f>
        <v>三芳町</v>
      </c>
      <c r="AS31" s="159"/>
      <c r="AT31" s="160"/>
      <c r="AU31" s="88">
        <v>59</v>
      </c>
      <c r="AV31" s="138" t="str">
        <f>VLOOKUP(AU31,市町村データ!A2:AX75,MATCH(手順書_人口!$G$54, 市町村データ!A1:AX1, 0),FALSE)</f>
        <v>志木市</v>
      </c>
      <c r="AW31" s="159"/>
      <c r="AX31" s="160"/>
      <c r="AY31" s="103"/>
      <c r="AZ31" s="86"/>
      <c r="BA31" s="86"/>
      <c r="BB31" s="86"/>
      <c r="BC31" s="19"/>
      <c r="BD31" s="86"/>
      <c r="BE31" s="86"/>
      <c r="BF31" s="86"/>
      <c r="BG31" s="19"/>
      <c r="BH31" s="86"/>
      <c r="BI31" s="86"/>
      <c r="BJ31" s="86"/>
      <c r="BK31" s="90"/>
      <c r="BL31" s="86"/>
      <c r="BM31" s="86"/>
      <c r="BN31" s="86"/>
      <c r="BO31" s="86"/>
      <c r="BP31" s="86"/>
      <c r="BQ31" s="86"/>
      <c r="BR31" s="86"/>
      <c r="BS31" s="88">
        <v>63</v>
      </c>
      <c r="BT31" s="138" t="str">
        <f>VLOOKUP(BS31,市町村データ!A2:AX75,MATCH(手順書_人口!$G$54, 市町村データ!A1:AX1, 0),FALSE)</f>
        <v>三郷市</v>
      </c>
      <c r="BU31" s="159"/>
      <c r="BV31" s="160"/>
      <c r="BW31" s="90"/>
      <c r="BX31" s="86"/>
      <c r="BY31" s="86"/>
      <c r="BZ31" s="86"/>
      <c r="CA31" s="86"/>
      <c r="CB31" s="86"/>
      <c r="CC31" s="86"/>
      <c r="CD31" s="85"/>
    </row>
    <row r="32" spans="1:82" ht="21.15" customHeight="1" x14ac:dyDescent="0.55000000000000004">
      <c r="A32" s="85"/>
      <c r="B32" s="86"/>
      <c r="C32" s="86"/>
      <c r="D32" s="86"/>
      <c r="E32" s="86"/>
      <c r="F32" s="86"/>
      <c r="G32" s="90"/>
      <c r="H32" s="86"/>
      <c r="I32" s="86"/>
      <c r="J32" s="86"/>
      <c r="K32" s="86"/>
      <c r="L32" s="86"/>
      <c r="M32" s="86"/>
      <c r="N32" s="86"/>
      <c r="O32" s="86"/>
      <c r="P32" s="86"/>
      <c r="Q32" s="86"/>
      <c r="R32" s="86"/>
      <c r="S32" s="90"/>
      <c r="T32" s="86"/>
      <c r="U32" s="86"/>
      <c r="V32" s="86"/>
      <c r="W32" s="86"/>
      <c r="X32" s="86"/>
      <c r="Y32" s="86"/>
      <c r="Z32" s="86"/>
      <c r="AA32" s="86"/>
      <c r="AB32" s="86"/>
      <c r="AC32" s="86"/>
      <c r="AD32" s="86"/>
      <c r="AE32" s="86"/>
      <c r="AF32" s="86"/>
      <c r="AG32" s="86"/>
      <c r="AH32" s="86"/>
      <c r="AI32" s="86"/>
      <c r="AJ32" s="86"/>
      <c r="AK32" s="86"/>
      <c r="AL32" s="86"/>
      <c r="AM32" s="236">
        <f>VLOOKUP(AM31,市町村データ!A2:AX75,MATCH(手順書_人口!$F$55, 市町村データ!A1:AX1, 0),FALSE)</f>
        <v>3259.1</v>
      </c>
      <c r="AN32" s="151"/>
      <c r="AO32" s="151"/>
      <c r="AP32" s="152"/>
      <c r="AQ32" s="227">
        <f>VLOOKUP(AQ31,市町村データ!A2:AX75,MATCH(手順書_人口!$F$55, 市町村データ!A1:AX1, 0),FALSE)</f>
        <v>2507.1</v>
      </c>
      <c r="AR32" s="151"/>
      <c r="AS32" s="151"/>
      <c r="AT32" s="152"/>
      <c r="AU32" s="265">
        <f>VLOOKUP(AU31,市町村データ!A2:AX75,MATCH(手順書_人口!$F$55, 市町村データ!A1:AX1, 0),FALSE)</f>
        <v>8325.5</v>
      </c>
      <c r="AV32" s="151"/>
      <c r="AW32" s="151"/>
      <c r="AX32" s="152"/>
      <c r="AY32" s="102"/>
      <c r="AZ32" s="86"/>
      <c r="BA32" s="86"/>
      <c r="BB32" s="86"/>
      <c r="BC32" s="97"/>
      <c r="BD32" s="86"/>
      <c r="BE32" s="86"/>
      <c r="BF32" s="86"/>
      <c r="BG32" s="97"/>
      <c r="BH32" s="86"/>
      <c r="BI32" s="86"/>
      <c r="BJ32" s="86"/>
      <c r="BK32" s="90"/>
      <c r="BL32" s="86"/>
      <c r="BM32" s="86"/>
      <c r="BN32" s="86"/>
      <c r="BO32" s="86"/>
      <c r="BP32" s="86"/>
      <c r="BQ32" s="86"/>
      <c r="BR32" s="86"/>
      <c r="BS32" s="236">
        <f>VLOOKUP(BS31,市町村データ!A2:AX75,MATCH(手順書_人口!$F$55, 市町村データ!A1:AX1, 0),FALSE)</f>
        <v>4717.7</v>
      </c>
      <c r="BT32" s="151"/>
      <c r="BU32" s="151"/>
      <c r="BV32" s="152"/>
      <c r="BW32" s="90"/>
      <c r="BX32" s="86"/>
      <c r="BY32" s="86"/>
      <c r="BZ32" s="86"/>
      <c r="CA32" s="86"/>
      <c r="CB32" s="86"/>
      <c r="CC32" s="86"/>
      <c r="CD32" s="85"/>
    </row>
    <row r="33" spans="1:82" ht="21.15" customHeight="1" x14ac:dyDescent="0.55000000000000004">
      <c r="A33" s="85"/>
      <c r="B33" s="86"/>
      <c r="C33" s="86"/>
      <c r="D33" s="86"/>
      <c r="E33" s="86"/>
      <c r="F33" s="86"/>
      <c r="G33" s="90"/>
      <c r="H33" s="86"/>
      <c r="I33" s="86"/>
      <c r="J33" s="86"/>
      <c r="K33" s="86"/>
      <c r="L33" s="86"/>
      <c r="M33" s="86"/>
      <c r="N33" s="86"/>
      <c r="O33" s="86"/>
      <c r="P33" s="86"/>
      <c r="Q33" s="86"/>
      <c r="R33" s="86"/>
      <c r="S33" s="90"/>
      <c r="T33" s="86"/>
      <c r="U33" s="86"/>
      <c r="V33" s="86"/>
      <c r="W33" s="86"/>
      <c r="X33" s="86"/>
      <c r="Y33" s="86"/>
      <c r="Z33" s="86"/>
      <c r="AA33" s="86"/>
      <c r="AB33" s="86"/>
      <c r="AC33" s="86"/>
      <c r="AD33" s="86"/>
      <c r="AE33" s="86"/>
      <c r="AF33" s="86"/>
      <c r="AG33" s="86"/>
      <c r="AH33" s="86"/>
      <c r="AI33" s="97"/>
      <c r="AJ33" s="86"/>
      <c r="AK33" s="86"/>
      <c r="AL33" s="86"/>
      <c r="AM33" s="240">
        <f>VLOOKUP(AM31,市町村データ!A2:AX75,MATCH(手順書_人口!$F$56, 市町村データ!A1:AX1, 0),FALSE)</f>
        <v>145651</v>
      </c>
      <c r="AN33" s="151"/>
      <c r="AO33" s="151"/>
      <c r="AP33" s="152"/>
      <c r="AQ33" s="234">
        <f>VLOOKUP(AQ31,市町村データ!A2:AX75,MATCH(手順書_人口!$F$56, 市町村データ!A1:AX1, 0),FALSE)</f>
        <v>38434</v>
      </c>
      <c r="AR33" s="151"/>
      <c r="AS33" s="151"/>
      <c r="AT33" s="152"/>
      <c r="AU33" s="263">
        <f>VLOOKUP(AU31,市町村データ!A2:AX75,MATCH(手順書_人口!$F$56, 市町村データ!A1:AX1, 0),FALSE)</f>
        <v>75346</v>
      </c>
      <c r="AV33" s="151"/>
      <c r="AW33" s="151"/>
      <c r="AX33" s="152"/>
      <c r="AY33" s="90"/>
      <c r="AZ33" s="86"/>
      <c r="BA33" s="86"/>
      <c r="BB33" s="86"/>
      <c r="BC33" s="86"/>
      <c r="BD33" s="86"/>
      <c r="BE33" s="86"/>
      <c r="BF33" s="86"/>
      <c r="BG33" s="86"/>
      <c r="BH33" s="86"/>
      <c r="BI33" s="86"/>
      <c r="BJ33" s="86"/>
      <c r="BK33" s="90"/>
      <c r="BL33" s="86"/>
      <c r="BM33" s="86"/>
      <c r="BN33" s="86"/>
      <c r="BO33" s="86"/>
      <c r="BP33" s="86"/>
      <c r="BQ33" s="86"/>
      <c r="BR33" s="86"/>
      <c r="BS33" s="240">
        <f>VLOOKUP(BS31,市町村データ!A2:AX75,MATCH(手順書_人口!$F$56, 市町村データ!A1:AX1, 0),FALSE)</f>
        <v>142145</v>
      </c>
      <c r="BT33" s="151"/>
      <c r="BU33" s="151"/>
      <c r="BV33" s="152"/>
      <c r="BW33" s="90"/>
      <c r="BX33" s="86"/>
      <c r="BY33" s="86"/>
      <c r="BZ33" s="86"/>
      <c r="CA33" s="86"/>
      <c r="CB33" s="86"/>
      <c r="CC33" s="86"/>
      <c r="CD33" s="85"/>
    </row>
    <row r="34" spans="1:82" ht="21.15" customHeight="1" thickBot="1" x14ac:dyDescent="0.6">
      <c r="A34" s="85"/>
      <c r="B34" s="86"/>
      <c r="C34" s="86"/>
      <c r="D34" s="86"/>
      <c r="E34" s="86"/>
      <c r="F34" s="86"/>
      <c r="G34" s="90"/>
      <c r="H34" s="86"/>
      <c r="I34" s="86"/>
      <c r="J34" s="86"/>
      <c r="K34" s="86"/>
      <c r="L34" s="86"/>
      <c r="M34" s="86"/>
      <c r="N34" s="86"/>
      <c r="O34" s="86"/>
      <c r="P34" s="86"/>
      <c r="Q34" s="86"/>
      <c r="R34" s="86"/>
      <c r="S34" s="90"/>
      <c r="T34" s="86"/>
      <c r="U34" s="86"/>
      <c r="V34" s="86"/>
      <c r="W34" s="86"/>
      <c r="X34" s="86"/>
      <c r="Y34" s="86"/>
      <c r="Z34" s="86"/>
      <c r="AA34" s="86"/>
      <c r="AB34" s="86"/>
      <c r="AC34" s="86"/>
      <c r="AD34" s="86"/>
      <c r="AE34" s="86"/>
      <c r="AF34" s="86"/>
      <c r="AG34" s="86"/>
      <c r="AH34" s="86"/>
      <c r="AI34" s="86"/>
      <c r="AJ34" s="86"/>
      <c r="AK34" s="86"/>
      <c r="AL34" s="86"/>
      <c r="AM34" s="229">
        <f>VLOOKUP(AM31,市町村データ!A2:AX75,MATCH(手順書_人口!$F$57, 市町村データ!A1:AX1, 0),FALSE)</f>
        <v>44.69</v>
      </c>
      <c r="AN34" s="154"/>
      <c r="AO34" s="154"/>
      <c r="AP34" s="155"/>
      <c r="AQ34" s="232">
        <f>VLOOKUP(AQ31,市町村データ!A2:AX75,MATCH(手順書_人口!$F$57, 市町村データ!A1:AX1, 0),FALSE)</f>
        <v>15.33</v>
      </c>
      <c r="AR34" s="154"/>
      <c r="AS34" s="154"/>
      <c r="AT34" s="155"/>
      <c r="AU34" s="264">
        <f>VLOOKUP(AU31,市町村データ!A2:AX75,MATCH(手順書_人口!$F$57, 市町村データ!A1:AX1, 0),FALSE)</f>
        <v>9.0500000000000007</v>
      </c>
      <c r="AV34" s="154"/>
      <c r="AW34" s="154"/>
      <c r="AX34" s="155"/>
      <c r="AY34" s="90"/>
      <c r="AZ34" s="86"/>
      <c r="BA34" s="86"/>
      <c r="BB34" s="86"/>
      <c r="BC34" s="86"/>
      <c r="BD34" s="86"/>
      <c r="BE34" s="86"/>
      <c r="BF34" s="86"/>
      <c r="BG34" s="86"/>
      <c r="BH34" s="86"/>
      <c r="BI34" s="86"/>
      <c r="BJ34" s="86"/>
      <c r="BK34" s="90"/>
      <c r="BL34" s="86"/>
      <c r="BM34" s="86"/>
      <c r="BN34" s="86"/>
      <c r="BO34" s="86"/>
      <c r="BP34" s="86"/>
      <c r="BQ34" s="86"/>
      <c r="BR34" s="86"/>
      <c r="BS34" s="229">
        <f>VLOOKUP(BS31,市町村データ!A2:AX75,MATCH(手順書_人口!$F$57, 市町村データ!A1:AX1, 0),FALSE)</f>
        <v>30.13</v>
      </c>
      <c r="BT34" s="154"/>
      <c r="BU34" s="154"/>
      <c r="BV34" s="155"/>
      <c r="BW34" s="90"/>
      <c r="BX34" s="86"/>
      <c r="BY34" s="86"/>
      <c r="BZ34" s="86"/>
      <c r="CA34" s="86"/>
      <c r="CB34" s="86"/>
      <c r="CC34" s="86"/>
      <c r="CD34" s="85"/>
    </row>
    <row r="35" spans="1:82" ht="21.15" customHeight="1" x14ac:dyDescent="0.55000000000000004">
      <c r="A35" s="85"/>
      <c r="B35" s="86"/>
      <c r="C35" s="87" t="s">
        <v>223</v>
      </c>
      <c r="D35" s="86"/>
      <c r="E35" s="86"/>
      <c r="F35" s="86"/>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8">
        <v>64</v>
      </c>
      <c r="AN35" s="138" t="str">
        <f>VLOOKUP(AM35,市町村データ!A2:AX75,MATCH(手順書_人口!$G$54, 市町村データ!A1:AX1, 0),FALSE)</f>
        <v>所沢市</v>
      </c>
      <c r="AO35" s="159"/>
      <c r="AP35" s="160"/>
      <c r="AQ35" s="88">
        <v>65</v>
      </c>
      <c r="AR35" s="138" t="str">
        <f>VLOOKUP(AQ35,市町村データ!A2:AX75,MATCH(手順書_人口!$G$54, 市町村データ!A1:AX1, 0),FALSE)</f>
        <v>新座市</v>
      </c>
      <c r="AS35" s="159"/>
      <c r="AT35" s="160"/>
      <c r="AU35" s="88">
        <v>66</v>
      </c>
      <c r="AV35" s="138" t="str">
        <f>VLOOKUP(AU35,市町村データ!A2:AX75,MATCH(手順書_人口!$G$54, 市町村データ!A1:AX1, 0),FALSE)</f>
        <v>朝霞市</v>
      </c>
      <c r="AW35" s="159"/>
      <c r="AX35" s="160"/>
      <c r="AY35" s="88">
        <v>67</v>
      </c>
      <c r="AZ35" s="138" t="str">
        <f>VLOOKUP(AY35,市町村データ!A2:AX75,MATCH(手順書_人口!$G$54, 市町村データ!A1:AX1, 0),FALSE)</f>
        <v>和光市</v>
      </c>
      <c r="BA35" s="159"/>
      <c r="BB35" s="160"/>
      <c r="BC35" s="88">
        <v>68</v>
      </c>
      <c r="BD35" s="138" t="str">
        <f>VLOOKUP(BC35,市町村データ!A2:AX75,MATCH(手順書_人口!$G$54, 市町村データ!A1:AX1, 0),FALSE)</f>
        <v>戸田市</v>
      </c>
      <c r="BE35" s="159"/>
      <c r="BF35" s="160"/>
      <c r="BG35" s="88">
        <v>69</v>
      </c>
      <c r="BH35" s="138" t="str">
        <f>VLOOKUP(BG35,市町村データ!A2:AX75,MATCH(手順書_人口!$G$54, 市町村データ!A1:AX1, 0),FALSE)</f>
        <v>蕨市</v>
      </c>
      <c r="BI35" s="159"/>
      <c r="BJ35" s="160"/>
      <c r="BK35" s="88">
        <v>70</v>
      </c>
      <c r="BL35" s="138" t="str">
        <f>VLOOKUP(BK35,市町村データ!A2:AX75,MATCH(手順書_人口!$G$54, 市町村データ!A1:AX1, 0),FALSE)</f>
        <v>川口市</v>
      </c>
      <c r="BM35" s="159"/>
      <c r="BN35" s="160"/>
      <c r="BO35" s="88">
        <v>71</v>
      </c>
      <c r="BP35" s="138" t="str">
        <f>VLOOKUP(BO35,市町村データ!A2:AX75,MATCH(手順書_人口!$G$54, 市町村データ!A1:AX1, 0),FALSE)</f>
        <v>草加市</v>
      </c>
      <c r="BQ35" s="159"/>
      <c r="BR35" s="160"/>
      <c r="BS35" s="88">
        <v>72</v>
      </c>
      <c r="BT35" s="138" t="str">
        <f>VLOOKUP(BS35,市町村データ!A2:AX75,MATCH(手順書_人口!$G$54, 市町村データ!A1:AX1, 0),FALSE)</f>
        <v>八潮市</v>
      </c>
      <c r="BU35" s="159"/>
      <c r="BV35" s="160"/>
      <c r="BW35" s="90"/>
      <c r="BX35" s="86"/>
      <c r="BY35" s="86"/>
      <c r="BZ35" s="86"/>
      <c r="CA35" s="86"/>
      <c r="CB35" s="86"/>
      <c r="CC35" s="86"/>
      <c r="CD35" s="85"/>
    </row>
    <row r="36" spans="1:82"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104">
        <v>40</v>
      </c>
      <c r="AE36" s="104">
        <v>41</v>
      </c>
      <c r="AF36" s="104">
        <v>42</v>
      </c>
      <c r="AG36" s="104">
        <v>43</v>
      </c>
      <c r="AH36" s="86" t="s">
        <v>224</v>
      </c>
      <c r="AI36" s="104" t="s">
        <v>200</v>
      </c>
      <c r="AJ36" s="86"/>
      <c r="AK36" s="86"/>
      <c r="AL36" s="86"/>
      <c r="AM36" s="244">
        <f>VLOOKUP(AM35,市町村データ!A2:AX75,MATCH(手順書_人口!$F$55, 市町村データ!A1:AX1, 0),FALSE)</f>
        <v>4749.2</v>
      </c>
      <c r="AN36" s="151"/>
      <c r="AO36" s="151"/>
      <c r="AP36" s="152"/>
      <c r="AQ36" s="236">
        <f>VLOOKUP(AQ35,市町村データ!A2:AX75,MATCH(手順書_人口!$F$55, 市町村データ!A1:AX1, 0),FALSE)</f>
        <v>7287.8</v>
      </c>
      <c r="AR36" s="151"/>
      <c r="AS36" s="151"/>
      <c r="AT36" s="152"/>
      <c r="AU36" s="236">
        <f>VLOOKUP(AU35,市町村データ!A2:AX75,MATCH(手順書_人口!$F$55, 市町村データ!A1:AX1, 0),FALSE)</f>
        <v>7692.6</v>
      </c>
      <c r="AV36" s="151"/>
      <c r="AW36" s="151"/>
      <c r="AX36" s="152"/>
      <c r="AY36" s="265">
        <f>VLOOKUP(AY35,市町村データ!A2:AX75,MATCH(手順書_人口!$F$55, 市町村データ!A1:AX1, 0),FALSE)</f>
        <v>7607.7</v>
      </c>
      <c r="AZ36" s="151"/>
      <c r="BA36" s="151"/>
      <c r="BB36" s="152"/>
      <c r="BC36" s="236">
        <f>VLOOKUP(BC35,市町村データ!A2:AX75,MATCH(手順書_人口!$F$55, 市町村データ!A1:AX1, 0),FALSE)</f>
        <v>7746</v>
      </c>
      <c r="BD36" s="151"/>
      <c r="BE36" s="151"/>
      <c r="BF36" s="152"/>
      <c r="BG36" s="265">
        <f>VLOOKUP(BG35,市町村データ!A2:AX75,MATCH(手順書_人口!$F$55, 市町村データ!A1:AX1, 0),FALSE)</f>
        <v>14536.8</v>
      </c>
      <c r="BH36" s="151"/>
      <c r="BI36" s="151"/>
      <c r="BJ36" s="152"/>
      <c r="BK36" s="238">
        <f>VLOOKUP(BK35,市町村データ!A2:AX75,MATCH(手順書_人口!$F$55, 市町村データ!A1:AX1, 0),FALSE)</f>
        <v>9592.7999999999993</v>
      </c>
      <c r="BL36" s="151"/>
      <c r="BM36" s="151"/>
      <c r="BN36" s="152"/>
      <c r="BO36" s="236">
        <f>VLOOKUP(BO35,市町村データ!A2:AX75,MATCH(手順書_人口!$F$55, 市町村データ!A1:AX1, 0),FALSE)</f>
        <v>9042.4</v>
      </c>
      <c r="BP36" s="151"/>
      <c r="BQ36" s="151"/>
      <c r="BR36" s="152"/>
      <c r="BS36" s="265">
        <f>VLOOKUP(BS35,市町村データ!A2:AX75,MATCH(手順書_人口!$F$55, 市町村データ!A1:AX1, 0),FALSE)</f>
        <v>5181.1000000000004</v>
      </c>
      <c r="BT36" s="151"/>
      <c r="BU36" s="151"/>
      <c r="BV36" s="152"/>
      <c r="BW36" s="90"/>
      <c r="BX36" s="86"/>
      <c r="BY36" s="86"/>
      <c r="BZ36" s="86"/>
      <c r="CA36" s="86"/>
      <c r="CB36" s="86"/>
      <c r="CC36" s="86"/>
      <c r="CD36" s="85"/>
    </row>
    <row r="37" spans="1:82"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104">
        <v>52</v>
      </c>
      <c r="AF37" s="104">
        <v>53</v>
      </c>
      <c r="AG37" s="104">
        <v>54</v>
      </c>
      <c r="AH37" s="86"/>
      <c r="AI37" s="86"/>
      <c r="AJ37" s="86"/>
      <c r="AK37" s="86"/>
      <c r="AL37" s="86"/>
      <c r="AM37" s="250">
        <f>VLOOKUP(AM35,市町村データ!A2:AX75,MATCH(手順書_人口!$F$56, 市町村データ!A1:AX1, 0),FALSE)</f>
        <v>342464</v>
      </c>
      <c r="AN37" s="151"/>
      <c r="AO37" s="151"/>
      <c r="AP37" s="152"/>
      <c r="AQ37" s="240">
        <f>VLOOKUP(AQ35,市町村データ!A2:AX75,MATCH(手順書_人口!$F$56, 市町村データ!A1:AX1, 0),FALSE)</f>
        <v>166017</v>
      </c>
      <c r="AR37" s="151"/>
      <c r="AS37" s="151"/>
      <c r="AT37" s="152"/>
      <c r="AU37" s="240">
        <f>VLOOKUP(AU35,市町村データ!A2:AX75,MATCH(手順書_人口!$F$56, 市町村データ!A1:AX1, 0),FALSE)</f>
        <v>141083</v>
      </c>
      <c r="AV37" s="151"/>
      <c r="AW37" s="151"/>
      <c r="AX37" s="152"/>
      <c r="AY37" s="263">
        <f>VLOOKUP(AY35,市町村データ!A2:AX75,MATCH(手順書_人口!$F$56, 市町村データ!A1:AX1, 0),FALSE)</f>
        <v>83989</v>
      </c>
      <c r="AZ37" s="151"/>
      <c r="BA37" s="151"/>
      <c r="BB37" s="152"/>
      <c r="BC37" s="240">
        <f>VLOOKUP(BC35,市町村データ!A2:AX75,MATCH(手順書_人口!$F$56, 市町村データ!A1:AX1, 0),FALSE)</f>
        <v>140899</v>
      </c>
      <c r="BD37" s="151"/>
      <c r="BE37" s="151"/>
      <c r="BF37" s="152"/>
      <c r="BG37" s="263">
        <f>VLOOKUP(BG35,市町村データ!A2:AX75,MATCH(手順書_人口!$F$56, 市町村データ!A1:AX1, 0),FALSE)</f>
        <v>74283</v>
      </c>
      <c r="BH37" s="151"/>
      <c r="BI37" s="151"/>
      <c r="BJ37" s="152"/>
      <c r="BK37" s="233">
        <f>VLOOKUP(BK35,市町村データ!A2:AX75,MATCH(手順書_人口!$F$56, 市町村データ!A1:AX1, 0),FALSE)</f>
        <v>594274</v>
      </c>
      <c r="BL37" s="151"/>
      <c r="BM37" s="151"/>
      <c r="BN37" s="152"/>
      <c r="BO37" s="240">
        <f>VLOOKUP(BO35,市町村データ!A2:AX75,MATCH(手順書_人口!$F$56, 市町村データ!A1:AX1, 0),FALSE)</f>
        <v>248304</v>
      </c>
      <c r="BP37" s="151"/>
      <c r="BQ37" s="151"/>
      <c r="BR37" s="152"/>
      <c r="BS37" s="263">
        <f>VLOOKUP(BS35,市町村データ!A2:AX75,MATCH(手順書_人口!$F$56, 市町村データ!A1:AX1, 0),FALSE)</f>
        <v>93363</v>
      </c>
      <c r="BT37" s="151"/>
      <c r="BU37" s="151"/>
      <c r="BV37" s="152"/>
      <c r="BW37" s="90"/>
      <c r="BX37" s="86"/>
      <c r="BY37" s="86"/>
      <c r="BZ37" s="86"/>
      <c r="CA37" s="86"/>
      <c r="CB37" s="86"/>
      <c r="CC37" s="86"/>
      <c r="CD37" s="85"/>
    </row>
    <row r="38" spans="1:82" ht="21.15" customHeight="1" thickBot="1" x14ac:dyDescent="0.6">
      <c r="A38" s="85"/>
      <c r="B38" s="86" t="s">
        <v>361</v>
      </c>
      <c r="C38" s="86"/>
      <c r="D38" s="86"/>
      <c r="E38" s="86"/>
      <c r="F38" s="86"/>
      <c r="G38" s="98"/>
      <c r="H38" s="86"/>
      <c r="I38" s="86"/>
      <c r="J38" s="86"/>
      <c r="K38" s="86"/>
      <c r="L38" s="86"/>
      <c r="M38" s="86"/>
      <c r="N38" s="86"/>
      <c r="O38" s="86"/>
      <c r="P38" s="86"/>
      <c r="Q38" s="86"/>
      <c r="R38" s="86"/>
      <c r="S38" s="86"/>
      <c r="T38" s="86"/>
      <c r="U38" s="86"/>
      <c r="V38" s="86"/>
      <c r="W38" s="86"/>
      <c r="X38" s="86"/>
      <c r="Y38" s="86"/>
      <c r="Z38" s="86"/>
      <c r="AA38" s="86"/>
      <c r="AB38" s="86"/>
      <c r="AC38" s="86"/>
      <c r="AD38" s="86"/>
      <c r="AE38" s="104">
        <v>60</v>
      </c>
      <c r="AF38" s="104">
        <v>61</v>
      </c>
      <c r="AG38" s="104">
        <v>62</v>
      </c>
      <c r="AH38" s="86"/>
      <c r="AI38" s="86"/>
      <c r="AJ38" s="86"/>
      <c r="AK38" s="86"/>
      <c r="AL38" s="86"/>
      <c r="AM38" s="247">
        <f>VLOOKUP(AM35,市町村データ!A2:AX75,MATCH(手順書_人口!$F$57, 市町村データ!A1:AX1, 0),FALSE)</f>
        <v>72.11</v>
      </c>
      <c r="AN38" s="154"/>
      <c r="AO38" s="154"/>
      <c r="AP38" s="155"/>
      <c r="AQ38" s="229">
        <f>VLOOKUP(AQ35,市町村データ!A2:AX75,MATCH(手順書_人口!$F$57, 市町村データ!A1:AX1, 0),FALSE)</f>
        <v>22.78</v>
      </c>
      <c r="AR38" s="154"/>
      <c r="AS38" s="154"/>
      <c r="AT38" s="155"/>
      <c r="AU38" s="229">
        <f>VLOOKUP(AU35,市町村データ!A2:AX75,MATCH(手順書_人口!$F$57, 市町村データ!A1:AX1, 0),FALSE)</f>
        <v>18.34</v>
      </c>
      <c r="AV38" s="154"/>
      <c r="AW38" s="154"/>
      <c r="AX38" s="155"/>
      <c r="AY38" s="264">
        <f>VLOOKUP(AY35,市町村データ!A2:AX75,MATCH(手順書_人口!$F$57, 市町村データ!A1:AX1, 0),FALSE)</f>
        <v>11.04</v>
      </c>
      <c r="AZ38" s="154"/>
      <c r="BA38" s="154"/>
      <c r="BB38" s="155"/>
      <c r="BC38" s="229">
        <f>VLOOKUP(BC35,市町村データ!A2:AX75,MATCH(手順書_人口!$F$57, 市町村データ!A1:AX1, 0),FALSE)</f>
        <v>18.190000000000001</v>
      </c>
      <c r="BD38" s="154"/>
      <c r="BE38" s="154"/>
      <c r="BF38" s="155"/>
      <c r="BG38" s="264">
        <f>VLOOKUP(BG35,市町村データ!A2:AX75,MATCH(手順書_人口!$F$57, 市町村データ!A1:AX1, 0),FALSE)</f>
        <v>5.1100000000000003</v>
      </c>
      <c r="BH38" s="154"/>
      <c r="BI38" s="154"/>
      <c r="BJ38" s="155"/>
      <c r="BK38" s="231">
        <f>VLOOKUP(BK35,市町村データ!A2:AX75,MATCH(手順書_人口!$F$57, 市町村データ!A1:AX1, 0),FALSE)</f>
        <v>61.95</v>
      </c>
      <c r="BL38" s="154"/>
      <c r="BM38" s="154"/>
      <c r="BN38" s="155"/>
      <c r="BO38" s="229">
        <f>VLOOKUP(BO35,市町村データ!A2:AX75,MATCH(手順書_人口!$F$57, 市町村データ!A1:AX1, 0),FALSE)</f>
        <v>27.46</v>
      </c>
      <c r="BP38" s="154"/>
      <c r="BQ38" s="154"/>
      <c r="BR38" s="155"/>
      <c r="BS38" s="264">
        <f>VLOOKUP(BS35,市町村データ!A2:AX75,MATCH(手順書_人口!$F$57, 市町村データ!A1:AX1, 0),FALSE)</f>
        <v>18.02</v>
      </c>
      <c r="BT38" s="154"/>
      <c r="BU38" s="154"/>
      <c r="BV38" s="155"/>
      <c r="BW38" s="90"/>
      <c r="BX38" s="86"/>
      <c r="BY38" s="86"/>
      <c r="BZ38" s="86"/>
      <c r="CA38" s="86"/>
      <c r="CB38" s="86"/>
      <c r="CC38" s="86"/>
      <c r="CD38" s="85"/>
    </row>
    <row r="39" spans="1:82" ht="21.15" customHeight="1" x14ac:dyDescent="0.55000000000000004">
      <c r="A39" s="85"/>
      <c r="B39" s="86" t="s">
        <v>360</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6"/>
      <c r="BX39" s="86"/>
      <c r="BY39" s="86"/>
      <c r="BZ39" s="86"/>
      <c r="CA39" s="86"/>
      <c r="CB39" s="86"/>
      <c r="CC39" s="86"/>
      <c r="CD39" s="85"/>
    </row>
    <row r="40" spans="1:82"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row>
  </sheetData>
  <mergeCells count="280">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X11:BZ11"/>
    <mergeCell ref="CA11:CB11"/>
    <mergeCell ref="BX12:BZ12"/>
    <mergeCell ref="CA12:CB12"/>
    <mergeCell ref="BX13:BZ13"/>
    <mergeCell ref="CA13:CB13"/>
    <mergeCell ref="BX8:BZ8"/>
    <mergeCell ref="CA8:CB8"/>
    <mergeCell ref="BX9:BZ9"/>
    <mergeCell ref="CA9:CB9"/>
    <mergeCell ref="BX10:BZ10"/>
    <mergeCell ref="CA10:CB10"/>
    <mergeCell ref="BX17:BZ17"/>
    <mergeCell ref="CA17:CB17"/>
    <mergeCell ref="BX18:BZ18"/>
    <mergeCell ref="CA18:CB18"/>
    <mergeCell ref="BX14:BZ14"/>
    <mergeCell ref="CA14:CB14"/>
    <mergeCell ref="BX15:BZ15"/>
    <mergeCell ref="CA15:CB15"/>
    <mergeCell ref="BX16:BZ16"/>
    <mergeCell ref="CA16:CB1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手順書_はじめに</vt:lpstr>
      <vt:lpstr>自動生成_地図データ</vt:lpstr>
      <vt:lpstr>CHANGELOG</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2025-06-10T19:54:15Z</dcterms:modified>
</cp:coreProperties>
</file>