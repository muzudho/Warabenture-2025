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muzud\OneDrive\ドキュメント\Team Mirai\"/>
    </mc:Choice>
  </mc:AlternateContent>
  <xr:revisionPtr revIDLastSave="0" documentId="13_ncr:1_{3046B4AD-CC42-4E63-9D6E-5ACF3BA89F5D}" xr6:coauthVersionLast="47" xr6:coauthVersionMax="47" xr10:uidLastSave="{00000000-0000-0000-0000-000000000000}"/>
  <bookViews>
    <workbookView xWindow="-28350" yWindow="8550" windowWidth="27810" windowHeight="15240" tabRatio="704" xr2:uid="{F917344C-C780-48F4-9CB5-33E5B2D23EE5}"/>
  </bookViews>
  <sheets>
    <sheet name="手順書_はじめに" sheetId="179" r:id="rId1"/>
    <sheet name="自動生成_地図データ" sheetId="218" r:id="rId2"/>
    <sheet name="地図テンプレート_1" sheetId="9" r:id="rId3"/>
    <sheet name="地図テンプレート_2" sheetId="49" r:id="rId4"/>
    <sheet name="市町村データ" sheetId="5" r:id="rId5"/>
    <sheet name="手順書_市町村なまえ" sheetId="116" r:id="rId6"/>
    <sheet name="自動生成_市町村なまえ" sheetId="225" r:id="rId7"/>
    <sheet name="手順書_人口密度" sheetId="114" r:id="rId8"/>
    <sheet name="自動生成_人口密度" sheetId="229" r:id="rId9"/>
    <sheet name="手順書_人口" sheetId="13" r:id="rId10"/>
    <sheet name="自動生成_人口" sheetId="230" r:id="rId11"/>
  </sheets>
  <functionGroups builtInGroupCount="19"/>
  <definedNames>
    <definedName name="_xlnm._FilterDatabase" localSheetId="4" hidden="1">市町村データ!$A$4:$F$77</definedName>
    <definedName name="市町村データヘッダー">市町村データ!$A$4:$F$4</definedName>
    <definedName name="市町村データ領域">市町村データ!$A$4:$F$77</definedName>
    <definedName name="凡例_人口密度">#REF!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C30" i="230" l="1"/>
  <c r="BC29" i="230"/>
  <c r="BC28" i="230"/>
  <c r="BD27" i="230"/>
  <c r="BS38" i="230"/>
  <c r="BS37" i="230"/>
  <c r="BS36" i="230"/>
  <c r="BT35" i="230"/>
  <c r="BO38" i="230"/>
  <c r="BO37" i="230"/>
  <c r="BO36" i="230"/>
  <c r="BP35" i="230"/>
  <c r="BK38" i="230"/>
  <c r="BK37" i="230"/>
  <c r="BK36" i="230"/>
  <c r="BL35" i="230"/>
  <c r="BG38" i="230"/>
  <c r="BG37" i="230"/>
  <c r="BG36" i="230"/>
  <c r="BH35" i="230"/>
  <c r="BC38" i="230"/>
  <c r="BC37" i="230"/>
  <c r="BC36" i="230"/>
  <c r="BD35" i="230"/>
  <c r="AY38" i="230"/>
  <c r="AY37" i="230"/>
  <c r="AY36" i="230"/>
  <c r="AZ35" i="230"/>
  <c r="AU38" i="230"/>
  <c r="AU37" i="230"/>
  <c r="AU36" i="230"/>
  <c r="AV35" i="230"/>
  <c r="AQ38" i="230"/>
  <c r="AQ37" i="230"/>
  <c r="AQ36" i="230"/>
  <c r="AR35" i="230"/>
  <c r="AM38" i="230"/>
  <c r="AM37" i="230"/>
  <c r="AM36" i="230"/>
  <c r="AN35" i="230"/>
  <c r="BS34" i="230"/>
  <c r="BS33" i="230"/>
  <c r="BS32" i="230"/>
  <c r="BT31" i="230"/>
  <c r="AU34" i="230"/>
  <c r="AU33" i="230"/>
  <c r="AU32" i="230"/>
  <c r="AV31" i="230"/>
  <c r="AQ34" i="230"/>
  <c r="AQ33" i="230"/>
  <c r="AQ32" i="230"/>
  <c r="AR31" i="230"/>
  <c r="AM34" i="230"/>
  <c r="AM33" i="230"/>
  <c r="AM32" i="230"/>
  <c r="AN31" i="230"/>
  <c r="BS30" i="230"/>
  <c r="BS29" i="230"/>
  <c r="BS28" i="230"/>
  <c r="BT27" i="230"/>
  <c r="BK30" i="230"/>
  <c r="BK29" i="230"/>
  <c r="BK28" i="230"/>
  <c r="BL27" i="230"/>
  <c r="AU30" i="230"/>
  <c r="AU29" i="230"/>
  <c r="AU28" i="230"/>
  <c r="AV27" i="230"/>
  <c r="AQ30" i="230"/>
  <c r="AQ29" i="230"/>
  <c r="AQ28" i="230"/>
  <c r="AR27" i="230"/>
  <c r="AM30" i="230"/>
  <c r="AM29" i="230"/>
  <c r="AM28" i="230"/>
  <c r="AN27" i="230"/>
  <c r="AI30" i="230"/>
  <c r="AI29" i="230"/>
  <c r="AI28" i="230"/>
  <c r="AJ27" i="230"/>
  <c r="S30" i="230"/>
  <c r="S29" i="230"/>
  <c r="S28" i="230"/>
  <c r="T27" i="230"/>
  <c r="G30" i="230"/>
  <c r="G29" i="230"/>
  <c r="G28" i="230"/>
  <c r="H27" i="230"/>
  <c r="BS26" i="230"/>
  <c r="BS25" i="230"/>
  <c r="BS24" i="230"/>
  <c r="BT23" i="230"/>
  <c r="BK26" i="230"/>
  <c r="BK25" i="230"/>
  <c r="BK24" i="230"/>
  <c r="BL23" i="230"/>
  <c r="AM26" i="230"/>
  <c r="AM25" i="230"/>
  <c r="AM24" i="230"/>
  <c r="AN23" i="230"/>
  <c r="AI26" i="230"/>
  <c r="AI25" i="230"/>
  <c r="AI24" i="230"/>
  <c r="AJ23" i="230"/>
  <c r="AE26" i="230"/>
  <c r="AE25" i="230"/>
  <c r="AE24" i="230"/>
  <c r="AF23" i="230"/>
  <c r="AA26" i="230"/>
  <c r="AA25" i="230"/>
  <c r="AA24" i="230"/>
  <c r="AB23" i="230"/>
  <c r="S26" i="230"/>
  <c r="S25" i="230"/>
  <c r="S24" i="230"/>
  <c r="T23" i="230"/>
  <c r="G26" i="230"/>
  <c r="G25" i="230"/>
  <c r="G24" i="230"/>
  <c r="H23" i="230"/>
  <c r="BO22" i="230"/>
  <c r="BO21" i="230"/>
  <c r="BO20" i="230"/>
  <c r="BP19" i="230"/>
  <c r="BK22" i="230"/>
  <c r="BK21" i="230"/>
  <c r="BK20" i="230"/>
  <c r="BL19" i="230"/>
  <c r="BG22" i="230"/>
  <c r="BG21" i="230"/>
  <c r="BG20" i="230"/>
  <c r="BH19" i="230"/>
  <c r="BC22" i="230"/>
  <c r="BC21" i="230"/>
  <c r="BC20" i="230"/>
  <c r="BD19" i="230"/>
  <c r="AY22" i="230"/>
  <c r="AY21" i="230"/>
  <c r="AY20" i="230"/>
  <c r="AZ19" i="230"/>
  <c r="AU22" i="230"/>
  <c r="AU21" i="230"/>
  <c r="AU20" i="230"/>
  <c r="AV19" i="230"/>
  <c r="AQ22" i="230"/>
  <c r="AQ21" i="230"/>
  <c r="AQ20" i="230"/>
  <c r="AR19" i="230"/>
  <c r="AM22" i="230"/>
  <c r="AM21" i="230"/>
  <c r="AM20" i="230"/>
  <c r="AN19" i="230"/>
  <c r="AI22" i="230"/>
  <c r="AI21" i="230"/>
  <c r="AI20" i="230"/>
  <c r="AJ19" i="230"/>
  <c r="AA22" i="230"/>
  <c r="AA21" i="230"/>
  <c r="AA20" i="230"/>
  <c r="AB19" i="230"/>
  <c r="W22" i="230"/>
  <c r="W21" i="230"/>
  <c r="W20" i="230"/>
  <c r="X19" i="230"/>
  <c r="O22" i="230"/>
  <c r="O21" i="230"/>
  <c r="O20" i="230"/>
  <c r="P19" i="230"/>
  <c r="K22" i="230"/>
  <c r="K21" i="230"/>
  <c r="K20" i="230"/>
  <c r="L19" i="230"/>
  <c r="BO18" i="230"/>
  <c r="BO17" i="230"/>
  <c r="BO16" i="230"/>
  <c r="BP15" i="230"/>
  <c r="AU18" i="230"/>
  <c r="AU17" i="230"/>
  <c r="AU16" i="230"/>
  <c r="AV15" i="230"/>
  <c r="AQ18" i="230"/>
  <c r="AQ17" i="230"/>
  <c r="AQ16" i="230"/>
  <c r="AR15" i="230"/>
  <c r="AM18" i="230"/>
  <c r="AM17" i="230"/>
  <c r="AM16" i="230"/>
  <c r="AN15" i="230"/>
  <c r="AI18" i="230"/>
  <c r="AI17" i="230"/>
  <c r="AI16" i="230"/>
  <c r="AJ15" i="230"/>
  <c r="AE18" i="230"/>
  <c r="AE17" i="230"/>
  <c r="AE16" i="230"/>
  <c r="AF15" i="230"/>
  <c r="AA18" i="230"/>
  <c r="AA17" i="230"/>
  <c r="AA16" i="230"/>
  <c r="AB15" i="230"/>
  <c r="W18" i="230"/>
  <c r="W17" i="230"/>
  <c r="W16" i="230"/>
  <c r="X15" i="230"/>
  <c r="S18" i="230"/>
  <c r="S17" i="230"/>
  <c r="S16" i="230"/>
  <c r="T15" i="230"/>
  <c r="O18" i="230"/>
  <c r="O17" i="230"/>
  <c r="O16" i="230"/>
  <c r="P15" i="230"/>
  <c r="AU14" i="230"/>
  <c r="AU13" i="230"/>
  <c r="AU12" i="230"/>
  <c r="AV11" i="230"/>
  <c r="AQ14" i="230"/>
  <c r="AQ13" i="230"/>
  <c r="AQ12" i="230"/>
  <c r="AR11" i="230"/>
  <c r="O14" i="230"/>
  <c r="O13" i="230"/>
  <c r="O12" i="230"/>
  <c r="P11" i="230"/>
  <c r="G14" i="230"/>
  <c r="G13" i="230"/>
  <c r="G12" i="230"/>
  <c r="H11" i="230"/>
  <c r="AU10" i="230"/>
  <c r="AU9" i="230"/>
  <c r="AU8" i="230"/>
  <c r="AV7" i="230"/>
  <c r="AQ10" i="230"/>
  <c r="AQ9" i="230"/>
  <c r="AQ8" i="230"/>
  <c r="AR7" i="230"/>
  <c r="W10" i="230"/>
  <c r="W9" i="230"/>
  <c r="W8" i="230"/>
  <c r="X7" i="230"/>
  <c r="O10" i="230"/>
  <c r="O9" i="230"/>
  <c r="O8" i="230"/>
  <c r="P7" i="230"/>
  <c r="K10" i="230"/>
  <c r="K9" i="230"/>
  <c r="K8" i="230"/>
  <c r="L7" i="230"/>
  <c r="G10" i="230"/>
  <c r="G9" i="230"/>
  <c r="G8" i="230"/>
  <c r="H7" i="230"/>
  <c r="BC30" i="229"/>
  <c r="BC29" i="229"/>
  <c r="BC28" i="229"/>
  <c r="BD27" i="229"/>
  <c r="BS38" i="229"/>
  <c r="BS37" i="229"/>
  <c r="BS36" i="229"/>
  <c r="BT35" i="229"/>
  <c r="BO38" i="229"/>
  <c r="BO37" i="229"/>
  <c r="BO36" i="229"/>
  <c r="BP35" i="229"/>
  <c r="BK38" i="229"/>
  <c r="BK37" i="229"/>
  <c r="BK36" i="229"/>
  <c r="BL35" i="229"/>
  <c r="BG38" i="229"/>
  <c r="BG37" i="229"/>
  <c r="BG36" i="229"/>
  <c r="BH35" i="229"/>
  <c r="BC38" i="229"/>
  <c r="BC37" i="229"/>
  <c r="BC36" i="229"/>
  <c r="BD35" i="229"/>
  <c r="AY38" i="229"/>
  <c r="AY37" i="229"/>
  <c r="AY36" i="229"/>
  <c r="AZ35" i="229"/>
  <c r="AU38" i="229"/>
  <c r="AU37" i="229"/>
  <c r="AU36" i="229"/>
  <c r="AV35" i="229"/>
  <c r="AQ38" i="229"/>
  <c r="AQ37" i="229"/>
  <c r="AQ36" i="229"/>
  <c r="AR35" i="229"/>
  <c r="AM38" i="229"/>
  <c r="AM37" i="229"/>
  <c r="AM36" i="229"/>
  <c r="AN35" i="229"/>
  <c r="BS34" i="229"/>
  <c r="BS33" i="229"/>
  <c r="BS32" i="229"/>
  <c r="BT31" i="229"/>
  <c r="AU34" i="229"/>
  <c r="AU33" i="229"/>
  <c r="AU32" i="229"/>
  <c r="AV31" i="229"/>
  <c r="AQ34" i="229"/>
  <c r="AQ33" i="229"/>
  <c r="AQ32" i="229"/>
  <c r="AR31" i="229"/>
  <c r="AM34" i="229"/>
  <c r="AM33" i="229"/>
  <c r="AM32" i="229"/>
  <c r="AN31" i="229"/>
  <c r="BS30" i="229"/>
  <c r="BS29" i="229"/>
  <c r="BS28" i="229"/>
  <c r="BT27" i="229"/>
  <c r="BK30" i="229"/>
  <c r="BK29" i="229"/>
  <c r="BK28" i="229"/>
  <c r="BL27" i="229"/>
  <c r="AU30" i="229"/>
  <c r="AU29" i="229"/>
  <c r="AU28" i="229"/>
  <c r="AV27" i="229"/>
  <c r="AQ30" i="229"/>
  <c r="AQ29" i="229"/>
  <c r="AQ28" i="229"/>
  <c r="AR27" i="229"/>
  <c r="AM30" i="229"/>
  <c r="AM29" i="229"/>
  <c r="AM28" i="229"/>
  <c r="AN27" i="229"/>
  <c r="AI30" i="229"/>
  <c r="AI29" i="229"/>
  <c r="AI28" i="229"/>
  <c r="AJ27" i="229"/>
  <c r="S30" i="229"/>
  <c r="S29" i="229"/>
  <c r="S28" i="229"/>
  <c r="T27" i="229"/>
  <c r="G30" i="229"/>
  <c r="G29" i="229"/>
  <c r="G28" i="229"/>
  <c r="H27" i="229"/>
  <c r="BS26" i="229"/>
  <c r="BS25" i="229"/>
  <c r="BS24" i="229"/>
  <c r="BT23" i="229"/>
  <c r="BK26" i="229"/>
  <c r="BK25" i="229"/>
  <c r="BK24" i="229"/>
  <c r="BL23" i="229"/>
  <c r="AM26" i="229"/>
  <c r="AM25" i="229"/>
  <c r="AM24" i="229"/>
  <c r="AN23" i="229"/>
  <c r="AI26" i="229"/>
  <c r="AI25" i="229"/>
  <c r="AI24" i="229"/>
  <c r="AJ23" i="229"/>
  <c r="AE26" i="229"/>
  <c r="AE25" i="229"/>
  <c r="AE24" i="229"/>
  <c r="AF23" i="229"/>
  <c r="AA26" i="229"/>
  <c r="AA25" i="229"/>
  <c r="AA24" i="229"/>
  <c r="AB23" i="229"/>
  <c r="S26" i="229"/>
  <c r="S25" i="229"/>
  <c r="S24" i="229"/>
  <c r="T23" i="229"/>
  <c r="G26" i="229"/>
  <c r="G25" i="229"/>
  <c r="G24" i="229"/>
  <c r="H23" i="229"/>
  <c r="BO22" i="229"/>
  <c r="BO21" i="229"/>
  <c r="BO20" i="229"/>
  <c r="BP19" i="229"/>
  <c r="BK22" i="229"/>
  <c r="BK21" i="229"/>
  <c r="BK20" i="229"/>
  <c r="BL19" i="229"/>
  <c r="BG22" i="229"/>
  <c r="BG21" i="229"/>
  <c r="BG20" i="229"/>
  <c r="BH19" i="229"/>
  <c r="BC22" i="229"/>
  <c r="BC21" i="229"/>
  <c r="BC20" i="229"/>
  <c r="BD19" i="229"/>
  <c r="AY22" i="229"/>
  <c r="AY21" i="229"/>
  <c r="AY20" i="229"/>
  <c r="AZ19" i="229"/>
  <c r="AU22" i="229"/>
  <c r="AU21" i="229"/>
  <c r="AU20" i="229"/>
  <c r="AV19" i="229"/>
  <c r="AQ22" i="229"/>
  <c r="AQ21" i="229"/>
  <c r="AQ20" i="229"/>
  <c r="AR19" i="229"/>
  <c r="AM22" i="229"/>
  <c r="AM21" i="229"/>
  <c r="AM20" i="229"/>
  <c r="AN19" i="229"/>
  <c r="AI22" i="229"/>
  <c r="AI21" i="229"/>
  <c r="AI20" i="229"/>
  <c r="AJ19" i="229"/>
  <c r="AA22" i="229"/>
  <c r="AA21" i="229"/>
  <c r="AA20" i="229"/>
  <c r="AB19" i="229"/>
  <c r="W22" i="229"/>
  <c r="W21" i="229"/>
  <c r="W20" i="229"/>
  <c r="X19" i="229"/>
  <c r="O22" i="229"/>
  <c r="O21" i="229"/>
  <c r="O20" i="229"/>
  <c r="P19" i="229"/>
  <c r="K22" i="229"/>
  <c r="K21" i="229"/>
  <c r="K20" i="229"/>
  <c r="L19" i="229"/>
  <c r="BO18" i="229"/>
  <c r="BO17" i="229"/>
  <c r="BO16" i="229"/>
  <c r="BP15" i="229"/>
  <c r="AU18" i="229"/>
  <c r="AU17" i="229"/>
  <c r="AU16" i="229"/>
  <c r="AV15" i="229"/>
  <c r="AQ18" i="229"/>
  <c r="AQ17" i="229"/>
  <c r="AQ16" i="229"/>
  <c r="AR15" i="229"/>
  <c r="AM18" i="229"/>
  <c r="AM17" i="229"/>
  <c r="AM16" i="229"/>
  <c r="AN15" i="229"/>
  <c r="AI18" i="229"/>
  <c r="AI17" i="229"/>
  <c r="AI16" i="229"/>
  <c r="AJ15" i="229"/>
  <c r="AE18" i="229"/>
  <c r="AE17" i="229"/>
  <c r="AE16" i="229"/>
  <c r="AF15" i="229"/>
  <c r="AA18" i="229"/>
  <c r="AA17" i="229"/>
  <c r="AA16" i="229"/>
  <c r="AB15" i="229"/>
  <c r="W18" i="229"/>
  <c r="W17" i="229"/>
  <c r="W16" i="229"/>
  <c r="X15" i="229"/>
  <c r="S18" i="229"/>
  <c r="S17" i="229"/>
  <c r="S16" i="229"/>
  <c r="T15" i="229"/>
  <c r="O18" i="229"/>
  <c r="O17" i="229"/>
  <c r="O16" i="229"/>
  <c r="P15" i="229"/>
  <c r="AU14" i="229"/>
  <c r="AU13" i="229"/>
  <c r="AU12" i="229"/>
  <c r="AV11" i="229"/>
  <c r="AQ14" i="229"/>
  <c r="AQ13" i="229"/>
  <c r="AQ12" i="229"/>
  <c r="AR11" i="229"/>
  <c r="O14" i="229"/>
  <c r="O13" i="229"/>
  <c r="O12" i="229"/>
  <c r="P11" i="229"/>
  <c r="G14" i="229"/>
  <c r="G13" i="229"/>
  <c r="G12" i="229"/>
  <c r="H11" i="229"/>
  <c r="AU10" i="229"/>
  <c r="AU9" i="229"/>
  <c r="AU8" i="229"/>
  <c r="AV7" i="229"/>
  <c r="AQ10" i="229"/>
  <c r="AQ9" i="229"/>
  <c r="AQ8" i="229"/>
  <c r="AR7" i="229"/>
  <c r="W10" i="229"/>
  <c r="W9" i="229"/>
  <c r="W8" i="229"/>
  <c r="X7" i="229"/>
  <c r="O10" i="229"/>
  <c r="O9" i="229"/>
  <c r="O8" i="229"/>
  <c r="P7" i="229"/>
  <c r="K10" i="229"/>
  <c r="K9" i="229"/>
  <c r="K8" i="229"/>
  <c r="L7" i="229"/>
  <c r="G10" i="229"/>
  <c r="G9" i="229"/>
  <c r="G8" i="229"/>
  <c r="H7" i="229"/>
  <c r="BS36" i="225"/>
  <c r="BT35" i="225"/>
  <c r="BO36" i="225"/>
  <c r="BP35" i="225"/>
  <c r="BK36" i="225"/>
  <c r="BL35" i="225"/>
  <c r="BG36" i="225"/>
  <c r="BH35" i="225"/>
  <c r="BC36" i="225"/>
  <c r="BD35" i="225"/>
  <c r="AY36" i="225"/>
  <c r="AZ35" i="225"/>
  <c r="AU36" i="225"/>
  <c r="AV35" i="225"/>
  <c r="AQ36" i="225"/>
  <c r="AR35" i="225"/>
  <c r="AM36" i="225"/>
  <c r="AN35" i="225"/>
  <c r="BS32" i="225"/>
  <c r="BT31" i="225"/>
  <c r="BG32" i="225"/>
  <c r="BH31" i="225"/>
  <c r="BC32" i="225"/>
  <c r="BD31" i="225"/>
  <c r="AY32" i="225"/>
  <c r="AZ31" i="225"/>
  <c r="AU32" i="225"/>
  <c r="AV31" i="225"/>
  <c r="AQ32" i="225"/>
  <c r="AR31" i="225"/>
  <c r="AM32" i="225"/>
  <c r="AN31" i="225"/>
  <c r="BS28" i="225"/>
  <c r="BT27" i="225"/>
  <c r="BK28" i="225"/>
  <c r="BL27" i="225"/>
  <c r="BG28" i="225"/>
  <c r="BH27" i="225"/>
  <c r="BC28" i="225"/>
  <c r="BD27" i="225"/>
  <c r="AY28" i="225"/>
  <c r="AZ27" i="225"/>
  <c r="AU28" i="225"/>
  <c r="AV27" i="225"/>
  <c r="AQ28" i="225"/>
  <c r="AR27" i="225"/>
  <c r="AM28" i="225"/>
  <c r="AN27" i="225"/>
  <c r="AI28" i="225"/>
  <c r="AJ27" i="225"/>
  <c r="S28" i="225"/>
  <c r="T27" i="225"/>
  <c r="G28" i="225"/>
  <c r="H27" i="225"/>
  <c r="BS24" i="225"/>
  <c r="BT23" i="225"/>
  <c r="BK24" i="225"/>
  <c r="BL23" i="225"/>
  <c r="BG24" i="225"/>
  <c r="BH23" i="225"/>
  <c r="BC24" i="225"/>
  <c r="BD23" i="225"/>
  <c r="AY24" i="225"/>
  <c r="AZ23" i="225"/>
  <c r="AU24" i="225"/>
  <c r="AV23" i="225"/>
  <c r="AM24" i="225"/>
  <c r="AN23" i="225"/>
  <c r="AI24" i="225"/>
  <c r="AJ23" i="225"/>
  <c r="AE24" i="225"/>
  <c r="AF23" i="225"/>
  <c r="AA24" i="225"/>
  <c r="AB23" i="225"/>
  <c r="S24" i="225"/>
  <c r="T23" i="225"/>
  <c r="G24" i="225"/>
  <c r="H23" i="225"/>
  <c r="BO20" i="225"/>
  <c r="BP19" i="225"/>
  <c r="BK20" i="225"/>
  <c r="BL19" i="225"/>
  <c r="BG20" i="225"/>
  <c r="BH19" i="225"/>
  <c r="BC20" i="225"/>
  <c r="BD19" i="225"/>
  <c r="AY20" i="225"/>
  <c r="AZ19" i="225"/>
  <c r="AU20" i="225"/>
  <c r="AV19" i="225"/>
  <c r="AQ20" i="225"/>
  <c r="AR19" i="225"/>
  <c r="AM20" i="225"/>
  <c r="AN19" i="225"/>
  <c r="AI20" i="225"/>
  <c r="AJ19" i="225"/>
  <c r="AA20" i="225"/>
  <c r="AB19" i="225"/>
  <c r="W20" i="225"/>
  <c r="X19" i="225"/>
  <c r="O20" i="225"/>
  <c r="P19" i="225"/>
  <c r="K20" i="225"/>
  <c r="L19" i="225"/>
  <c r="BO16" i="225"/>
  <c r="BP15" i="225"/>
  <c r="AU16" i="225"/>
  <c r="AV15" i="225"/>
  <c r="AQ16" i="225"/>
  <c r="AR15" i="225"/>
  <c r="AM16" i="225"/>
  <c r="AN15" i="225"/>
  <c r="AI16" i="225"/>
  <c r="AJ15" i="225"/>
  <c r="AE16" i="225"/>
  <c r="AF15" i="225"/>
  <c r="AA16" i="225"/>
  <c r="AB15" i="225"/>
  <c r="W16" i="225"/>
  <c r="X15" i="225"/>
  <c r="S16" i="225"/>
  <c r="T15" i="225"/>
  <c r="O16" i="225"/>
  <c r="P15" i="225"/>
  <c r="AU12" i="225"/>
  <c r="AV11" i="225"/>
  <c r="AQ12" i="225"/>
  <c r="AR11" i="225"/>
  <c r="O12" i="225"/>
  <c r="P11" i="225"/>
  <c r="G12" i="225"/>
  <c r="H11" i="225"/>
  <c r="AU8" i="225"/>
  <c r="AV7" i="225"/>
  <c r="AQ8" i="225"/>
  <c r="AR7" i="225"/>
  <c r="W8" i="225"/>
  <c r="X7" i="225"/>
  <c r="O8" i="225"/>
  <c r="P7" i="225"/>
  <c r="K8" i="225"/>
  <c r="L7" i="225"/>
  <c r="G8" i="225"/>
  <c r="H7" i="225"/>
  <c r="AH37" i="9"/>
  <c r="AI36" i="9"/>
  <c r="AI37" i="49"/>
  <c r="F50"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1" i="5"/>
  <c r="F52" i="5"/>
  <c r="F53" i="5"/>
  <c r="F54" i="5"/>
  <c r="F55" i="5"/>
  <c r="F56" i="5"/>
  <c r="F57" i="5"/>
  <c r="F58" i="5"/>
  <c r="F59" i="5"/>
  <c r="F60" i="5"/>
  <c r="F61" i="5"/>
  <c r="F62" i="5"/>
  <c r="F63" i="5"/>
  <c r="F64" i="5"/>
  <c r="F65" i="5"/>
  <c r="F66" i="5"/>
  <c r="F67" i="5"/>
  <c r="F68" i="5"/>
  <c r="F69" i="5"/>
  <c r="F70" i="5"/>
  <c r="F71" i="5"/>
  <c r="F72" i="5"/>
  <c r="F73" i="5"/>
  <c r="F74" i="5"/>
  <c r="F75" i="5"/>
  <c r="F76" i="5"/>
  <c r="F77" i="5"/>
  <c r="F5" i="5"/>
</calcChain>
</file>

<file path=xl/sharedStrings.xml><?xml version="1.0" encoding="utf-8"?>
<sst xmlns="http://schemas.openxmlformats.org/spreadsheetml/2006/main" count="646" uniqueCount="383">
  <si>
    <t>長瀞町</t>
    <phoneticPr fontId="1"/>
  </si>
  <si>
    <t>ながとろまち</t>
    <phoneticPr fontId="1"/>
  </si>
  <si>
    <t>上里町</t>
    <phoneticPr fontId="1"/>
  </si>
  <si>
    <t>かみさとまち</t>
    <phoneticPr fontId="1"/>
  </si>
  <si>
    <t>本庄市</t>
    <phoneticPr fontId="1"/>
  </si>
  <si>
    <t>ほんじょうし</t>
    <phoneticPr fontId="1"/>
  </si>
  <si>
    <t>深谷市</t>
    <phoneticPr fontId="1"/>
  </si>
  <si>
    <t>ふかやし</t>
    <phoneticPr fontId="1"/>
  </si>
  <si>
    <t>神川町</t>
    <phoneticPr fontId="1"/>
  </si>
  <si>
    <t>かみかわまち</t>
    <phoneticPr fontId="1"/>
  </si>
  <si>
    <t>美里町</t>
    <phoneticPr fontId="1"/>
  </si>
  <si>
    <t>みさとまち</t>
    <phoneticPr fontId="1"/>
  </si>
  <si>
    <t>みなのまち</t>
    <phoneticPr fontId="1"/>
  </si>
  <si>
    <t>ひがしちちぶむら</t>
    <phoneticPr fontId="1"/>
  </si>
  <si>
    <t>よりいまち</t>
    <phoneticPr fontId="1"/>
  </si>
  <si>
    <t>おがのまち</t>
    <phoneticPr fontId="1"/>
  </si>
  <si>
    <t>ちちぶし</t>
    <phoneticPr fontId="1"/>
  </si>
  <si>
    <t>よこぜまち</t>
    <phoneticPr fontId="1"/>
  </si>
  <si>
    <t>くまがやし</t>
  </si>
  <si>
    <t>おがわまち</t>
    <phoneticPr fontId="1"/>
  </si>
  <si>
    <t>らんざんまち</t>
    <phoneticPr fontId="1"/>
  </si>
  <si>
    <t>なめがわまち</t>
    <phoneticPr fontId="1"/>
  </si>
  <si>
    <t>ひがしまつやまし</t>
    <phoneticPr fontId="1"/>
  </si>
  <si>
    <t>ぎょうだし</t>
  </si>
  <si>
    <t>こうのすし</t>
    <phoneticPr fontId="1"/>
  </si>
  <si>
    <t>よしみまち</t>
    <phoneticPr fontId="1"/>
  </si>
  <si>
    <t>きたもとし</t>
    <phoneticPr fontId="1"/>
  </si>
  <si>
    <t>はにゅうし</t>
    <phoneticPr fontId="1"/>
  </si>
  <si>
    <t>かぞし</t>
    <phoneticPr fontId="1"/>
  </si>
  <si>
    <t>くきし</t>
  </si>
  <si>
    <t>さってし</t>
    <phoneticPr fontId="1"/>
  </si>
  <si>
    <t>ときがわまち</t>
    <phoneticPr fontId="1"/>
  </si>
  <si>
    <t>はとやままち</t>
    <phoneticPr fontId="1"/>
  </si>
  <si>
    <t>おごせまち</t>
    <phoneticPr fontId="1"/>
  </si>
  <si>
    <t>さかどし</t>
    <phoneticPr fontId="1"/>
  </si>
  <si>
    <t>もろやままち</t>
    <phoneticPr fontId="1"/>
  </si>
  <si>
    <t>つるがしまし</t>
    <phoneticPr fontId="1"/>
  </si>
  <si>
    <t>ひだかし</t>
    <phoneticPr fontId="1"/>
  </si>
  <si>
    <t>さやまし</t>
  </si>
  <si>
    <t>いるまし</t>
  </si>
  <si>
    <t>はんのうし</t>
    <phoneticPr fontId="1"/>
  </si>
  <si>
    <t>かわじままち</t>
    <phoneticPr fontId="1"/>
  </si>
  <si>
    <t>かわごえし</t>
    <phoneticPr fontId="1"/>
  </si>
  <si>
    <t>おけがわし</t>
    <phoneticPr fontId="1"/>
  </si>
  <si>
    <t>ふじみのし</t>
    <phoneticPr fontId="1"/>
  </si>
  <si>
    <t>みよしまち</t>
  </si>
  <si>
    <t>ところざわし</t>
  </si>
  <si>
    <t>所沢市</t>
  </si>
  <si>
    <t>あげおし</t>
    <phoneticPr fontId="1"/>
  </si>
  <si>
    <t>いなまち</t>
    <phoneticPr fontId="1"/>
  </si>
  <si>
    <t>はすだし</t>
    <phoneticPr fontId="1"/>
  </si>
  <si>
    <t>しらおかし</t>
    <phoneticPr fontId="1"/>
  </si>
  <si>
    <t>みやしろまち</t>
    <phoneticPr fontId="1"/>
  </si>
  <si>
    <t>すぎとまち</t>
    <phoneticPr fontId="1"/>
  </si>
  <si>
    <t>かすかべし</t>
    <phoneticPr fontId="1"/>
  </si>
  <si>
    <t>こしがやし</t>
  </si>
  <si>
    <t>まつぶしまち</t>
    <phoneticPr fontId="1"/>
  </si>
  <si>
    <t>よしかわし</t>
  </si>
  <si>
    <t>吉川市</t>
  </si>
  <si>
    <t>みさとし</t>
  </si>
  <si>
    <t>やしおし</t>
  </si>
  <si>
    <t>八潮市</t>
  </si>
  <si>
    <t>そうかし</t>
  </si>
  <si>
    <t>草加市</t>
  </si>
  <si>
    <t>かわぐちし</t>
  </si>
  <si>
    <t>川口市</t>
  </si>
  <si>
    <t>わらびし</t>
  </si>
  <si>
    <t>蕨市</t>
  </si>
  <si>
    <t>とだし</t>
  </si>
  <si>
    <t>戸田市</t>
  </si>
  <si>
    <t>わこうし</t>
  </si>
  <si>
    <t>和光市</t>
  </si>
  <si>
    <t>あさかし</t>
  </si>
  <si>
    <t>朝霞市</t>
  </si>
  <si>
    <t>新座市</t>
  </si>
  <si>
    <t>にいざし</t>
  </si>
  <si>
    <t>しきし</t>
  </si>
  <si>
    <t>ふじみし</t>
    <phoneticPr fontId="1"/>
  </si>
  <si>
    <t>さいたまし</t>
    <phoneticPr fontId="1"/>
  </si>
  <si>
    <t>さいたま市</t>
    <rPh sb="4" eb="5">
      <t>シ</t>
    </rPh>
    <phoneticPr fontId="1"/>
  </si>
  <si>
    <t>にしく</t>
    <phoneticPr fontId="1"/>
  </si>
  <si>
    <t>きたく</t>
    <phoneticPr fontId="1"/>
  </si>
  <si>
    <t>みぬまく</t>
  </si>
  <si>
    <t>いわつきく</t>
  </si>
  <si>
    <t>ちゅうおうく</t>
    <phoneticPr fontId="1"/>
  </si>
  <si>
    <t>おおみやく</t>
    <phoneticPr fontId="1"/>
  </si>
  <si>
    <t>うらわく</t>
    <phoneticPr fontId="1"/>
  </si>
  <si>
    <t>浦和区</t>
    <rPh sb="0" eb="3">
      <t>ウラワク</t>
    </rPh>
    <phoneticPr fontId="1"/>
  </si>
  <si>
    <t>さくらく</t>
  </si>
  <si>
    <t>みなみく</t>
  </si>
  <si>
    <t>みどりく</t>
  </si>
  <si>
    <t>熊谷市</t>
    <phoneticPr fontId="1"/>
  </si>
  <si>
    <t>秩父市</t>
    <phoneticPr fontId="1"/>
  </si>
  <si>
    <t>行田市</t>
    <phoneticPr fontId="1"/>
  </si>
  <si>
    <t>羽生市</t>
    <phoneticPr fontId="1"/>
  </si>
  <si>
    <t>鴻巣市</t>
    <phoneticPr fontId="1"/>
  </si>
  <si>
    <t>加須市</t>
    <phoneticPr fontId="1"/>
  </si>
  <si>
    <t>寄居町</t>
    <phoneticPr fontId="1"/>
  </si>
  <si>
    <t>小川町</t>
    <phoneticPr fontId="1"/>
  </si>
  <si>
    <t>嵐山町</t>
    <phoneticPr fontId="1"/>
  </si>
  <si>
    <t>滑川町</t>
    <phoneticPr fontId="1"/>
  </si>
  <si>
    <t>東松山市</t>
    <phoneticPr fontId="1"/>
  </si>
  <si>
    <t>吉見町</t>
    <phoneticPr fontId="1"/>
  </si>
  <si>
    <t>北本市</t>
    <phoneticPr fontId="1"/>
  </si>
  <si>
    <t>久喜市</t>
    <phoneticPr fontId="1"/>
  </si>
  <si>
    <t>幸手市</t>
    <phoneticPr fontId="1"/>
  </si>
  <si>
    <t>皆野町</t>
    <phoneticPr fontId="1"/>
  </si>
  <si>
    <t>東秩父村</t>
    <phoneticPr fontId="1"/>
  </si>
  <si>
    <t>ときがわ町</t>
    <phoneticPr fontId="1"/>
  </si>
  <si>
    <t>鳩山町</t>
    <phoneticPr fontId="1"/>
  </si>
  <si>
    <t>坂戸市</t>
    <phoneticPr fontId="1"/>
  </si>
  <si>
    <t>川島町</t>
    <phoneticPr fontId="1"/>
  </si>
  <si>
    <t>桶川市</t>
    <phoneticPr fontId="1"/>
  </si>
  <si>
    <t>上尾市</t>
    <phoneticPr fontId="1"/>
  </si>
  <si>
    <t>伊奈町</t>
    <phoneticPr fontId="1"/>
  </si>
  <si>
    <t>蓮田市</t>
    <phoneticPr fontId="1"/>
  </si>
  <si>
    <t>白岡市</t>
    <phoneticPr fontId="1"/>
  </si>
  <si>
    <t>宮代町</t>
    <phoneticPr fontId="1"/>
  </si>
  <si>
    <t>杉戸町</t>
    <phoneticPr fontId="1"/>
  </si>
  <si>
    <t>横瀬町</t>
    <phoneticPr fontId="1"/>
  </si>
  <si>
    <t>越生町</t>
    <phoneticPr fontId="1"/>
  </si>
  <si>
    <t>毛呂山町</t>
    <phoneticPr fontId="1"/>
  </si>
  <si>
    <t>鶴ヶ島市</t>
    <phoneticPr fontId="1"/>
  </si>
  <si>
    <t>川越市</t>
    <phoneticPr fontId="1"/>
  </si>
  <si>
    <t>西区</t>
    <phoneticPr fontId="1"/>
  </si>
  <si>
    <t>北区</t>
    <phoneticPr fontId="1"/>
  </si>
  <si>
    <t>見沼区</t>
    <phoneticPr fontId="1"/>
  </si>
  <si>
    <t>岩槻区</t>
    <phoneticPr fontId="1"/>
  </si>
  <si>
    <t>春日部市</t>
    <phoneticPr fontId="1"/>
  </si>
  <si>
    <t>松伏町</t>
    <phoneticPr fontId="1"/>
  </si>
  <si>
    <t>小鹿野町</t>
    <phoneticPr fontId="1"/>
  </si>
  <si>
    <t>飯能市</t>
    <phoneticPr fontId="1"/>
  </si>
  <si>
    <t>日高市</t>
    <phoneticPr fontId="1"/>
  </si>
  <si>
    <t>狭山市</t>
    <phoneticPr fontId="1"/>
  </si>
  <si>
    <t>ふじみ野市</t>
    <phoneticPr fontId="1"/>
  </si>
  <si>
    <t>富士見市</t>
    <phoneticPr fontId="1"/>
  </si>
  <si>
    <t>中央区</t>
    <phoneticPr fontId="1"/>
  </si>
  <si>
    <t>大宮区</t>
    <phoneticPr fontId="1"/>
  </si>
  <si>
    <t>越谷市</t>
    <phoneticPr fontId="1"/>
  </si>
  <si>
    <t>入間市</t>
    <phoneticPr fontId="1"/>
  </si>
  <si>
    <t>三芳町</t>
    <phoneticPr fontId="1"/>
  </si>
  <si>
    <t>志木市</t>
    <phoneticPr fontId="1"/>
  </si>
  <si>
    <t>桜区</t>
    <phoneticPr fontId="1"/>
  </si>
  <si>
    <t>南区</t>
    <phoneticPr fontId="1"/>
  </si>
  <si>
    <t>緑区</t>
    <phoneticPr fontId="1"/>
  </si>
  <si>
    <t>三郷市</t>
    <phoneticPr fontId="1"/>
  </si>
  <si>
    <t>あ</t>
    <phoneticPr fontId="1"/>
  </si>
  <si>
    <t>い</t>
    <phoneticPr fontId="1"/>
  </si>
  <si>
    <t>う</t>
    <phoneticPr fontId="1"/>
  </si>
  <si>
    <t>え</t>
    <phoneticPr fontId="1"/>
  </si>
  <si>
    <t>お</t>
    <phoneticPr fontId="1"/>
  </si>
  <si>
    <t>か</t>
    <phoneticPr fontId="1"/>
  </si>
  <si>
    <t>き</t>
    <phoneticPr fontId="1"/>
  </si>
  <si>
    <t>く</t>
    <phoneticPr fontId="1"/>
  </si>
  <si>
    <t>け</t>
    <phoneticPr fontId="1"/>
  </si>
  <si>
    <t>こ</t>
    <phoneticPr fontId="1"/>
  </si>
  <si>
    <t>さ</t>
    <phoneticPr fontId="1"/>
  </si>
  <si>
    <t>し</t>
    <phoneticPr fontId="1"/>
  </si>
  <si>
    <t>す</t>
    <phoneticPr fontId="1"/>
  </si>
  <si>
    <t>せ</t>
    <phoneticPr fontId="1"/>
  </si>
  <si>
    <t>そ</t>
    <phoneticPr fontId="1"/>
  </si>
  <si>
    <t>た</t>
    <phoneticPr fontId="1"/>
  </si>
  <si>
    <t>ち</t>
    <phoneticPr fontId="1"/>
  </si>
  <si>
    <t>A</t>
    <phoneticPr fontId="1"/>
  </si>
  <si>
    <t>B</t>
    <phoneticPr fontId="1"/>
  </si>
  <si>
    <t>C</t>
    <phoneticPr fontId="1"/>
  </si>
  <si>
    <t>D</t>
    <phoneticPr fontId="1"/>
  </si>
  <si>
    <t>E</t>
    <phoneticPr fontId="1"/>
  </si>
  <si>
    <t>F</t>
    <phoneticPr fontId="1"/>
  </si>
  <si>
    <t>G</t>
    <phoneticPr fontId="1"/>
  </si>
  <si>
    <t>H</t>
    <phoneticPr fontId="1"/>
  </si>
  <si>
    <t>https://www.teikokushoin.co.jp/statistics/prefecture/detail/11/data/2/</t>
    <phoneticPr fontId="1"/>
  </si>
  <si>
    <t>［帝国書院　＞　人口・人口密度［2024年］：埼玉県］から、人口。</t>
    <rPh sb="1" eb="5">
      <t>テイコクショイン</t>
    </rPh>
    <rPh sb="8" eb="10">
      <t>ジンコウ</t>
    </rPh>
    <rPh sb="11" eb="15">
      <t>ジンコウミツド</t>
    </rPh>
    <rPh sb="20" eb="21">
      <t>ネン</t>
    </rPh>
    <rPh sb="23" eb="26">
      <t>サイタマケン</t>
    </rPh>
    <rPh sb="30" eb="32">
      <t>ジンコウ</t>
    </rPh>
    <phoneticPr fontId="1"/>
  </si>
  <si>
    <t>は</t>
    <phoneticPr fontId="1"/>
  </si>
  <si>
    <t>名前</t>
    <rPh sb="0" eb="2">
      <t>ナマエ</t>
    </rPh>
    <phoneticPr fontId="1"/>
  </si>
  <si>
    <t>なまえ</t>
    <phoneticPr fontId="1"/>
  </si>
  <si>
    <t>人口（人）</t>
    <rPh sb="0" eb="2">
      <t>ジンコウ</t>
    </rPh>
    <rPh sb="3" eb="4">
      <t>ヒト</t>
    </rPh>
    <phoneticPr fontId="1"/>
  </si>
  <si>
    <t>人口密度（人/km2）</t>
    <rPh sb="0" eb="2">
      <t>ジンコウ</t>
    </rPh>
    <rPh sb="2" eb="4">
      <t>ミツド</t>
    </rPh>
    <rPh sb="5" eb="6">
      <t>ヒト</t>
    </rPh>
    <phoneticPr fontId="1"/>
  </si>
  <si>
    <t>面積（km2）</t>
    <rPh sb="0" eb="2">
      <t>メンセキ</t>
    </rPh>
    <phoneticPr fontId="1"/>
  </si>
  <si>
    <t>人口密度（人/km2）</t>
    <phoneticPr fontId="1"/>
  </si>
  <si>
    <t>人口（人）</t>
    <phoneticPr fontId="1"/>
  </si>
  <si>
    <t>面積（km2）</t>
    <phoneticPr fontId="1"/>
  </si>
  <si>
    <t>背景色</t>
    <rPh sb="0" eb="3">
      <t>ハイケイショク</t>
    </rPh>
    <phoneticPr fontId="1"/>
  </si>
  <si>
    <t>以上</t>
    <rPh sb="0" eb="2">
      <t>イジョウ</t>
    </rPh>
    <phoneticPr fontId="1"/>
  </si>
  <si>
    <t>CityId</t>
    <phoneticPr fontId="1"/>
  </si>
  <si>
    <t>前景色</t>
    <rPh sb="0" eb="3">
      <t>ゼンケイショク</t>
    </rPh>
    <phoneticPr fontId="1"/>
  </si>
  <si>
    <t>👇</t>
    <phoneticPr fontId="1"/>
  </si>
  <si>
    <t>以下のボタンを押してください。</t>
    <rPh sb="0" eb="2">
      <t>イカ</t>
    </rPh>
    <rPh sb="7" eb="8">
      <t>オ</t>
    </rPh>
    <phoneticPr fontId="1"/>
  </si>
  <si>
    <t>手順１</t>
    <rPh sb="0" eb="2">
      <t>テジュン</t>
    </rPh>
    <phoneticPr fontId="1"/>
  </si>
  <si>
    <t>手順２</t>
    <rPh sb="0" eb="2">
      <t>テジュン</t>
    </rPh>
    <phoneticPr fontId="1"/>
  </si>
  <si>
    <t>手順書　＞　人口</t>
    <rPh sb="0" eb="3">
      <t>テジュンショ</t>
    </rPh>
    <rPh sb="6" eb="8">
      <t>ジンコウ</t>
    </rPh>
    <phoneticPr fontId="1"/>
  </si>
  <si>
    <t>手順３</t>
    <rPh sb="0" eb="2">
      <t>テジュン</t>
    </rPh>
    <phoneticPr fontId="1"/>
  </si>
  <si>
    <t>手順４</t>
    <rPh sb="0" eb="2">
      <t>テジュン</t>
    </rPh>
    <phoneticPr fontId="1"/>
  </si>
  <si>
    <t>自動生成_人口</t>
    <rPh sb="0" eb="4">
      <t>ジドウセイセイ</t>
    </rPh>
    <rPh sb="5" eb="7">
      <t>ジンコウ</t>
    </rPh>
    <phoneticPr fontId="1"/>
  </si>
  <si>
    <t>黄色い枠のサイズは固定です。</t>
    <rPh sb="0" eb="2">
      <t>キイロ</t>
    </rPh>
    <rPh sb="3" eb="4">
      <t>ワク</t>
    </rPh>
    <rPh sb="9" eb="11">
      <t>コテイ</t>
    </rPh>
    <phoneticPr fontId="1"/>
  </si>
  <si>
    <t>以下は市町村１つ分の凡例です。</t>
    <rPh sb="0" eb="2">
      <t>イカ</t>
    </rPh>
    <rPh sb="3" eb="6">
      <t>シチョウソン</t>
    </rPh>
    <rPh sb="8" eb="9">
      <t>ブン</t>
    </rPh>
    <rPh sb="10" eb="12">
      <t>ハンレイ</t>
    </rPh>
    <phoneticPr fontId="1"/>
  </si>
  <si>
    <t>ヒートマップにするデータを１つ選んで太字にスタイル設定してください。</t>
    <phoneticPr fontId="1"/>
  </si>
  <si>
    <t>以下はヒートマップの色の凡例です。</t>
    <rPh sb="0" eb="2">
      <t>イカ</t>
    </rPh>
    <rPh sb="10" eb="11">
      <t>イロ</t>
    </rPh>
    <rPh sb="12" eb="14">
      <t>ハンレイ</t>
    </rPh>
    <phoneticPr fontId="1"/>
  </si>
  <si>
    <t>No</t>
    <phoneticPr fontId="1"/>
  </si>
  <si>
    <t>自動生成_人口密度</t>
    <rPh sb="0" eb="4">
      <t>ジドウセイセイ</t>
    </rPh>
    <rPh sb="5" eb="7">
      <t>ジンコウ</t>
    </rPh>
    <rPh sb="7" eb="9">
      <t>ミツド</t>
    </rPh>
    <phoneticPr fontId="1"/>
  </si>
  <si>
    <t>自動生成_市町村なまえ</t>
    <rPh sb="0" eb="4">
      <t>ジドウセイセイ</t>
    </rPh>
    <rPh sb="5" eb="8">
      <t>シチョウソン</t>
    </rPh>
    <phoneticPr fontId="1"/>
  </si>
  <si>
    <t>ワークシート名</t>
    <rPh sb="6" eb="7">
      <t>メイ</t>
    </rPh>
    <phoneticPr fontId="1"/>
  </si>
  <si>
    <t>範囲</t>
    <rPh sb="0" eb="2">
      <t>ハンイ</t>
    </rPh>
    <phoneticPr fontId="1"/>
  </si>
  <si>
    <t>左上隅セル</t>
    <rPh sb="0" eb="2">
      <t>ヒダリウエ</t>
    </rPh>
    <rPh sb="2" eb="3">
      <t>スミ</t>
    </rPh>
    <phoneticPr fontId="1"/>
  </si>
  <si>
    <t>転写先セル</t>
    <rPh sb="0" eb="2">
      <t>テンシャ</t>
    </rPh>
    <rPh sb="2" eb="3">
      <t>サキ</t>
    </rPh>
    <phoneticPr fontId="1"/>
  </si>
  <si>
    <t>転写元の範囲</t>
    <rPh sb="0" eb="2">
      <t>テンシャ</t>
    </rPh>
    <rPh sb="2" eb="3">
      <t>モト</t>
    </rPh>
    <rPh sb="4" eb="6">
      <t>ハンイ</t>
    </rPh>
    <phoneticPr fontId="1"/>
  </si>
  <si>
    <t>CityId</t>
  </si>
  <si>
    <t>セル</t>
  </si>
  <si>
    <t>A</t>
  </si>
  <si>
    <t>ち</t>
  </si>
  <si>
    <t>た</t>
  </si>
  <si>
    <t>そ</t>
  </si>
  <si>
    <t>せ</t>
  </si>
  <si>
    <t>す</t>
  </si>
  <si>
    <t>し</t>
  </si>
  <si>
    <t>さ</t>
  </si>
  <si>
    <t>こ</t>
  </si>
  <si>
    <t>け</t>
  </si>
  <si>
    <t>く</t>
  </si>
  <si>
    <t>き</t>
  </si>
  <si>
    <t>か</t>
  </si>
  <si>
    <t>お</t>
  </si>
  <si>
    <t>え</t>
  </si>
  <si>
    <t>う</t>
  </si>
  <si>
    <t>い</t>
  </si>
  <si>
    <t>あ</t>
  </si>
  <si>
    <t>B</t>
  </si>
  <si>
    <t>D</t>
  </si>
  <si>
    <t>E</t>
  </si>
  <si>
    <t>F</t>
  </si>
  <si>
    <t>G</t>
  </si>
  <si>
    <t>H</t>
  </si>
  <si>
    <t>は</t>
  </si>
  <si>
    <t>さいたまし</t>
  </si>
  <si>
    <t>［帝国書院　＞　人口・人口密度［2024年］：埼玉県］から、人口。</t>
  </si>
  <si>
    <t>https://www.teikokushoin.co.jp/statistics/prefecture/detail/11/data/2/</t>
  </si>
  <si>
    <t>名前</t>
  </si>
  <si>
    <t>人口密度（人/km2）</t>
  </si>
  <si>
    <t>人口（人）</t>
  </si>
  <si>
    <t>背景色</t>
  </si>
  <si>
    <t>以上</t>
  </si>
  <si>
    <t>手順書　＞　はじめに</t>
    <rPh sb="0" eb="3">
      <t>テジュンショ</t>
    </rPh>
    <phoneticPr fontId="1"/>
  </si>
  <si>
    <t>既存のワークシートを参考にしてください。</t>
    <rPh sb="0" eb="2">
      <t>キゾン</t>
    </rPh>
    <rPh sb="10" eb="12">
      <t>サンコウ</t>
    </rPh>
    <phoneticPr fontId="1"/>
  </si>
  <si>
    <t>内容は、既存のワークシートを参考にしてください。</t>
    <rPh sb="0" eb="2">
      <t>ナイヨウ</t>
    </rPh>
    <rPh sb="4" eb="6">
      <t>キゾン</t>
    </rPh>
    <rPh sb="14" eb="16">
      <t>サンコウ</t>
    </rPh>
    <phoneticPr fontId="1"/>
  </si>
  <si>
    <t>１０件まで対応します。</t>
    <rPh sb="2" eb="3">
      <t>ケン</t>
    </rPh>
    <rPh sb="5" eb="7">
      <t>タイオウ</t>
    </rPh>
    <phoneticPr fontId="1"/>
  </si>
  <si>
    <t>TIPS</t>
    <phoneticPr fontId="1"/>
  </si>
  <si>
    <t>引き続き、</t>
    <rPh sb="0" eb="1">
      <t>ヒ</t>
    </rPh>
    <rPh sb="2" eb="3">
      <t>ツヅ</t>
    </rPh>
    <phoneticPr fontId="1"/>
  </si>
  <si>
    <t>■</t>
    <phoneticPr fontId="1"/>
  </si>
  <si>
    <t>を読んでください。</t>
    <rPh sb="1" eb="2">
      <t>ヨ</t>
    </rPh>
    <phoneticPr fontId="1"/>
  </si>
  <si>
    <t>地図テンプレート_1</t>
    <rPh sb="0" eb="2">
      <t>チズ</t>
    </rPh>
    <phoneticPr fontId="1"/>
  </si>
  <si>
    <t>地図テンプレート_2</t>
    <rPh sb="0" eb="2">
      <t>チズ</t>
    </rPh>
    <phoneticPr fontId="1"/>
  </si>
  <si>
    <t>ワークシート名を間違えて上書きすると、このワークブックの機能を破損させてしまいかねますので慎重に確認してください。</t>
    <rPh sb="12" eb="14">
      <t>ウワガ</t>
    </rPh>
    <rPh sb="28" eb="30">
      <t>キノウ</t>
    </rPh>
    <rPh sb="45" eb="47">
      <t>シンチョウ</t>
    </rPh>
    <rPh sb="48" eb="50">
      <t>カクニン</t>
    </rPh>
    <phoneticPr fontId="1"/>
  </si>
  <si>
    <t>よくわからないときは、このままにしてください。</t>
    <phoneticPr fontId="1"/>
  </si>
  <si>
    <t>ワークシートが生成できたら完了です。</t>
    <rPh sb="7" eb="9">
      <t>セイセイ</t>
    </rPh>
    <rPh sb="13" eb="15">
      <t>カンリョウ</t>
    </rPh>
    <phoneticPr fontId="1"/>
  </si>
  <si>
    <t>さいたま市</t>
  </si>
  <si>
    <t>なまえ</t>
  </si>
  <si>
    <t>［地図テンプレート_1］</t>
    <rPh sb="1" eb="3">
      <t>チズ</t>
    </rPh>
    <phoneticPr fontId="1"/>
  </si>
  <si>
    <t>作った</t>
    <rPh sb="0" eb="1">
      <t>ツク</t>
    </rPh>
    <phoneticPr fontId="1"/>
  </si>
  <si>
    <t>ワークシートのシート名を入力してください。</t>
    <phoneticPr fontId="1"/>
  </si>
  <si>
    <t>［自動生成_地図データ］</t>
    <rPh sb="1" eb="5">
      <t>ジドウセイセイ</t>
    </rPh>
    <rPh sb="6" eb="8">
      <t>チズ</t>
    </rPh>
    <phoneticPr fontId="1"/>
  </si>
  <si>
    <t>ワークシートが自動生成されます。これは後で使います。</t>
    <phoneticPr fontId="1"/>
  </si>
  <si>
    <t>［市町村データ］</t>
    <rPh sb="1" eb="4">
      <t>シチョウソン</t>
    </rPh>
    <phoneticPr fontId="1"/>
  </si>
  <si>
    <t>［手順書_市町村なまえ］</t>
    <rPh sb="1" eb="4">
      <t>テジュンショ</t>
    </rPh>
    <rPh sb="5" eb="8">
      <t>シチョウソン</t>
    </rPh>
    <phoneticPr fontId="1"/>
  </si>
  <si>
    <t>ワークシート</t>
    <phoneticPr fontId="1"/>
  </si>
  <si>
    <t>［手順書_人口密度］</t>
    <rPh sb="1" eb="4">
      <t>テジュンショ</t>
    </rPh>
    <rPh sb="5" eb="9">
      <t>ジンコウミツド</t>
    </rPh>
    <phoneticPr fontId="1"/>
  </si>
  <si>
    <t>［手順書_人口］</t>
    <rPh sb="1" eb="4">
      <t>テジュンショ</t>
    </rPh>
    <rPh sb="5" eb="7">
      <t>ジンコウ</t>
    </rPh>
    <phoneticPr fontId="1"/>
  </si>
  <si>
    <t>黄色いラインは転写範囲の外側です。</t>
    <rPh sb="0" eb="2">
      <t>キイロ</t>
    </rPh>
    <rPh sb="7" eb="11">
      <t>テンシャハンイ</t>
    </rPh>
    <rPh sb="12" eb="14">
      <t>ソトガワ</t>
    </rPh>
    <phoneticPr fontId="1"/>
  </si>
  <si>
    <t>［地図テンプレート_n］</t>
    <phoneticPr fontId="1"/>
  </si>
  <si>
    <t>G11</t>
  </si>
  <si>
    <t>O11</t>
  </si>
  <si>
    <t>AQ11</t>
  </si>
  <si>
    <t>AU11</t>
  </si>
  <si>
    <t>O15</t>
  </si>
  <si>
    <t>S15</t>
  </si>
  <si>
    <t>W15</t>
  </si>
  <si>
    <t>AA15</t>
  </si>
  <si>
    <t>AE15</t>
  </si>
  <si>
    <t>AI15</t>
  </si>
  <si>
    <t>AM15</t>
  </si>
  <si>
    <t>AQ15</t>
  </si>
  <si>
    <t>AU15</t>
  </si>
  <si>
    <t>BO15</t>
  </si>
  <si>
    <t>K19</t>
  </si>
  <si>
    <t>O19</t>
  </si>
  <si>
    <t>W19</t>
  </si>
  <si>
    <t>AA19</t>
  </si>
  <si>
    <t>AI19</t>
  </si>
  <si>
    <t>AM19</t>
  </si>
  <si>
    <t>AQ19</t>
  </si>
  <si>
    <t>AU19</t>
  </si>
  <si>
    <t>AY19</t>
  </si>
  <si>
    <t>BC19</t>
  </si>
  <si>
    <t>BG19</t>
  </si>
  <si>
    <t>BK19</t>
  </si>
  <si>
    <t>BO19</t>
  </si>
  <si>
    <t>G23</t>
  </si>
  <si>
    <t>S23</t>
  </si>
  <si>
    <t>AA23</t>
  </si>
  <si>
    <t>AE23</t>
  </si>
  <si>
    <t>AI23</t>
  </si>
  <si>
    <t>AM23</t>
  </si>
  <si>
    <t>AU23</t>
  </si>
  <si>
    <t>AY23</t>
  </si>
  <si>
    <t>BC23</t>
  </si>
  <si>
    <t>BG23</t>
  </si>
  <si>
    <t>BK23</t>
  </si>
  <si>
    <t>BS23</t>
  </si>
  <si>
    <t>G27</t>
  </si>
  <si>
    <t>S27</t>
  </si>
  <si>
    <t>AI27</t>
  </si>
  <si>
    <t>AM27</t>
  </si>
  <si>
    <t>AQ27</t>
  </si>
  <si>
    <t>AU27</t>
  </si>
  <si>
    <t>AY27</t>
  </si>
  <si>
    <t>BC27</t>
  </si>
  <si>
    <t>BG27</t>
  </si>
  <si>
    <t>BK27</t>
  </si>
  <si>
    <t>BS27</t>
  </si>
  <si>
    <t>AM31</t>
  </si>
  <si>
    <t>AQ31</t>
  </si>
  <si>
    <t>AU31</t>
  </si>
  <si>
    <t>AY31</t>
  </si>
  <si>
    <t>BC31</t>
  </si>
  <si>
    <t>BG31</t>
  </si>
  <si>
    <t>BS31</t>
  </si>
  <si>
    <t>AM35</t>
  </si>
  <si>
    <t>AQ35</t>
  </si>
  <si>
    <t>AU35</t>
  </si>
  <si>
    <t>AY35</t>
  </si>
  <si>
    <t>BC35</t>
  </si>
  <si>
    <t>BG35</t>
  </si>
  <si>
    <t>BK35</t>
  </si>
  <si>
    <t>BO35</t>
  </si>
  <si>
    <t>BS35</t>
  </si>
  <si>
    <t>A1:CB40</t>
    <phoneticPr fontId="1"/>
  </si>
  <si>
    <t>G7</t>
  </si>
  <si>
    <t>K7</t>
  </si>
  <si>
    <t>O7</t>
  </si>
  <si>
    <t>W7</t>
  </si>
  <si>
    <t>AQ7</t>
  </si>
  <si>
    <t>AU7</t>
  </si>
  <si>
    <t>A1</t>
    <phoneticPr fontId="1"/>
  </si>
  <si>
    <t>EOF</t>
    <phoneticPr fontId="1"/>
  </si>
  <si>
    <t>LineId</t>
    <phoneticPr fontId="1"/>
  </si>
  <si>
    <t>L1.1.0</t>
    <phoneticPr fontId="1"/>
  </si>
  <si>
    <t>L1.2.0</t>
    <phoneticPr fontId="1"/>
  </si>
  <si>
    <t>L1.3.0</t>
    <phoneticPr fontId="1"/>
  </si>
  <si>
    <t>L1.4.0</t>
    <phoneticPr fontId="1"/>
  </si>
  <si>
    <t>L1.5.0</t>
    <phoneticPr fontId="1"/>
  </si>
  <si>
    <t>L1.6.0</t>
    <phoneticPr fontId="1"/>
  </si>
  <si>
    <t>L1.7.0</t>
    <phoneticPr fontId="1"/>
  </si>
  <si>
    <t>L1.8.0</t>
    <phoneticPr fontId="1"/>
  </si>
  <si>
    <t>L1.9.0</t>
    <phoneticPr fontId="1"/>
  </si>
  <si>
    <t>L1.10.0</t>
    <phoneticPr fontId="1"/>
  </si>
  <si>
    <t>A1:CD40</t>
    <phoneticPr fontId="1"/>
  </si>
  <si>
    <t>C</t>
  </si>
  <si>
    <t>面積（km2）</t>
  </si>
  <si>
    <t>C3</t>
    <phoneticPr fontId="1"/>
  </si>
  <si>
    <t>BX7</t>
    <phoneticPr fontId="1"/>
  </si>
  <si>
    <t>このワークブックは？</t>
    <phoneticPr fontId="1"/>
  </si>
  <si>
    <t>👆</t>
    <phoneticPr fontId="1"/>
  </si>
  <si>
    <t>地図を人力で単純化できることが取り柄です。</t>
    <rPh sb="0" eb="2">
      <t>チズ</t>
    </rPh>
    <rPh sb="3" eb="5">
      <t>ジンリキ</t>
    </rPh>
    <rPh sb="6" eb="9">
      <t>タンジュンカ</t>
    </rPh>
    <rPh sb="15" eb="16">
      <t>ト</t>
    </rPh>
    <rPh sb="17" eb="18">
      <t>エ</t>
    </rPh>
    <phoneticPr fontId="1"/>
  </si>
  <si>
    <t>ヒートマップを作成できるツールです。</t>
    <rPh sb="7" eb="9">
      <t>サクセイ</t>
    </rPh>
    <phoneticPr fontId="1"/>
  </si>
  <si>
    <t>ワークシートを編集して地図をお絵描きしてください。</t>
    <rPh sb="7" eb="9">
      <t>ヘンシュウ</t>
    </rPh>
    <rPh sb="11" eb="13">
      <t>チズ</t>
    </rPh>
    <rPh sb="15" eb="17">
      <t>エカ</t>
    </rPh>
    <phoneticPr fontId="1"/>
  </si>
  <si>
    <t>このとき、</t>
    <phoneticPr fontId="1"/>
  </si>
  <si>
    <t>をコピー貼り付けして、番号（Id）を置いていってください。背景色、文字色で Id と認識します。</t>
    <rPh sb="4" eb="5">
      <t>ハ</t>
    </rPh>
    <rPh sb="6" eb="7">
      <t>ツ</t>
    </rPh>
    <rPh sb="11" eb="13">
      <t>バンゴウ</t>
    </rPh>
    <rPh sb="18" eb="19">
      <t>オ</t>
    </rPh>
    <rPh sb="29" eb="32">
      <t>ハイケイショク</t>
    </rPh>
    <rPh sb="33" eb="36">
      <t>モジショク</t>
    </rPh>
    <rPh sb="42" eb="44">
      <t>ニンシキ</t>
    </rPh>
    <phoneticPr fontId="1"/>
  </si>
  <si>
    <t>ワークシートの _1 の部分を変えて最大１０シートまで対応することができます。</t>
    <rPh sb="12" eb="14">
      <t>ブブン</t>
    </rPh>
    <rPh sb="15" eb="16">
      <t>カ</t>
    </rPh>
    <rPh sb="18" eb="20">
      <t>サイダイ</t>
    </rPh>
    <rPh sb="27" eb="29">
      <t>タイオウ</t>
    </rPh>
    <phoneticPr fontId="1"/>
  </si>
  <si>
    <t>ワークシートを頑張って入力してください。</t>
    <rPh sb="7" eb="9">
      <t>ガンバ</t>
    </rPh>
    <phoneticPr fontId="1"/>
  </si>
  <si>
    <t>この表は［なまえ］列で昇順ソートすると、［CityId］を逆引きするのに便利です。</t>
    <rPh sb="2" eb="3">
      <t>ヒョウ</t>
    </rPh>
    <rPh sb="9" eb="10">
      <t>レツ</t>
    </rPh>
    <rPh sb="11" eb="13">
      <t>ショウジュン</t>
    </rPh>
    <rPh sb="29" eb="31">
      <t>ギャクビ</t>
    </rPh>
    <rPh sb="36" eb="38">
      <t>ベンリ</t>
    </rPh>
    <phoneticPr fontId="1"/>
  </si>
  <si>
    <t>以下に入力してください。</t>
    <rPh sb="0" eb="2">
      <t>イカ</t>
    </rPh>
    <rPh sb="3" eb="5">
      <t>ニュウリョク</t>
    </rPh>
    <phoneticPr fontId="1"/>
  </si>
  <si>
    <t>転写元になる［地図テンプレート］のワークシート名等を、</t>
    <rPh sb="0" eb="3">
      <t>テンシャモト</t>
    </rPh>
    <rPh sb="7" eb="9">
      <t>チズ</t>
    </rPh>
    <rPh sb="23" eb="24">
      <t>メイ</t>
    </rPh>
    <rPh sb="24" eb="25">
      <t>トウ</t>
    </rPh>
    <phoneticPr fontId="1"/>
  </si>
  <si>
    <t>L2.1.0</t>
    <phoneticPr fontId="1"/>
  </si>
  <si>
    <t>L3.1.0</t>
    <phoneticPr fontId="1"/>
  </si>
  <si>
    <t>L4.1.0</t>
    <phoneticPr fontId="1"/>
  </si>
  <si>
    <t>地図の転写先を、</t>
    <rPh sb="0" eb="2">
      <t>チズ</t>
    </rPh>
    <rPh sb="3" eb="5">
      <t>テンシャ</t>
    </rPh>
    <rPh sb="5" eb="6">
      <t>サキ</t>
    </rPh>
    <phoneticPr fontId="1"/>
  </si>
  <si>
    <t>入力してください。</t>
    <phoneticPr fontId="1"/>
  </si>
  <si>
    <t>以下の凡例に入れてください。</t>
    <rPh sb="0" eb="2">
      <t>イカ</t>
    </rPh>
    <phoneticPr fontId="1"/>
  </si>
  <si>
    <t>今回は使っていないので、このままにしてください。</t>
    <rPh sb="0" eb="2">
      <t>コンカイ</t>
    </rPh>
    <rPh sb="3" eb="4">
      <t>ツカ</t>
    </rPh>
    <phoneticPr fontId="1"/>
  </si>
  <si>
    <t>G65:N65</t>
    <phoneticPr fontId="1"/>
  </si>
  <si>
    <t>ワークシートの列名を、</t>
    <phoneticPr fontId="1"/>
  </si>
  <si>
    <t>ヒートマップの色の凡例です。</t>
    <rPh sb="7" eb="8">
      <t>イロ</t>
    </rPh>
    <rPh sb="9" eb="11">
      <t>ハンレイ</t>
    </rPh>
    <phoneticPr fontId="1"/>
  </si>
  <si>
    <t>以下に、［以上］列の数値と、［背景色］を設定してください。</t>
    <rPh sb="0" eb="2">
      <t>イカ</t>
    </rPh>
    <rPh sb="5" eb="7">
      <t>イジョウ</t>
    </rPh>
    <rPh sb="8" eb="9">
      <t>レツ</t>
    </rPh>
    <rPh sb="10" eb="12">
      <t>スウチ</t>
    </rPh>
    <rPh sb="15" eb="18">
      <t>ハイケイショク</t>
    </rPh>
    <phoneticPr fontId="1"/>
  </si>
  <si>
    <t>H84:L95</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</si>
</sst>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_);[Red]\(#,##0\)"/>
    <numFmt numFmtId="177" formatCode="#,##0_ "/>
  </numFmts>
  <fonts count="30" x14ac:knownFonts="1">
    <font>
      <sz val="11"/>
      <color theme="1"/>
      <name val="游ゴシック"/>
      <family val="2"/>
      <charset val="128"/>
      <scheme val="minor"/>
    </font>
    <font>
      <sz val="6"/>
      <name val="游ゴシック"/>
      <family val="2"/>
      <charset val="128"/>
      <scheme val="minor"/>
    </font>
    <font>
      <b/>
      <sz val="11"/>
      <color theme="0" tint="-4.9989318521683403E-2"/>
      <name val="游ゴシック"/>
      <family val="3"/>
      <charset val="128"/>
      <scheme val="minor"/>
    </font>
    <font>
      <u/>
      <sz val="11"/>
      <color theme="10"/>
      <name val="游ゴシック"/>
      <family val="2"/>
      <charset val="128"/>
      <scheme val="minor"/>
    </font>
    <font>
      <sz val="11"/>
      <color theme="1"/>
      <name val="游ゴシック"/>
      <family val="3"/>
      <charset val="128"/>
      <scheme val="minor"/>
    </font>
    <font>
      <b/>
      <sz val="11"/>
      <color rgb="FF0F8472"/>
      <name val="游ゴシック"/>
      <family val="3"/>
      <charset val="128"/>
      <scheme val="minor"/>
    </font>
    <font>
      <u/>
      <sz val="11"/>
      <color theme="10"/>
      <name val="游ゴシック"/>
      <family val="3"/>
      <charset val="128"/>
      <scheme val="minor"/>
    </font>
    <font>
      <sz val="11"/>
      <color theme="0"/>
      <name val="游ゴシック"/>
      <family val="3"/>
      <charset val="128"/>
      <scheme val="minor"/>
    </font>
    <font>
      <b/>
      <sz val="11"/>
      <color theme="0"/>
      <name val="游ゴシック"/>
      <family val="3"/>
      <charset val="128"/>
      <scheme val="minor"/>
    </font>
    <font>
      <b/>
      <sz val="11"/>
      <name val="游ゴシック"/>
      <family val="3"/>
      <charset val="128"/>
      <scheme val="minor"/>
    </font>
    <font>
      <sz val="11"/>
      <name val="游ゴシック"/>
      <family val="3"/>
      <charset val="128"/>
      <scheme val="minor"/>
    </font>
    <font>
      <b/>
      <sz val="11"/>
      <color theme="1"/>
      <name val="游ゴシック"/>
      <family val="3"/>
      <charset val="128"/>
      <scheme val="minor"/>
    </font>
    <font>
      <sz val="11"/>
      <color rgb="FF404040"/>
      <name val="游ゴシック"/>
      <family val="3"/>
      <charset val="128"/>
      <scheme val="minor"/>
    </font>
    <font>
      <b/>
      <sz val="11"/>
      <color rgb="FF404040"/>
      <name val="游ゴシック"/>
      <family val="3"/>
      <charset val="128"/>
      <scheme val="minor"/>
    </font>
    <font>
      <sz val="20"/>
      <color rgb="FF000000"/>
      <name val="游ゴシック"/>
      <family val="3"/>
      <charset val="128"/>
    </font>
    <font>
      <sz val="11"/>
      <color theme="0" tint="-4.9989318521683403E-2"/>
      <name val="游ゴシック"/>
      <family val="2"/>
      <charset val="128"/>
      <scheme val="minor"/>
    </font>
    <font>
      <sz val="16"/>
      <color theme="1"/>
      <name val="Segoe UI Symbol"/>
      <family val="2"/>
    </font>
    <font>
      <b/>
      <sz val="16"/>
      <color theme="0" tint="-4.9989318521683403E-2"/>
      <name val="游ゴシック"/>
      <family val="3"/>
      <charset val="128"/>
      <scheme val="minor"/>
    </font>
    <font>
      <sz val="11"/>
      <name val="游ゴシック"/>
      <family val="2"/>
      <charset val="128"/>
      <scheme val="minor"/>
    </font>
    <font>
      <sz val="8"/>
      <color theme="1"/>
      <name val="游ゴシック"/>
      <family val="2"/>
      <charset val="128"/>
      <scheme val="minor"/>
    </font>
    <font>
      <sz val="11"/>
      <color theme="0"/>
      <name val="游ゴシック"/>
      <family val="2"/>
      <charset val="128"/>
      <scheme val="minor"/>
    </font>
    <font>
      <b/>
      <sz val="11"/>
      <color rgb="FFFFFFFF"/>
      <name val="游ゴシック"/>
      <family val="3"/>
      <charset val="128"/>
      <scheme val="minor"/>
    </font>
    <font>
      <sz val="11"/>
      <color rgb="FFFFFFFF"/>
      <name val="游ゴシック"/>
      <family val="2"/>
      <charset val="128"/>
      <scheme val="minor"/>
    </font>
    <font>
      <sz val="11"/>
      <color rgb="FF0F8472"/>
      <name val="游ゴシック"/>
      <family val="2"/>
      <charset val="128"/>
      <scheme val="minor"/>
    </font>
    <font>
      <sz val="11"/>
      <color rgb="FF000000"/>
      <name val="游ゴシック"/>
      <family val="3"/>
      <charset val="128"/>
      <scheme val="minor"/>
    </font>
    <font>
      <b/>
      <sz val="11"/>
      <color rgb="FFF2F2F2"/>
      <name val="游ゴシック"/>
      <family val="3"/>
      <charset val="128"/>
      <scheme val="minor"/>
    </font>
    <font>
      <b/>
      <sz val="11"/>
      <color rgb="FF000000"/>
      <name val="游ゴシック"/>
      <family val="3"/>
      <charset val="128"/>
      <scheme val="minor"/>
    </font>
    <font>
      <sz val="11"/>
      <color rgb="FF0563C1"/>
      <name val="游ゴシック"/>
      <family val="3"/>
      <charset val="128"/>
      <scheme val="minor"/>
    </font>
    <font>
      <sz val="11"/>
      <color rgb="FFFFFFFF"/>
      <name val="游ゴシック"/>
      <family val="3"/>
      <charset val="128"/>
      <scheme val="minor"/>
    </font>
    <font>
      <sz val="11"/>
      <color theme="6"/>
      <name val="游ゴシック"/>
      <family val="2"/>
      <charset val="128"/>
      <scheme val="minor"/>
    </font>
  </fonts>
  <fills count="34">
    <fill>
      <patternFill patternType="none"/>
    </fill>
    <fill>
      <patternFill patternType="gray125"/>
    </fill>
    <fill>
      <patternFill patternType="solid">
        <fgColor rgb="FF86DFCB"/>
        <bgColor indexed="64"/>
      </patternFill>
    </fill>
    <fill>
      <patternFill patternType="solid">
        <fgColor theme="1" tint="0.499984740745262"/>
        <bgColor indexed="64"/>
      </patternFill>
    </fill>
    <fill>
      <patternFill patternType="solid">
        <fgColor rgb="FF0F8472"/>
        <bgColor indexed="64"/>
      </patternFill>
    </fill>
    <fill>
      <patternFill patternType="solid">
        <fgColor theme="2"/>
        <bgColor indexed="64"/>
      </patternFill>
    </fill>
    <fill>
      <patternFill patternType="solid">
        <fgColor rgb="FFC00000"/>
        <bgColor indexed="64"/>
      </patternFill>
    </fill>
    <fill>
      <patternFill patternType="solid">
        <fgColor rgb="FFFFC000"/>
        <bgColor indexed="64"/>
      </patternFill>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1" tint="0.249977111117893"/>
        <bgColor indexed="64"/>
      </patternFill>
    </fill>
    <fill>
      <patternFill patternType="solid">
        <fgColor rgb="FF9C99FF"/>
        <bgColor indexed="64"/>
      </patternFill>
    </fill>
    <fill>
      <patternFill patternType="solid">
        <fgColor rgb="FFCCBBFF"/>
        <bgColor indexed="64"/>
      </patternFill>
    </fill>
    <fill>
      <patternFill patternType="solid">
        <fgColor rgb="FFEEDDFF"/>
        <bgColor indexed="64"/>
      </patternFill>
    </fill>
    <fill>
      <patternFill patternType="solid">
        <fgColor rgb="FFFC9A99"/>
        <bgColor indexed="64"/>
      </patternFill>
    </fill>
    <fill>
      <patternFill patternType="solid">
        <fgColor rgb="FFFF7766"/>
        <bgColor indexed="64"/>
      </patternFill>
    </fill>
    <fill>
      <patternFill patternType="solid">
        <fgColor rgb="FF98FFFC"/>
        <bgColor indexed="64"/>
      </patternFill>
    </fill>
    <fill>
      <patternFill patternType="solid">
        <fgColor theme="0" tint="-4.9989318521683403E-2"/>
        <bgColor indexed="64"/>
      </patternFill>
    </fill>
    <fill>
      <patternFill patternType="solid">
        <fgColor rgb="FFE7E6E6"/>
        <bgColor rgb="FF000000"/>
      </patternFill>
    </fill>
    <fill>
      <patternFill patternType="solid">
        <fgColor rgb="FF808080"/>
        <bgColor rgb="FF000000"/>
      </patternFill>
    </fill>
    <fill>
      <patternFill patternType="solid">
        <fgColor rgb="FF86DFCB"/>
        <bgColor rgb="FF000000"/>
      </patternFill>
    </fill>
    <fill>
      <patternFill patternType="solid">
        <fgColor rgb="FF0F8472"/>
        <bgColor rgb="FF000000"/>
      </patternFill>
    </fill>
    <fill>
      <patternFill patternType="solid">
        <fgColor rgb="FFC00000"/>
        <bgColor rgb="FF000000"/>
      </patternFill>
    </fill>
    <fill>
      <patternFill patternType="solid">
        <fgColor rgb="FFFF7766"/>
        <bgColor rgb="FF000000"/>
      </patternFill>
    </fill>
    <fill>
      <patternFill patternType="solid">
        <fgColor rgb="FFFC9A99"/>
        <bgColor rgb="FF000000"/>
      </patternFill>
    </fill>
    <fill>
      <patternFill patternType="solid">
        <fgColor rgb="FFFFC000"/>
        <bgColor rgb="FF000000"/>
      </patternFill>
    </fill>
    <fill>
      <patternFill patternType="solid">
        <fgColor rgb="FFFFFF00"/>
        <bgColor rgb="FF000000"/>
      </patternFill>
    </fill>
    <fill>
      <patternFill patternType="solid">
        <fgColor rgb="FF92D050"/>
        <bgColor rgb="FF000000"/>
      </patternFill>
    </fill>
    <fill>
      <patternFill patternType="solid">
        <fgColor rgb="FF98FFFC"/>
        <bgColor rgb="FF000000"/>
      </patternFill>
    </fill>
    <fill>
      <patternFill patternType="solid">
        <fgColor rgb="FF9C99FF"/>
        <bgColor rgb="FF000000"/>
      </patternFill>
    </fill>
    <fill>
      <patternFill patternType="solid">
        <fgColor rgb="FFCCBBFF"/>
        <bgColor rgb="FF000000"/>
      </patternFill>
    </fill>
    <fill>
      <patternFill patternType="solid">
        <fgColor rgb="FFEEDDFF"/>
        <bgColor rgb="FF000000"/>
      </patternFill>
    </fill>
    <fill>
      <patternFill patternType="solid">
        <fgColor rgb="FFFFFFFF"/>
        <bgColor indexed="64"/>
      </patternFill>
    </fill>
  </fills>
  <borders count="2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theme="1" tint="0.24994659260841701"/>
      </left>
      <right/>
      <top style="thick">
        <color theme="1" tint="0.24994659260841701"/>
      </top>
      <bottom style="thick">
        <color theme="0"/>
      </bottom>
      <diagonal/>
    </border>
    <border>
      <left/>
      <right/>
      <top style="thick">
        <color theme="1" tint="0.24994659260841701"/>
      </top>
      <bottom style="thick">
        <color theme="0"/>
      </bottom>
      <diagonal/>
    </border>
    <border>
      <left/>
      <right style="thick">
        <color theme="0"/>
      </right>
      <top style="thick">
        <color theme="1" tint="0.24994659260841701"/>
      </top>
      <bottom style="thick">
        <color theme="0"/>
      </bottom>
      <diagonal/>
    </border>
    <border>
      <left/>
      <right/>
      <top/>
      <bottom style="medium">
        <color rgb="FF000000"/>
      </bottom>
      <diagonal/>
    </border>
    <border>
      <left style="medium">
        <color rgb="FF000000"/>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style="medium">
        <color rgb="FF000000"/>
      </top>
      <bottom/>
      <diagonal/>
    </border>
    <border>
      <left/>
      <right style="medium">
        <color rgb="FF000000"/>
      </right>
      <top/>
      <bottom/>
      <diagonal/>
    </border>
    <border>
      <left style="medium">
        <color rgb="FF000000"/>
      </left>
      <right/>
      <top/>
      <bottom style="medium">
        <color rgb="FF000000"/>
      </bottom>
      <diagonal/>
    </border>
    <border>
      <left/>
      <right style="medium">
        <color rgb="FF000000"/>
      </right>
      <top/>
      <bottom style="medium">
        <color rgb="FF000000"/>
      </bottom>
      <diagonal/>
    </border>
  </borders>
  <cellStyleXfs count="2">
    <xf numFmtId="0" fontId="0" fillId="0" borderId="0">
      <alignment vertical="center"/>
    </xf>
    <xf numFmtId="0" fontId="3" fillId="0" borderId="0" applyNumberFormat="0" applyFill="0" applyBorder="0" applyAlignment="0" applyProtection="0">
      <alignment vertical="center"/>
    </xf>
  </cellStyleXfs>
  <cellXfs count="251">
    <xf numFmtId="0" fontId="0" fillId="0" borderId="0" xfId="0">
      <alignment vertical="center"/>
    </xf>
    <xf numFmtId="0" fontId="2" fillId="3" borderId="0" xfId="0" applyFont="1" applyFill="1" applyAlignment="1">
      <alignment horizontal="center" vertical="center"/>
    </xf>
    <xf numFmtId="0" fontId="4" fillId="0" borderId="0" xfId="0" applyFont="1">
      <alignment vertical="center"/>
    </xf>
    <xf numFmtId="0" fontId="5" fillId="2" borderId="0" xfId="0" applyFont="1" applyFill="1" applyAlignment="1">
      <alignment horizontal="center" vertical="center"/>
    </xf>
    <xf numFmtId="0" fontId="5" fillId="2" borderId="1" xfId="0" applyFont="1" applyFill="1" applyBorder="1" applyAlignment="1">
      <alignment horizontal="center" vertical="center"/>
    </xf>
    <xf numFmtId="0" fontId="4" fillId="5" borderId="0" xfId="0" applyFont="1" applyFill="1">
      <alignment vertical="center"/>
    </xf>
    <xf numFmtId="0" fontId="4" fillId="0" borderId="2" xfId="0" applyFont="1" applyBorder="1">
      <alignment vertical="center"/>
    </xf>
    <xf numFmtId="0" fontId="4" fillId="0" borderId="4" xfId="0" applyFont="1" applyBorder="1">
      <alignment vertical="center"/>
    </xf>
    <xf numFmtId="0" fontId="4" fillId="0" borderId="5" xfId="0" applyFont="1" applyBorder="1">
      <alignment vertical="center"/>
    </xf>
    <xf numFmtId="0" fontId="4" fillId="0" borderId="3" xfId="0" applyFont="1" applyBorder="1">
      <alignment vertical="center"/>
    </xf>
    <xf numFmtId="0" fontId="4" fillId="0" borderId="6" xfId="0" applyFont="1" applyBorder="1">
      <alignment vertical="center"/>
    </xf>
    <xf numFmtId="0" fontId="4" fillId="0" borderId="7" xfId="0" applyFont="1" applyBorder="1">
      <alignment vertical="center"/>
    </xf>
    <xf numFmtId="0" fontId="5" fillId="2" borderId="2" xfId="0" applyFont="1" applyFill="1" applyBorder="1" applyAlignment="1">
      <alignment horizontal="center" vertical="center"/>
    </xf>
    <xf numFmtId="0" fontId="4" fillId="0" borderId="8" xfId="0" applyFont="1" applyBorder="1">
      <alignment vertical="center"/>
    </xf>
    <xf numFmtId="0" fontId="5" fillId="2" borderId="4" xfId="0" applyFont="1" applyFill="1" applyBorder="1" applyAlignment="1">
      <alignment horizontal="center" vertical="center"/>
    </xf>
    <xf numFmtId="0" fontId="6" fillId="0" borderId="0" xfId="1" applyFont="1" applyBorder="1">
      <alignment vertical="center"/>
    </xf>
    <xf numFmtId="0" fontId="8" fillId="4" borderId="0" xfId="0" applyFont="1" applyFill="1">
      <alignment vertical="center"/>
    </xf>
    <xf numFmtId="0" fontId="5" fillId="2" borderId="0" xfId="0" applyFont="1" applyFill="1" applyAlignment="1">
      <alignment horizontal="right" vertical="center"/>
    </xf>
    <xf numFmtId="0" fontId="0" fillId="0" borderId="0" xfId="0" applyAlignment="1">
      <alignment horizontal="right" vertical="center"/>
    </xf>
    <xf numFmtId="0" fontId="5" fillId="0" borderId="1" xfId="0" applyFont="1" applyBorder="1" applyAlignment="1">
      <alignment horizontal="center" vertical="center"/>
    </xf>
    <xf numFmtId="0" fontId="5" fillId="0" borderId="2"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5" borderId="1" xfId="0" applyFont="1" applyFill="1" applyBorder="1">
      <alignment vertical="center"/>
    </xf>
    <xf numFmtId="0" fontId="10" fillId="0" borderId="0" xfId="0" applyFont="1" applyAlignment="1">
      <alignment horizontal="right" vertical="center"/>
    </xf>
    <xf numFmtId="0" fontId="10" fillId="0" borderId="0" xfId="0" applyFont="1">
      <alignment vertical="center"/>
    </xf>
    <xf numFmtId="0" fontId="0" fillId="5" borderId="0" xfId="0" applyFill="1">
      <alignment vertical="center"/>
    </xf>
    <xf numFmtId="0" fontId="6" fillId="5" borderId="0" xfId="1" applyFont="1" applyFill="1" applyBorder="1">
      <alignment vertical="center"/>
    </xf>
    <xf numFmtId="0" fontId="11" fillId="0" borderId="0" xfId="0" applyFont="1">
      <alignment vertical="center"/>
    </xf>
    <xf numFmtId="0" fontId="11" fillId="0" borderId="4" xfId="0" applyFont="1" applyBorder="1">
      <alignment vertical="center"/>
    </xf>
    <xf numFmtId="176" fontId="10" fillId="5" borderId="0" xfId="0" applyNumberFormat="1" applyFont="1" applyFill="1">
      <alignment vertical="center"/>
    </xf>
    <xf numFmtId="0" fontId="10" fillId="5" borderId="0" xfId="0" applyFont="1" applyFill="1">
      <alignment vertical="center"/>
    </xf>
    <xf numFmtId="0" fontId="10" fillId="5" borderId="0" xfId="0" applyFont="1" applyFill="1" applyAlignment="1">
      <alignment horizontal="right" vertical="center"/>
    </xf>
    <xf numFmtId="0" fontId="4" fillId="5" borderId="0" xfId="0" applyFont="1" applyFill="1" applyAlignment="1">
      <alignment horizontal="left" vertical="center"/>
    </xf>
    <xf numFmtId="0" fontId="15" fillId="11" borderId="0" xfId="0" applyFont="1" applyFill="1">
      <alignment vertical="center"/>
    </xf>
    <xf numFmtId="0" fontId="17" fillId="11" borderId="0" xfId="0" applyFont="1" applyFill="1">
      <alignment vertical="center"/>
    </xf>
    <xf numFmtId="0" fontId="16" fillId="5" borderId="0" xfId="0" applyFont="1" applyFill="1" applyAlignment="1">
      <alignment horizontal="center" vertical="center"/>
    </xf>
    <xf numFmtId="0" fontId="0" fillId="5" borderId="1" xfId="0" applyFill="1" applyBorder="1">
      <alignment vertical="center"/>
    </xf>
    <xf numFmtId="0" fontId="0" fillId="5" borderId="2" xfId="0" applyFill="1" applyBorder="1">
      <alignment vertical="center"/>
    </xf>
    <xf numFmtId="0" fontId="0" fillId="5" borderId="3" xfId="0" applyFill="1" applyBorder="1">
      <alignment vertical="center"/>
    </xf>
    <xf numFmtId="0" fontId="0" fillId="5" borderId="4" xfId="0" applyFill="1" applyBorder="1">
      <alignment vertical="center"/>
    </xf>
    <xf numFmtId="0" fontId="0" fillId="5" borderId="5" xfId="0" applyFill="1" applyBorder="1">
      <alignment vertical="center"/>
    </xf>
    <xf numFmtId="0" fontId="0" fillId="5" borderId="6" xfId="0" applyFill="1" applyBorder="1">
      <alignment vertical="center"/>
    </xf>
    <xf numFmtId="0" fontId="0" fillId="5" borderId="7" xfId="0" applyFill="1" applyBorder="1">
      <alignment vertical="center"/>
    </xf>
    <xf numFmtId="0" fontId="0" fillId="5" borderId="8" xfId="0" applyFill="1" applyBorder="1">
      <alignment vertical="center"/>
    </xf>
    <xf numFmtId="0" fontId="4" fillId="8" borderId="0" xfId="0" applyFont="1" applyFill="1">
      <alignment vertical="center"/>
    </xf>
    <xf numFmtId="0" fontId="18" fillId="8" borderId="0" xfId="0" applyFont="1" applyFill="1">
      <alignment vertical="center"/>
    </xf>
    <xf numFmtId="0" fontId="0" fillId="8" borderId="0" xfId="0" applyFill="1">
      <alignment vertical="center"/>
    </xf>
    <xf numFmtId="176" fontId="10" fillId="0" borderId="0" xfId="0" applyNumberFormat="1" applyFont="1">
      <alignment vertical="center"/>
    </xf>
    <xf numFmtId="0" fontId="19" fillId="5" borderId="0" xfId="0" applyFont="1" applyFill="1" applyAlignment="1"/>
    <xf numFmtId="0" fontId="0" fillId="18" borderId="9" xfId="0" applyFill="1" applyBorder="1">
      <alignment vertical="center"/>
    </xf>
    <xf numFmtId="0" fontId="0" fillId="18" borderId="11" xfId="0" applyFill="1" applyBorder="1">
      <alignment vertical="center"/>
    </xf>
    <xf numFmtId="0" fontId="21" fillId="4" borderId="0" xfId="0" applyFont="1" applyFill="1" applyAlignment="1">
      <alignment horizontal="right" vertical="center"/>
    </xf>
    <xf numFmtId="0" fontId="0" fillId="4" borderId="0" xfId="0" applyFill="1">
      <alignment vertical="center"/>
    </xf>
    <xf numFmtId="0" fontId="22" fillId="4" borderId="0" xfId="0" applyFont="1" applyFill="1">
      <alignment vertical="center"/>
    </xf>
    <xf numFmtId="0" fontId="9" fillId="2" borderId="0" xfId="0" applyFont="1" applyFill="1" applyAlignment="1">
      <alignment horizontal="center" vertical="center"/>
    </xf>
    <xf numFmtId="0" fontId="0" fillId="2" borderId="0" xfId="0" applyFill="1">
      <alignment vertical="center"/>
    </xf>
    <xf numFmtId="0" fontId="23" fillId="2" borderId="0" xfId="0" applyFont="1" applyFill="1">
      <alignment vertical="center"/>
    </xf>
    <xf numFmtId="0" fontId="0" fillId="5" borderId="0" xfId="0" applyFill="1" applyAlignment="1">
      <alignment horizontal="center" vertical="center"/>
    </xf>
    <xf numFmtId="0" fontId="11" fillId="5" borderId="0" xfId="0" applyFont="1" applyFill="1">
      <alignment vertical="center"/>
    </xf>
    <xf numFmtId="0" fontId="19" fillId="5" borderId="0" xfId="0" applyFont="1" applyFill="1" applyAlignment="1">
      <alignment horizontal="center" vertical="center"/>
    </xf>
    <xf numFmtId="0" fontId="0" fillId="18" borderId="0" xfId="0" applyFill="1">
      <alignment vertical="center"/>
    </xf>
    <xf numFmtId="0" fontId="20" fillId="4" borderId="0" xfId="0" applyFont="1" applyFill="1">
      <alignment vertical="center"/>
    </xf>
    <xf numFmtId="0" fontId="7" fillId="4" borderId="0" xfId="0" applyFont="1" applyFill="1">
      <alignment vertical="center"/>
    </xf>
    <xf numFmtId="0" fontId="29" fillId="5" borderId="0" xfId="0" applyFont="1" applyFill="1">
      <alignment vertical="center"/>
    </xf>
    <xf numFmtId="0" fontId="0" fillId="18" borderId="9" xfId="0" applyFill="1" applyBorder="1" applyAlignment="1">
      <alignment horizontal="left" vertical="center"/>
    </xf>
    <xf numFmtId="0" fontId="0" fillId="18" borderId="10" xfId="0" applyFill="1" applyBorder="1" applyAlignment="1">
      <alignment horizontal="left" vertical="center"/>
    </xf>
    <xf numFmtId="0" fontId="0" fillId="18" borderId="11" xfId="0" applyFill="1" applyBorder="1" applyAlignment="1">
      <alignment horizontal="left" vertical="center"/>
    </xf>
    <xf numFmtId="3" fontId="12" fillId="0" borderId="4" xfId="0" applyNumberFormat="1" applyFont="1" applyBorder="1" applyAlignment="1">
      <alignment horizontal="left" vertical="center"/>
    </xf>
    <xf numFmtId="3" fontId="12" fillId="0" borderId="0" xfId="0" applyNumberFormat="1" applyFont="1" applyAlignment="1">
      <alignment horizontal="left" vertical="center"/>
    </xf>
    <xf numFmtId="3" fontId="12" fillId="0" borderId="5" xfId="0" applyNumberFormat="1" applyFont="1" applyBorder="1" applyAlignment="1">
      <alignment horizontal="left" vertical="center"/>
    </xf>
    <xf numFmtId="3" fontId="13" fillId="0" borderId="4" xfId="0" applyNumberFormat="1" applyFont="1" applyBorder="1" applyAlignment="1">
      <alignment horizontal="left" vertical="center"/>
    </xf>
    <xf numFmtId="3" fontId="13" fillId="0" borderId="0" xfId="0" applyNumberFormat="1" applyFont="1" applyAlignment="1">
      <alignment horizontal="left" vertical="center"/>
    </xf>
    <xf numFmtId="3" fontId="13" fillId="0" borderId="5" xfId="0" applyNumberFormat="1" applyFont="1" applyBorder="1" applyAlignment="1">
      <alignment horizontal="left" vertical="center"/>
    </xf>
    <xf numFmtId="0" fontId="12" fillId="0" borderId="6" xfId="0" applyFont="1" applyBorder="1" applyAlignment="1">
      <alignment horizontal="left" vertical="center"/>
    </xf>
    <xf numFmtId="0" fontId="12" fillId="0" borderId="7" xfId="0" applyFont="1" applyBorder="1" applyAlignment="1">
      <alignment horizontal="left" vertical="center"/>
    </xf>
    <xf numFmtId="0" fontId="12" fillId="0" borderId="8" xfId="0" applyFont="1" applyBorder="1" applyAlignment="1">
      <alignment horizontal="left" vertical="center"/>
    </xf>
    <xf numFmtId="0" fontId="4" fillId="0" borderId="2" xfId="0" applyFont="1" applyBorder="1" applyAlignment="1">
      <alignment horizontal="left" vertical="center"/>
    </xf>
    <xf numFmtId="0" fontId="4" fillId="0" borderId="3" xfId="0" applyFont="1" applyBorder="1" applyAlignment="1">
      <alignment horizontal="left" vertical="center"/>
    </xf>
    <xf numFmtId="0" fontId="12" fillId="0" borderId="0" xfId="0" applyFont="1" applyAlignment="1">
      <alignment horizontal="left" vertical="center"/>
    </xf>
    <xf numFmtId="0" fontId="4" fillId="0" borderId="0" xfId="0" applyFont="1" applyAlignment="1">
      <alignment horizontal="left" vertical="center"/>
    </xf>
    <xf numFmtId="0" fontId="12" fillId="0" borderId="4" xfId="0" applyFont="1" applyBorder="1" applyAlignment="1">
      <alignment horizontal="left" vertical="center"/>
    </xf>
    <xf numFmtId="0" fontId="12" fillId="0" borderId="5" xfId="0" applyFont="1" applyBorder="1" applyAlignment="1">
      <alignment horizontal="left" vertical="center"/>
    </xf>
    <xf numFmtId="176" fontId="10" fillId="0" borderId="0" xfId="0" applyNumberFormat="1" applyFont="1" applyAlignment="1">
      <alignment horizontal="right" vertical="center"/>
    </xf>
    <xf numFmtId="0" fontId="10" fillId="0" borderId="0" xfId="0" applyFont="1" applyAlignment="1">
      <alignment horizontal="center" vertical="center"/>
    </xf>
    <xf numFmtId="176" fontId="10" fillId="0" borderId="0" xfId="0" applyNumberFormat="1" applyFont="1" applyAlignment="1">
      <alignment horizontal="center" vertical="center"/>
    </xf>
    <xf numFmtId="177" fontId="4" fillId="0" borderId="6" xfId="0" applyNumberFormat="1" applyFont="1" applyBorder="1" applyAlignment="1">
      <alignment horizontal="right" vertical="center"/>
    </xf>
    <xf numFmtId="177" fontId="4" fillId="0" borderId="7" xfId="0" applyNumberFormat="1" applyFont="1" applyBorder="1" applyAlignment="1">
      <alignment horizontal="right" vertical="center"/>
    </xf>
    <xf numFmtId="177" fontId="4" fillId="0" borderId="8" xfId="0" applyNumberFormat="1" applyFont="1" applyBorder="1" applyAlignment="1">
      <alignment horizontal="right" vertical="center"/>
    </xf>
    <xf numFmtId="177" fontId="4" fillId="0" borderId="4" xfId="0" applyNumberFormat="1" applyFont="1" applyBorder="1" applyAlignment="1">
      <alignment horizontal="left" vertical="center"/>
    </xf>
    <xf numFmtId="177" fontId="4" fillId="0" borderId="0" xfId="0" applyNumberFormat="1" applyFont="1" applyAlignment="1">
      <alignment horizontal="left" vertical="center"/>
    </xf>
    <xf numFmtId="177" fontId="4" fillId="0" borderId="5" xfId="0" applyNumberFormat="1" applyFont="1" applyBorder="1" applyAlignment="1">
      <alignment horizontal="left" vertical="center"/>
    </xf>
    <xf numFmtId="177" fontId="4" fillId="0" borderId="4" xfId="0" applyNumberFormat="1" applyFont="1" applyBorder="1" applyAlignment="1">
      <alignment horizontal="right" vertical="center"/>
    </xf>
    <xf numFmtId="177" fontId="4" fillId="0" borderId="0" xfId="0" applyNumberFormat="1" applyFont="1" applyAlignment="1">
      <alignment horizontal="right" vertical="center"/>
    </xf>
    <xf numFmtId="177" fontId="4" fillId="0" borderId="5" xfId="0" applyNumberFormat="1" applyFont="1" applyBorder="1" applyAlignment="1">
      <alignment horizontal="right" vertical="center"/>
    </xf>
    <xf numFmtId="0" fontId="8" fillId="4" borderId="0" xfId="0" applyFont="1" applyFill="1" applyAlignment="1">
      <alignment horizontal="right" vertical="center"/>
    </xf>
    <xf numFmtId="0" fontId="8" fillId="4" borderId="0" xfId="0" applyFont="1" applyFill="1" applyAlignment="1">
      <alignment horizontal="center" vertical="center"/>
    </xf>
    <xf numFmtId="0" fontId="9" fillId="5" borderId="0" xfId="0" applyFont="1" applyFill="1" applyAlignment="1">
      <alignment horizontal="center" vertical="center"/>
    </xf>
    <xf numFmtId="0" fontId="0" fillId="0" borderId="17" xfId="0" applyBorder="1" applyAlignment="1">
      <alignment horizontal="right" vertical="center"/>
    </xf>
    <xf numFmtId="0" fontId="0" fillId="0" borderId="12" xfId="0" applyBorder="1" applyAlignment="1">
      <alignment horizontal="right" vertical="center"/>
    </xf>
    <xf numFmtId="0" fontId="0" fillId="0" borderId="19" xfId="0" applyBorder="1" applyAlignment="1">
      <alignment horizontal="right" vertical="center"/>
    </xf>
    <xf numFmtId="0" fontId="0" fillId="0" borderId="17" xfId="0" applyBorder="1" applyAlignment="1">
      <alignment horizontal="left" vertical="center"/>
    </xf>
    <xf numFmtId="0" fontId="0" fillId="0" borderId="14" xfId="0" applyBorder="1" applyAlignment="1">
      <alignment horizontal="left" vertical="center"/>
    </xf>
    <xf numFmtId="0" fontId="0" fillId="0" borderId="15" xfId="0" applyBorder="1" applyAlignment="1">
      <alignment horizontal="left" vertical="center"/>
    </xf>
    <xf numFmtId="177" fontId="11" fillId="0" borderId="4" xfId="0" applyNumberFormat="1" applyFont="1" applyBorder="1" applyAlignment="1">
      <alignment horizontal="right" vertical="center"/>
    </xf>
    <xf numFmtId="177" fontId="11" fillId="0" borderId="0" xfId="0" applyNumberFormat="1" applyFont="1" applyAlignment="1">
      <alignment horizontal="right" vertical="center"/>
    </xf>
    <xf numFmtId="177" fontId="11" fillId="0" borderId="5" xfId="0" applyNumberFormat="1" applyFont="1" applyBorder="1" applyAlignment="1">
      <alignment horizontal="right" vertical="center"/>
    </xf>
    <xf numFmtId="0" fontId="8" fillId="4" borderId="1" xfId="0" applyFont="1" applyFill="1" applyBorder="1" applyAlignment="1">
      <alignment horizontal="right" vertical="center"/>
    </xf>
    <xf numFmtId="0" fontId="8" fillId="4" borderId="2" xfId="0" applyFont="1" applyFill="1" applyBorder="1" applyAlignment="1">
      <alignment horizontal="right" vertical="center"/>
    </xf>
    <xf numFmtId="0" fontId="8" fillId="4" borderId="2" xfId="0" applyFont="1" applyFill="1" applyBorder="1" applyAlignment="1">
      <alignment horizontal="center" vertical="center"/>
    </xf>
    <xf numFmtId="0" fontId="8" fillId="4" borderId="3" xfId="0" applyFont="1" applyFill="1" applyBorder="1" applyAlignment="1">
      <alignment horizontal="center" vertical="center"/>
    </xf>
    <xf numFmtId="176" fontId="10" fillId="0" borderId="4" xfId="0" applyNumberFormat="1" applyFont="1" applyBorder="1" applyAlignment="1">
      <alignment horizontal="right" vertical="center"/>
    </xf>
    <xf numFmtId="0" fontId="7" fillId="6" borderId="0" xfId="0" applyFont="1" applyFill="1" applyAlignment="1">
      <alignment horizontal="center" vertical="center"/>
    </xf>
    <xf numFmtId="0" fontId="7" fillId="6" borderId="5" xfId="0" applyFont="1" applyFill="1" applyBorder="1" applyAlignment="1">
      <alignment horizontal="center" vertical="center"/>
    </xf>
    <xf numFmtId="176" fontId="10" fillId="10" borderId="0" xfId="0" applyNumberFormat="1" applyFont="1" applyFill="1" applyAlignment="1">
      <alignment horizontal="center" vertical="center"/>
    </xf>
    <xf numFmtId="0" fontId="7" fillId="16" borderId="0" xfId="0" applyFont="1" applyFill="1" applyAlignment="1">
      <alignment horizontal="center" vertical="center"/>
    </xf>
    <xf numFmtId="0" fontId="7" fillId="16" borderId="5" xfId="0" applyFont="1" applyFill="1" applyBorder="1" applyAlignment="1">
      <alignment horizontal="center" vertical="center"/>
    </xf>
    <xf numFmtId="0" fontId="7" fillId="15" borderId="0" xfId="0" applyFont="1" applyFill="1" applyAlignment="1">
      <alignment horizontal="center" vertical="center"/>
    </xf>
    <xf numFmtId="0" fontId="7" fillId="15" borderId="5" xfId="0" applyFont="1" applyFill="1" applyBorder="1" applyAlignment="1">
      <alignment horizontal="center" vertical="center"/>
    </xf>
    <xf numFmtId="176" fontId="10" fillId="0" borderId="4" xfId="0" applyNumberFormat="1" applyFont="1" applyBorder="1">
      <alignment vertical="center"/>
    </xf>
    <xf numFmtId="176" fontId="10" fillId="0" borderId="0" xfId="0" applyNumberFormat="1" applyFont="1">
      <alignment vertical="center"/>
    </xf>
    <xf numFmtId="0" fontId="4" fillId="7" borderId="0" xfId="0" applyFont="1" applyFill="1" applyAlignment="1">
      <alignment horizontal="center" vertical="center"/>
    </xf>
    <xf numFmtId="0" fontId="4" fillId="7" borderId="5" xfId="0" applyFont="1" applyFill="1" applyBorder="1" applyAlignment="1">
      <alignment horizontal="center" vertical="center"/>
    </xf>
    <xf numFmtId="176" fontId="10" fillId="11" borderId="0" xfId="0" applyNumberFormat="1" applyFont="1" applyFill="1" applyAlignment="1">
      <alignment horizontal="center" vertical="center"/>
    </xf>
    <xf numFmtId="0" fontId="4" fillId="8" borderId="0" xfId="0" applyFont="1" applyFill="1" applyAlignment="1">
      <alignment horizontal="center" vertical="center"/>
    </xf>
    <xf numFmtId="0" fontId="4" fillId="8" borderId="5" xfId="0" applyFont="1" applyFill="1" applyBorder="1" applyAlignment="1">
      <alignment horizontal="center" vertical="center"/>
    </xf>
    <xf numFmtId="0" fontId="4" fillId="9" borderId="0" xfId="0" applyFont="1" applyFill="1" applyAlignment="1">
      <alignment horizontal="center" vertical="center"/>
    </xf>
    <xf numFmtId="0" fontId="4" fillId="9" borderId="5" xfId="0" applyFont="1" applyFill="1" applyBorder="1" applyAlignment="1">
      <alignment horizontal="center" vertical="center"/>
    </xf>
    <xf numFmtId="0" fontId="4" fillId="17" borderId="0" xfId="0" applyFont="1" applyFill="1" applyAlignment="1">
      <alignment horizontal="center" vertical="center"/>
    </xf>
    <xf numFmtId="0" fontId="4" fillId="17" borderId="5" xfId="0" applyFont="1" applyFill="1" applyBorder="1" applyAlignment="1">
      <alignment horizontal="center" vertical="center"/>
    </xf>
    <xf numFmtId="0" fontId="4" fillId="12" borderId="0" xfId="0" applyFont="1" applyFill="1" applyAlignment="1">
      <alignment horizontal="center" vertical="center"/>
    </xf>
    <xf numFmtId="0" fontId="4" fillId="12" borderId="5" xfId="0" applyFont="1" applyFill="1" applyBorder="1" applyAlignment="1">
      <alignment horizontal="center" vertical="center"/>
    </xf>
    <xf numFmtId="0" fontId="4" fillId="13" borderId="0" xfId="0" applyFont="1" applyFill="1" applyAlignment="1">
      <alignment horizontal="center" vertical="center"/>
    </xf>
    <xf numFmtId="0" fontId="4" fillId="13" borderId="5" xfId="0" applyFont="1" applyFill="1" applyBorder="1" applyAlignment="1">
      <alignment horizontal="center" vertical="center"/>
    </xf>
    <xf numFmtId="0" fontId="4" fillId="14" borderId="0" xfId="0" applyFont="1" applyFill="1" applyAlignment="1">
      <alignment horizontal="center" vertical="center"/>
    </xf>
    <xf numFmtId="0" fontId="4" fillId="14" borderId="5" xfId="0" applyFont="1" applyFill="1" applyBorder="1" applyAlignment="1">
      <alignment horizontal="center" vertical="center"/>
    </xf>
    <xf numFmtId="176" fontId="10" fillId="0" borderId="6" xfId="0" applyNumberFormat="1" applyFont="1" applyBorder="1" applyAlignment="1">
      <alignment horizontal="right" vertical="center"/>
    </xf>
    <xf numFmtId="176" fontId="10" fillId="0" borderId="7" xfId="0" applyNumberFormat="1" applyFont="1" applyBorder="1" applyAlignment="1">
      <alignment horizontal="right" vertical="center"/>
    </xf>
    <xf numFmtId="0" fontId="4" fillId="0" borderId="7" xfId="0" applyFont="1" applyBorder="1" applyAlignment="1">
      <alignment horizontal="center" vertical="center"/>
    </xf>
    <xf numFmtId="0" fontId="4" fillId="0" borderId="8" xfId="0" applyFont="1" applyBorder="1" applyAlignment="1">
      <alignment horizontal="center" vertical="center"/>
    </xf>
    <xf numFmtId="3" fontId="12" fillId="17" borderId="13" xfId="0" applyNumberFormat="1" applyFont="1" applyFill="1" applyBorder="1" applyAlignment="1">
      <alignment horizontal="right" vertical="center"/>
    </xf>
    <xf numFmtId="3" fontId="13" fillId="7" borderId="13" xfId="0" applyNumberFormat="1" applyFont="1" applyFill="1" applyBorder="1" applyAlignment="1">
      <alignment horizontal="right" vertical="center"/>
    </xf>
    <xf numFmtId="3" fontId="13" fillId="17" borderId="13" xfId="0" applyNumberFormat="1" applyFont="1" applyFill="1" applyBorder="1" applyAlignment="1">
      <alignment horizontal="right" vertical="center"/>
    </xf>
    <xf numFmtId="3" fontId="12" fillId="9" borderId="13" xfId="0" applyNumberFormat="1" applyFont="1" applyFill="1" applyBorder="1" applyAlignment="1">
      <alignment horizontal="right" vertical="center"/>
    </xf>
    <xf numFmtId="3" fontId="12" fillId="16" borderId="13" xfId="0" applyNumberFormat="1" applyFont="1" applyFill="1" applyBorder="1" applyAlignment="1">
      <alignment horizontal="right" vertical="center"/>
    </xf>
    <xf numFmtId="3" fontId="12" fillId="6" borderId="13" xfId="0" applyNumberFormat="1" applyFont="1" applyFill="1" applyBorder="1" applyAlignment="1">
      <alignment horizontal="right" vertical="center"/>
    </xf>
    <xf numFmtId="3" fontId="12" fillId="7" borderId="13" xfId="0" applyNumberFormat="1" applyFont="1" applyFill="1" applyBorder="1" applyAlignment="1">
      <alignment horizontal="right" vertical="center"/>
    </xf>
    <xf numFmtId="3" fontId="13" fillId="9" borderId="13" xfId="0" applyNumberFormat="1" applyFont="1" applyFill="1" applyBorder="1" applyAlignment="1">
      <alignment horizontal="right" vertical="center"/>
    </xf>
    <xf numFmtId="3" fontId="13" fillId="16" borderId="13" xfId="0" applyNumberFormat="1" applyFont="1" applyFill="1" applyBorder="1" applyAlignment="1">
      <alignment horizontal="right" vertical="center"/>
    </xf>
    <xf numFmtId="3" fontId="13" fillId="6" borderId="13" xfId="0" applyNumberFormat="1" applyFont="1" applyFill="1" applyBorder="1" applyAlignment="1">
      <alignment horizontal="right" vertical="center"/>
    </xf>
    <xf numFmtId="3" fontId="12" fillId="15" borderId="13" xfId="0" applyNumberFormat="1" applyFont="1" applyFill="1" applyBorder="1" applyAlignment="1">
      <alignment horizontal="right" vertical="center"/>
    </xf>
    <xf numFmtId="3" fontId="12" fillId="13" borderId="13" xfId="0" applyNumberFormat="1" applyFont="1" applyFill="1" applyBorder="1" applyAlignment="1">
      <alignment horizontal="right" vertical="center"/>
    </xf>
    <xf numFmtId="3" fontId="12" fillId="12" borderId="13" xfId="0" applyNumberFormat="1" applyFont="1" applyFill="1" applyBorder="1" applyAlignment="1">
      <alignment horizontal="right" vertical="center"/>
    </xf>
    <xf numFmtId="3" fontId="13" fillId="15" borderId="13" xfId="0" applyNumberFormat="1" applyFont="1" applyFill="1" applyBorder="1" applyAlignment="1">
      <alignment horizontal="right" vertical="center"/>
    </xf>
    <xf numFmtId="3" fontId="13" fillId="13" borderId="13" xfId="0" applyNumberFormat="1" applyFont="1" applyFill="1" applyBorder="1" applyAlignment="1">
      <alignment horizontal="right" vertical="center"/>
    </xf>
    <xf numFmtId="3" fontId="13" fillId="12" borderId="13" xfId="0" applyNumberFormat="1" applyFont="1" applyFill="1" applyBorder="1" applyAlignment="1">
      <alignment horizontal="right" vertical="center"/>
    </xf>
    <xf numFmtId="3" fontId="12" fillId="33" borderId="13" xfId="0" applyNumberFormat="1" applyFont="1" applyFill="1" applyBorder="1" applyAlignment="1">
      <alignment horizontal="right" vertical="center"/>
    </xf>
    <xf numFmtId="3" fontId="13" fillId="33" borderId="13" xfId="0" applyNumberFormat="1" applyFont="1" applyFill="1" applyBorder="1" applyAlignment="1">
      <alignment horizontal="right" vertical="center"/>
    </xf>
    <xf numFmtId="3" fontId="12" fillId="14" borderId="13" xfId="0" applyNumberFormat="1" applyFont="1" applyFill="1" applyBorder="1" applyAlignment="1">
      <alignment horizontal="right" vertical="center"/>
    </xf>
    <xf numFmtId="3" fontId="13" fillId="14" borderId="13" xfId="0" applyNumberFormat="1" applyFont="1" applyFill="1" applyBorder="1" applyAlignment="1">
      <alignment horizontal="right" vertical="center"/>
    </xf>
    <xf numFmtId="3" fontId="13" fillId="8" borderId="13" xfId="0" applyNumberFormat="1" applyFont="1" applyFill="1" applyBorder="1" applyAlignment="1">
      <alignment horizontal="right" vertical="center"/>
    </xf>
    <xf numFmtId="3" fontId="12" fillId="8" borderId="13" xfId="0" applyNumberFormat="1" applyFont="1" applyFill="1" applyBorder="1" applyAlignment="1">
      <alignment horizontal="right" vertical="center"/>
    </xf>
    <xf numFmtId="0" fontId="24" fillId="19" borderId="0" xfId="0" applyNumberFormat="1" applyFont="1" applyFill="1" applyBorder="1" applyAlignment="1">
      <alignment vertical="center"/>
    </xf>
    <xf numFmtId="0" fontId="24" fillId="0" borderId="0" xfId="0" applyNumberFormat="1" applyFont="1" applyFill="1" applyBorder="1" applyAlignment="1">
      <alignment vertical="center"/>
    </xf>
    <xf numFmtId="0" fontId="25" fillId="20" borderId="0" xfId="0" applyNumberFormat="1" applyFont="1" applyFill="1" applyBorder="1" applyAlignment="1">
      <alignment horizontal="center" vertical="center"/>
    </xf>
    <xf numFmtId="0" fontId="5" fillId="0" borderId="0" xfId="0" applyNumberFormat="1" applyFont="1" applyFill="1" applyBorder="1" applyAlignment="1">
      <alignment horizontal="center" vertical="center"/>
    </xf>
    <xf numFmtId="0" fontId="24" fillId="0" borderId="14" xfId="0" applyNumberFormat="1" applyFont="1" applyFill="1" applyBorder="1" applyAlignment="1">
      <alignment horizontal="left" vertical="center"/>
    </xf>
    <xf numFmtId="0" fontId="5" fillId="21" borderId="14" xfId="0" applyNumberFormat="1" applyFont="1" applyFill="1" applyBorder="1" applyAlignment="1">
      <alignment horizontal="center" vertical="center"/>
    </xf>
    <xf numFmtId="0" fontId="24" fillId="0" borderId="15" xfId="0" applyNumberFormat="1" applyFont="1" applyFill="1" applyBorder="1" applyAlignment="1">
      <alignment vertical="center"/>
    </xf>
    <xf numFmtId="0" fontId="24" fillId="0" borderId="14" xfId="0" applyNumberFormat="1" applyFont="1" applyFill="1" applyBorder="1" applyAlignment="1">
      <alignment vertical="center"/>
    </xf>
    <xf numFmtId="0" fontId="24" fillId="0" borderId="17" xfId="0" applyNumberFormat="1" applyFont="1" applyFill="1" applyBorder="1" applyAlignment="1">
      <alignment vertical="center"/>
    </xf>
    <xf numFmtId="0" fontId="24" fillId="0" borderId="0" xfId="0" applyNumberFormat="1" applyFont="1" applyFill="1" applyBorder="1" applyAlignment="1">
      <alignment horizontal="right" vertical="center"/>
    </xf>
    <xf numFmtId="3" fontId="12" fillId="0" borderId="13" xfId="0" applyNumberFormat="1" applyFont="1" applyFill="1" applyBorder="1" applyAlignment="1">
      <alignment horizontal="left" vertical="center"/>
    </xf>
    <xf numFmtId="0" fontId="0" fillId="0" borderId="0" xfId="0" applyBorder="1" applyAlignment="1">
      <alignment horizontal="left" vertical="center"/>
    </xf>
    <xf numFmtId="3" fontId="12" fillId="0" borderId="0" xfId="0" applyNumberFormat="1" applyFont="1" applyFill="1" applyBorder="1" applyAlignment="1">
      <alignment horizontal="left" vertical="center"/>
    </xf>
    <xf numFmtId="0" fontId="5" fillId="0" borderId="14" xfId="0" applyNumberFormat="1" applyFont="1" applyFill="1" applyBorder="1" applyAlignment="1">
      <alignment horizontal="center" vertical="center"/>
    </xf>
    <xf numFmtId="0" fontId="26" fillId="0" borderId="0" xfId="0" applyNumberFormat="1" applyFont="1" applyFill="1" applyBorder="1" applyAlignment="1">
      <alignment vertical="center"/>
    </xf>
    <xf numFmtId="0" fontId="24" fillId="0" borderId="0" xfId="0" applyNumberFormat="1" applyFont="1" applyFill="1" applyBorder="1" applyAlignment="1">
      <alignment horizontal="left" vertical="center"/>
    </xf>
    <xf numFmtId="0" fontId="5" fillId="21" borderId="0" xfId="0" applyNumberFormat="1" applyFont="1" applyFill="1" applyBorder="1" applyAlignment="1">
      <alignment horizontal="center" vertical="center"/>
    </xf>
    <xf numFmtId="0" fontId="26" fillId="21" borderId="0" xfId="0" applyNumberFormat="1" applyFont="1" applyFill="1" applyBorder="1" applyAlignment="1">
      <alignment horizontal="center" vertical="center"/>
    </xf>
    <xf numFmtId="0" fontId="27" fillId="0" borderId="0" xfId="0" applyNumberFormat="1" applyFont="1" applyFill="1" applyBorder="1" applyAlignment="1">
      <alignment vertical="center"/>
    </xf>
    <xf numFmtId="0" fontId="24" fillId="0" borderId="0" xfId="0" applyNumberFormat="1" applyFont="1" applyFill="1" applyBorder="1" applyAlignment="1">
      <alignment vertical="center"/>
    </xf>
    <xf numFmtId="0" fontId="24" fillId="19" borderId="16" xfId="0" applyNumberFormat="1" applyFont="1" applyFill="1" applyBorder="1" applyAlignment="1">
      <alignment vertical="center"/>
    </xf>
    <xf numFmtId="177" fontId="26" fillId="0" borderId="13" xfId="0" applyNumberFormat="1" applyFont="1" applyFill="1" applyBorder="1" applyAlignment="1">
      <alignment horizontal="right" vertical="center"/>
    </xf>
    <xf numFmtId="0" fontId="24" fillId="0" borderId="0" xfId="0" applyNumberFormat="1" applyFont="1" applyFill="1" applyBorder="1" applyAlignment="1">
      <alignment horizontal="right" vertical="center"/>
    </xf>
    <xf numFmtId="177" fontId="24" fillId="0" borderId="13" xfId="0" applyNumberFormat="1" applyFont="1" applyFill="1" applyBorder="1" applyAlignment="1">
      <alignment horizontal="right" vertical="center"/>
    </xf>
    <xf numFmtId="177" fontId="24" fillId="0" borderId="18" xfId="0" applyNumberFormat="1" applyFont="1" applyFill="1" applyBorder="1" applyAlignment="1">
      <alignment horizontal="right" vertical="center"/>
    </xf>
    <xf numFmtId="3" fontId="12" fillId="0" borderId="13" xfId="0" applyNumberFormat="1" applyFont="1" applyFill="1" applyBorder="1" applyAlignment="1">
      <alignment horizontal="right" vertical="center"/>
    </xf>
    <xf numFmtId="0" fontId="0" fillId="0" borderId="0" xfId="0" applyBorder="1" applyAlignment="1">
      <alignment horizontal="right" vertical="center"/>
    </xf>
    <xf numFmtId="0" fontId="12" fillId="0" borderId="18" xfId="0" applyNumberFormat="1" applyFont="1" applyFill="1" applyBorder="1" applyAlignment="1">
      <alignment horizontal="right" vertical="center"/>
    </xf>
    <xf numFmtId="0" fontId="12" fillId="0" borderId="13" xfId="0" applyNumberFormat="1" applyFont="1" applyFill="1" applyBorder="1" applyAlignment="1">
      <alignment horizontal="right" vertical="center"/>
    </xf>
    <xf numFmtId="3" fontId="12" fillId="0" borderId="0" xfId="0" applyNumberFormat="1" applyFont="1" applyFill="1" applyBorder="1" applyAlignment="1">
      <alignment horizontal="right" vertical="center"/>
    </xf>
    <xf numFmtId="0" fontId="12" fillId="0" borderId="0" xfId="0" applyNumberFormat="1" applyFont="1" applyFill="1" applyBorder="1" applyAlignment="1">
      <alignment horizontal="right" vertical="center"/>
    </xf>
    <xf numFmtId="0" fontId="24" fillId="19" borderId="0" xfId="0" applyNumberFormat="1" applyFont="1" applyFill="1" applyBorder="1" applyAlignment="1">
      <alignment horizontal="right" vertical="center"/>
    </xf>
    <xf numFmtId="0" fontId="24" fillId="19" borderId="14" xfId="0" applyNumberFormat="1" applyFont="1" applyFill="1" applyBorder="1" applyAlignment="1">
      <alignment horizontal="right" vertical="center"/>
    </xf>
    <xf numFmtId="0" fontId="21" fillId="22" borderId="14" xfId="0" applyNumberFormat="1" applyFont="1" applyFill="1" applyBorder="1" applyAlignment="1">
      <alignment horizontal="center" vertical="center"/>
    </xf>
    <xf numFmtId="0" fontId="24" fillId="19" borderId="15" xfId="0" applyNumberFormat="1" applyFont="1" applyFill="1" applyBorder="1" applyAlignment="1">
      <alignment horizontal="center" vertical="center"/>
    </xf>
    <xf numFmtId="0" fontId="21" fillId="22" borderId="16" xfId="0" applyNumberFormat="1" applyFont="1" applyFill="1" applyBorder="1" applyAlignment="1">
      <alignment horizontal="right" vertical="center"/>
    </xf>
    <xf numFmtId="0" fontId="28" fillId="23" borderId="0" xfId="0" applyNumberFormat="1" applyFont="1" applyFill="1" applyBorder="1" applyAlignment="1">
      <alignment horizontal="center" vertical="center"/>
    </xf>
    <xf numFmtId="0" fontId="24" fillId="19" borderId="17" xfId="0" applyNumberFormat="1" applyFont="1" applyFill="1" applyBorder="1" applyAlignment="1">
      <alignment horizontal="center" vertical="center"/>
    </xf>
    <xf numFmtId="38" fontId="24" fillId="0" borderId="13" xfId="0" applyNumberFormat="1" applyFont="1" applyFill="1" applyBorder="1" applyAlignment="1">
      <alignment vertical="center"/>
    </xf>
    <xf numFmtId="38" fontId="24" fillId="0" borderId="13" xfId="0" applyNumberFormat="1" applyFont="1" applyFill="1" applyBorder="1" applyAlignment="1">
      <alignment horizontal="right" vertical="center"/>
    </xf>
    <xf numFmtId="0" fontId="28" fillId="24" borderId="0" xfId="0" applyNumberFormat="1" applyFont="1" applyFill="1" applyBorder="1" applyAlignment="1">
      <alignment horizontal="center" vertical="center"/>
    </xf>
    <xf numFmtId="0" fontId="28" fillId="25" borderId="0" xfId="0" applyNumberFormat="1" applyFont="1" applyFill="1" applyBorder="1" applyAlignment="1">
      <alignment horizontal="center" vertical="center"/>
    </xf>
    <xf numFmtId="0" fontId="24" fillId="26" borderId="0" xfId="0" applyNumberFormat="1" applyFont="1" applyFill="1" applyBorder="1" applyAlignment="1">
      <alignment horizontal="center" vertical="center"/>
    </xf>
    <xf numFmtId="0" fontId="24" fillId="27" borderId="0" xfId="0" applyNumberFormat="1" applyFont="1" applyFill="1" applyBorder="1" applyAlignment="1">
      <alignment horizontal="center" vertical="center"/>
    </xf>
    <xf numFmtId="0" fontId="24" fillId="28" borderId="0" xfId="0" applyNumberFormat="1" applyFont="1" applyFill="1" applyBorder="1" applyAlignment="1">
      <alignment horizontal="center" vertical="center"/>
    </xf>
    <xf numFmtId="0" fontId="24" fillId="29" borderId="0" xfId="0" applyNumberFormat="1" applyFont="1" applyFill="1" applyBorder="1" applyAlignment="1">
      <alignment horizontal="center" vertical="center"/>
    </xf>
    <xf numFmtId="0" fontId="24" fillId="30" borderId="0" xfId="0" applyNumberFormat="1" applyFont="1" applyFill="1" applyBorder="1" applyAlignment="1">
      <alignment horizontal="center" vertical="center"/>
    </xf>
    <xf numFmtId="0" fontId="24" fillId="31" borderId="0" xfId="0" applyNumberFormat="1" applyFont="1" applyFill="1" applyBorder="1" applyAlignment="1">
      <alignment horizontal="center" vertical="center"/>
    </xf>
    <xf numFmtId="0" fontId="24" fillId="32" borderId="0" xfId="0" applyNumberFormat="1" applyFont="1" applyFill="1" applyBorder="1" applyAlignment="1">
      <alignment horizontal="center" vertical="center"/>
    </xf>
    <xf numFmtId="0" fontId="24" fillId="0" borderId="12" xfId="0" applyNumberFormat="1" applyFont="1" applyFill="1" applyBorder="1" applyAlignment="1">
      <alignment horizontal="center" vertical="center"/>
    </xf>
    <xf numFmtId="0" fontId="24" fillId="19" borderId="12" xfId="0" applyNumberFormat="1" applyFont="1" applyFill="1" applyBorder="1" applyAlignment="1">
      <alignment horizontal="right" vertical="center"/>
    </xf>
    <xf numFmtId="38" fontId="24" fillId="0" borderId="18" xfId="0" applyNumberFormat="1" applyFont="1" applyFill="1" applyBorder="1" applyAlignment="1">
      <alignment horizontal="right" vertical="center"/>
    </xf>
    <xf numFmtId="0" fontId="12" fillId="14" borderId="18" xfId="0" applyNumberFormat="1" applyFont="1" applyFill="1" applyBorder="1" applyAlignment="1">
      <alignment horizontal="right" vertical="center"/>
    </xf>
    <xf numFmtId="0" fontId="12" fillId="33" borderId="13" xfId="0" applyNumberFormat="1" applyFont="1" applyFill="1" applyBorder="1" applyAlignment="1">
      <alignment horizontal="right" vertical="center"/>
    </xf>
    <xf numFmtId="0" fontId="12" fillId="14" borderId="13" xfId="0" applyNumberFormat="1" applyFont="1" applyFill="1" applyBorder="1" applyAlignment="1">
      <alignment horizontal="right" vertical="center"/>
    </xf>
    <xf numFmtId="0" fontId="12" fillId="33" borderId="18" xfId="0" applyNumberFormat="1" applyFont="1" applyFill="1" applyBorder="1" applyAlignment="1">
      <alignment horizontal="right" vertical="center"/>
    </xf>
    <xf numFmtId="0" fontId="12" fillId="12" borderId="18" xfId="0" applyNumberFormat="1" applyFont="1" applyFill="1" applyBorder="1" applyAlignment="1">
      <alignment horizontal="right" vertical="center"/>
    </xf>
    <xf numFmtId="0" fontId="12" fillId="13" borderId="18" xfId="0" applyNumberFormat="1" applyFont="1" applyFill="1" applyBorder="1" applyAlignment="1">
      <alignment horizontal="right" vertical="center"/>
    </xf>
    <xf numFmtId="0" fontId="12" fillId="9" borderId="18" xfId="0" applyNumberFormat="1" applyFont="1" applyFill="1" applyBorder="1" applyAlignment="1">
      <alignment horizontal="right" vertical="center"/>
    </xf>
    <xf numFmtId="0" fontId="12" fillId="7" borderId="18" xfId="0" applyNumberFormat="1" applyFont="1" applyFill="1" applyBorder="1" applyAlignment="1">
      <alignment horizontal="right" vertical="center"/>
    </xf>
    <xf numFmtId="0" fontId="12" fillId="9" borderId="13" xfId="0" applyNumberFormat="1" applyFont="1" applyFill="1" applyBorder="1" applyAlignment="1">
      <alignment horizontal="right" vertical="center"/>
    </xf>
    <xf numFmtId="0" fontId="12" fillId="15" borderId="18" xfId="0" applyNumberFormat="1" applyFont="1" applyFill="1" applyBorder="1" applyAlignment="1">
      <alignment horizontal="right" vertical="center"/>
    </xf>
    <xf numFmtId="0" fontId="12" fillId="17" borderId="18" xfId="0" applyNumberFormat="1" applyFont="1" applyFill="1" applyBorder="1" applyAlignment="1">
      <alignment horizontal="right" vertical="center"/>
    </xf>
    <xf numFmtId="0" fontId="12" fillId="6" borderId="18" xfId="0" applyNumberFormat="1" applyFont="1" applyFill="1" applyBorder="1" applyAlignment="1">
      <alignment horizontal="right" vertical="center"/>
    </xf>
    <xf numFmtId="0" fontId="12" fillId="16" borderId="18" xfId="0" applyNumberFormat="1" applyFont="1" applyFill="1" applyBorder="1" applyAlignment="1">
      <alignment horizontal="right" vertical="center"/>
    </xf>
    <xf numFmtId="3" fontId="13" fillId="8" borderId="0" xfId="0" applyNumberFormat="1" applyFont="1" applyFill="1" applyBorder="1" applyAlignment="1">
      <alignment horizontal="right" vertical="center"/>
    </xf>
    <xf numFmtId="3" fontId="12" fillId="8" borderId="0" xfId="0" applyNumberFormat="1" applyFont="1" applyFill="1" applyBorder="1" applyAlignment="1">
      <alignment horizontal="right" vertical="center"/>
    </xf>
    <xf numFmtId="0" fontId="12" fillId="8" borderId="0" xfId="0" applyNumberFormat="1" applyFont="1" applyFill="1" applyBorder="1" applyAlignment="1">
      <alignment horizontal="right" vertical="center"/>
    </xf>
    <xf numFmtId="0" fontId="12" fillId="8" borderId="13" xfId="0" applyNumberFormat="1" applyFont="1" applyFill="1" applyBorder="1" applyAlignment="1">
      <alignment horizontal="right" vertical="center"/>
    </xf>
    <xf numFmtId="0" fontId="12" fillId="7" borderId="13" xfId="0" applyNumberFormat="1" applyFont="1" applyFill="1" applyBorder="1" applyAlignment="1">
      <alignment horizontal="right" vertical="center"/>
    </xf>
    <xf numFmtId="0" fontId="12" fillId="8" borderId="18" xfId="0" applyNumberFormat="1" applyFont="1" applyFill="1" applyBorder="1" applyAlignment="1">
      <alignment horizontal="right" vertical="center"/>
    </xf>
    <xf numFmtId="0" fontId="12" fillId="12" borderId="13" xfId="0" applyNumberFormat="1" applyFont="1" applyFill="1" applyBorder="1" applyAlignment="1">
      <alignment horizontal="right" vertical="center"/>
    </xf>
    <xf numFmtId="0" fontId="12" fillId="15" borderId="13" xfId="0" applyNumberFormat="1" applyFont="1" applyFill="1" applyBorder="1" applyAlignment="1">
      <alignment horizontal="right" vertical="center"/>
    </xf>
    <xf numFmtId="3" fontId="12" fillId="6" borderId="0" xfId="0" applyNumberFormat="1" applyFont="1" applyFill="1" applyBorder="1" applyAlignment="1">
      <alignment horizontal="right" vertical="center"/>
    </xf>
    <xf numFmtId="3" fontId="13" fillId="6" borderId="0" xfId="0" applyNumberFormat="1" applyFont="1" applyFill="1" applyBorder="1" applyAlignment="1">
      <alignment horizontal="right" vertical="center"/>
    </xf>
    <xf numFmtId="0" fontId="12" fillId="6" borderId="0" xfId="0" applyNumberFormat="1" applyFont="1" applyFill="1" applyBorder="1" applyAlignment="1">
      <alignment horizontal="right" vertical="center"/>
    </xf>
    <xf numFmtId="0" fontId="24" fillId="19" borderId="0" xfId="0" applyNumberFormat="1" applyFont="1" applyFill="1" applyBorder="1" applyAlignment="1">
      <alignment horizontal="left" vertical="center"/>
    </xf>
    <xf numFmtId="0" fontId="24" fillId="19" borderId="14" xfId="0" applyNumberFormat="1" applyFont="1" applyFill="1" applyBorder="1" applyAlignment="1">
      <alignment horizontal="left" vertical="center"/>
    </xf>
    <xf numFmtId="0" fontId="24" fillId="19" borderId="15" xfId="0" applyNumberFormat="1" applyFont="1" applyFill="1" applyBorder="1" applyAlignment="1">
      <alignment horizontal="left" vertical="center"/>
    </xf>
    <xf numFmtId="0" fontId="24" fillId="19" borderId="17" xfId="0" applyNumberFormat="1" applyFont="1" applyFill="1" applyBorder="1" applyAlignment="1">
      <alignment horizontal="left" vertical="center"/>
    </xf>
    <xf numFmtId="177" fontId="24" fillId="0" borderId="13" xfId="0" applyNumberFormat="1" applyFont="1" applyFill="1" applyBorder="1" applyAlignment="1">
      <alignment horizontal="left" vertical="center"/>
    </xf>
    <xf numFmtId="0" fontId="24" fillId="19" borderId="17" xfId="0" applyNumberFormat="1" applyFont="1" applyFill="1" applyBorder="1" applyAlignment="1">
      <alignment horizontal="right" vertical="center"/>
    </xf>
    <xf numFmtId="0" fontId="24" fillId="19" borderId="19" xfId="0" applyNumberFormat="1" applyFont="1" applyFill="1" applyBorder="1" applyAlignment="1">
      <alignment horizontal="right" vertical="center"/>
    </xf>
    <xf numFmtId="0" fontId="5" fillId="2" borderId="0" xfId="0" applyFont="1" applyFill="1" applyBorder="1" applyAlignment="1">
      <alignment horizontal="center" vertical="center"/>
    </xf>
    <xf numFmtId="38" fontId="24" fillId="0" borderId="0" xfId="0" applyNumberFormat="1" applyFont="1" applyFill="1" applyBorder="1" applyAlignment="1">
      <alignment vertical="center"/>
    </xf>
    <xf numFmtId="0" fontId="12" fillId="0" borderId="12" xfId="0" applyNumberFormat="1" applyFont="1" applyFill="1" applyBorder="1" applyAlignment="1">
      <alignment horizontal="right" vertical="center"/>
    </xf>
    <xf numFmtId="0" fontId="24" fillId="0" borderId="17" xfId="0" applyNumberFormat="1" applyFont="1" applyFill="1" applyBorder="1" applyAlignment="1">
      <alignment horizontal="center" vertical="center"/>
    </xf>
    <xf numFmtId="0" fontId="24" fillId="0" borderId="12" xfId="0" applyNumberFormat="1" applyFont="1" applyFill="1" applyBorder="1" applyAlignment="1">
      <alignment horizontal="right" vertical="center"/>
    </xf>
    <xf numFmtId="0" fontId="24" fillId="0" borderId="19" xfId="0" applyNumberFormat="1" applyFont="1" applyFill="1" applyBorder="1" applyAlignment="1">
      <alignment horizontal="center" vertical="center"/>
    </xf>
  </cellXfs>
  <cellStyles count="2">
    <cellStyle name="ハイパーリンク" xfId="1" builtinId="8"/>
    <cellStyle name="標準" xfId="0" builtinId="0"/>
  </cellStyles>
  <dxfs count="0"/>
  <tableStyles count="0" defaultTableStyle="TableStyleMedium2" defaultPivotStyle="PivotStyleLight16"/>
  <colors>
    <mruColors>
      <color rgb="FF86DFCB"/>
      <color rgb="FF8833AA"/>
      <color rgb="FF0F8472"/>
      <color rgb="FFFFFFFF"/>
      <color rgb="FF98FFFC"/>
      <color rgb="FFFF7766"/>
      <color rgb="FFFF8877"/>
      <color rgb="FFFC9A99"/>
      <color rgb="FFEEDDFF"/>
      <color rgb="FFCCB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 Id="rId5" Type="http://schemas.openxmlformats.org/officeDocument/2006/relationships/image" Target="../media/image10.png"/><Relationship Id="rId4" Type="http://schemas.openxmlformats.org/officeDocument/2006/relationships/image" Target="../media/image9.png"/></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9.pn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83</xdr:row>
          <xdr:rowOff>241300</xdr:rowOff>
        </xdr:from>
        <xdr:to>
          <xdr:col>12</xdr:col>
          <xdr:colOff>254000</xdr:colOff>
          <xdr:row>86</xdr:row>
          <xdr:rowOff>6350</xdr:rowOff>
        </xdr:to>
        <xdr:sp macro="" textlink="">
          <xdr:nvSpPr>
            <xdr:cNvPr id="107522" name="Button 2" hidden="1">
              <a:extLst>
                <a:ext uri="{63B3BB69-23CF-44E3-9099-C40C66FF867C}">
                  <a14:compatExt spid="_x0000_s107522"/>
                </a:ext>
                <a:ext uri="{FF2B5EF4-FFF2-40B4-BE49-F238E27FC236}">
                  <a16:creationId xmlns:a16="http://schemas.microsoft.com/office/drawing/2014/main" id="{00000000-0008-0000-0000-000002A401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5</xdr:row>
      <xdr:rowOff>0</xdr:rowOff>
    </xdr:from>
    <xdr:to>
      <xdr:col>34</xdr:col>
      <xdr:colOff>86139</xdr:colOff>
      <xdr:row>20</xdr:row>
      <xdr:rowOff>126082</xdr:rowOff>
    </xdr:to>
    <xdr:pic>
      <xdr:nvPicPr>
        <xdr:cNvPr id="9" name="図 8">
          <a:extLst>
            <a:ext uri="{FF2B5EF4-FFF2-40B4-BE49-F238E27FC236}">
              <a16:creationId xmlns:a16="http://schemas.microsoft.com/office/drawing/2014/main" id="{F8130FF5-676B-2BA1-7FFD-EE9B7989F55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25217" y="1325217"/>
          <a:ext cx="7772400" cy="4095385"/>
        </a:xfrm>
        <a:prstGeom prst="rect">
          <a:avLst/>
        </a:prstGeom>
      </xdr:spPr>
    </xdr:pic>
    <xdr:clientData/>
  </xdr:twoCellAnchor>
  <xdr:twoCellAnchor editAs="oneCell">
    <xdr:from>
      <xdr:col>5</xdr:col>
      <xdr:colOff>0</xdr:colOff>
      <xdr:row>27</xdr:row>
      <xdr:rowOff>0</xdr:rowOff>
    </xdr:from>
    <xdr:to>
      <xdr:col>34</xdr:col>
      <xdr:colOff>86139</xdr:colOff>
      <xdr:row>42</xdr:row>
      <xdr:rowOff>171824</xdr:rowOff>
    </xdr:to>
    <xdr:pic>
      <xdr:nvPicPr>
        <xdr:cNvPr id="11" name="図 10">
          <a:extLst>
            <a:ext uri="{FF2B5EF4-FFF2-40B4-BE49-F238E27FC236}">
              <a16:creationId xmlns:a16="http://schemas.microsoft.com/office/drawing/2014/main" id="{4E452C99-6860-CFB4-F801-0882158874C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25217" y="7156174"/>
          <a:ext cx="7772400" cy="4147476"/>
        </a:xfrm>
        <a:prstGeom prst="rect">
          <a:avLst/>
        </a:prstGeom>
      </xdr:spPr>
    </xdr:pic>
    <xdr:clientData/>
  </xdr:twoCellAnchor>
  <xdr:twoCellAnchor>
    <xdr:from>
      <xdr:col>11</xdr:col>
      <xdr:colOff>47764</xdr:colOff>
      <xdr:row>41</xdr:row>
      <xdr:rowOff>218523</xdr:rowOff>
    </xdr:from>
    <xdr:to>
      <xdr:col>14</xdr:col>
      <xdr:colOff>0</xdr:colOff>
      <xdr:row>42</xdr:row>
      <xdr:rowOff>207065</xdr:rowOff>
    </xdr:to>
    <xdr:sp macro="" textlink="">
      <xdr:nvSpPr>
        <xdr:cNvPr id="12" name="正方形/長方形 11">
          <a:extLst>
            <a:ext uri="{FF2B5EF4-FFF2-40B4-BE49-F238E27FC236}">
              <a16:creationId xmlns:a16="http://schemas.microsoft.com/office/drawing/2014/main" id="{BEE94CEB-9160-204F-5400-236077D57159}"/>
            </a:ext>
          </a:extLst>
        </xdr:cNvPr>
        <xdr:cNvSpPr/>
      </xdr:nvSpPr>
      <xdr:spPr>
        <a:xfrm>
          <a:off x="2963242" y="11085306"/>
          <a:ext cx="747367" cy="253585"/>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201956</xdr:colOff>
      <xdr:row>43</xdr:row>
      <xdr:rowOff>200023</xdr:rowOff>
    </xdr:from>
    <xdr:to>
      <xdr:col>30</xdr:col>
      <xdr:colOff>190499</xdr:colOff>
      <xdr:row>45</xdr:row>
      <xdr:rowOff>49695</xdr:rowOff>
    </xdr:to>
    <xdr:sp macro="" textlink="">
      <xdr:nvSpPr>
        <xdr:cNvPr id="13" name="正方形/長方形 12">
          <a:extLst>
            <a:ext uri="{FF2B5EF4-FFF2-40B4-BE49-F238E27FC236}">
              <a16:creationId xmlns:a16="http://schemas.microsoft.com/office/drawing/2014/main" id="{4A69413F-BB07-4401-A9FE-70CBB715DE04}"/>
            </a:ext>
          </a:extLst>
        </xdr:cNvPr>
        <xdr:cNvSpPr/>
      </xdr:nvSpPr>
      <xdr:spPr>
        <a:xfrm>
          <a:off x="1792217" y="11596893"/>
          <a:ext cx="6349586" cy="379759"/>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154816</xdr:colOff>
      <xdr:row>42</xdr:row>
      <xdr:rowOff>207065</xdr:rowOff>
    </xdr:from>
    <xdr:to>
      <xdr:col>18</xdr:col>
      <xdr:colOff>196227</xdr:colOff>
      <xdr:row>43</xdr:row>
      <xdr:rowOff>200023</xdr:rowOff>
    </xdr:to>
    <xdr:cxnSp macro="">
      <xdr:nvCxnSpPr>
        <xdr:cNvPr id="15" name="直線コネクタ 14">
          <a:extLst>
            <a:ext uri="{FF2B5EF4-FFF2-40B4-BE49-F238E27FC236}">
              <a16:creationId xmlns:a16="http://schemas.microsoft.com/office/drawing/2014/main" id="{0E347A14-E70A-262C-8BD2-FACD7E60DD0C}"/>
            </a:ext>
          </a:extLst>
        </xdr:cNvPr>
        <xdr:cNvCxnSpPr>
          <a:stCxn id="12" idx="2"/>
          <a:endCxn id="13" idx="0"/>
        </xdr:cNvCxnSpPr>
      </xdr:nvCxnSpPr>
      <xdr:spPr>
        <a:xfrm>
          <a:off x="3335338" y="11338891"/>
          <a:ext cx="1631672" cy="258002"/>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86001</xdr:colOff>
      <xdr:row>29</xdr:row>
      <xdr:rowOff>57978</xdr:rowOff>
    </xdr:from>
    <xdr:to>
      <xdr:col>8</xdr:col>
      <xdr:colOff>57978</xdr:colOff>
      <xdr:row>30</xdr:row>
      <xdr:rowOff>16566</xdr:rowOff>
    </xdr:to>
    <xdr:sp macro="" textlink="">
      <xdr:nvSpPr>
        <xdr:cNvPr id="17" name="正方形/長方形 16">
          <a:extLst>
            <a:ext uri="{FF2B5EF4-FFF2-40B4-BE49-F238E27FC236}">
              <a16:creationId xmlns:a16="http://schemas.microsoft.com/office/drawing/2014/main" id="{11DDF0DD-F591-4835-A837-FD6DB6E3E096}"/>
            </a:ext>
          </a:extLst>
        </xdr:cNvPr>
        <xdr:cNvSpPr/>
      </xdr:nvSpPr>
      <xdr:spPr>
        <a:xfrm>
          <a:off x="1941305" y="7744239"/>
          <a:ext cx="237021" cy="22363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202924</xdr:colOff>
      <xdr:row>30</xdr:row>
      <xdr:rowOff>16566</xdr:rowOff>
    </xdr:from>
    <xdr:to>
      <xdr:col>18</xdr:col>
      <xdr:colOff>193674</xdr:colOff>
      <xdr:row>45</xdr:row>
      <xdr:rowOff>259934</xdr:rowOff>
    </xdr:to>
    <xdr:cxnSp macro="">
      <xdr:nvCxnSpPr>
        <xdr:cNvPr id="19" name="直線コネクタ 18">
          <a:extLst>
            <a:ext uri="{FF2B5EF4-FFF2-40B4-BE49-F238E27FC236}">
              <a16:creationId xmlns:a16="http://schemas.microsoft.com/office/drawing/2014/main" id="{2B1CF194-A991-47A9-9E08-52A1F549FDA3}"/>
            </a:ext>
          </a:extLst>
        </xdr:cNvPr>
        <xdr:cNvCxnSpPr>
          <a:stCxn id="17" idx="2"/>
          <a:endCxn id="21" idx="0"/>
        </xdr:cNvCxnSpPr>
      </xdr:nvCxnSpPr>
      <xdr:spPr>
        <a:xfrm>
          <a:off x="2058228" y="7967870"/>
          <a:ext cx="2906229" cy="4219021"/>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163718</xdr:colOff>
      <xdr:row>45</xdr:row>
      <xdr:rowOff>259934</xdr:rowOff>
    </xdr:from>
    <xdr:to>
      <xdr:col>30</xdr:col>
      <xdr:colOff>223630</xdr:colOff>
      <xdr:row>49</xdr:row>
      <xdr:rowOff>44587</xdr:rowOff>
    </xdr:to>
    <xdr:sp macro="" textlink="">
      <xdr:nvSpPr>
        <xdr:cNvPr id="21" name="正方形/長方形 20">
          <a:extLst>
            <a:ext uri="{FF2B5EF4-FFF2-40B4-BE49-F238E27FC236}">
              <a16:creationId xmlns:a16="http://schemas.microsoft.com/office/drawing/2014/main" id="{A0106247-6286-497A-953C-BAD37221C90B}"/>
            </a:ext>
          </a:extLst>
        </xdr:cNvPr>
        <xdr:cNvSpPr/>
      </xdr:nvSpPr>
      <xdr:spPr>
        <a:xfrm>
          <a:off x="1753979" y="12186891"/>
          <a:ext cx="6420955" cy="137491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5</xdr:col>
      <xdr:colOff>0</xdr:colOff>
      <xdr:row>88</xdr:row>
      <xdr:rowOff>0</xdr:rowOff>
    </xdr:from>
    <xdr:to>
      <xdr:col>18</xdr:col>
      <xdr:colOff>136334</xdr:colOff>
      <xdr:row>104</xdr:row>
      <xdr:rowOff>150942</xdr:rowOff>
    </xdr:to>
    <xdr:pic>
      <xdr:nvPicPr>
        <xdr:cNvPr id="26" name="図 25">
          <a:extLst>
            <a:ext uri="{FF2B5EF4-FFF2-40B4-BE49-F238E27FC236}">
              <a16:creationId xmlns:a16="http://schemas.microsoft.com/office/drawing/2014/main" id="{F4F36581-9D15-E6C3-A775-7D116CC5477A}"/>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25217" y="23323826"/>
          <a:ext cx="3581900" cy="4391638"/>
        </a:xfrm>
        <a:prstGeom prst="rect">
          <a:avLst/>
        </a:prstGeom>
      </xdr:spPr>
    </xdr:pic>
    <xdr:clientData/>
  </xdr:twoCellAnchor>
  <xdr:twoCellAnchor editAs="oneCell">
    <xdr:from>
      <xdr:col>5</xdr:col>
      <xdr:colOff>6350</xdr:colOff>
      <xdr:row>111</xdr:row>
      <xdr:rowOff>0</xdr:rowOff>
    </xdr:from>
    <xdr:to>
      <xdr:col>28</xdr:col>
      <xdr:colOff>131046</xdr:colOff>
      <xdr:row>136</xdr:row>
      <xdr:rowOff>229693</xdr:rowOff>
    </xdr:to>
    <xdr:pic>
      <xdr:nvPicPr>
        <xdr:cNvPr id="28" name="図 27">
          <a:extLst>
            <a:ext uri="{FF2B5EF4-FFF2-40B4-BE49-F238E27FC236}">
              <a16:creationId xmlns:a16="http://schemas.microsoft.com/office/drawing/2014/main" id="{F7C85890-CFEA-FCE1-1BAF-079D0641F24D}"/>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31567" y="29154783"/>
          <a:ext cx="6220696" cy="6855780"/>
        </a:xfrm>
        <a:prstGeom prst="rect">
          <a:avLst/>
        </a:prstGeom>
      </xdr:spPr>
    </xdr:pic>
    <xdr:clientData/>
  </xdr:twoCellAnchor>
  <xdr:twoCellAnchor>
    <xdr:from>
      <xdr:col>12</xdr:col>
      <xdr:colOff>160545</xdr:colOff>
      <xdr:row>103</xdr:row>
      <xdr:rowOff>46521</xdr:rowOff>
    </xdr:from>
    <xdr:to>
      <xdr:col>18</xdr:col>
      <xdr:colOff>49695</xdr:colOff>
      <xdr:row>104</xdr:row>
      <xdr:rowOff>149087</xdr:rowOff>
    </xdr:to>
    <xdr:sp macro="" textlink="">
      <xdr:nvSpPr>
        <xdr:cNvPr id="29" name="正方形/長方形 28">
          <a:extLst>
            <a:ext uri="{FF2B5EF4-FFF2-40B4-BE49-F238E27FC236}">
              <a16:creationId xmlns:a16="http://schemas.microsoft.com/office/drawing/2014/main" id="{41BEDFB1-27AD-454B-B8FC-5542ED515034}"/>
            </a:ext>
          </a:extLst>
        </xdr:cNvPr>
        <xdr:cNvSpPr/>
      </xdr:nvSpPr>
      <xdr:spPr>
        <a:xfrm>
          <a:off x="3341067" y="27345999"/>
          <a:ext cx="1479411" cy="36761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201958</xdr:colOff>
      <xdr:row>105</xdr:row>
      <xdr:rowOff>198782</xdr:rowOff>
    </xdr:from>
    <xdr:to>
      <xdr:col>26</xdr:col>
      <xdr:colOff>256761</xdr:colOff>
      <xdr:row>107</xdr:row>
      <xdr:rowOff>8283</xdr:rowOff>
    </xdr:to>
    <xdr:sp macro="" textlink="">
      <xdr:nvSpPr>
        <xdr:cNvPr id="30" name="正方形/長方形 29">
          <a:extLst>
            <a:ext uri="{FF2B5EF4-FFF2-40B4-BE49-F238E27FC236}">
              <a16:creationId xmlns:a16="http://schemas.microsoft.com/office/drawing/2014/main" id="{5F663D55-45D1-4A07-A80D-417160A26577}"/>
            </a:ext>
          </a:extLst>
        </xdr:cNvPr>
        <xdr:cNvSpPr/>
      </xdr:nvSpPr>
      <xdr:spPr>
        <a:xfrm>
          <a:off x="1792219" y="28028347"/>
          <a:ext cx="5355672" cy="339588"/>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105121</xdr:colOff>
      <xdr:row>104</xdr:row>
      <xdr:rowOff>145912</xdr:rowOff>
    </xdr:from>
    <xdr:to>
      <xdr:col>16</xdr:col>
      <xdr:colOff>229359</xdr:colOff>
      <xdr:row>105</xdr:row>
      <xdr:rowOff>201957</xdr:rowOff>
    </xdr:to>
    <xdr:cxnSp macro="">
      <xdr:nvCxnSpPr>
        <xdr:cNvPr id="31" name="直線コネクタ 30">
          <a:extLst>
            <a:ext uri="{FF2B5EF4-FFF2-40B4-BE49-F238E27FC236}">
              <a16:creationId xmlns:a16="http://schemas.microsoft.com/office/drawing/2014/main" id="{6A998959-5218-47C6-8CFF-B114DEEA8BC3}"/>
            </a:ext>
          </a:extLst>
        </xdr:cNvPr>
        <xdr:cNvCxnSpPr>
          <a:stCxn id="29" idx="2"/>
          <a:endCxn id="30" idx="0"/>
        </xdr:cNvCxnSpPr>
      </xdr:nvCxnSpPr>
      <xdr:spPr>
        <a:xfrm>
          <a:off x="4080773" y="27710434"/>
          <a:ext cx="389282" cy="321088"/>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218524</xdr:colOff>
      <xdr:row>135</xdr:row>
      <xdr:rowOff>121063</xdr:rowOff>
    </xdr:from>
    <xdr:to>
      <xdr:col>21</xdr:col>
      <xdr:colOff>198783</xdr:colOff>
      <xdr:row>136</xdr:row>
      <xdr:rowOff>223629</xdr:rowOff>
    </xdr:to>
    <xdr:sp macro="" textlink="">
      <xdr:nvSpPr>
        <xdr:cNvPr id="34" name="正方形/長方形 33">
          <a:extLst>
            <a:ext uri="{FF2B5EF4-FFF2-40B4-BE49-F238E27FC236}">
              <a16:creationId xmlns:a16="http://schemas.microsoft.com/office/drawing/2014/main" id="{49308EB4-D28A-4E92-9FFC-E97AE3A3A25A}"/>
            </a:ext>
          </a:extLst>
        </xdr:cNvPr>
        <xdr:cNvSpPr/>
      </xdr:nvSpPr>
      <xdr:spPr>
        <a:xfrm>
          <a:off x="4724263" y="35901933"/>
          <a:ext cx="1040433" cy="367609"/>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201958</xdr:colOff>
      <xdr:row>137</xdr:row>
      <xdr:rowOff>187325</xdr:rowOff>
    </xdr:from>
    <xdr:to>
      <xdr:col>21</xdr:col>
      <xdr:colOff>198783</xdr:colOff>
      <xdr:row>139</xdr:row>
      <xdr:rowOff>41414</xdr:rowOff>
    </xdr:to>
    <xdr:sp macro="" textlink="">
      <xdr:nvSpPr>
        <xdr:cNvPr id="35" name="正方形/長方形 34">
          <a:extLst>
            <a:ext uri="{FF2B5EF4-FFF2-40B4-BE49-F238E27FC236}">
              <a16:creationId xmlns:a16="http://schemas.microsoft.com/office/drawing/2014/main" id="{87233D50-7290-4960-888A-F452FF73DD35}"/>
            </a:ext>
          </a:extLst>
        </xdr:cNvPr>
        <xdr:cNvSpPr/>
      </xdr:nvSpPr>
      <xdr:spPr>
        <a:xfrm>
          <a:off x="1792219" y="36498282"/>
          <a:ext cx="3972477" cy="38417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67849</xdr:colOff>
      <xdr:row>136</xdr:row>
      <xdr:rowOff>220454</xdr:rowOff>
    </xdr:from>
    <xdr:to>
      <xdr:col>19</xdr:col>
      <xdr:colOff>211829</xdr:colOff>
      <xdr:row>137</xdr:row>
      <xdr:rowOff>187325</xdr:rowOff>
    </xdr:to>
    <xdr:cxnSp macro="">
      <xdr:nvCxnSpPr>
        <xdr:cNvPr id="36" name="直線コネクタ 35">
          <a:extLst>
            <a:ext uri="{FF2B5EF4-FFF2-40B4-BE49-F238E27FC236}">
              <a16:creationId xmlns:a16="http://schemas.microsoft.com/office/drawing/2014/main" id="{8970A218-C8F6-435F-9244-6C0F6C2D6AB8}"/>
            </a:ext>
          </a:extLst>
        </xdr:cNvPr>
        <xdr:cNvCxnSpPr>
          <a:stCxn id="34" idx="2"/>
          <a:endCxn id="35" idx="0"/>
        </xdr:cNvCxnSpPr>
      </xdr:nvCxnSpPr>
      <xdr:spPr>
        <a:xfrm flipH="1">
          <a:off x="3778458" y="36266367"/>
          <a:ext cx="1469197" cy="231915"/>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147</xdr:row>
      <xdr:rowOff>0</xdr:rowOff>
    </xdr:from>
    <xdr:to>
      <xdr:col>34</xdr:col>
      <xdr:colOff>86139</xdr:colOff>
      <xdr:row>150</xdr:row>
      <xdr:rowOff>226902</xdr:rowOff>
    </xdr:to>
    <xdr:pic>
      <xdr:nvPicPr>
        <xdr:cNvPr id="40" name="図 39">
          <a:extLst>
            <a:ext uri="{FF2B5EF4-FFF2-40B4-BE49-F238E27FC236}">
              <a16:creationId xmlns:a16="http://schemas.microsoft.com/office/drawing/2014/main" id="{5B13316E-FC64-B921-4EC8-06F61808C73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25217" y="38961391"/>
          <a:ext cx="7772400" cy="1022033"/>
        </a:xfrm>
        <a:prstGeom prst="rect">
          <a:avLst/>
        </a:prstGeom>
      </xdr:spPr>
    </xdr:pic>
    <xdr:clientData/>
  </xdr:twoCellAnchor>
  <xdr:twoCellAnchor>
    <xdr:from>
      <xdr:col>11</xdr:col>
      <xdr:colOff>46521</xdr:colOff>
      <xdr:row>148</xdr:row>
      <xdr:rowOff>259934</xdr:rowOff>
    </xdr:from>
    <xdr:to>
      <xdr:col>15</xdr:col>
      <xdr:colOff>231913</xdr:colOff>
      <xdr:row>150</xdr:row>
      <xdr:rowOff>16564</xdr:rowOff>
    </xdr:to>
    <xdr:sp macro="" textlink="">
      <xdr:nvSpPr>
        <xdr:cNvPr id="41" name="正方形/長方形 40">
          <a:extLst>
            <a:ext uri="{FF2B5EF4-FFF2-40B4-BE49-F238E27FC236}">
              <a16:creationId xmlns:a16="http://schemas.microsoft.com/office/drawing/2014/main" id="{EFC2DF8B-4DA8-47BA-BD41-D32D63DA467E}"/>
            </a:ext>
          </a:extLst>
        </xdr:cNvPr>
        <xdr:cNvSpPr/>
      </xdr:nvSpPr>
      <xdr:spPr>
        <a:xfrm>
          <a:off x="2961999" y="39486369"/>
          <a:ext cx="1245566" cy="286717"/>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20</xdr:col>
      <xdr:colOff>143979</xdr:colOff>
      <xdr:row>149</xdr:row>
      <xdr:rowOff>1</xdr:rowOff>
    </xdr:from>
    <xdr:to>
      <xdr:col>24</xdr:col>
      <xdr:colOff>182218</xdr:colOff>
      <xdr:row>150</xdr:row>
      <xdr:rowOff>16565</xdr:rowOff>
    </xdr:to>
    <xdr:sp macro="" textlink="">
      <xdr:nvSpPr>
        <xdr:cNvPr id="42" name="正方形/長方形 41">
          <a:extLst>
            <a:ext uri="{FF2B5EF4-FFF2-40B4-BE49-F238E27FC236}">
              <a16:creationId xmlns:a16="http://schemas.microsoft.com/office/drawing/2014/main" id="{205344D8-A424-4A62-9EAB-0DF96F1C7B63}"/>
            </a:ext>
          </a:extLst>
        </xdr:cNvPr>
        <xdr:cNvSpPr/>
      </xdr:nvSpPr>
      <xdr:spPr>
        <a:xfrm>
          <a:off x="5444849" y="39491479"/>
          <a:ext cx="1098412" cy="281608"/>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28</xdr:col>
      <xdr:colOff>182218</xdr:colOff>
      <xdr:row>148</xdr:row>
      <xdr:rowOff>256761</xdr:rowOff>
    </xdr:from>
    <xdr:to>
      <xdr:col>32</xdr:col>
      <xdr:colOff>16566</xdr:colOff>
      <xdr:row>150</xdr:row>
      <xdr:rowOff>29955</xdr:rowOff>
    </xdr:to>
    <xdr:sp macro="" textlink="">
      <xdr:nvSpPr>
        <xdr:cNvPr id="43" name="正方形/長方形 42">
          <a:extLst>
            <a:ext uri="{FF2B5EF4-FFF2-40B4-BE49-F238E27FC236}">
              <a16:creationId xmlns:a16="http://schemas.microsoft.com/office/drawing/2014/main" id="{AF479512-282D-4B77-ABAD-F2B7C34A8802}"/>
            </a:ext>
          </a:extLst>
        </xdr:cNvPr>
        <xdr:cNvSpPr/>
      </xdr:nvSpPr>
      <xdr:spPr>
        <a:xfrm>
          <a:off x="7603435" y="39483196"/>
          <a:ext cx="894522" cy="303281"/>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237020</xdr:colOff>
      <xdr:row>152</xdr:row>
      <xdr:rowOff>11458</xdr:rowOff>
    </xdr:from>
    <xdr:to>
      <xdr:col>16</xdr:col>
      <xdr:colOff>198781</xdr:colOff>
      <xdr:row>157</xdr:row>
      <xdr:rowOff>16565</xdr:rowOff>
    </xdr:to>
    <xdr:sp macro="" textlink="">
      <xdr:nvSpPr>
        <xdr:cNvPr id="44" name="正方形/長方形 43">
          <a:extLst>
            <a:ext uri="{FF2B5EF4-FFF2-40B4-BE49-F238E27FC236}">
              <a16:creationId xmlns:a16="http://schemas.microsoft.com/office/drawing/2014/main" id="{E179C16A-04A8-49FA-A4F4-90A46BCC998B}"/>
            </a:ext>
          </a:extLst>
        </xdr:cNvPr>
        <xdr:cNvSpPr/>
      </xdr:nvSpPr>
      <xdr:spPr>
        <a:xfrm>
          <a:off x="1297194" y="40298067"/>
          <a:ext cx="3142283" cy="1330324"/>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221076</xdr:colOff>
      <xdr:row>150</xdr:row>
      <xdr:rowOff>16564</xdr:rowOff>
    </xdr:from>
    <xdr:to>
      <xdr:col>13</xdr:col>
      <xdr:colOff>142392</xdr:colOff>
      <xdr:row>152</xdr:row>
      <xdr:rowOff>8283</xdr:rowOff>
    </xdr:to>
    <xdr:cxnSp macro="">
      <xdr:nvCxnSpPr>
        <xdr:cNvPr id="45" name="直線コネクタ 44">
          <a:extLst>
            <a:ext uri="{FF2B5EF4-FFF2-40B4-BE49-F238E27FC236}">
              <a16:creationId xmlns:a16="http://schemas.microsoft.com/office/drawing/2014/main" id="{B5903625-6998-4BBD-B5F8-19494D2FBA2C}"/>
            </a:ext>
          </a:extLst>
        </xdr:cNvPr>
        <xdr:cNvCxnSpPr>
          <a:stCxn id="41" idx="2"/>
          <a:endCxn id="44" idx="0"/>
        </xdr:cNvCxnSpPr>
      </xdr:nvCxnSpPr>
      <xdr:spPr>
        <a:xfrm flipH="1">
          <a:off x="2871511" y="39773086"/>
          <a:ext cx="716446" cy="521806"/>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221076</xdr:colOff>
      <xdr:row>150</xdr:row>
      <xdr:rowOff>16565</xdr:rowOff>
    </xdr:from>
    <xdr:to>
      <xdr:col>22</xdr:col>
      <xdr:colOff>159923</xdr:colOff>
      <xdr:row>152</xdr:row>
      <xdr:rowOff>8283</xdr:rowOff>
    </xdr:to>
    <xdr:cxnSp macro="">
      <xdr:nvCxnSpPr>
        <xdr:cNvPr id="48" name="直線コネクタ 47">
          <a:extLst>
            <a:ext uri="{FF2B5EF4-FFF2-40B4-BE49-F238E27FC236}">
              <a16:creationId xmlns:a16="http://schemas.microsoft.com/office/drawing/2014/main" id="{5DCA980E-6C0B-4071-9A9E-7A4625810576}"/>
            </a:ext>
          </a:extLst>
        </xdr:cNvPr>
        <xdr:cNvCxnSpPr>
          <a:stCxn id="42" idx="2"/>
          <a:endCxn id="44" idx="0"/>
        </xdr:cNvCxnSpPr>
      </xdr:nvCxnSpPr>
      <xdr:spPr>
        <a:xfrm flipH="1">
          <a:off x="2871511" y="39773087"/>
          <a:ext cx="3119369" cy="521805"/>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221076</xdr:colOff>
      <xdr:row>150</xdr:row>
      <xdr:rowOff>26780</xdr:rowOff>
    </xdr:from>
    <xdr:to>
      <xdr:col>30</xdr:col>
      <xdr:colOff>97805</xdr:colOff>
      <xdr:row>152</xdr:row>
      <xdr:rowOff>8283</xdr:rowOff>
    </xdr:to>
    <xdr:cxnSp macro="">
      <xdr:nvCxnSpPr>
        <xdr:cNvPr id="49" name="直線コネクタ 48">
          <a:extLst>
            <a:ext uri="{FF2B5EF4-FFF2-40B4-BE49-F238E27FC236}">
              <a16:creationId xmlns:a16="http://schemas.microsoft.com/office/drawing/2014/main" id="{34C4C89C-8583-4E4A-91D3-DDD030F52321}"/>
            </a:ext>
          </a:extLst>
        </xdr:cNvPr>
        <xdr:cNvCxnSpPr>
          <a:stCxn id="43" idx="2"/>
          <a:endCxn id="44" idx="0"/>
        </xdr:cNvCxnSpPr>
      </xdr:nvCxnSpPr>
      <xdr:spPr>
        <a:xfrm flipH="1">
          <a:off x="2871511" y="39783302"/>
          <a:ext cx="5177598" cy="51159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82550</xdr:colOff>
          <xdr:row>91</xdr:row>
          <xdr:rowOff>184150</xdr:rowOff>
        </xdr:from>
        <xdr:to>
          <xdr:col>12</xdr:col>
          <xdr:colOff>139700</xdr:colOff>
          <xdr:row>94</xdr:row>
          <xdr:rowOff>57150</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0500-0000012001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5</xdr:row>
      <xdr:rowOff>0</xdr:rowOff>
    </xdr:from>
    <xdr:to>
      <xdr:col>31</xdr:col>
      <xdr:colOff>102572</xdr:colOff>
      <xdr:row>9</xdr:row>
      <xdr:rowOff>154767</xdr:rowOff>
    </xdr:to>
    <xdr:pic>
      <xdr:nvPicPr>
        <xdr:cNvPr id="3" name="図 2">
          <a:extLst>
            <a:ext uri="{FF2B5EF4-FFF2-40B4-BE49-F238E27FC236}">
              <a16:creationId xmlns:a16="http://schemas.microsoft.com/office/drawing/2014/main" id="{71778C30-E454-F279-92C3-D54E9F3323B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18846" y="1318846"/>
          <a:ext cx="6963747" cy="1209844"/>
        </a:xfrm>
        <a:prstGeom prst="rect">
          <a:avLst/>
        </a:prstGeom>
      </xdr:spPr>
    </xdr:pic>
    <xdr:clientData/>
  </xdr:twoCellAnchor>
  <xdr:twoCellAnchor>
    <xdr:from>
      <xdr:col>18</xdr:col>
      <xdr:colOff>47135</xdr:colOff>
      <xdr:row>7</xdr:row>
      <xdr:rowOff>117229</xdr:rowOff>
    </xdr:from>
    <xdr:to>
      <xdr:col>23</xdr:col>
      <xdr:colOff>36634</xdr:colOff>
      <xdr:row>8</xdr:row>
      <xdr:rowOff>161191</xdr:rowOff>
    </xdr:to>
    <xdr:sp macro="" textlink="">
      <xdr:nvSpPr>
        <xdr:cNvPr id="4" name="正方形/長方形 3">
          <a:extLst>
            <a:ext uri="{FF2B5EF4-FFF2-40B4-BE49-F238E27FC236}">
              <a16:creationId xmlns:a16="http://schemas.microsoft.com/office/drawing/2014/main" id="{57ABA589-6F66-4214-B20A-19EA35236DAB}"/>
            </a:ext>
          </a:extLst>
        </xdr:cNvPr>
        <xdr:cNvSpPr/>
      </xdr:nvSpPr>
      <xdr:spPr>
        <a:xfrm>
          <a:off x="4794981" y="1963614"/>
          <a:ext cx="1308345" cy="30773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238613</xdr:colOff>
      <xdr:row>11</xdr:row>
      <xdr:rowOff>10501</xdr:rowOff>
    </xdr:from>
    <xdr:to>
      <xdr:col>20</xdr:col>
      <xdr:colOff>102577</xdr:colOff>
      <xdr:row>13</xdr:row>
      <xdr:rowOff>7327</xdr:rowOff>
    </xdr:to>
    <xdr:sp macro="" textlink="">
      <xdr:nvSpPr>
        <xdr:cNvPr id="5" name="正方形/長方形 4">
          <a:extLst>
            <a:ext uri="{FF2B5EF4-FFF2-40B4-BE49-F238E27FC236}">
              <a16:creationId xmlns:a16="http://schemas.microsoft.com/office/drawing/2014/main" id="{F7578705-6CF4-4C63-B0FE-7E8C0E5901A3}"/>
            </a:ext>
          </a:extLst>
        </xdr:cNvPr>
        <xdr:cNvSpPr/>
      </xdr:nvSpPr>
      <xdr:spPr>
        <a:xfrm>
          <a:off x="1293690" y="2911963"/>
          <a:ext cx="4084272" cy="524364"/>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170595</xdr:colOff>
      <xdr:row>8</xdr:row>
      <xdr:rowOff>164366</xdr:rowOff>
    </xdr:from>
    <xdr:to>
      <xdr:col>20</xdr:col>
      <xdr:colOff>175356</xdr:colOff>
      <xdr:row>11</xdr:row>
      <xdr:rowOff>7326</xdr:rowOff>
    </xdr:to>
    <xdr:cxnSp macro="">
      <xdr:nvCxnSpPr>
        <xdr:cNvPr id="6" name="直線コネクタ 5">
          <a:extLst>
            <a:ext uri="{FF2B5EF4-FFF2-40B4-BE49-F238E27FC236}">
              <a16:creationId xmlns:a16="http://schemas.microsoft.com/office/drawing/2014/main" id="{3F30D53D-2A23-4916-BA9A-51B35C06C8C6}"/>
            </a:ext>
          </a:extLst>
        </xdr:cNvPr>
        <xdr:cNvCxnSpPr>
          <a:stCxn id="4" idx="2"/>
          <a:endCxn id="5" idx="0"/>
        </xdr:cNvCxnSpPr>
      </xdr:nvCxnSpPr>
      <xdr:spPr>
        <a:xfrm flipH="1">
          <a:off x="3335826" y="2274520"/>
          <a:ext cx="2114915" cy="634268"/>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20</xdr:row>
      <xdr:rowOff>0</xdr:rowOff>
    </xdr:from>
    <xdr:to>
      <xdr:col>34</xdr:col>
      <xdr:colOff>126267</xdr:colOff>
      <xdr:row>23</xdr:row>
      <xdr:rowOff>67438</xdr:rowOff>
    </xdr:to>
    <xdr:pic>
      <xdr:nvPicPr>
        <xdr:cNvPr id="11" name="図 10">
          <a:extLst>
            <a:ext uri="{FF2B5EF4-FFF2-40B4-BE49-F238E27FC236}">
              <a16:creationId xmlns:a16="http://schemas.microsoft.com/office/drawing/2014/main" id="{FB28DDD9-695A-C0E6-FA64-AC22759E807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18846" y="5275385"/>
          <a:ext cx="7772400" cy="861920"/>
        </a:xfrm>
        <a:prstGeom prst="rect">
          <a:avLst/>
        </a:prstGeom>
      </xdr:spPr>
    </xdr:pic>
    <xdr:clientData/>
  </xdr:twoCellAnchor>
  <xdr:twoCellAnchor>
    <xdr:from>
      <xdr:col>10</xdr:col>
      <xdr:colOff>153865</xdr:colOff>
      <xdr:row>21</xdr:row>
      <xdr:rowOff>153866</xdr:rowOff>
    </xdr:from>
    <xdr:to>
      <xdr:col>15</xdr:col>
      <xdr:colOff>14654</xdr:colOff>
      <xdr:row>22</xdr:row>
      <xdr:rowOff>175846</xdr:rowOff>
    </xdr:to>
    <xdr:sp macro="" textlink="">
      <xdr:nvSpPr>
        <xdr:cNvPr id="12" name="正方形/長方形 11">
          <a:extLst>
            <a:ext uri="{FF2B5EF4-FFF2-40B4-BE49-F238E27FC236}">
              <a16:creationId xmlns:a16="http://schemas.microsoft.com/office/drawing/2014/main" id="{7CBE5985-2C44-4629-836F-E81F1954AE0E}"/>
            </a:ext>
          </a:extLst>
        </xdr:cNvPr>
        <xdr:cNvSpPr/>
      </xdr:nvSpPr>
      <xdr:spPr>
        <a:xfrm>
          <a:off x="2791557" y="5693020"/>
          <a:ext cx="1179635" cy="285749"/>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216632</xdr:colOff>
      <xdr:row>25</xdr:row>
      <xdr:rowOff>10501</xdr:rowOff>
    </xdr:from>
    <xdr:to>
      <xdr:col>11</xdr:col>
      <xdr:colOff>212480</xdr:colOff>
      <xdr:row>27</xdr:row>
      <xdr:rowOff>21980</xdr:rowOff>
    </xdr:to>
    <xdr:sp macro="" textlink="">
      <xdr:nvSpPr>
        <xdr:cNvPr id="13" name="正方形/長方形 12">
          <a:extLst>
            <a:ext uri="{FF2B5EF4-FFF2-40B4-BE49-F238E27FC236}">
              <a16:creationId xmlns:a16="http://schemas.microsoft.com/office/drawing/2014/main" id="{E44E3EEE-0624-47F0-B50B-E1109A30BB64}"/>
            </a:ext>
          </a:extLst>
        </xdr:cNvPr>
        <xdr:cNvSpPr/>
      </xdr:nvSpPr>
      <xdr:spPr>
        <a:xfrm>
          <a:off x="1535478" y="6604732"/>
          <a:ext cx="1578464" cy="539017"/>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216144</xdr:colOff>
      <xdr:row>22</xdr:row>
      <xdr:rowOff>179021</xdr:rowOff>
    </xdr:from>
    <xdr:to>
      <xdr:col>12</xdr:col>
      <xdr:colOff>214556</xdr:colOff>
      <xdr:row>25</xdr:row>
      <xdr:rowOff>7326</xdr:rowOff>
    </xdr:to>
    <xdr:cxnSp macro="">
      <xdr:nvCxnSpPr>
        <xdr:cNvPr id="14" name="直線コネクタ 13">
          <a:extLst>
            <a:ext uri="{FF2B5EF4-FFF2-40B4-BE49-F238E27FC236}">
              <a16:creationId xmlns:a16="http://schemas.microsoft.com/office/drawing/2014/main" id="{25DC3354-23B6-42EC-A137-C20474DC6701}"/>
            </a:ext>
          </a:extLst>
        </xdr:cNvPr>
        <xdr:cNvCxnSpPr>
          <a:stCxn id="12" idx="2"/>
          <a:endCxn id="13" idx="0"/>
        </xdr:cNvCxnSpPr>
      </xdr:nvCxnSpPr>
      <xdr:spPr>
        <a:xfrm flipH="1">
          <a:off x="2326298" y="5981944"/>
          <a:ext cx="1053489" cy="619613"/>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253266</xdr:colOff>
      <xdr:row>35</xdr:row>
      <xdr:rowOff>36636</xdr:rowOff>
    </xdr:from>
    <xdr:to>
      <xdr:col>13</xdr:col>
      <xdr:colOff>187891</xdr:colOff>
      <xdr:row>43</xdr:row>
      <xdr:rowOff>200101</xdr:rowOff>
    </xdr:to>
    <xdr:pic>
      <xdr:nvPicPr>
        <xdr:cNvPr id="18" name="図 17">
          <a:extLst>
            <a:ext uri="{FF2B5EF4-FFF2-40B4-BE49-F238E27FC236}">
              <a16:creationId xmlns:a16="http://schemas.microsoft.com/office/drawing/2014/main" id="{EE653185-029E-F72B-6BB8-877A17BF975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08343" y="9268559"/>
          <a:ext cx="2308548" cy="2276794"/>
        </a:xfrm>
        <a:prstGeom prst="rect">
          <a:avLst/>
        </a:prstGeom>
      </xdr:spPr>
    </xdr:pic>
    <xdr:clientData/>
  </xdr:twoCellAnchor>
  <xdr:twoCellAnchor>
    <xdr:from>
      <xdr:col>5</xdr:col>
      <xdr:colOff>21980</xdr:colOff>
      <xdr:row>35</xdr:row>
      <xdr:rowOff>58614</xdr:rowOff>
    </xdr:from>
    <xdr:to>
      <xdr:col>9</xdr:col>
      <xdr:colOff>131884</xdr:colOff>
      <xdr:row>39</xdr:row>
      <xdr:rowOff>183172</xdr:rowOff>
    </xdr:to>
    <xdr:sp macro="" textlink="">
      <xdr:nvSpPr>
        <xdr:cNvPr id="19" name="正方形/長方形 18">
          <a:extLst>
            <a:ext uri="{FF2B5EF4-FFF2-40B4-BE49-F238E27FC236}">
              <a16:creationId xmlns:a16="http://schemas.microsoft.com/office/drawing/2014/main" id="{EAB33314-D831-417A-836C-586F93E39091}"/>
            </a:ext>
          </a:extLst>
        </xdr:cNvPr>
        <xdr:cNvSpPr/>
      </xdr:nvSpPr>
      <xdr:spPr>
        <a:xfrm>
          <a:off x="1340826" y="9290537"/>
          <a:ext cx="1164981" cy="117963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237636</xdr:colOff>
      <xdr:row>44</xdr:row>
      <xdr:rowOff>216633</xdr:rowOff>
    </xdr:from>
    <xdr:to>
      <xdr:col>14</xdr:col>
      <xdr:colOff>7327</xdr:colOff>
      <xdr:row>46</xdr:row>
      <xdr:rowOff>29307</xdr:rowOff>
    </xdr:to>
    <xdr:sp macro="" textlink="">
      <xdr:nvSpPr>
        <xdr:cNvPr id="20" name="正方形/長方形 19">
          <a:extLst>
            <a:ext uri="{FF2B5EF4-FFF2-40B4-BE49-F238E27FC236}">
              <a16:creationId xmlns:a16="http://schemas.microsoft.com/office/drawing/2014/main" id="{9E920041-CCBB-432E-A60B-E817B39B3B4A}"/>
            </a:ext>
          </a:extLst>
        </xdr:cNvPr>
        <xdr:cNvSpPr/>
      </xdr:nvSpPr>
      <xdr:spPr>
        <a:xfrm>
          <a:off x="1292713" y="11822479"/>
          <a:ext cx="2407383" cy="340213"/>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76932</xdr:colOff>
      <xdr:row>39</xdr:row>
      <xdr:rowOff>179997</xdr:rowOff>
    </xdr:from>
    <xdr:to>
      <xdr:col>9</xdr:col>
      <xdr:colOff>125657</xdr:colOff>
      <xdr:row>44</xdr:row>
      <xdr:rowOff>219808</xdr:rowOff>
    </xdr:to>
    <xdr:cxnSp macro="">
      <xdr:nvCxnSpPr>
        <xdr:cNvPr id="21" name="直線コネクタ 20">
          <a:extLst>
            <a:ext uri="{FF2B5EF4-FFF2-40B4-BE49-F238E27FC236}">
              <a16:creationId xmlns:a16="http://schemas.microsoft.com/office/drawing/2014/main" id="{32E056D2-389D-48EF-B4D3-0C0279FA2039}"/>
            </a:ext>
          </a:extLst>
        </xdr:cNvPr>
        <xdr:cNvCxnSpPr>
          <a:stCxn id="19" idx="2"/>
          <a:endCxn id="20" idx="0"/>
        </xdr:cNvCxnSpPr>
      </xdr:nvCxnSpPr>
      <xdr:spPr>
        <a:xfrm>
          <a:off x="1923317" y="10466997"/>
          <a:ext cx="576263" cy="1358657"/>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16</xdr:col>
      <xdr:colOff>21981</xdr:colOff>
      <xdr:row>35</xdr:row>
      <xdr:rowOff>73269</xdr:rowOff>
    </xdr:from>
    <xdr:to>
      <xdr:col>39</xdr:col>
      <xdr:colOff>163279</xdr:colOff>
      <xdr:row>41</xdr:row>
      <xdr:rowOff>199042</xdr:rowOff>
    </xdr:to>
    <xdr:pic>
      <xdr:nvPicPr>
        <xdr:cNvPr id="25" name="図 24">
          <a:extLst>
            <a:ext uri="{FF2B5EF4-FFF2-40B4-BE49-F238E27FC236}">
              <a16:creationId xmlns:a16="http://schemas.microsoft.com/office/drawing/2014/main" id="{D2B7468D-091C-9FE2-A2E9-D76656E554C3}"/>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242289" y="9305192"/>
          <a:ext cx="6201640" cy="1708388"/>
        </a:xfrm>
        <a:prstGeom prst="rect">
          <a:avLst/>
        </a:prstGeom>
      </xdr:spPr>
    </xdr:pic>
    <xdr:clientData/>
  </xdr:twoCellAnchor>
  <xdr:twoCellAnchor>
    <xdr:from>
      <xdr:col>22</xdr:col>
      <xdr:colOff>10502</xdr:colOff>
      <xdr:row>38</xdr:row>
      <xdr:rowOff>216633</xdr:rowOff>
    </xdr:from>
    <xdr:to>
      <xdr:col>26</xdr:col>
      <xdr:colOff>263768</xdr:colOff>
      <xdr:row>39</xdr:row>
      <xdr:rowOff>249115</xdr:rowOff>
    </xdr:to>
    <xdr:sp macro="" textlink="">
      <xdr:nvSpPr>
        <xdr:cNvPr id="26" name="正方形/長方形 25">
          <a:extLst>
            <a:ext uri="{FF2B5EF4-FFF2-40B4-BE49-F238E27FC236}">
              <a16:creationId xmlns:a16="http://schemas.microsoft.com/office/drawing/2014/main" id="{3715A18C-C778-4645-8919-A5159467E1C7}"/>
            </a:ext>
          </a:extLst>
        </xdr:cNvPr>
        <xdr:cNvSpPr/>
      </xdr:nvSpPr>
      <xdr:spPr>
        <a:xfrm>
          <a:off x="5813425" y="10239864"/>
          <a:ext cx="1308343" cy="296251"/>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45</xdr:row>
      <xdr:rowOff>212480</xdr:rowOff>
    </xdr:from>
    <xdr:to>
      <xdr:col>25</xdr:col>
      <xdr:colOff>36634</xdr:colOff>
      <xdr:row>47</xdr:row>
      <xdr:rowOff>256442</xdr:rowOff>
    </xdr:to>
    <xdr:sp macro="" textlink="">
      <xdr:nvSpPr>
        <xdr:cNvPr id="27" name="正方形/長方形 26">
          <a:extLst>
            <a:ext uri="{FF2B5EF4-FFF2-40B4-BE49-F238E27FC236}">
              <a16:creationId xmlns:a16="http://schemas.microsoft.com/office/drawing/2014/main" id="{15B2C783-677E-43C0-BAB0-86079D9945A0}"/>
            </a:ext>
          </a:extLst>
        </xdr:cNvPr>
        <xdr:cNvSpPr/>
      </xdr:nvSpPr>
      <xdr:spPr>
        <a:xfrm>
          <a:off x="3894749" y="12082095"/>
          <a:ext cx="2736116" cy="571501"/>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251192</xdr:colOff>
      <xdr:row>39</xdr:row>
      <xdr:rowOff>249115</xdr:rowOff>
    </xdr:from>
    <xdr:to>
      <xdr:col>24</xdr:col>
      <xdr:colOff>135547</xdr:colOff>
      <xdr:row>45</xdr:row>
      <xdr:rowOff>212480</xdr:rowOff>
    </xdr:to>
    <xdr:cxnSp macro="">
      <xdr:nvCxnSpPr>
        <xdr:cNvPr id="28" name="直線コネクタ 27">
          <a:extLst>
            <a:ext uri="{FF2B5EF4-FFF2-40B4-BE49-F238E27FC236}">
              <a16:creationId xmlns:a16="http://schemas.microsoft.com/office/drawing/2014/main" id="{E62BA59E-42CD-438D-B661-EB11275C3713}"/>
            </a:ext>
          </a:extLst>
        </xdr:cNvPr>
        <xdr:cNvCxnSpPr>
          <a:stCxn id="26" idx="2"/>
          <a:endCxn id="27" idx="0"/>
        </xdr:cNvCxnSpPr>
      </xdr:nvCxnSpPr>
      <xdr:spPr>
        <a:xfrm flipH="1">
          <a:off x="5262807" y="10536115"/>
          <a:ext cx="1203202" cy="154598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96</xdr:row>
      <xdr:rowOff>0</xdr:rowOff>
    </xdr:from>
    <xdr:to>
      <xdr:col>34</xdr:col>
      <xdr:colOff>123092</xdr:colOff>
      <xdr:row>111</xdr:row>
      <xdr:rowOff>210993</xdr:rowOff>
    </xdr:to>
    <xdr:pic>
      <xdr:nvPicPr>
        <xdr:cNvPr id="35" name="図 34">
          <a:extLst>
            <a:ext uri="{FF2B5EF4-FFF2-40B4-BE49-F238E27FC236}">
              <a16:creationId xmlns:a16="http://schemas.microsoft.com/office/drawing/2014/main" id="{00980741-0673-93B5-54BE-FC914F500D98}"/>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18846" y="25321846"/>
          <a:ext cx="7772400" cy="4167532"/>
        </a:xfrm>
        <a:prstGeom prst="rect">
          <a:avLst/>
        </a:prstGeom>
      </xdr:spPr>
    </xdr:pic>
    <xdr:clientData/>
  </xdr:twoCellAnchor>
  <xdr:twoCellAnchor>
    <xdr:from>
      <xdr:col>18</xdr:col>
      <xdr:colOff>95250</xdr:colOff>
      <xdr:row>111</xdr:row>
      <xdr:rowOff>21981</xdr:rowOff>
    </xdr:from>
    <xdr:to>
      <xdr:col>21</xdr:col>
      <xdr:colOff>146538</xdr:colOff>
      <xdr:row>111</xdr:row>
      <xdr:rowOff>227134</xdr:rowOff>
    </xdr:to>
    <xdr:sp macro="" textlink="">
      <xdr:nvSpPr>
        <xdr:cNvPr id="36" name="正方形/長方形 35">
          <a:extLst>
            <a:ext uri="{FF2B5EF4-FFF2-40B4-BE49-F238E27FC236}">
              <a16:creationId xmlns:a16="http://schemas.microsoft.com/office/drawing/2014/main" id="{84BFB818-288A-4AA1-8A78-D784CEBC9C6D}"/>
            </a:ext>
          </a:extLst>
        </xdr:cNvPr>
        <xdr:cNvSpPr/>
      </xdr:nvSpPr>
      <xdr:spPr>
        <a:xfrm>
          <a:off x="4843096" y="29300366"/>
          <a:ext cx="842596" cy="20515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259618</xdr:colOff>
      <xdr:row>113</xdr:row>
      <xdr:rowOff>11479</xdr:rowOff>
    </xdr:from>
    <xdr:to>
      <xdr:col>16</xdr:col>
      <xdr:colOff>153865</xdr:colOff>
      <xdr:row>113</xdr:row>
      <xdr:rowOff>234462</xdr:rowOff>
    </xdr:to>
    <xdr:sp macro="" textlink="">
      <xdr:nvSpPr>
        <xdr:cNvPr id="37" name="正方形/長方形 36">
          <a:extLst>
            <a:ext uri="{FF2B5EF4-FFF2-40B4-BE49-F238E27FC236}">
              <a16:creationId xmlns:a16="http://schemas.microsoft.com/office/drawing/2014/main" id="{CD03798A-9F65-4047-9C2F-360081E8620D}"/>
            </a:ext>
          </a:extLst>
        </xdr:cNvPr>
        <xdr:cNvSpPr/>
      </xdr:nvSpPr>
      <xdr:spPr>
        <a:xfrm>
          <a:off x="1842233" y="29817402"/>
          <a:ext cx="2531940" cy="22298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205154</xdr:colOff>
      <xdr:row>111</xdr:row>
      <xdr:rowOff>227134</xdr:rowOff>
    </xdr:from>
    <xdr:to>
      <xdr:col>19</xdr:col>
      <xdr:colOff>251192</xdr:colOff>
      <xdr:row>113</xdr:row>
      <xdr:rowOff>8304</xdr:rowOff>
    </xdr:to>
    <xdr:cxnSp macro="">
      <xdr:nvCxnSpPr>
        <xdr:cNvPr id="38" name="直線コネクタ 37">
          <a:extLst>
            <a:ext uri="{FF2B5EF4-FFF2-40B4-BE49-F238E27FC236}">
              <a16:creationId xmlns:a16="http://schemas.microsoft.com/office/drawing/2014/main" id="{3A40F674-D0D4-4F48-A3B4-3E6A8255D88D}"/>
            </a:ext>
          </a:extLst>
        </xdr:cNvPr>
        <xdr:cNvCxnSpPr>
          <a:stCxn id="36" idx="2"/>
          <a:endCxn id="37" idx="0"/>
        </xdr:cNvCxnSpPr>
      </xdr:nvCxnSpPr>
      <xdr:spPr>
        <a:xfrm flipH="1">
          <a:off x="3106616" y="29505519"/>
          <a:ext cx="2156191" cy="308708"/>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82550</xdr:colOff>
          <xdr:row>110</xdr:row>
          <xdr:rowOff>184150</xdr:rowOff>
        </xdr:from>
        <xdr:to>
          <xdr:col>12</xdr:col>
          <xdr:colOff>139700</xdr:colOff>
          <xdr:row>113</xdr:row>
          <xdr:rowOff>57150</xdr:rowOff>
        </xdr:to>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700-0000011801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5</xdr:row>
      <xdr:rowOff>0</xdr:rowOff>
    </xdr:from>
    <xdr:to>
      <xdr:col>31</xdr:col>
      <xdr:colOff>105747</xdr:colOff>
      <xdr:row>9</xdr:row>
      <xdr:rowOff>154767</xdr:rowOff>
    </xdr:to>
    <xdr:pic>
      <xdr:nvPicPr>
        <xdr:cNvPr id="2" name="図 1">
          <a:extLst>
            <a:ext uri="{FF2B5EF4-FFF2-40B4-BE49-F238E27FC236}">
              <a16:creationId xmlns:a16="http://schemas.microsoft.com/office/drawing/2014/main" id="{57C5274E-2743-4320-81CE-E62148D1C27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18846" y="1318846"/>
          <a:ext cx="6963747" cy="1209844"/>
        </a:xfrm>
        <a:prstGeom prst="rect">
          <a:avLst/>
        </a:prstGeom>
      </xdr:spPr>
    </xdr:pic>
    <xdr:clientData/>
  </xdr:twoCellAnchor>
  <xdr:twoCellAnchor>
    <xdr:from>
      <xdr:col>5</xdr:col>
      <xdr:colOff>0</xdr:colOff>
      <xdr:row>11</xdr:row>
      <xdr:rowOff>7326</xdr:rowOff>
    </xdr:from>
    <xdr:to>
      <xdr:col>20</xdr:col>
      <xdr:colOff>134083</xdr:colOff>
      <xdr:row>13</xdr:row>
      <xdr:rowOff>13677</xdr:rowOff>
    </xdr:to>
    <xdr:sp macro="" textlink="">
      <xdr:nvSpPr>
        <xdr:cNvPr id="3" name="正方形/長方形 2">
          <a:extLst>
            <a:ext uri="{FF2B5EF4-FFF2-40B4-BE49-F238E27FC236}">
              <a16:creationId xmlns:a16="http://schemas.microsoft.com/office/drawing/2014/main" id="{1A359A5A-5B2E-4206-84A2-99EF26674688}"/>
            </a:ext>
          </a:extLst>
        </xdr:cNvPr>
        <xdr:cNvSpPr/>
      </xdr:nvSpPr>
      <xdr:spPr>
        <a:xfrm>
          <a:off x="1318846" y="2908788"/>
          <a:ext cx="4090622" cy="53388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36634</xdr:colOff>
      <xdr:row>7</xdr:row>
      <xdr:rowOff>117230</xdr:rowOff>
    </xdr:from>
    <xdr:to>
      <xdr:col>23</xdr:col>
      <xdr:colOff>22958</xdr:colOff>
      <xdr:row>8</xdr:row>
      <xdr:rowOff>167542</xdr:rowOff>
    </xdr:to>
    <xdr:sp macro="" textlink="">
      <xdr:nvSpPr>
        <xdr:cNvPr id="4" name="正方形/長方形 3">
          <a:extLst>
            <a:ext uri="{FF2B5EF4-FFF2-40B4-BE49-F238E27FC236}">
              <a16:creationId xmlns:a16="http://schemas.microsoft.com/office/drawing/2014/main" id="{EEDEDD46-86B6-48E7-9FE5-0C901AA04AE5}"/>
            </a:ext>
          </a:extLst>
        </xdr:cNvPr>
        <xdr:cNvSpPr/>
      </xdr:nvSpPr>
      <xdr:spPr>
        <a:xfrm>
          <a:off x="4784480" y="1963615"/>
          <a:ext cx="1305170" cy="31408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198926</xdr:colOff>
      <xdr:row>8</xdr:row>
      <xdr:rowOff>164367</xdr:rowOff>
    </xdr:from>
    <xdr:to>
      <xdr:col>20</xdr:col>
      <xdr:colOff>163268</xdr:colOff>
      <xdr:row>11</xdr:row>
      <xdr:rowOff>10501</xdr:rowOff>
    </xdr:to>
    <xdr:cxnSp macro="">
      <xdr:nvCxnSpPr>
        <xdr:cNvPr id="5" name="直線コネクタ 4">
          <a:extLst>
            <a:ext uri="{FF2B5EF4-FFF2-40B4-BE49-F238E27FC236}">
              <a16:creationId xmlns:a16="http://schemas.microsoft.com/office/drawing/2014/main" id="{8C237F17-022F-4AFE-8724-910CAD6EDC1E}"/>
            </a:ext>
          </a:extLst>
        </xdr:cNvPr>
        <xdr:cNvCxnSpPr>
          <a:stCxn id="4" idx="2"/>
          <a:endCxn id="3" idx="0"/>
        </xdr:cNvCxnSpPr>
      </xdr:nvCxnSpPr>
      <xdr:spPr>
        <a:xfrm flipH="1">
          <a:off x="3364157" y="2274521"/>
          <a:ext cx="2074496" cy="637442"/>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20</xdr:row>
      <xdr:rowOff>0</xdr:rowOff>
    </xdr:from>
    <xdr:to>
      <xdr:col>34</xdr:col>
      <xdr:colOff>126267</xdr:colOff>
      <xdr:row>23</xdr:row>
      <xdr:rowOff>67438</xdr:rowOff>
    </xdr:to>
    <xdr:pic>
      <xdr:nvPicPr>
        <xdr:cNvPr id="8" name="図 7">
          <a:extLst>
            <a:ext uri="{FF2B5EF4-FFF2-40B4-BE49-F238E27FC236}">
              <a16:creationId xmlns:a16="http://schemas.microsoft.com/office/drawing/2014/main" id="{D4542E44-9E4D-44FD-B818-D7976E4BC35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18846" y="5275385"/>
          <a:ext cx="7772400" cy="855570"/>
        </a:xfrm>
        <a:prstGeom prst="rect">
          <a:avLst/>
        </a:prstGeom>
      </xdr:spPr>
    </xdr:pic>
    <xdr:clientData/>
  </xdr:twoCellAnchor>
  <xdr:twoCellAnchor>
    <xdr:from>
      <xdr:col>5</xdr:col>
      <xdr:colOff>227135</xdr:colOff>
      <xdr:row>24</xdr:row>
      <xdr:rowOff>256442</xdr:rowOff>
    </xdr:from>
    <xdr:to>
      <xdr:col>11</xdr:col>
      <xdr:colOff>222983</xdr:colOff>
      <xdr:row>27</xdr:row>
      <xdr:rowOff>4152</xdr:rowOff>
    </xdr:to>
    <xdr:sp macro="" textlink="">
      <xdr:nvSpPr>
        <xdr:cNvPr id="9" name="正方形/長方形 8">
          <a:extLst>
            <a:ext uri="{FF2B5EF4-FFF2-40B4-BE49-F238E27FC236}">
              <a16:creationId xmlns:a16="http://schemas.microsoft.com/office/drawing/2014/main" id="{6B90D75A-D593-48B4-B686-E12F2258A369}"/>
            </a:ext>
          </a:extLst>
        </xdr:cNvPr>
        <xdr:cNvSpPr/>
      </xdr:nvSpPr>
      <xdr:spPr>
        <a:xfrm>
          <a:off x="1545981" y="6586904"/>
          <a:ext cx="1578464" cy="539017"/>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73269</xdr:colOff>
      <xdr:row>21</xdr:row>
      <xdr:rowOff>153865</xdr:rowOff>
    </xdr:from>
    <xdr:to>
      <xdr:col>23</xdr:col>
      <xdr:colOff>58616</xdr:colOff>
      <xdr:row>22</xdr:row>
      <xdr:rowOff>179020</xdr:rowOff>
    </xdr:to>
    <xdr:sp macro="" textlink="">
      <xdr:nvSpPr>
        <xdr:cNvPr id="10" name="正方形/長方形 9">
          <a:extLst>
            <a:ext uri="{FF2B5EF4-FFF2-40B4-BE49-F238E27FC236}">
              <a16:creationId xmlns:a16="http://schemas.microsoft.com/office/drawing/2014/main" id="{69C185C8-E1A7-44A9-B728-42393C73E9D1}"/>
            </a:ext>
          </a:extLst>
        </xdr:cNvPr>
        <xdr:cNvSpPr/>
      </xdr:nvSpPr>
      <xdr:spPr>
        <a:xfrm>
          <a:off x="5084884" y="5693019"/>
          <a:ext cx="1040424" cy="288924"/>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223472</xdr:colOff>
      <xdr:row>22</xdr:row>
      <xdr:rowOff>182195</xdr:rowOff>
    </xdr:from>
    <xdr:to>
      <xdr:col>21</xdr:col>
      <xdr:colOff>65942</xdr:colOff>
      <xdr:row>24</xdr:row>
      <xdr:rowOff>259617</xdr:rowOff>
    </xdr:to>
    <xdr:cxnSp macro="">
      <xdr:nvCxnSpPr>
        <xdr:cNvPr id="11" name="直線コネクタ 10">
          <a:extLst>
            <a:ext uri="{FF2B5EF4-FFF2-40B4-BE49-F238E27FC236}">
              <a16:creationId xmlns:a16="http://schemas.microsoft.com/office/drawing/2014/main" id="{0041ECBC-8BF7-482D-A8D2-54F55FE69784}"/>
            </a:ext>
          </a:extLst>
        </xdr:cNvPr>
        <xdr:cNvCxnSpPr>
          <a:stCxn id="10" idx="2"/>
          <a:endCxn id="9" idx="0"/>
        </xdr:cNvCxnSpPr>
      </xdr:nvCxnSpPr>
      <xdr:spPr>
        <a:xfrm flipH="1">
          <a:off x="2333626" y="5985118"/>
          <a:ext cx="3271470" cy="604961"/>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35</xdr:row>
      <xdr:rowOff>0</xdr:rowOff>
    </xdr:from>
    <xdr:to>
      <xdr:col>13</xdr:col>
      <xdr:colOff>201569</xdr:colOff>
      <xdr:row>43</xdr:row>
      <xdr:rowOff>160290</xdr:rowOff>
    </xdr:to>
    <xdr:pic>
      <xdr:nvPicPr>
        <xdr:cNvPr id="14" name="図 13">
          <a:extLst>
            <a:ext uri="{FF2B5EF4-FFF2-40B4-BE49-F238E27FC236}">
              <a16:creationId xmlns:a16="http://schemas.microsoft.com/office/drawing/2014/main" id="{077C0F05-491B-43BD-9A5A-C70D9D5C71E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18846" y="9231923"/>
          <a:ext cx="2305373" cy="2270444"/>
        </a:xfrm>
        <a:prstGeom prst="rect">
          <a:avLst/>
        </a:prstGeom>
      </xdr:spPr>
    </xdr:pic>
    <xdr:clientData/>
  </xdr:twoCellAnchor>
  <xdr:twoCellAnchor editAs="oneCell">
    <xdr:from>
      <xdr:col>16</xdr:col>
      <xdr:colOff>0</xdr:colOff>
      <xdr:row>35</xdr:row>
      <xdr:rowOff>0</xdr:rowOff>
    </xdr:from>
    <xdr:to>
      <xdr:col>39</xdr:col>
      <xdr:colOff>144473</xdr:colOff>
      <xdr:row>41</xdr:row>
      <xdr:rowOff>122598</xdr:rowOff>
    </xdr:to>
    <xdr:pic>
      <xdr:nvPicPr>
        <xdr:cNvPr id="15" name="図 14">
          <a:extLst>
            <a:ext uri="{FF2B5EF4-FFF2-40B4-BE49-F238E27FC236}">
              <a16:creationId xmlns:a16="http://schemas.microsoft.com/office/drawing/2014/main" id="{25304547-F035-44D1-ABC5-08FCE703C16D}"/>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220308" y="9231923"/>
          <a:ext cx="6204815" cy="1711563"/>
        </a:xfrm>
        <a:prstGeom prst="rect">
          <a:avLst/>
        </a:prstGeom>
      </xdr:spPr>
    </xdr:pic>
    <xdr:clientData/>
  </xdr:twoCellAnchor>
  <xdr:twoCellAnchor>
    <xdr:from>
      <xdr:col>4</xdr:col>
      <xdr:colOff>241789</xdr:colOff>
      <xdr:row>44</xdr:row>
      <xdr:rowOff>219808</xdr:rowOff>
    </xdr:from>
    <xdr:to>
      <xdr:col>14</xdr:col>
      <xdr:colOff>8305</xdr:colOff>
      <xdr:row>46</xdr:row>
      <xdr:rowOff>22957</xdr:rowOff>
    </xdr:to>
    <xdr:sp macro="" textlink="">
      <xdr:nvSpPr>
        <xdr:cNvPr id="16" name="正方形/長方形 15">
          <a:extLst>
            <a:ext uri="{FF2B5EF4-FFF2-40B4-BE49-F238E27FC236}">
              <a16:creationId xmlns:a16="http://schemas.microsoft.com/office/drawing/2014/main" id="{79D756E1-E351-4504-B207-2067AD4581B5}"/>
            </a:ext>
          </a:extLst>
        </xdr:cNvPr>
        <xdr:cNvSpPr/>
      </xdr:nvSpPr>
      <xdr:spPr>
        <a:xfrm>
          <a:off x="1296866" y="11825654"/>
          <a:ext cx="2404208" cy="330688"/>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21982</xdr:colOff>
      <xdr:row>35</xdr:row>
      <xdr:rowOff>14654</xdr:rowOff>
    </xdr:from>
    <xdr:to>
      <xdr:col>9</xdr:col>
      <xdr:colOff>128711</xdr:colOff>
      <xdr:row>39</xdr:row>
      <xdr:rowOff>139212</xdr:rowOff>
    </xdr:to>
    <xdr:sp macro="" textlink="">
      <xdr:nvSpPr>
        <xdr:cNvPr id="17" name="正方形/長方形 16">
          <a:extLst>
            <a:ext uri="{FF2B5EF4-FFF2-40B4-BE49-F238E27FC236}">
              <a16:creationId xmlns:a16="http://schemas.microsoft.com/office/drawing/2014/main" id="{9EC2A9B4-0540-4D94-BBE7-C2066809A093}"/>
            </a:ext>
          </a:extLst>
        </xdr:cNvPr>
        <xdr:cNvSpPr/>
      </xdr:nvSpPr>
      <xdr:spPr>
        <a:xfrm>
          <a:off x="1340828" y="9246577"/>
          <a:ext cx="1161806" cy="117963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73759</xdr:colOff>
      <xdr:row>39</xdr:row>
      <xdr:rowOff>142387</xdr:rowOff>
    </xdr:from>
    <xdr:to>
      <xdr:col>9</xdr:col>
      <xdr:colOff>125047</xdr:colOff>
      <xdr:row>44</xdr:row>
      <xdr:rowOff>216633</xdr:rowOff>
    </xdr:to>
    <xdr:cxnSp macro="">
      <xdr:nvCxnSpPr>
        <xdr:cNvPr id="18" name="直線コネクタ 17">
          <a:extLst>
            <a:ext uri="{FF2B5EF4-FFF2-40B4-BE49-F238E27FC236}">
              <a16:creationId xmlns:a16="http://schemas.microsoft.com/office/drawing/2014/main" id="{B633BDC2-9D32-488B-9D6A-B12A351FF148}"/>
            </a:ext>
          </a:extLst>
        </xdr:cNvPr>
        <xdr:cNvCxnSpPr>
          <a:stCxn id="17" idx="2"/>
          <a:endCxn id="16" idx="0"/>
        </xdr:cNvCxnSpPr>
      </xdr:nvCxnSpPr>
      <xdr:spPr>
        <a:xfrm>
          <a:off x="1920144" y="10429387"/>
          <a:ext cx="578826" cy="1393092"/>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153866</xdr:colOff>
      <xdr:row>38</xdr:row>
      <xdr:rowOff>131885</xdr:rowOff>
    </xdr:from>
    <xdr:to>
      <xdr:col>39</xdr:col>
      <xdr:colOff>84748</xdr:colOff>
      <xdr:row>39</xdr:row>
      <xdr:rowOff>183173</xdr:rowOff>
    </xdr:to>
    <xdr:sp macro="" textlink="">
      <xdr:nvSpPr>
        <xdr:cNvPr id="21" name="正方形/長方形 20">
          <a:extLst>
            <a:ext uri="{FF2B5EF4-FFF2-40B4-BE49-F238E27FC236}">
              <a16:creationId xmlns:a16="http://schemas.microsoft.com/office/drawing/2014/main" id="{0552AB9F-2EFB-498B-9149-4FD968E59328}"/>
            </a:ext>
          </a:extLst>
        </xdr:cNvPr>
        <xdr:cNvSpPr/>
      </xdr:nvSpPr>
      <xdr:spPr>
        <a:xfrm>
          <a:off x="7011866" y="10155116"/>
          <a:ext cx="3359882" cy="315057"/>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45</xdr:row>
      <xdr:rowOff>212480</xdr:rowOff>
    </xdr:from>
    <xdr:to>
      <xdr:col>25</xdr:col>
      <xdr:colOff>36634</xdr:colOff>
      <xdr:row>47</xdr:row>
      <xdr:rowOff>256442</xdr:rowOff>
    </xdr:to>
    <xdr:sp macro="" textlink="">
      <xdr:nvSpPr>
        <xdr:cNvPr id="22" name="正方形/長方形 21">
          <a:extLst>
            <a:ext uri="{FF2B5EF4-FFF2-40B4-BE49-F238E27FC236}">
              <a16:creationId xmlns:a16="http://schemas.microsoft.com/office/drawing/2014/main" id="{035A2103-73C1-49CD-9D0C-04CEA4B4FAC3}"/>
            </a:ext>
          </a:extLst>
        </xdr:cNvPr>
        <xdr:cNvSpPr/>
      </xdr:nvSpPr>
      <xdr:spPr>
        <a:xfrm>
          <a:off x="3932605" y="12213980"/>
          <a:ext cx="2771529" cy="580537"/>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249605</xdr:colOff>
      <xdr:row>39</xdr:row>
      <xdr:rowOff>179998</xdr:rowOff>
    </xdr:from>
    <xdr:to>
      <xdr:col>32</xdr:col>
      <xdr:colOff>252780</xdr:colOff>
      <xdr:row>45</xdr:row>
      <xdr:rowOff>212480</xdr:rowOff>
    </xdr:to>
    <xdr:cxnSp macro="">
      <xdr:nvCxnSpPr>
        <xdr:cNvPr id="23" name="直線コネクタ 22">
          <a:extLst>
            <a:ext uri="{FF2B5EF4-FFF2-40B4-BE49-F238E27FC236}">
              <a16:creationId xmlns:a16="http://schemas.microsoft.com/office/drawing/2014/main" id="{28C96621-084E-4771-B039-65DE4D4931EC}"/>
            </a:ext>
          </a:extLst>
        </xdr:cNvPr>
        <xdr:cNvCxnSpPr>
          <a:stCxn id="21" idx="2"/>
          <a:endCxn id="22" idx="0"/>
        </xdr:cNvCxnSpPr>
      </xdr:nvCxnSpPr>
      <xdr:spPr>
        <a:xfrm flipH="1">
          <a:off x="5261220" y="10466998"/>
          <a:ext cx="3432175" cy="1615097"/>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36636</xdr:colOff>
      <xdr:row>59</xdr:row>
      <xdr:rowOff>238614</xdr:rowOff>
    </xdr:from>
    <xdr:to>
      <xdr:col>19</xdr:col>
      <xdr:colOff>240134</xdr:colOff>
      <xdr:row>76</xdr:row>
      <xdr:rowOff>171578</xdr:rowOff>
    </xdr:to>
    <xdr:pic>
      <xdr:nvPicPr>
        <xdr:cNvPr id="27" name="図 26">
          <a:extLst>
            <a:ext uri="{FF2B5EF4-FFF2-40B4-BE49-F238E27FC236}">
              <a16:creationId xmlns:a16="http://schemas.microsoft.com/office/drawing/2014/main" id="{5742CD5B-6EA6-30B2-A571-C1438DE1CCC6}"/>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55482" y="15800999"/>
          <a:ext cx="3889917" cy="4417041"/>
        </a:xfrm>
        <a:prstGeom prst="rect">
          <a:avLst/>
        </a:prstGeom>
      </xdr:spPr>
    </xdr:pic>
    <xdr:clientData/>
  </xdr:twoCellAnchor>
  <xdr:twoCellAnchor>
    <xdr:from>
      <xdr:col>14</xdr:col>
      <xdr:colOff>95252</xdr:colOff>
      <xdr:row>64</xdr:row>
      <xdr:rowOff>179998</xdr:rowOff>
    </xdr:from>
    <xdr:to>
      <xdr:col>18</xdr:col>
      <xdr:colOff>124559</xdr:colOff>
      <xdr:row>73</xdr:row>
      <xdr:rowOff>219808</xdr:rowOff>
    </xdr:to>
    <xdr:sp macro="" textlink="">
      <xdr:nvSpPr>
        <xdr:cNvPr id="28" name="正方形/長方形 27">
          <a:extLst>
            <a:ext uri="{FF2B5EF4-FFF2-40B4-BE49-F238E27FC236}">
              <a16:creationId xmlns:a16="http://schemas.microsoft.com/office/drawing/2014/main" id="{9CF8DCEC-DF6F-4EEA-89CF-60C39F503D72}"/>
            </a:ext>
          </a:extLst>
        </xdr:cNvPr>
        <xdr:cNvSpPr/>
      </xdr:nvSpPr>
      <xdr:spPr>
        <a:xfrm>
          <a:off x="3788021" y="17061229"/>
          <a:ext cx="1084384" cy="241373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10502</xdr:colOff>
      <xdr:row>78</xdr:row>
      <xdr:rowOff>10503</xdr:rowOff>
    </xdr:from>
    <xdr:to>
      <xdr:col>22</xdr:col>
      <xdr:colOff>73269</xdr:colOff>
      <xdr:row>79</xdr:row>
      <xdr:rowOff>256444</xdr:rowOff>
    </xdr:to>
    <xdr:sp macro="" textlink="">
      <xdr:nvSpPr>
        <xdr:cNvPr id="29" name="正方形/長方形 28">
          <a:extLst>
            <a:ext uri="{FF2B5EF4-FFF2-40B4-BE49-F238E27FC236}">
              <a16:creationId xmlns:a16="http://schemas.microsoft.com/office/drawing/2014/main" id="{DCFDF5BC-350E-4D3D-8589-CF774257826A}"/>
            </a:ext>
          </a:extLst>
        </xdr:cNvPr>
        <xdr:cNvSpPr/>
      </xdr:nvSpPr>
      <xdr:spPr>
        <a:xfrm>
          <a:off x="1593117" y="20584503"/>
          <a:ext cx="4283075" cy="50971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40298</xdr:colOff>
      <xdr:row>73</xdr:row>
      <xdr:rowOff>216633</xdr:rowOff>
    </xdr:from>
    <xdr:to>
      <xdr:col>16</xdr:col>
      <xdr:colOff>108318</xdr:colOff>
      <xdr:row>78</xdr:row>
      <xdr:rowOff>7328</xdr:rowOff>
    </xdr:to>
    <xdr:cxnSp macro="">
      <xdr:nvCxnSpPr>
        <xdr:cNvPr id="30" name="直線コネクタ 29">
          <a:extLst>
            <a:ext uri="{FF2B5EF4-FFF2-40B4-BE49-F238E27FC236}">
              <a16:creationId xmlns:a16="http://schemas.microsoft.com/office/drawing/2014/main" id="{7F7FC20D-AA00-4898-9268-EA5A35DDC762}"/>
            </a:ext>
          </a:extLst>
        </xdr:cNvPr>
        <xdr:cNvCxnSpPr>
          <a:stCxn id="28" idx="2"/>
          <a:endCxn id="29" idx="0"/>
        </xdr:cNvCxnSpPr>
      </xdr:nvCxnSpPr>
      <xdr:spPr>
        <a:xfrm flipH="1">
          <a:off x="3733067" y="19471787"/>
          <a:ext cx="595559" cy="1109541"/>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115</xdr:row>
      <xdr:rowOff>0</xdr:rowOff>
    </xdr:from>
    <xdr:to>
      <xdr:col>34</xdr:col>
      <xdr:colOff>123092</xdr:colOff>
      <xdr:row>130</xdr:row>
      <xdr:rowOff>113390</xdr:rowOff>
    </xdr:to>
    <xdr:pic>
      <xdr:nvPicPr>
        <xdr:cNvPr id="34" name="図 33">
          <a:extLst>
            <a:ext uri="{FF2B5EF4-FFF2-40B4-BE49-F238E27FC236}">
              <a16:creationId xmlns:a16="http://schemas.microsoft.com/office/drawing/2014/main" id="{95B4B232-811F-8B19-0C0E-1AEFBF485A53}"/>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8846" y="30333462"/>
          <a:ext cx="7772400" cy="4069928"/>
        </a:xfrm>
        <a:prstGeom prst="rect">
          <a:avLst/>
        </a:prstGeom>
      </xdr:spPr>
    </xdr:pic>
    <xdr:clientData/>
  </xdr:twoCellAnchor>
  <xdr:twoCellAnchor>
    <xdr:from>
      <xdr:col>18</xdr:col>
      <xdr:colOff>36635</xdr:colOff>
      <xdr:row>129</xdr:row>
      <xdr:rowOff>201977</xdr:rowOff>
    </xdr:from>
    <xdr:to>
      <xdr:col>20</xdr:col>
      <xdr:colOff>249115</xdr:colOff>
      <xdr:row>130</xdr:row>
      <xdr:rowOff>146537</xdr:rowOff>
    </xdr:to>
    <xdr:sp macro="" textlink="">
      <xdr:nvSpPr>
        <xdr:cNvPr id="35" name="正方形/長方形 34">
          <a:extLst>
            <a:ext uri="{FF2B5EF4-FFF2-40B4-BE49-F238E27FC236}">
              <a16:creationId xmlns:a16="http://schemas.microsoft.com/office/drawing/2014/main" id="{032C67B2-EFA5-44F8-9D37-56AA804C4563}"/>
            </a:ext>
          </a:extLst>
        </xdr:cNvPr>
        <xdr:cNvSpPr/>
      </xdr:nvSpPr>
      <xdr:spPr>
        <a:xfrm>
          <a:off x="4784481" y="34228208"/>
          <a:ext cx="740019" cy="20832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256443</xdr:colOff>
      <xdr:row>132</xdr:row>
      <xdr:rowOff>21981</xdr:rowOff>
    </xdr:from>
    <xdr:to>
      <xdr:col>16</xdr:col>
      <xdr:colOff>157040</xdr:colOff>
      <xdr:row>132</xdr:row>
      <xdr:rowOff>251314</xdr:rowOff>
    </xdr:to>
    <xdr:sp macro="" textlink="">
      <xdr:nvSpPr>
        <xdr:cNvPr id="36" name="正方形/長方形 35">
          <a:extLst>
            <a:ext uri="{FF2B5EF4-FFF2-40B4-BE49-F238E27FC236}">
              <a16:creationId xmlns:a16="http://schemas.microsoft.com/office/drawing/2014/main" id="{56336FE0-731B-44E6-82C9-E0203897FE0E}"/>
            </a:ext>
          </a:extLst>
        </xdr:cNvPr>
        <xdr:cNvSpPr/>
      </xdr:nvSpPr>
      <xdr:spPr>
        <a:xfrm>
          <a:off x="1839058" y="34839519"/>
          <a:ext cx="2538290" cy="22933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209916</xdr:colOff>
      <xdr:row>130</xdr:row>
      <xdr:rowOff>143362</xdr:rowOff>
    </xdr:from>
    <xdr:to>
      <xdr:col>19</xdr:col>
      <xdr:colOff>142876</xdr:colOff>
      <xdr:row>132</xdr:row>
      <xdr:rowOff>21981</xdr:rowOff>
    </xdr:to>
    <xdr:cxnSp macro="">
      <xdr:nvCxnSpPr>
        <xdr:cNvPr id="37" name="直線コネクタ 36">
          <a:extLst>
            <a:ext uri="{FF2B5EF4-FFF2-40B4-BE49-F238E27FC236}">
              <a16:creationId xmlns:a16="http://schemas.microsoft.com/office/drawing/2014/main" id="{7C76ED36-F51E-4B98-835E-5ABD27434EDA}"/>
            </a:ext>
          </a:extLst>
        </xdr:cNvPr>
        <xdr:cNvCxnSpPr>
          <a:stCxn id="35" idx="2"/>
          <a:endCxn id="36" idx="0"/>
        </xdr:cNvCxnSpPr>
      </xdr:nvCxnSpPr>
      <xdr:spPr>
        <a:xfrm flipH="1">
          <a:off x="3111378" y="34433362"/>
          <a:ext cx="2043113" cy="406157"/>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82550</xdr:colOff>
          <xdr:row>110</xdr:row>
          <xdr:rowOff>184150</xdr:rowOff>
        </xdr:from>
        <xdr:to>
          <xdr:col>12</xdr:col>
          <xdr:colOff>139700</xdr:colOff>
          <xdr:row>113</xdr:row>
          <xdr:rowOff>57150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900-0000016C00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5</xdr:row>
      <xdr:rowOff>0</xdr:rowOff>
    </xdr:from>
    <xdr:to>
      <xdr:col>31</xdr:col>
      <xdr:colOff>102572</xdr:colOff>
      <xdr:row>9</xdr:row>
      <xdr:rowOff>154767</xdr:rowOff>
    </xdr:to>
    <xdr:pic>
      <xdr:nvPicPr>
        <xdr:cNvPr id="2" name="図 1">
          <a:extLst>
            <a:ext uri="{FF2B5EF4-FFF2-40B4-BE49-F238E27FC236}">
              <a16:creationId xmlns:a16="http://schemas.microsoft.com/office/drawing/2014/main" id="{6C6BAEE7-EC8C-4A44-932E-C22BBDA8AEF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18846" y="1318846"/>
          <a:ext cx="6960572" cy="1209844"/>
        </a:xfrm>
        <a:prstGeom prst="rect">
          <a:avLst/>
        </a:prstGeom>
      </xdr:spPr>
    </xdr:pic>
    <xdr:clientData/>
  </xdr:twoCellAnchor>
  <xdr:twoCellAnchor>
    <xdr:from>
      <xdr:col>4</xdr:col>
      <xdr:colOff>249116</xdr:colOff>
      <xdr:row>10</xdr:row>
      <xdr:rowOff>263769</xdr:rowOff>
    </xdr:from>
    <xdr:to>
      <xdr:col>20</xdr:col>
      <xdr:colOff>119430</xdr:colOff>
      <xdr:row>13</xdr:row>
      <xdr:rowOff>0</xdr:rowOff>
    </xdr:to>
    <xdr:sp macro="" textlink="">
      <xdr:nvSpPr>
        <xdr:cNvPr id="3" name="正方形/長方形 2">
          <a:extLst>
            <a:ext uri="{FF2B5EF4-FFF2-40B4-BE49-F238E27FC236}">
              <a16:creationId xmlns:a16="http://schemas.microsoft.com/office/drawing/2014/main" id="{1509860A-82BB-41E4-A102-2EB3FE29B496}"/>
            </a:ext>
          </a:extLst>
        </xdr:cNvPr>
        <xdr:cNvSpPr/>
      </xdr:nvSpPr>
      <xdr:spPr>
        <a:xfrm>
          <a:off x="1304193" y="2901461"/>
          <a:ext cx="4090622" cy="52753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43962</xdr:colOff>
      <xdr:row>7</xdr:row>
      <xdr:rowOff>117230</xdr:rowOff>
    </xdr:from>
    <xdr:to>
      <xdr:col>23</xdr:col>
      <xdr:colOff>36636</xdr:colOff>
      <xdr:row>8</xdr:row>
      <xdr:rowOff>167542</xdr:rowOff>
    </xdr:to>
    <xdr:sp macro="" textlink="">
      <xdr:nvSpPr>
        <xdr:cNvPr id="4" name="正方形/長方形 3">
          <a:extLst>
            <a:ext uri="{FF2B5EF4-FFF2-40B4-BE49-F238E27FC236}">
              <a16:creationId xmlns:a16="http://schemas.microsoft.com/office/drawing/2014/main" id="{9D657145-C66D-4816-8D35-03BF724D9D96}"/>
            </a:ext>
          </a:extLst>
        </xdr:cNvPr>
        <xdr:cNvSpPr/>
      </xdr:nvSpPr>
      <xdr:spPr>
        <a:xfrm>
          <a:off x="4791808" y="1963615"/>
          <a:ext cx="1311520" cy="31408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185861</xdr:colOff>
      <xdr:row>8</xdr:row>
      <xdr:rowOff>164367</xdr:rowOff>
    </xdr:from>
    <xdr:to>
      <xdr:col>20</xdr:col>
      <xdr:colOff>173771</xdr:colOff>
      <xdr:row>10</xdr:row>
      <xdr:rowOff>263769</xdr:rowOff>
    </xdr:to>
    <xdr:cxnSp macro="">
      <xdr:nvCxnSpPr>
        <xdr:cNvPr id="5" name="直線コネクタ 4">
          <a:extLst>
            <a:ext uri="{FF2B5EF4-FFF2-40B4-BE49-F238E27FC236}">
              <a16:creationId xmlns:a16="http://schemas.microsoft.com/office/drawing/2014/main" id="{B20860CD-24C2-4478-8354-6FAB0A6C913E}"/>
            </a:ext>
          </a:extLst>
        </xdr:cNvPr>
        <xdr:cNvCxnSpPr>
          <a:stCxn id="4" idx="2"/>
          <a:endCxn id="3" idx="0"/>
        </xdr:cNvCxnSpPr>
      </xdr:nvCxnSpPr>
      <xdr:spPr>
        <a:xfrm flipH="1">
          <a:off x="3351092" y="2274521"/>
          <a:ext cx="2098064" cy="62694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20</xdr:row>
      <xdr:rowOff>0</xdr:rowOff>
    </xdr:from>
    <xdr:to>
      <xdr:col>34</xdr:col>
      <xdr:colOff>126267</xdr:colOff>
      <xdr:row>23</xdr:row>
      <xdr:rowOff>67438</xdr:rowOff>
    </xdr:to>
    <xdr:pic>
      <xdr:nvPicPr>
        <xdr:cNvPr id="8" name="図 7">
          <a:extLst>
            <a:ext uri="{FF2B5EF4-FFF2-40B4-BE49-F238E27FC236}">
              <a16:creationId xmlns:a16="http://schemas.microsoft.com/office/drawing/2014/main" id="{9E6E8F9B-AD12-454A-B648-43D17F65BDE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18846" y="5275385"/>
          <a:ext cx="7775575" cy="858745"/>
        </a:xfrm>
        <a:prstGeom prst="rect">
          <a:avLst/>
        </a:prstGeom>
      </xdr:spPr>
    </xdr:pic>
    <xdr:clientData/>
  </xdr:twoCellAnchor>
  <xdr:twoCellAnchor>
    <xdr:from>
      <xdr:col>5</xdr:col>
      <xdr:colOff>234462</xdr:colOff>
      <xdr:row>25</xdr:row>
      <xdr:rowOff>7327</xdr:rowOff>
    </xdr:from>
    <xdr:to>
      <xdr:col>11</xdr:col>
      <xdr:colOff>230310</xdr:colOff>
      <xdr:row>27</xdr:row>
      <xdr:rowOff>15631</xdr:rowOff>
    </xdr:to>
    <xdr:sp macro="" textlink="">
      <xdr:nvSpPr>
        <xdr:cNvPr id="9" name="正方形/長方形 8">
          <a:extLst>
            <a:ext uri="{FF2B5EF4-FFF2-40B4-BE49-F238E27FC236}">
              <a16:creationId xmlns:a16="http://schemas.microsoft.com/office/drawing/2014/main" id="{56CE7965-6898-40C6-BDD8-0CBE2D53BFB7}"/>
            </a:ext>
          </a:extLst>
        </xdr:cNvPr>
        <xdr:cNvSpPr/>
      </xdr:nvSpPr>
      <xdr:spPr>
        <a:xfrm>
          <a:off x="1553308" y="6601558"/>
          <a:ext cx="1578464" cy="535842"/>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201981</xdr:colOff>
      <xdr:row>21</xdr:row>
      <xdr:rowOff>153866</xdr:rowOff>
    </xdr:from>
    <xdr:to>
      <xdr:col>29</xdr:col>
      <xdr:colOff>256443</xdr:colOff>
      <xdr:row>22</xdr:row>
      <xdr:rowOff>182196</xdr:rowOff>
    </xdr:to>
    <xdr:sp macro="" textlink="">
      <xdr:nvSpPr>
        <xdr:cNvPr id="10" name="正方形/長方形 9">
          <a:extLst>
            <a:ext uri="{FF2B5EF4-FFF2-40B4-BE49-F238E27FC236}">
              <a16:creationId xmlns:a16="http://schemas.microsoft.com/office/drawing/2014/main" id="{4399F02D-D2F3-4B85-BED7-8ADF79C6B05B}"/>
            </a:ext>
          </a:extLst>
        </xdr:cNvPr>
        <xdr:cNvSpPr/>
      </xdr:nvSpPr>
      <xdr:spPr>
        <a:xfrm>
          <a:off x="7059981" y="5693020"/>
          <a:ext cx="845770" cy="292099"/>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233974</xdr:colOff>
      <xdr:row>22</xdr:row>
      <xdr:rowOff>179021</xdr:rowOff>
    </xdr:from>
    <xdr:to>
      <xdr:col>28</xdr:col>
      <xdr:colOff>97328</xdr:colOff>
      <xdr:row>25</xdr:row>
      <xdr:rowOff>10502</xdr:rowOff>
    </xdr:to>
    <xdr:cxnSp macro="">
      <xdr:nvCxnSpPr>
        <xdr:cNvPr id="11" name="直線コネクタ 10">
          <a:extLst>
            <a:ext uri="{FF2B5EF4-FFF2-40B4-BE49-F238E27FC236}">
              <a16:creationId xmlns:a16="http://schemas.microsoft.com/office/drawing/2014/main" id="{50B393AA-192B-4489-ABC1-716A15FC104C}"/>
            </a:ext>
          </a:extLst>
        </xdr:cNvPr>
        <xdr:cNvCxnSpPr>
          <a:stCxn id="10" idx="2"/>
          <a:endCxn id="9" idx="0"/>
        </xdr:cNvCxnSpPr>
      </xdr:nvCxnSpPr>
      <xdr:spPr>
        <a:xfrm flipH="1">
          <a:off x="2344128" y="5981944"/>
          <a:ext cx="5138738" cy="622789"/>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35</xdr:row>
      <xdr:rowOff>29307</xdr:rowOff>
    </xdr:from>
    <xdr:to>
      <xdr:col>13</xdr:col>
      <xdr:colOff>198394</xdr:colOff>
      <xdr:row>43</xdr:row>
      <xdr:rowOff>189597</xdr:rowOff>
    </xdr:to>
    <xdr:pic>
      <xdr:nvPicPr>
        <xdr:cNvPr id="14" name="図 13">
          <a:extLst>
            <a:ext uri="{FF2B5EF4-FFF2-40B4-BE49-F238E27FC236}">
              <a16:creationId xmlns:a16="http://schemas.microsoft.com/office/drawing/2014/main" id="{44C87C06-8132-4A47-9DBB-7569D203004F}"/>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18846" y="9261230"/>
          <a:ext cx="2311723" cy="2270444"/>
        </a:xfrm>
        <a:prstGeom prst="rect">
          <a:avLst/>
        </a:prstGeom>
      </xdr:spPr>
    </xdr:pic>
    <xdr:clientData/>
  </xdr:twoCellAnchor>
  <xdr:twoCellAnchor editAs="oneCell">
    <xdr:from>
      <xdr:col>16</xdr:col>
      <xdr:colOff>0</xdr:colOff>
      <xdr:row>35</xdr:row>
      <xdr:rowOff>0</xdr:rowOff>
    </xdr:from>
    <xdr:to>
      <xdr:col>39</xdr:col>
      <xdr:colOff>141298</xdr:colOff>
      <xdr:row>41</xdr:row>
      <xdr:rowOff>125773</xdr:rowOff>
    </xdr:to>
    <xdr:pic>
      <xdr:nvPicPr>
        <xdr:cNvPr id="15" name="図 14">
          <a:extLst>
            <a:ext uri="{FF2B5EF4-FFF2-40B4-BE49-F238E27FC236}">
              <a16:creationId xmlns:a16="http://schemas.microsoft.com/office/drawing/2014/main" id="{D4A690E5-2670-49FE-B33C-DBB34ED7643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220308" y="9231923"/>
          <a:ext cx="6204815" cy="1711563"/>
        </a:xfrm>
        <a:prstGeom prst="rect">
          <a:avLst/>
        </a:prstGeom>
      </xdr:spPr>
    </xdr:pic>
    <xdr:clientData/>
  </xdr:twoCellAnchor>
  <xdr:twoCellAnchor>
    <xdr:from>
      <xdr:col>4</xdr:col>
      <xdr:colOff>234461</xdr:colOff>
      <xdr:row>44</xdr:row>
      <xdr:rowOff>234462</xdr:rowOff>
    </xdr:from>
    <xdr:to>
      <xdr:col>14</xdr:col>
      <xdr:colOff>977</xdr:colOff>
      <xdr:row>46</xdr:row>
      <xdr:rowOff>37611</xdr:rowOff>
    </xdr:to>
    <xdr:sp macro="" textlink="">
      <xdr:nvSpPr>
        <xdr:cNvPr id="16" name="正方形/長方形 15">
          <a:extLst>
            <a:ext uri="{FF2B5EF4-FFF2-40B4-BE49-F238E27FC236}">
              <a16:creationId xmlns:a16="http://schemas.microsoft.com/office/drawing/2014/main" id="{51CBD21E-420B-460B-8651-9CAD4DDC4FFF}"/>
            </a:ext>
          </a:extLst>
        </xdr:cNvPr>
        <xdr:cNvSpPr/>
      </xdr:nvSpPr>
      <xdr:spPr>
        <a:xfrm>
          <a:off x="1289538" y="11840308"/>
          <a:ext cx="2404208" cy="330688"/>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36636</xdr:colOff>
      <xdr:row>35</xdr:row>
      <xdr:rowOff>51288</xdr:rowOff>
    </xdr:from>
    <xdr:to>
      <xdr:col>9</xdr:col>
      <xdr:colOff>143365</xdr:colOff>
      <xdr:row>39</xdr:row>
      <xdr:rowOff>175846</xdr:rowOff>
    </xdr:to>
    <xdr:sp macro="" textlink="">
      <xdr:nvSpPr>
        <xdr:cNvPr id="17" name="正方形/長方形 16">
          <a:extLst>
            <a:ext uri="{FF2B5EF4-FFF2-40B4-BE49-F238E27FC236}">
              <a16:creationId xmlns:a16="http://schemas.microsoft.com/office/drawing/2014/main" id="{4EB40768-D72C-42AA-984B-25B8B45DC2E6}"/>
            </a:ext>
          </a:extLst>
        </xdr:cNvPr>
        <xdr:cNvSpPr/>
      </xdr:nvSpPr>
      <xdr:spPr>
        <a:xfrm>
          <a:off x="1355482" y="9283211"/>
          <a:ext cx="1161806" cy="117963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88413</xdr:colOff>
      <xdr:row>39</xdr:row>
      <xdr:rowOff>179021</xdr:rowOff>
    </xdr:from>
    <xdr:to>
      <xdr:col>9</xdr:col>
      <xdr:colOff>119307</xdr:colOff>
      <xdr:row>44</xdr:row>
      <xdr:rowOff>237637</xdr:rowOff>
    </xdr:to>
    <xdr:cxnSp macro="">
      <xdr:nvCxnSpPr>
        <xdr:cNvPr id="18" name="直線コネクタ 17">
          <a:extLst>
            <a:ext uri="{FF2B5EF4-FFF2-40B4-BE49-F238E27FC236}">
              <a16:creationId xmlns:a16="http://schemas.microsoft.com/office/drawing/2014/main" id="{EAA986F6-44EB-4C38-83C8-8E2EB73D132E}"/>
            </a:ext>
          </a:extLst>
        </xdr:cNvPr>
        <xdr:cNvCxnSpPr>
          <a:stCxn id="17" idx="2"/>
          <a:endCxn id="16" idx="0"/>
        </xdr:cNvCxnSpPr>
      </xdr:nvCxnSpPr>
      <xdr:spPr>
        <a:xfrm>
          <a:off x="1934798" y="10466021"/>
          <a:ext cx="558432" cy="1377462"/>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168519</xdr:colOff>
      <xdr:row>38</xdr:row>
      <xdr:rowOff>131884</xdr:rowOff>
    </xdr:from>
    <xdr:to>
      <xdr:col>39</xdr:col>
      <xdr:colOff>105751</xdr:colOff>
      <xdr:row>39</xdr:row>
      <xdr:rowOff>176822</xdr:rowOff>
    </xdr:to>
    <xdr:sp macro="" textlink="">
      <xdr:nvSpPr>
        <xdr:cNvPr id="21" name="正方形/長方形 20">
          <a:extLst>
            <a:ext uri="{FF2B5EF4-FFF2-40B4-BE49-F238E27FC236}">
              <a16:creationId xmlns:a16="http://schemas.microsoft.com/office/drawing/2014/main" id="{962CA42D-9E2B-4CA1-A4EE-203DBA4EBD7A}"/>
            </a:ext>
          </a:extLst>
        </xdr:cNvPr>
        <xdr:cNvSpPr/>
      </xdr:nvSpPr>
      <xdr:spPr>
        <a:xfrm>
          <a:off x="7026519" y="10155115"/>
          <a:ext cx="3366232" cy="308707"/>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45</xdr:row>
      <xdr:rowOff>212480</xdr:rowOff>
    </xdr:from>
    <xdr:to>
      <xdr:col>25</xdr:col>
      <xdr:colOff>36634</xdr:colOff>
      <xdr:row>47</xdr:row>
      <xdr:rowOff>256442</xdr:rowOff>
    </xdr:to>
    <xdr:sp macro="" textlink="">
      <xdr:nvSpPr>
        <xdr:cNvPr id="22" name="正方形/長方形 21">
          <a:extLst>
            <a:ext uri="{FF2B5EF4-FFF2-40B4-BE49-F238E27FC236}">
              <a16:creationId xmlns:a16="http://schemas.microsoft.com/office/drawing/2014/main" id="{91C0E2EC-23BE-4B2B-953D-E90A6464BA50}"/>
            </a:ext>
          </a:extLst>
        </xdr:cNvPr>
        <xdr:cNvSpPr/>
      </xdr:nvSpPr>
      <xdr:spPr>
        <a:xfrm>
          <a:off x="3932605" y="12213980"/>
          <a:ext cx="2771529" cy="580537"/>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249605</xdr:colOff>
      <xdr:row>39</xdr:row>
      <xdr:rowOff>179997</xdr:rowOff>
    </xdr:from>
    <xdr:to>
      <xdr:col>33</xdr:col>
      <xdr:colOff>3663</xdr:colOff>
      <xdr:row>45</xdr:row>
      <xdr:rowOff>212480</xdr:rowOff>
    </xdr:to>
    <xdr:cxnSp macro="">
      <xdr:nvCxnSpPr>
        <xdr:cNvPr id="23" name="直線コネクタ 22">
          <a:extLst>
            <a:ext uri="{FF2B5EF4-FFF2-40B4-BE49-F238E27FC236}">
              <a16:creationId xmlns:a16="http://schemas.microsoft.com/office/drawing/2014/main" id="{125078B9-3D1C-4EFF-B94D-A18EA7D6E49C}"/>
            </a:ext>
          </a:extLst>
        </xdr:cNvPr>
        <xdr:cNvCxnSpPr>
          <a:stCxn id="21" idx="2"/>
          <a:endCxn id="22" idx="0"/>
        </xdr:cNvCxnSpPr>
      </xdr:nvCxnSpPr>
      <xdr:spPr>
        <a:xfrm flipH="1">
          <a:off x="5261220" y="10466997"/>
          <a:ext cx="3446828" cy="1615098"/>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60</xdr:row>
      <xdr:rowOff>0</xdr:rowOff>
    </xdr:from>
    <xdr:to>
      <xdr:col>19</xdr:col>
      <xdr:colOff>197148</xdr:colOff>
      <xdr:row>76</xdr:row>
      <xdr:rowOff>203083</xdr:rowOff>
    </xdr:to>
    <xdr:pic>
      <xdr:nvPicPr>
        <xdr:cNvPr id="26" name="図 25">
          <a:extLst>
            <a:ext uri="{FF2B5EF4-FFF2-40B4-BE49-F238E27FC236}">
              <a16:creationId xmlns:a16="http://schemas.microsoft.com/office/drawing/2014/main" id="{172B8786-C6C3-4E69-8AA9-36E1AF6B6CE8}"/>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18846" y="15826154"/>
          <a:ext cx="3893092" cy="4420216"/>
        </a:xfrm>
        <a:prstGeom prst="rect">
          <a:avLst/>
        </a:prstGeom>
      </xdr:spPr>
    </xdr:pic>
    <xdr:clientData/>
  </xdr:twoCellAnchor>
  <xdr:twoCellAnchor>
    <xdr:from>
      <xdr:col>14</xdr:col>
      <xdr:colOff>65942</xdr:colOff>
      <xdr:row>64</xdr:row>
      <xdr:rowOff>212481</xdr:rowOff>
    </xdr:from>
    <xdr:to>
      <xdr:col>18</xdr:col>
      <xdr:colOff>95249</xdr:colOff>
      <xdr:row>73</xdr:row>
      <xdr:rowOff>242766</xdr:rowOff>
    </xdr:to>
    <xdr:sp macro="" textlink="">
      <xdr:nvSpPr>
        <xdr:cNvPr id="27" name="正方形/長方形 26">
          <a:extLst>
            <a:ext uri="{FF2B5EF4-FFF2-40B4-BE49-F238E27FC236}">
              <a16:creationId xmlns:a16="http://schemas.microsoft.com/office/drawing/2014/main" id="{C9400993-9BE1-4085-96D1-8A049C11624C}"/>
            </a:ext>
          </a:extLst>
        </xdr:cNvPr>
        <xdr:cNvSpPr/>
      </xdr:nvSpPr>
      <xdr:spPr>
        <a:xfrm>
          <a:off x="3758711" y="17093712"/>
          <a:ext cx="1084384" cy="2404208"/>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0</xdr:colOff>
      <xdr:row>78</xdr:row>
      <xdr:rowOff>14654</xdr:rowOff>
    </xdr:from>
    <xdr:to>
      <xdr:col>22</xdr:col>
      <xdr:colOff>69117</xdr:colOff>
      <xdr:row>80</xdr:row>
      <xdr:rowOff>6351</xdr:rowOff>
    </xdr:to>
    <xdr:sp macro="" textlink="">
      <xdr:nvSpPr>
        <xdr:cNvPr id="28" name="正方形/長方形 27">
          <a:extLst>
            <a:ext uri="{FF2B5EF4-FFF2-40B4-BE49-F238E27FC236}">
              <a16:creationId xmlns:a16="http://schemas.microsoft.com/office/drawing/2014/main" id="{CADDB756-2168-4DA9-8E55-317018D6B687}"/>
            </a:ext>
          </a:extLst>
        </xdr:cNvPr>
        <xdr:cNvSpPr/>
      </xdr:nvSpPr>
      <xdr:spPr>
        <a:xfrm>
          <a:off x="1582615" y="20588654"/>
          <a:ext cx="4289425" cy="51923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32971</xdr:colOff>
      <xdr:row>73</xdr:row>
      <xdr:rowOff>239591</xdr:rowOff>
    </xdr:from>
    <xdr:to>
      <xdr:col>16</xdr:col>
      <xdr:colOff>82183</xdr:colOff>
      <xdr:row>78</xdr:row>
      <xdr:rowOff>11479</xdr:rowOff>
    </xdr:to>
    <xdr:cxnSp macro="">
      <xdr:nvCxnSpPr>
        <xdr:cNvPr id="29" name="直線コネクタ 28">
          <a:extLst>
            <a:ext uri="{FF2B5EF4-FFF2-40B4-BE49-F238E27FC236}">
              <a16:creationId xmlns:a16="http://schemas.microsoft.com/office/drawing/2014/main" id="{F70162EA-0D10-4AE6-9A73-3FDE9A96674D}"/>
            </a:ext>
          </a:extLst>
        </xdr:cNvPr>
        <xdr:cNvCxnSpPr>
          <a:stCxn id="27" idx="2"/>
          <a:endCxn id="28" idx="0"/>
        </xdr:cNvCxnSpPr>
      </xdr:nvCxnSpPr>
      <xdr:spPr>
        <a:xfrm flipH="1">
          <a:off x="3725740" y="19494745"/>
          <a:ext cx="576751" cy="1090734"/>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115</xdr:row>
      <xdr:rowOff>0</xdr:rowOff>
    </xdr:from>
    <xdr:to>
      <xdr:col>34</xdr:col>
      <xdr:colOff>126267</xdr:colOff>
      <xdr:row>130</xdr:row>
      <xdr:rowOff>113390</xdr:rowOff>
    </xdr:to>
    <xdr:pic>
      <xdr:nvPicPr>
        <xdr:cNvPr id="33" name="図 32">
          <a:extLst>
            <a:ext uri="{FF2B5EF4-FFF2-40B4-BE49-F238E27FC236}">
              <a16:creationId xmlns:a16="http://schemas.microsoft.com/office/drawing/2014/main" id="{16FA164C-7244-4D3C-889F-A1ED66039943}"/>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8846" y="30333462"/>
          <a:ext cx="7775575" cy="4069928"/>
        </a:xfrm>
        <a:prstGeom prst="rect">
          <a:avLst/>
        </a:prstGeom>
      </xdr:spPr>
    </xdr:pic>
    <xdr:clientData/>
  </xdr:twoCellAnchor>
  <xdr:twoCellAnchor>
    <xdr:from>
      <xdr:col>22</xdr:col>
      <xdr:colOff>83771</xdr:colOff>
      <xdr:row>129</xdr:row>
      <xdr:rowOff>212480</xdr:rowOff>
    </xdr:from>
    <xdr:to>
      <xdr:col>24</xdr:col>
      <xdr:colOff>153865</xdr:colOff>
      <xdr:row>130</xdr:row>
      <xdr:rowOff>160215</xdr:rowOff>
    </xdr:to>
    <xdr:sp macro="" textlink="">
      <xdr:nvSpPr>
        <xdr:cNvPr id="34" name="正方形/長方形 33">
          <a:extLst>
            <a:ext uri="{FF2B5EF4-FFF2-40B4-BE49-F238E27FC236}">
              <a16:creationId xmlns:a16="http://schemas.microsoft.com/office/drawing/2014/main" id="{A29446E3-A73D-43B4-85FA-96990AB7FF51}"/>
            </a:ext>
          </a:extLst>
        </xdr:cNvPr>
        <xdr:cNvSpPr/>
      </xdr:nvSpPr>
      <xdr:spPr>
        <a:xfrm>
          <a:off x="5886694" y="34238711"/>
          <a:ext cx="597633" cy="211504"/>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249116</xdr:colOff>
      <xdr:row>132</xdr:row>
      <xdr:rowOff>14654</xdr:rowOff>
    </xdr:from>
    <xdr:to>
      <xdr:col>16</xdr:col>
      <xdr:colOff>149713</xdr:colOff>
      <xdr:row>132</xdr:row>
      <xdr:rowOff>243987</xdr:rowOff>
    </xdr:to>
    <xdr:sp macro="" textlink="">
      <xdr:nvSpPr>
        <xdr:cNvPr id="35" name="正方形/長方形 34">
          <a:extLst>
            <a:ext uri="{FF2B5EF4-FFF2-40B4-BE49-F238E27FC236}">
              <a16:creationId xmlns:a16="http://schemas.microsoft.com/office/drawing/2014/main" id="{4798F234-C9DD-4AF1-804C-27286C9DCB8D}"/>
            </a:ext>
          </a:extLst>
        </xdr:cNvPr>
        <xdr:cNvSpPr/>
      </xdr:nvSpPr>
      <xdr:spPr>
        <a:xfrm>
          <a:off x="1831731" y="34832192"/>
          <a:ext cx="2538290" cy="22933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199414</xdr:colOff>
      <xdr:row>130</xdr:row>
      <xdr:rowOff>163390</xdr:rowOff>
    </xdr:from>
    <xdr:to>
      <xdr:col>23</xdr:col>
      <xdr:colOff>120406</xdr:colOff>
      <xdr:row>132</xdr:row>
      <xdr:rowOff>11479</xdr:rowOff>
    </xdr:to>
    <xdr:cxnSp macro="">
      <xdr:nvCxnSpPr>
        <xdr:cNvPr id="36" name="直線コネクタ 35">
          <a:extLst>
            <a:ext uri="{FF2B5EF4-FFF2-40B4-BE49-F238E27FC236}">
              <a16:creationId xmlns:a16="http://schemas.microsoft.com/office/drawing/2014/main" id="{C9C16B6C-6A44-410F-BD89-00B3288000E9}"/>
            </a:ext>
          </a:extLst>
        </xdr:cNvPr>
        <xdr:cNvCxnSpPr>
          <a:stCxn id="34" idx="2"/>
          <a:endCxn id="35" idx="0"/>
        </xdr:cNvCxnSpPr>
      </xdr:nvCxnSpPr>
      <xdr:spPr>
        <a:xfrm flipH="1">
          <a:off x="3100876" y="34453390"/>
          <a:ext cx="3086222" cy="375627"/>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hyperlink" Target="https://www.teikokushoin.co.jp/statistics/prefecture/detail/11/data/2/" TargetMode="External"/></Relationships>
</file>

<file path=xl/worksheets/_rels/sheet4.xml.rels><?xml version="1.0" encoding="UTF-8" standalone="yes"?>
<Relationships xmlns="http://schemas.openxmlformats.org/package/2006/relationships"><Relationship Id="rId1" Type="http://schemas.openxmlformats.org/officeDocument/2006/relationships/hyperlink" Target="https://www.teikokushoin.co.jp/statistics/prefecture/detail/11/data/2/" TargetMode="External"/></Relationships>
</file>

<file path=xl/worksheets/_rels/sheet5.xml.rels><?xml version="1.0" encoding="UTF-8" standalone="yes"?>
<Relationships xmlns="http://schemas.openxmlformats.org/package/2006/relationships"><Relationship Id="rId1" Type="http://schemas.openxmlformats.org/officeDocument/2006/relationships/hyperlink" Target="https://www.teikokushoin.co.jp/statistics/prefecture/detail/11/data/2/"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59934-AF2A-469D-B258-61B3AEB4DA98}">
  <sheetPr codeName="Sheet35">
    <tabColor rgb="FF0F8472"/>
  </sheetPr>
  <dimension ref="A1:AG160"/>
  <sheetViews>
    <sheetView tabSelected="1" zoomScale="115" zoomScaleNormal="115" workbookViewId="0"/>
  </sheetViews>
  <sheetFormatPr defaultColWidth="3.5" defaultRowHeight="21" customHeight="1" x14ac:dyDescent="0.55000000000000004"/>
  <cols>
    <col min="1" max="16384" width="3.5" style="26"/>
  </cols>
  <sheetData>
    <row r="1" spans="1:33" ht="21" customHeight="1" x14ac:dyDescent="0.55000000000000004">
      <c r="A1" s="64" t="s">
        <v>343</v>
      </c>
      <c r="G1" s="64">
        <v>6</v>
      </c>
      <c r="R1" s="64">
        <v>17</v>
      </c>
    </row>
    <row r="2" spans="1:33" ht="21" customHeight="1" x14ac:dyDescent="0.55000000000000004">
      <c r="B2" s="35" t="s">
        <v>241</v>
      </c>
      <c r="C2" s="34"/>
      <c r="D2" s="34"/>
      <c r="E2" s="34"/>
      <c r="F2" s="34"/>
      <c r="G2" s="34"/>
      <c r="H2" s="34"/>
      <c r="I2" s="34"/>
      <c r="J2" s="34"/>
      <c r="K2" s="34"/>
      <c r="L2" s="34"/>
      <c r="M2" s="34"/>
      <c r="N2" s="34"/>
      <c r="O2" s="34"/>
      <c r="P2" s="34"/>
      <c r="Q2" s="34"/>
      <c r="R2" s="34"/>
      <c r="S2" s="34"/>
      <c r="T2" s="34"/>
      <c r="U2" s="34"/>
      <c r="V2" s="34"/>
      <c r="W2" s="34"/>
      <c r="X2" s="34"/>
      <c r="Y2" s="34"/>
      <c r="Z2" s="34"/>
      <c r="AA2" s="34"/>
      <c r="AB2" s="34"/>
      <c r="AC2" s="34"/>
      <c r="AD2" s="34"/>
      <c r="AE2" s="34"/>
    </row>
    <row r="4" spans="1:33" ht="21" customHeight="1" x14ac:dyDescent="0.55000000000000004">
      <c r="D4" s="35" t="s">
        <v>359</v>
      </c>
      <c r="E4" s="34"/>
      <c r="F4" s="34"/>
      <c r="G4" s="34"/>
      <c r="H4" s="34"/>
      <c r="I4" s="34"/>
      <c r="J4" s="34"/>
      <c r="K4" s="34"/>
      <c r="L4" s="34"/>
      <c r="M4" s="34"/>
      <c r="N4" s="34"/>
      <c r="O4" s="34"/>
      <c r="P4" s="34"/>
      <c r="Q4" s="34"/>
      <c r="R4" s="34"/>
      <c r="S4" s="34"/>
      <c r="T4" s="34"/>
      <c r="U4" s="34"/>
      <c r="V4" s="34"/>
      <c r="W4" s="34"/>
      <c r="X4" s="34"/>
      <c r="Y4" s="34"/>
      <c r="Z4" s="34"/>
      <c r="AA4" s="34"/>
      <c r="AB4" s="34"/>
      <c r="AC4" s="34"/>
      <c r="AD4" s="34"/>
      <c r="AE4" s="34"/>
      <c r="AF4" s="34"/>
      <c r="AG4" s="34"/>
    </row>
    <row r="22" spans="4:33" ht="21" customHeight="1" x14ac:dyDescent="0.55000000000000004">
      <c r="F22" s="36" t="s">
        <v>360</v>
      </c>
      <c r="G22" s="26" t="s">
        <v>362</v>
      </c>
    </row>
    <row r="23" spans="4:33" ht="21" customHeight="1" x14ac:dyDescent="0.55000000000000004">
      <c r="G23" s="26" t="s">
        <v>361</v>
      </c>
    </row>
    <row r="26" spans="4:33" ht="21" customHeight="1" x14ac:dyDescent="0.55000000000000004">
      <c r="D26" s="35" t="s">
        <v>188</v>
      </c>
      <c r="E26" s="34"/>
      <c r="F26" s="34"/>
      <c r="G26" s="34"/>
      <c r="H26" s="34"/>
      <c r="I26" s="34"/>
      <c r="J26" s="34"/>
      <c r="K26" s="34"/>
      <c r="L26" s="34"/>
      <c r="M26" s="34"/>
      <c r="N26" s="34"/>
      <c r="O26" s="34"/>
      <c r="P26" s="34"/>
      <c r="Q26" s="34"/>
      <c r="R26" s="34"/>
      <c r="S26" s="34"/>
      <c r="T26" s="34"/>
      <c r="U26" s="34"/>
      <c r="V26" s="34"/>
      <c r="W26" s="34"/>
      <c r="X26" s="34"/>
      <c r="Y26" s="34"/>
      <c r="Z26" s="34"/>
      <c r="AA26" s="34"/>
      <c r="AB26" s="34"/>
      <c r="AC26" s="34"/>
      <c r="AD26" s="34"/>
      <c r="AE26" s="34"/>
      <c r="AF26" s="34"/>
      <c r="AG26" s="34"/>
    </row>
    <row r="45" spans="6:14" ht="21" customHeight="1" x14ac:dyDescent="0.55000000000000004">
      <c r="F45" s="36"/>
      <c r="H45" s="56" t="s">
        <v>256</v>
      </c>
      <c r="I45" s="56"/>
      <c r="J45" s="56"/>
      <c r="K45" s="56"/>
      <c r="L45" s="56"/>
      <c r="M45" s="56"/>
      <c r="N45" s="26" t="s">
        <v>363</v>
      </c>
    </row>
    <row r="47" spans="6:14" ht="21" customHeight="1" x14ac:dyDescent="0.55000000000000004">
      <c r="H47" s="26" t="s">
        <v>364</v>
      </c>
    </row>
    <row r="48" spans="6:14" ht="21" customHeight="1" x14ac:dyDescent="0.55000000000000004">
      <c r="K48" s="245">
        <v>1</v>
      </c>
    </row>
    <row r="49" spans="1:33" ht="21" customHeight="1" x14ac:dyDescent="0.55000000000000004">
      <c r="H49" s="26" t="s">
        <v>365</v>
      </c>
    </row>
    <row r="51" spans="1:33" ht="21" customHeight="1" x14ac:dyDescent="0.55000000000000004">
      <c r="F51" s="26" t="s">
        <v>243</v>
      </c>
    </row>
    <row r="52" spans="1:33" ht="21" customHeight="1" x14ac:dyDescent="0.55000000000000004">
      <c r="F52" s="26" t="s">
        <v>366</v>
      </c>
    </row>
    <row r="55" spans="1:33" ht="21" customHeight="1" x14ac:dyDescent="0.55000000000000004">
      <c r="D55" s="35" t="s">
        <v>189</v>
      </c>
      <c r="E55" s="34"/>
      <c r="F55" s="34"/>
      <c r="G55" s="34"/>
      <c r="H55" s="34"/>
      <c r="I55" s="34"/>
      <c r="J55" s="34"/>
      <c r="K55" s="34"/>
      <c r="L55" s="34"/>
      <c r="M55" s="34"/>
      <c r="N55" s="34"/>
      <c r="O55" s="34"/>
      <c r="P55" s="34"/>
      <c r="Q55" s="34"/>
      <c r="R55" s="34"/>
      <c r="S55" s="34"/>
      <c r="T55" s="34"/>
      <c r="U55" s="34"/>
      <c r="V55" s="34"/>
      <c r="W55" s="34"/>
      <c r="X55" s="34"/>
      <c r="Y55" s="34"/>
      <c r="Z55" s="34"/>
      <c r="AA55" s="34"/>
      <c r="AB55" s="34"/>
      <c r="AC55" s="34"/>
      <c r="AD55" s="34"/>
      <c r="AE55" s="34"/>
      <c r="AF55" s="34"/>
      <c r="AG55" s="34"/>
    </row>
    <row r="57" spans="1:33" ht="21" customHeight="1" x14ac:dyDescent="0.55000000000000004">
      <c r="F57" s="36" t="s">
        <v>186</v>
      </c>
      <c r="G57" s="26" t="s">
        <v>257</v>
      </c>
      <c r="I57" s="56" t="s">
        <v>267</v>
      </c>
      <c r="J57" s="56"/>
      <c r="K57" s="56"/>
      <c r="L57" s="56"/>
      <c r="M57" s="56"/>
      <c r="N57" s="56"/>
      <c r="O57" s="26" t="s">
        <v>258</v>
      </c>
    </row>
    <row r="58" spans="1:33" ht="21" customHeight="1" x14ac:dyDescent="0.55000000000000004">
      <c r="F58" s="36"/>
      <c r="G58" s="26" t="s">
        <v>244</v>
      </c>
    </row>
    <row r="59" spans="1:33" ht="21" customHeight="1" thickBot="1" x14ac:dyDescent="0.45">
      <c r="G59" s="49" t="s">
        <v>201</v>
      </c>
      <c r="R59" s="49" t="s">
        <v>202</v>
      </c>
    </row>
    <row r="60" spans="1:33" ht="21" customHeight="1" thickTop="1" thickBot="1" x14ac:dyDescent="0.6">
      <c r="A60" s="64" t="s">
        <v>344</v>
      </c>
      <c r="F60" s="58">
        <v>1</v>
      </c>
      <c r="G60" s="65" t="s">
        <v>249</v>
      </c>
      <c r="H60" s="66"/>
      <c r="I60" s="66"/>
      <c r="J60" s="66"/>
      <c r="K60" s="66"/>
      <c r="L60" s="66"/>
      <c r="M60" s="66"/>
      <c r="N60" s="66"/>
      <c r="O60" s="66"/>
      <c r="P60" s="67"/>
      <c r="R60" s="65" t="s">
        <v>334</v>
      </c>
      <c r="S60" s="66"/>
      <c r="T60" s="66"/>
      <c r="U60" s="67"/>
    </row>
    <row r="61" spans="1:33" ht="21" customHeight="1" thickTop="1" thickBot="1" x14ac:dyDescent="0.45">
      <c r="G61" s="49" t="s">
        <v>201</v>
      </c>
      <c r="R61" s="49" t="s">
        <v>202</v>
      </c>
    </row>
    <row r="62" spans="1:33" ht="21" customHeight="1" thickTop="1" thickBot="1" x14ac:dyDescent="0.6">
      <c r="A62" s="64" t="s">
        <v>345</v>
      </c>
      <c r="F62" s="58">
        <v>2</v>
      </c>
      <c r="G62" s="65" t="s">
        <v>250</v>
      </c>
      <c r="H62" s="66"/>
      <c r="I62" s="66"/>
      <c r="J62" s="66"/>
      <c r="K62" s="66"/>
      <c r="L62" s="66"/>
      <c r="M62" s="66"/>
      <c r="N62" s="66"/>
      <c r="O62" s="66"/>
      <c r="P62" s="67"/>
      <c r="R62" s="65" t="s">
        <v>334</v>
      </c>
      <c r="S62" s="66"/>
      <c r="T62" s="66"/>
      <c r="U62" s="67"/>
    </row>
    <row r="63" spans="1:33" ht="21" customHeight="1" thickTop="1" thickBot="1" x14ac:dyDescent="0.45">
      <c r="G63" s="49" t="s">
        <v>201</v>
      </c>
      <c r="R63" s="49" t="s">
        <v>202</v>
      </c>
    </row>
    <row r="64" spans="1:33" ht="21" customHeight="1" thickTop="1" thickBot="1" x14ac:dyDescent="0.6">
      <c r="A64" s="64" t="s">
        <v>346</v>
      </c>
      <c r="F64" s="58">
        <v>3</v>
      </c>
      <c r="G64" s="65"/>
      <c r="H64" s="66"/>
      <c r="I64" s="66"/>
      <c r="J64" s="66"/>
      <c r="K64" s="66"/>
      <c r="L64" s="66"/>
      <c r="M64" s="66"/>
      <c r="N64" s="66"/>
      <c r="O64" s="66"/>
      <c r="P64" s="67"/>
      <c r="R64" s="65"/>
      <c r="S64" s="66"/>
      <c r="T64" s="66"/>
      <c r="U64" s="67"/>
    </row>
    <row r="65" spans="1:21" ht="21" customHeight="1" thickTop="1" thickBot="1" x14ac:dyDescent="0.45">
      <c r="G65" s="49" t="s">
        <v>201</v>
      </c>
      <c r="R65" s="49" t="s">
        <v>202</v>
      </c>
    </row>
    <row r="66" spans="1:21" ht="21" customHeight="1" thickTop="1" thickBot="1" x14ac:dyDescent="0.6">
      <c r="A66" s="64" t="s">
        <v>347</v>
      </c>
      <c r="F66" s="58">
        <v>4</v>
      </c>
      <c r="G66" s="65"/>
      <c r="H66" s="66"/>
      <c r="I66" s="66"/>
      <c r="J66" s="66"/>
      <c r="K66" s="66"/>
      <c r="L66" s="66"/>
      <c r="M66" s="66"/>
      <c r="N66" s="66"/>
      <c r="O66" s="66"/>
      <c r="P66" s="67"/>
      <c r="R66" s="65"/>
      <c r="S66" s="66"/>
      <c r="T66" s="66"/>
      <c r="U66" s="67"/>
    </row>
    <row r="67" spans="1:21" ht="21" customHeight="1" thickTop="1" thickBot="1" x14ac:dyDescent="0.45">
      <c r="G67" s="49" t="s">
        <v>201</v>
      </c>
      <c r="R67" s="49" t="s">
        <v>202</v>
      </c>
    </row>
    <row r="68" spans="1:21" ht="21" customHeight="1" thickTop="1" thickBot="1" x14ac:dyDescent="0.6">
      <c r="A68" s="64" t="s">
        <v>348</v>
      </c>
      <c r="F68" s="58">
        <v>5</v>
      </c>
      <c r="G68" s="65"/>
      <c r="H68" s="66"/>
      <c r="I68" s="66"/>
      <c r="J68" s="66"/>
      <c r="K68" s="66"/>
      <c r="L68" s="66"/>
      <c r="M68" s="66"/>
      <c r="N68" s="66"/>
      <c r="O68" s="66"/>
      <c r="P68" s="67"/>
      <c r="R68" s="65"/>
      <c r="S68" s="66"/>
      <c r="T68" s="66"/>
      <c r="U68" s="67"/>
    </row>
    <row r="69" spans="1:21" ht="21" customHeight="1" thickTop="1" thickBot="1" x14ac:dyDescent="0.45">
      <c r="G69" s="49" t="s">
        <v>201</v>
      </c>
      <c r="R69" s="49" t="s">
        <v>202</v>
      </c>
    </row>
    <row r="70" spans="1:21" ht="21" customHeight="1" thickTop="1" thickBot="1" x14ac:dyDescent="0.6">
      <c r="A70" s="64" t="s">
        <v>349</v>
      </c>
      <c r="F70" s="58">
        <v>6</v>
      </c>
      <c r="G70" s="65"/>
      <c r="H70" s="66"/>
      <c r="I70" s="66"/>
      <c r="J70" s="66"/>
      <c r="K70" s="66"/>
      <c r="L70" s="66"/>
      <c r="M70" s="66"/>
      <c r="N70" s="66"/>
      <c r="O70" s="66"/>
      <c r="P70" s="67"/>
      <c r="R70" s="65"/>
      <c r="S70" s="66"/>
      <c r="T70" s="66"/>
      <c r="U70" s="67"/>
    </row>
    <row r="71" spans="1:21" ht="21" customHeight="1" thickTop="1" thickBot="1" x14ac:dyDescent="0.45">
      <c r="G71" s="49" t="s">
        <v>201</v>
      </c>
      <c r="R71" s="49" t="s">
        <v>202</v>
      </c>
    </row>
    <row r="72" spans="1:21" ht="21" customHeight="1" thickTop="1" thickBot="1" x14ac:dyDescent="0.6">
      <c r="A72" s="64" t="s">
        <v>350</v>
      </c>
      <c r="F72" s="58">
        <v>7</v>
      </c>
      <c r="G72" s="65"/>
      <c r="H72" s="66"/>
      <c r="I72" s="66"/>
      <c r="J72" s="66"/>
      <c r="K72" s="66"/>
      <c r="L72" s="66"/>
      <c r="M72" s="66"/>
      <c r="N72" s="66"/>
      <c r="O72" s="66"/>
      <c r="P72" s="67"/>
      <c r="R72" s="65"/>
      <c r="S72" s="66"/>
      <c r="T72" s="66"/>
      <c r="U72" s="67"/>
    </row>
    <row r="73" spans="1:21" ht="21" customHeight="1" thickTop="1" thickBot="1" x14ac:dyDescent="0.45">
      <c r="G73" s="49" t="s">
        <v>201</v>
      </c>
      <c r="R73" s="49" t="s">
        <v>202</v>
      </c>
    </row>
    <row r="74" spans="1:21" ht="21" customHeight="1" thickTop="1" thickBot="1" x14ac:dyDescent="0.6">
      <c r="A74" s="64" t="s">
        <v>351</v>
      </c>
      <c r="F74" s="58">
        <v>8</v>
      </c>
      <c r="G74" s="65"/>
      <c r="H74" s="66"/>
      <c r="I74" s="66"/>
      <c r="J74" s="66"/>
      <c r="K74" s="66"/>
      <c r="L74" s="66"/>
      <c r="M74" s="66"/>
      <c r="N74" s="66"/>
      <c r="O74" s="66"/>
      <c r="P74" s="67"/>
      <c r="R74" s="65"/>
      <c r="S74" s="66"/>
      <c r="T74" s="66"/>
      <c r="U74" s="67"/>
    </row>
    <row r="75" spans="1:21" ht="21" customHeight="1" thickTop="1" thickBot="1" x14ac:dyDescent="0.45">
      <c r="G75" s="49" t="s">
        <v>201</v>
      </c>
      <c r="R75" s="49" t="s">
        <v>202</v>
      </c>
    </row>
    <row r="76" spans="1:21" ht="21" customHeight="1" thickTop="1" thickBot="1" x14ac:dyDescent="0.6">
      <c r="A76" s="64" t="s">
        <v>352</v>
      </c>
      <c r="F76" s="58">
        <v>9</v>
      </c>
      <c r="G76" s="65"/>
      <c r="H76" s="66"/>
      <c r="I76" s="66"/>
      <c r="J76" s="66"/>
      <c r="K76" s="66"/>
      <c r="L76" s="66"/>
      <c r="M76" s="66"/>
      <c r="N76" s="66"/>
      <c r="O76" s="66"/>
      <c r="P76" s="67"/>
      <c r="R76" s="65"/>
      <c r="S76" s="66"/>
      <c r="T76" s="66"/>
      <c r="U76" s="67"/>
    </row>
    <row r="77" spans="1:21" ht="21" customHeight="1" thickTop="1" thickBot="1" x14ac:dyDescent="0.45">
      <c r="G77" s="49" t="s">
        <v>201</v>
      </c>
      <c r="R77" s="49" t="s">
        <v>202</v>
      </c>
    </row>
    <row r="78" spans="1:21" ht="21" customHeight="1" thickTop="1" thickBot="1" x14ac:dyDescent="0.6">
      <c r="A78" s="64" t="s">
        <v>353</v>
      </c>
      <c r="F78" s="58">
        <v>10</v>
      </c>
      <c r="G78" s="65"/>
      <c r="H78" s="66"/>
      <c r="I78" s="66"/>
      <c r="J78" s="66"/>
      <c r="K78" s="66"/>
      <c r="L78" s="66"/>
      <c r="M78" s="66"/>
      <c r="N78" s="66"/>
      <c r="O78" s="66"/>
      <c r="P78" s="67"/>
      <c r="R78" s="65"/>
      <c r="S78" s="66"/>
      <c r="T78" s="66"/>
      <c r="U78" s="67"/>
    </row>
    <row r="79" spans="1:21" ht="21" customHeight="1" thickTop="1" x14ac:dyDescent="0.55000000000000004"/>
    <row r="81" spans="4:33" ht="21" customHeight="1" x14ac:dyDescent="0.55000000000000004">
      <c r="D81" s="35" t="s">
        <v>189</v>
      </c>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c r="AE81" s="34"/>
      <c r="AF81" s="34"/>
      <c r="AG81" s="34"/>
    </row>
    <row r="83" spans="4:33" ht="21" customHeight="1" thickBot="1" x14ac:dyDescent="0.6">
      <c r="F83" s="36" t="s">
        <v>186</v>
      </c>
      <c r="G83" s="26" t="s">
        <v>187</v>
      </c>
    </row>
    <row r="84" spans="4:33" ht="21" customHeight="1" x14ac:dyDescent="0.55000000000000004">
      <c r="F84" s="37"/>
      <c r="G84" s="38"/>
      <c r="H84" s="38"/>
      <c r="I84" s="38"/>
      <c r="J84" s="38"/>
      <c r="K84" s="38"/>
      <c r="L84" s="38"/>
      <c r="M84" s="38"/>
      <c r="N84" s="39"/>
    </row>
    <row r="85" spans="4:33" ht="21" customHeight="1" x14ac:dyDescent="0.55000000000000004">
      <c r="F85" s="40"/>
      <c r="N85" s="41"/>
    </row>
    <row r="86" spans="4:33" ht="21" customHeight="1" x14ac:dyDescent="0.55000000000000004">
      <c r="F86" s="40"/>
      <c r="N86" s="41"/>
    </row>
    <row r="87" spans="4:33" ht="21" customHeight="1" thickBot="1" x14ac:dyDescent="0.6">
      <c r="F87" s="42"/>
      <c r="G87" s="43"/>
      <c r="H87" s="43"/>
      <c r="I87" s="43"/>
      <c r="J87" s="43"/>
      <c r="K87" s="43"/>
      <c r="L87" s="43"/>
      <c r="M87" s="43"/>
      <c r="N87" s="44"/>
    </row>
    <row r="107" spans="4:33" ht="21" customHeight="1" x14ac:dyDescent="0.55000000000000004">
      <c r="G107" s="36"/>
      <c r="H107" s="61" t="s">
        <v>259</v>
      </c>
      <c r="I107" s="61"/>
      <c r="J107" s="61"/>
      <c r="K107" s="61"/>
      <c r="L107" s="61"/>
      <c r="M107" s="61"/>
      <c r="N107" s="26" t="s">
        <v>260</v>
      </c>
    </row>
    <row r="110" spans="4:33" ht="21" customHeight="1" x14ac:dyDescent="0.55000000000000004">
      <c r="D110" s="35" t="s">
        <v>191</v>
      </c>
      <c r="E110" s="34"/>
      <c r="F110" s="34"/>
      <c r="G110" s="34"/>
      <c r="H110" s="34"/>
      <c r="I110" s="34"/>
      <c r="J110" s="34"/>
      <c r="K110" s="34"/>
      <c r="L110" s="34"/>
      <c r="M110" s="34"/>
      <c r="N110" s="34"/>
      <c r="O110" s="34"/>
      <c r="P110" s="34"/>
      <c r="Q110" s="34"/>
      <c r="R110" s="34"/>
      <c r="S110" s="34"/>
      <c r="T110" s="34"/>
      <c r="U110" s="34"/>
      <c r="V110" s="34"/>
      <c r="W110" s="34"/>
      <c r="X110" s="34"/>
      <c r="Y110" s="34"/>
      <c r="Z110" s="34"/>
      <c r="AA110" s="34"/>
      <c r="AB110" s="34"/>
      <c r="AC110" s="34"/>
      <c r="AD110" s="34"/>
      <c r="AE110" s="34"/>
      <c r="AF110" s="34"/>
      <c r="AG110" s="34"/>
    </row>
    <row r="139" spans="6:12" ht="21" customHeight="1" x14ac:dyDescent="0.55000000000000004">
      <c r="G139" s="36"/>
      <c r="H139" s="56" t="s">
        <v>261</v>
      </c>
      <c r="I139" s="56"/>
      <c r="J139" s="56"/>
      <c r="K139" s="56"/>
      <c r="L139" s="26" t="s">
        <v>367</v>
      </c>
    </row>
    <row r="140" spans="6:12" ht="21" customHeight="1" x14ac:dyDescent="0.55000000000000004">
      <c r="G140" s="36"/>
    </row>
    <row r="141" spans="6:12" ht="21" customHeight="1" x14ac:dyDescent="0.55000000000000004">
      <c r="F141" s="26" t="s">
        <v>242</v>
      </c>
    </row>
    <row r="143" spans="6:12" ht="21" customHeight="1" x14ac:dyDescent="0.55000000000000004">
      <c r="F143" s="59" t="s">
        <v>245</v>
      </c>
      <c r="H143" s="26" t="s">
        <v>368</v>
      </c>
    </row>
    <row r="146" spans="1:33" ht="21" customHeight="1" x14ac:dyDescent="0.55000000000000004">
      <c r="D146" s="35" t="s">
        <v>192</v>
      </c>
      <c r="E146" s="34"/>
      <c r="F146" s="34"/>
      <c r="G146" s="34"/>
      <c r="H146" s="34"/>
      <c r="I146" s="34"/>
      <c r="J146" s="34"/>
      <c r="K146" s="34"/>
      <c r="L146" s="34"/>
      <c r="M146" s="34"/>
      <c r="N146" s="34"/>
      <c r="O146" s="34"/>
      <c r="P146" s="34"/>
      <c r="Q146" s="34"/>
      <c r="R146" s="34"/>
      <c r="S146" s="34"/>
      <c r="T146" s="34"/>
      <c r="U146" s="34"/>
      <c r="V146" s="34"/>
      <c r="W146" s="34"/>
      <c r="X146" s="34"/>
      <c r="Y146" s="34"/>
      <c r="Z146" s="34"/>
      <c r="AA146" s="34"/>
      <c r="AB146" s="34"/>
      <c r="AC146" s="34"/>
      <c r="AD146" s="34"/>
      <c r="AE146" s="34"/>
      <c r="AF146" s="34"/>
      <c r="AG146" s="34"/>
    </row>
    <row r="153" spans="1:33" ht="21" customHeight="1" x14ac:dyDescent="0.55000000000000004">
      <c r="F153" s="26" t="s">
        <v>246</v>
      </c>
    </row>
    <row r="154" spans="1:33" ht="21" customHeight="1" x14ac:dyDescent="0.55000000000000004">
      <c r="G154" s="60" t="s">
        <v>247</v>
      </c>
      <c r="H154" s="62" t="s">
        <v>262</v>
      </c>
      <c r="I154" s="53"/>
      <c r="J154" s="53"/>
      <c r="K154" s="53"/>
      <c r="L154" s="53"/>
      <c r="M154" s="53"/>
      <c r="N154" s="26" t="s">
        <v>263</v>
      </c>
    </row>
    <row r="155" spans="1:33" ht="21" customHeight="1" x14ac:dyDescent="0.55000000000000004">
      <c r="G155" s="60" t="s">
        <v>247</v>
      </c>
      <c r="H155" s="62" t="s">
        <v>264</v>
      </c>
      <c r="I155" s="63"/>
      <c r="J155" s="63"/>
      <c r="K155" s="63"/>
      <c r="L155" s="63"/>
      <c r="M155" s="26" t="s">
        <v>263</v>
      </c>
    </row>
    <row r="156" spans="1:33" ht="21" customHeight="1" x14ac:dyDescent="0.55000000000000004">
      <c r="G156" s="60" t="s">
        <v>247</v>
      </c>
      <c r="H156" s="62" t="s">
        <v>265</v>
      </c>
      <c r="I156" s="53"/>
      <c r="J156" s="53"/>
      <c r="K156" s="53"/>
      <c r="L156" s="26" t="s">
        <v>263</v>
      </c>
    </row>
    <row r="157" spans="1:33" ht="21" customHeight="1" x14ac:dyDescent="0.55000000000000004">
      <c r="F157" s="26" t="s">
        <v>248</v>
      </c>
    </row>
    <row r="159" spans="1:33" ht="21" customHeight="1" x14ac:dyDescent="0.55000000000000004">
      <c r="B159" s="26" t="s">
        <v>183</v>
      </c>
    </row>
    <row r="160" spans="1:33" ht="21" customHeight="1" x14ac:dyDescent="0.55000000000000004">
      <c r="A160" s="64" t="s">
        <v>342</v>
      </c>
    </row>
  </sheetData>
  <mergeCells count="20">
    <mergeCell ref="G62:P62"/>
    <mergeCell ref="R62:U62"/>
    <mergeCell ref="G60:P60"/>
    <mergeCell ref="R60:U60"/>
    <mergeCell ref="G64:P64"/>
    <mergeCell ref="R64:U64"/>
    <mergeCell ref="G66:P66"/>
    <mergeCell ref="R66:U66"/>
    <mergeCell ref="G68:P68"/>
    <mergeCell ref="R68:U68"/>
    <mergeCell ref="G70:P70"/>
    <mergeCell ref="R70:U70"/>
    <mergeCell ref="G78:P78"/>
    <mergeCell ref="R78:U78"/>
    <mergeCell ref="G72:P72"/>
    <mergeCell ref="R72:U72"/>
    <mergeCell ref="G74:P74"/>
    <mergeCell ref="R74:U74"/>
    <mergeCell ref="G76:P76"/>
    <mergeCell ref="R76:U76"/>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7522" r:id="rId3" name="Button 2">
              <controlPr defaultSize="0" print="0" autoFill="0" autoPict="0" macro="[0]!ボタン2_Click">
                <anchor moveWithCells="1" sizeWithCells="1">
                  <from>
                    <xdr:col>6</xdr:col>
                    <xdr:colOff>0</xdr:colOff>
                    <xdr:row>83</xdr:row>
                    <xdr:rowOff>241300</xdr:rowOff>
                  </from>
                  <to>
                    <xdr:col>12</xdr:col>
                    <xdr:colOff>254000</xdr:colOff>
                    <xdr:row>86</xdr:row>
                    <xdr:rowOff>6350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1A14C-152D-4F42-83C7-8D76599BE92E}">
  <sheetPr codeName="Sheet10"/>
  <dimension ref="A1:B74"/>
  <sheetViews>
    <sheetView workbookViewId="0"/>
  </sheetViews>
  <sheetFormatPr defaultRowHeight="18" x14ac:dyDescent="0.55000000000000004"/>
  <sheetData>
    <row r="1" spans="1:2" x14ac:dyDescent="0.55000000000000004">
      <c r="A1" s="54" t="s">
        <v>206</v>
      </c>
      <c r="B1" s="54" t="s">
        <v>207</v>
      </c>
    </row>
    <row r="2" spans="1:2" x14ac:dyDescent="0.55000000000000004">
      <c r="A2" s="57">
        <v>1</v>
      </c>
      <c r="B2" t="s">
        <v>335</v>
      </c>
    </row>
    <row r="3" spans="1:2" x14ac:dyDescent="0.55000000000000004">
      <c r="A3" s="57">
        <v>2</v>
      </c>
      <c r="B3" t="s">
        <v>336</v>
      </c>
    </row>
    <row r="4" spans="1:2" x14ac:dyDescent="0.55000000000000004">
      <c r="A4" s="57">
        <v>3</v>
      </c>
      <c r="B4" t="s">
        <v>337</v>
      </c>
    </row>
    <row r="5" spans="1:2" x14ac:dyDescent="0.55000000000000004">
      <c r="A5" s="57">
        <v>4</v>
      </c>
      <c r="B5" t="s">
        <v>338</v>
      </c>
    </row>
    <row r="6" spans="1:2" x14ac:dyDescent="0.55000000000000004">
      <c r="A6" s="57">
        <v>5</v>
      </c>
      <c r="B6" t="s">
        <v>339</v>
      </c>
    </row>
    <row r="7" spans="1:2" x14ac:dyDescent="0.55000000000000004">
      <c r="A7" s="57">
        <v>6</v>
      </c>
      <c r="B7" t="s">
        <v>340</v>
      </c>
    </row>
    <row r="8" spans="1:2" x14ac:dyDescent="0.55000000000000004">
      <c r="A8" s="57">
        <v>7</v>
      </c>
      <c r="B8" t="s">
        <v>268</v>
      </c>
    </row>
    <row r="9" spans="1:2" x14ac:dyDescent="0.55000000000000004">
      <c r="A9" s="57">
        <v>8</v>
      </c>
      <c r="B9" t="s">
        <v>269</v>
      </c>
    </row>
    <row r="10" spans="1:2" x14ac:dyDescent="0.55000000000000004">
      <c r="A10" s="57">
        <v>9</v>
      </c>
      <c r="B10" t="s">
        <v>270</v>
      </c>
    </row>
    <row r="11" spans="1:2" x14ac:dyDescent="0.55000000000000004">
      <c r="A11" s="57">
        <v>10</v>
      </c>
      <c r="B11" t="s">
        <v>271</v>
      </c>
    </row>
    <row r="12" spans="1:2" x14ac:dyDescent="0.55000000000000004">
      <c r="A12" s="57">
        <v>11</v>
      </c>
      <c r="B12" t="s">
        <v>272</v>
      </c>
    </row>
    <row r="13" spans="1:2" x14ac:dyDescent="0.55000000000000004">
      <c r="A13" s="57">
        <v>12</v>
      </c>
      <c r="B13" t="s">
        <v>273</v>
      </c>
    </row>
    <row r="14" spans="1:2" x14ac:dyDescent="0.55000000000000004">
      <c r="A14" s="57">
        <v>13</v>
      </c>
      <c r="B14" t="s">
        <v>274</v>
      </c>
    </row>
    <row r="15" spans="1:2" x14ac:dyDescent="0.55000000000000004">
      <c r="A15" s="57">
        <v>14</v>
      </c>
      <c r="B15" t="s">
        <v>275</v>
      </c>
    </row>
    <row r="16" spans="1:2" x14ac:dyDescent="0.55000000000000004">
      <c r="A16" s="57">
        <v>15</v>
      </c>
      <c r="B16" t="s">
        <v>276</v>
      </c>
    </row>
    <row r="17" spans="1:2" x14ac:dyDescent="0.55000000000000004">
      <c r="A17" s="57">
        <v>16</v>
      </c>
      <c r="B17" t="s">
        <v>277</v>
      </c>
    </row>
    <row r="18" spans="1:2" x14ac:dyDescent="0.55000000000000004">
      <c r="A18" s="57">
        <v>17</v>
      </c>
      <c r="B18" t="s">
        <v>278</v>
      </c>
    </row>
    <row r="19" spans="1:2" x14ac:dyDescent="0.55000000000000004">
      <c r="A19" s="57">
        <v>18</v>
      </c>
      <c r="B19" t="s">
        <v>279</v>
      </c>
    </row>
    <row r="20" spans="1:2" x14ac:dyDescent="0.55000000000000004">
      <c r="A20" s="57">
        <v>19</v>
      </c>
      <c r="B20" t="s">
        <v>280</v>
      </c>
    </row>
    <row r="21" spans="1:2" x14ac:dyDescent="0.55000000000000004">
      <c r="A21" s="57">
        <v>20</v>
      </c>
      <c r="B21" t="s">
        <v>281</v>
      </c>
    </row>
    <row r="22" spans="1:2" x14ac:dyDescent="0.55000000000000004">
      <c r="A22" s="57">
        <v>21</v>
      </c>
      <c r="B22" t="s">
        <v>282</v>
      </c>
    </row>
    <row r="23" spans="1:2" x14ac:dyDescent="0.55000000000000004">
      <c r="A23" s="57">
        <v>22</v>
      </c>
      <c r="B23" t="s">
        <v>283</v>
      </c>
    </row>
    <row r="24" spans="1:2" x14ac:dyDescent="0.55000000000000004">
      <c r="A24" s="57">
        <v>23</v>
      </c>
      <c r="B24" t="s">
        <v>284</v>
      </c>
    </row>
    <row r="25" spans="1:2" x14ac:dyDescent="0.55000000000000004">
      <c r="A25" s="57">
        <v>24</v>
      </c>
      <c r="B25" t="s">
        <v>285</v>
      </c>
    </row>
    <row r="26" spans="1:2" x14ac:dyDescent="0.55000000000000004">
      <c r="A26" s="57">
        <v>25</v>
      </c>
      <c r="B26" t="s">
        <v>286</v>
      </c>
    </row>
    <row r="27" spans="1:2" x14ac:dyDescent="0.55000000000000004">
      <c r="A27" s="57">
        <v>26</v>
      </c>
      <c r="B27" t="s">
        <v>287</v>
      </c>
    </row>
    <row r="28" spans="1:2" x14ac:dyDescent="0.55000000000000004">
      <c r="A28" s="57">
        <v>27</v>
      </c>
      <c r="B28" t="s">
        <v>288</v>
      </c>
    </row>
    <row r="29" spans="1:2" x14ac:dyDescent="0.55000000000000004">
      <c r="A29" s="57">
        <v>28</v>
      </c>
      <c r="B29" t="s">
        <v>289</v>
      </c>
    </row>
    <row r="30" spans="1:2" x14ac:dyDescent="0.55000000000000004">
      <c r="A30" s="57">
        <v>29</v>
      </c>
      <c r="B30" t="s">
        <v>290</v>
      </c>
    </row>
    <row r="31" spans="1:2" x14ac:dyDescent="0.55000000000000004">
      <c r="A31" s="57">
        <v>30</v>
      </c>
      <c r="B31" t="s">
        <v>291</v>
      </c>
    </row>
    <row r="32" spans="1:2" x14ac:dyDescent="0.55000000000000004">
      <c r="A32" s="57">
        <v>31</v>
      </c>
      <c r="B32" t="s">
        <v>292</v>
      </c>
    </row>
    <row r="33" spans="1:2" x14ac:dyDescent="0.55000000000000004">
      <c r="A33" s="57">
        <v>32</v>
      </c>
      <c r="B33" t="s">
        <v>293</v>
      </c>
    </row>
    <row r="34" spans="1:2" x14ac:dyDescent="0.55000000000000004">
      <c r="A34" s="57">
        <v>33</v>
      </c>
      <c r="B34" t="s">
        <v>294</v>
      </c>
    </row>
    <row r="35" spans="1:2" x14ac:dyDescent="0.55000000000000004">
      <c r="A35" s="57">
        <v>34</v>
      </c>
      <c r="B35" t="s">
        <v>295</v>
      </c>
    </row>
    <row r="36" spans="1:2" x14ac:dyDescent="0.55000000000000004">
      <c r="A36" s="57">
        <v>35</v>
      </c>
      <c r="B36" t="s">
        <v>296</v>
      </c>
    </row>
    <row r="37" spans="1:2" x14ac:dyDescent="0.55000000000000004">
      <c r="A37" s="57">
        <v>36</v>
      </c>
      <c r="B37" t="s">
        <v>297</v>
      </c>
    </row>
    <row r="38" spans="1:2" x14ac:dyDescent="0.55000000000000004">
      <c r="A38" s="57">
        <v>37</v>
      </c>
      <c r="B38" t="s">
        <v>298</v>
      </c>
    </row>
    <row r="39" spans="1:2" x14ac:dyDescent="0.55000000000000004">
      <c r="A39" s="57">
        <v>38</v>
      </c>
      <c r="B39" t="s">
        <v>299</v>
      </c>
    </row>
    <row r="40" spans="1:2" x14ac:dyDescent="0.55000000000000004">
      <c r="A40" s="57">
        <v>39</v>
      </c>
      <c r="B40" t="s">
        <v>300</v>
      </c>
    </row>
    <row r="41" spans="1:2" x14ac:dyDescent="0.55000000000000004">
      <c r="A41" s="57">
        <v>40</v>
      </c>
      <c r="B41" t="s">
        <v>301</v>
      </c>
    </row>
    <row r="42" spans="1:2" x14ac:dyDescent="0.55000000000000004">
      <c r="A42" s="57">
        <v>41</v>
      </c>
      <c r="B42" t="s">
        <v>302</v>
      </c>
    </row>
    <row r="43" spans="1:2" x14ac:dyDescent="0.55000000000000004">
      <c r="A43" s="57">
        <v>42</v>
      </c>
      <c r="B43" t="s">
        <v>303</v>
      </c>
    </row>
    <row r="44" spans="1:2" x14ac:dyDescent="0.55000000000000004">
      <c r="A44" s="57">
        <v>43</v>
      </c>
      <c r="B44" t="s">
        <v>304</v>
      </c>
    </row>
    <row r="45" spans="1:2" x14ac:dyDescent="0.55000000000000004">
      <c r="A45" s="57">
        <v>44</v>
      </c>
      <c r="B45" t="s">
        <v>305</v>
      </c>
    </row>
    <row r="46" spans="1:2" x14ac:dyDescent="0.55000000000000004">
      <c r="A46" s="57">
        <v>45</v>
      </c>
      <c r="B46" t="s">
        <v>306</v>
      </c>
    </row>
    <row r="47" spans="1:2" x14ac:dyDescent="0.55000000000000004">
      <c r="A47" s="57">
        <v>46</v>
      </c>
      <c r="B47" t="s">
        <v>307</v>
      </c>
    </row>
    <row r="48" spans="1:2" x14ac:dyDescent="0.55000000000000004">
      <c r="A48" s="57">
        <v>47</v>
      </c>
      <c r="B48" t="s">
        <v>308</v>
      </c>
    </row>
    <row r="49" spans="1:2" x14ac:dyDescent="0.55000000000000004">
      <c r="A49" s="57">
        <v>48</v>
      </c>
      <c r="B49" t="s">
        <v>309</v>
      </c>
    </row>
    <row r="50" spans="1:2" x14ac:dyDescent="0.55000000000000004">
      <c r="A50" s="57">
        <v>49</v>
      </c>
      <c r="B50" t="s">
        <v>310</v>
      </c>
    </row>
    <row r="51" spans="1:2" x14ac:dyDescent="0.55000000000000004">
      <c r="A51" s="57">
        <v>50</v>
      </c>
      <c r="B51" t="s">
        <v>311</v>
      </c>
    </row>
    <row r="52" spans="1:2" x14ac:dyDescent="0.55000000000000004">
      <c r="A52" s="57">
        <v>51</v>
      </c>
      <c r="B52" t="s">
        <v>312</v>
      </c>
    </row>
    <row r="53" spans="1:2" x14ac:dyDescent="0.55000000000000004">
      <c r="A53" s="57">
        <v>52</v>
      </c>
      <c r="B53" t="s">
        <v>313</v>
      </c>
    </row>
    <row r="54" spans="1:2" x14ac:dyDescent="0.55000000000000004">
      <c r="A54" s="57">
        <v>53</v>
      </c>
      <c r="B54" t="s">
        <v>314</v>
      </c>
    </row>
    <row r="55" spans="1:2" x14ac:dyDescent="0.55000000000000004">
      <c r="A55" s="57">
        <v>54</v>
      </c>
      <c r="B55" t="s">
        <v>315</v>
      </c>
    </row>
    <row r="56" spans="1:2" x14ac:dyDescent="0.55000000000000004">
      <c r="A56" s="57">
        <v>55</v>
      </c>
      <c r="B56" t="s">
        <v>316</v>
      </c>
    </row>
    <row r="57" spans="1:2" x14ac:dyDescent="0.55000000000000004">
      <c r="A57" s="57">
        <v>56</v>
      </c>
      <c r="B57" t="s">
        <v>317</v>
      </c>
    </row>
    <row r="58" spans="1:2" x14ac:dyDescent="0.55000000000000004">
      <c r="A58" s="57">
        <v>57</v>
      </c>
      <c r="B58" t="s">
        <v>318</v>
      </c>
    </row>
    <row r="59" spans="1:2" x14ac:dyDescent="0.55000000000000004">
      <c r="A59" s="57">
        <v>58</v>
      </c>
      <c r="B59" t="s">
        <v>319</v>
      </c>
    </row>
    <row r="60" spans="1:2" x14ac:dyDescent="0.55000000000000004">
      <c r="A60" s="57">
        <v>59</v>
      </c>
      <c r="B60" t="s">
        <v>320</v>
      </c>
    </row>
    <row r="61" spans="1:2" x14ac:dyDescent="0.55000000000000004">
      <c r="A61" s="57">
        <v>60</v>
      </c>
      <c r="B61" t="s">
        <v>321</v>
      </c>
    </row>
    <row r="62" spans="1:2" x14ac:dyDescent="0.55000000000000004">
      <c r="A62" s="57">
        <v>61</v>
      </c>
      <c r="B62" t="s">
        <v>322</v>
      </c>
    </row>
    <row r="63" spans="1:2" x14ac:dyDescent="0.55000000000000004">
      <c r="A63" s="57">
        <v>62</v>
      </c>
      <c r="B63" t="s">
        <v>323</v>
      </c>
    </row>
    <row r="64" spans="1:2" x14ac:dyDescent="0.55000000000000004">
      <c r="A64" s="57">
        <v>63</v>
      </c>
      <c r="B64" t="s">
        <v>324</v>
      </c>
    </row>
    <row r="65" spans="1:2" x14ac:dyDescent="0.55000000000000004">
      <c r="A65" s="57">
        <v>64</v>
      </c>
      <c r="B65" t="s">
        <v>325</v>
      </c>
    </row>
    <row r="66" spans="1:2" x14ac:dyDescent="0.55000000000000004">
      <c r="A66" s="57">
        <v>65</v>
      </c>
      <c r="B66" t="s">
        <v>326</v>
      </c>
    </row>
    <row r="67" spans="1:2" x14ac:dyDescent="0.55000000000000004">
      <c r="A67" s="57">
        <v>66</v>
      </c>
      <c r="B67" t="s">
        <v>327</v>
      </c>
    </row>
    <row r="68" spans="1:2" x14ac:dyDescent="0.55000000000000004">
      <c r="A68" s="57">
        <v>67</v>
      </c>
      <c r="B68" t="s">
        <v>328</v>
      </c>
    </row>
    <row r="69" spans="1:2" x14ac:dyDescent="0.55000000000000004">
      <c r="A69" s="57">
        <v>68</v>
      </c>
      <c r="B69" t="s">
        <v>329</v>
      </c>
    </row>
    <row r="70" spans="1:2" x14ac:dyDescent="0.55000000000000004">
      <c r="A70" s="57">
        <v>69</v>
      </c>
      <c r="B70" t="s">
        <v>330</v>
      </c>
    </row>
    <row r="71" spans="1:2" x14ac:dyDescent="0.55000000000000004">
      <c r="A71" s="57">
        <v>70</v>
      </c>
      <c r="B71" t="s">
        <v>331</v>
      </c>
    </row>
    <row r="72" spans="1:2" x14ac:dyDescent="0.55000000000000004">
      <c r="A72" s="57">
        <v>71</v>
      </c>
      <c r="B72" t="s">
        <v>332</v>
      </c>
    </row>
    <row r="73" spans="1:2" x14ac:dyDescent="0.55000000000000004">
      <c r="A73" s="57">
        <v>72</v>
      </c>
      <c r="B73" t="s">
        <v>333</v>
      </c>
    </row>
    <row r="74" spans="1:2" x14ac:dyDescent="0.55000000000000004">
      <c r="A74" s="57" t="s">
        <v>208</v>
      </c>
      <c r="B74" t="s">
        <v>314</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D291F-F640-4397-AD1D-564D9540B3CC}">
  <sheetPr codeName="Sheet7">
    <tabColor rgb="FF86DFCB"/>
  </sheetPr>
  <dimension ref="A1:CC41"/>
  <sheetViews>
    <sheetView zoomScale="70" zoomScaleNormal="70" workbookViewId="0">
      <selection activeCell="G7" sqref="G7"/>
    </sheetView>
  </sheetViews>
  <sheetFormatPr defaultColWidth="3.5" defaultRowHeight="21" customHeight="1" x14ac:dyDescent="0.55000000000000004"/>
  <cols>
    <col min="1" max="16384" width="3.5" style="2"/>
  </cols>
  <sheetData>
    <row r="1" spans="1:81" ht="21" customHeight="1" x14ac:dyDescent="0.55000000000000004">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45"/>
    </row>
    <row r="2" spans="1:81" ht="21" customHeight="1" x14ac:dyDescent="0.55000000000000004">
      <c r="A2" s="5"/>
      <c r="CB2" s="5"/>
      <c r="CC2" s="45"/>
    </row>
    <row r="3" spans="1:81" ht="21" customHeight="1" x14ac:dyDescent="0.55000000000000004">
      <c r="A3" s="5"/>
      <c r="C3" s="5"/>
      <c r="D3" s="33"/>
      <c r="E3" s="33"/>
      <c r="F3" s="33"/>
      <c r="G3" s="1" t="s">
        <v>146</v>
      </c>
      <c r="K3" s="1" t="s">
        <v>147</v>
      </c>
      <c r="O3" s="1" t="s">
        <v>148</v>
      </c>
      <c r="S3" s="1" t="s">
        <v>149</v>
      </c>
      <c r="W3" s="1" t="s">
        <v>150</v>
      </c>
      <c r="AA3" s="1" t="s">
        <v>151</v>
      </c>
      <c r="AE3" s="1" t="s">
        <v>152</v>
      </c>
      <c r="AI3" s="1" t="s">
        <v>153</v>
      </c>
      <c r="AM3" s="1" t="s">
        <v>154</v>
      </c>
      <c r="AQ3" s="1" t="s">
        <v>155</v>
      </c>
      <c r="AU3" s="1" t="s">
        <v>156</v>
      </c>
      <c r="AY3" s="1" t="s">
        <v>157</v>
      </c>
      <c r="BC3" s="1" t="s">
        <v>158</v>
      </c>
      <c r="BG3" s="1" t="s">
        <v>159</v>
      </c>
      <c r="BK3" s="1" t="s">
        <v>160</v>
      </c>
      <c r="BO3" s="1" t="s">
        <v>161</v>
      </c>
      <c r="BS3" s="1" t="s">
        <v>162</v>
      </c>
      <c r="CB3" s="5"/>
      <c r="CC3" s="45"/>
    </row>
    <row r="4" spans="1:81" ht="21" customHeight="1" x14ac:dyDescent="0.55000000000000004">
      <c r="A4" s="5"/>
      <c r="C4" s="33"/>
      <c r="D4" s="33"/>
      <c r="E4" s="33"/>
      <c r="F4" s="33"/>
      <c r="CB4" s="5"/>
      <c r="CC4" s="45"/>
    </row>
    <row r="5" spans="1:81" ht="21" customHeight="1" x14ac:dyDescent="0.55000000000000004">
      <c r="A5" s="5"/>
      <c r="C5" s="33"/>
      <c r="D5" s="33"/>
      <c r="E5" s="33"/>
      <c r="F5" s="33"/>
      <c r="CB5" s="5"/>
      <c r="CC5" s="45"/>
    </row>
    <row r="6" spans="1:81" ht="21" customHeight="1" thickBot="1" x14ac:dyDescent="0.6">
      <c r="A6" s="5"/>
      <c r="C6" s="33"/>
      <c r="D6" s="33"/>
      <c r="E6" s="33"/>
      <c r="F6" s="33"/>
      <c r="CB6" s="5"/>
      <c r="CC6" s="45"/>
    </row>
    <row r="7" spans="1:81" ht="21" customHeight="1" x14ac:dyDescent="0.55000000000000004">
      <c r="A7" s="5"/>
      <c r="C7" s="1" t="s">
        <v>163</v>
      </c>
      <c r="G7" s="4">
        <v>1</v>
      </c>
      <c r="H7" s="77"/>
      <c r="I7" s="77"/>
      <c r="J7" s="78"/>
      <c r="K7" s="4">
        <v>2</v>
      </c>
      <c r="L7" s="77"/>
      <c r="M7" s="77"/>
      <c r="N7" s="78"/>
      <c r="O7" s="4">
        <v>3</v>
      </c>
      <c r="P7" s="77"/>
      <c r="Q7" s="77"/>
      <c r="R7" s="77"/>
      <c r="S7" s="6"/>
      <c r="T7" s="6"/>
      <c r="U7" s="6"/>
      <c r="V7" s="6"/>
      <c r="W7" s="4">
        <v>4</v>
      </c>
      <c r="X7" s="77"/>
      <c r="Y7" s="77"/>
      <c r="Z7" s="77"/>
      <c r="AA7" s="6"/>
      <c r="AB7" s="6"/>
      <c r="AC7" s="6"/>
      <c r="AD7" s="6"/>
      <c r="AE7" s="6"/>
      <c r="AF7" s="6"/>
      <c r="AG7" s="6"/>
      <c r="AH7" s="6"/>
      <c r="AI7" s="6"/>
      <c r="AJ7" s="6"/>
      <c r="AK7" s="6"/>
      <c r="AL7" s="6"/>
      <c r="AM7" s="6"/>
      <c r="AN7" s="6"/>
      <c r="AO7" s="6"/>
      <c r="AP7" s="6"/>
      <c r="AQ7" s="4">
        <v>5</v>
      </c>
      <c r="AR7" s="77"/>
      <c r="AS7" s="77"/>
      <c r="AT7" s="78"/>
      <c r="AU7" s="4">
        <v>6</v>
      </c>
      <c r="AV7" s="77"/>
      <c r="AW7" s="77"/>
      <c r="AX7" s="78"/>
      <c r="BO7" s="22"/>
      <c r="BX7" s="25"/>
      <c r="BY7" s="25"/>
      <c r="BZ7" s="25"/>
      <c r="CB7" s="5"/>
      <c r="CC7" s="45"/>
    </row>
    <row r="8" spans="1:81" ht="21" customHeight="1" x14ac:dyDescent="0.55000000000000004">
      <c r="A8" s="5"/>
      <c r="G8" s="68"/>
      <c r="H8" s="69"/>
      <c r="I8" s="69"/>
      <c r="J8" s="70"/>
      <c r="K8" s="68"/>
      <c r="L8" s="69"/>
      <c r="M8" s="69"/>
      <c r="N8" s="70"/>
      <c r="O8" s="68"/>
      <c r="P8" s="69"/>
      <c r="Q8" s="69"/>
      <c r="R8" s="69"/>
      <c r="W8" s="68"/>
      <c r="X8" s="69"/>
      <c r="Y8" s="69"/>
      <c r="Z8" s="69"/>
      <c r="AQ8" s="68"/>
      <c r="AR8" s="69"/>
      <c r="AS8" s="69"/>
      <c r="AT8" s="69"/>
      <c r="AU8" s="68"/>
      <c r="AV8" s="69"/>
      <c r="AW8" s="69"/>
      <c r="AX8" s="70"/>
      <c r="BW8" s="24"/>
      <c r="BX8" s="25"/>
      <c r="BY8" s="25"/>
      <c r="BZ8" s="25"/>
      <c r="CB8" s="5"/>
      <c r="CC8" s="45"/>
    </row>
    <row r="9" spans="1:81" ht="21" customHeight="1" x14ac:dyDescent="0.55000000000000004">
      <c r="A9" s="5"/>
      <c r="G9" s="71"/>
      <c r="H9" s="72"/>
      <c r="I9" s="72"/>
      <c r="J9" s="73"/>
      <c r="K9" s="71"/>
      <c r="L9" s="72"/>
      <c r="M9" s="72"/>
      <c r="N9" s="73"/>
      <c r="O9" s="71"/>
      <c r="P9" s="72"/>
      <c r="Q9" s="72"/>
      <c r="R9" s="72"/>
      <c r="W9" s="71"/>
      <c r="X9" s="72"/>
      <c r="Y9" s="72"/>
      <c r="Z9" s="72"/>
      <c r="AQ9" s="71"/>
      <c r="AR9" s="72"/>
      <c r="AS9" s="72"/>
      <c r="AT9" s="72"/>
      <c r="AU9" s="71"/>
      <c r="AV9" s="72"/>
      <c r="AW9" s="72"/>
      <c r="AX9" s="73"/>
      <c r="BW9" s="24"/>
      <c r="BX9" s="25"/>
      <c r="BY9" s="25"/>
      <c r="BZ9" s="25"/>
      <c r="CB9" s="5"/>
      <c r="CC9" s="45"/>
    </row>
    <row r="10" spans="1:81" ht="21" customHeight="1" thickBot="1" x14ac:dyDescent="0.6">
      <c r="A10" s="5"/>
      <c r="G10" s="74"/>
      <c r="H10" s="75"/>
      <c r="I10" s="75"/>
      <c r="J10" s="76"/>
      <c r="K10" s="81"/>
      <c r="L10" s="79"/>
      <c r="M10" s="79"/>
      <c r="N10" s="82"/>
      <c r="O10" s="74"/>
      <c r="P10" s="75"/>
      <c r="Q10" s="75"/>
      <c r="R10" s="75"/>
      <c r="W10" s="81"/>
      <c r="X10" s="79"/>
      <c r="Y10" s="79"/>
      <c r="Z10" s="79"/>
      <c r="AQ10" s="74"/>
      <c r="AR10" s="75"/>
      <c r="AS10" s="75"/>
      <c r="AT10" s="75"/>
      <c r="AU10" s="74"/>
      <c r="AV10" s="75"/>
      <c r="AW10" s="75"/>
      <c r="AX10" s="76"/>
      <c r="BW10" s="24"/>
      <c r="BX10" s="25"/>
      <c r="BY10" s="25"/>
      <c r="BZ10" s="25"/>
      <c r="CB10" s="5"/>
      <c r="CC10" s="45"/>
    </row>
    <row r="11" spans="1:81" ht="21" customHeight="1" x14ac:dyDescent="0.55000000000000004">
      <c r="A11" s="5"/>
      <c r="C11" s="1" t="s">
        <v>164</v>
      </c>
      <c r="G11" s="4">
        <v>7</v>
      </c>
      <c r="H11" s="77"/>
      <c r="I11" s="77"/>
      <c r="J11" s="78"/>
      <c r="O11" s="4">
        <v>8</v>
      </c>
      <c r="P11" s="77"/>
      <c r="Q11" s="77"/>
      <c r="R11" s="78"/>
      <c r="W11" s="7"/>
      <c r="AQ11" s="4">
        <v>9</v>
      </c>
      <c r="AR11" s="77"/>
      <c r="AS11" s="77"/>
      <c r="AT11" s="78"/>
      <c r="AU11" s="4">
        <v>10</v>
      </c>
      <c r="AV11" s="77"/>
      <c r="AW11" s="77"/>
      <c r="AX11" s="77"/>
      <c r="AY11" s="6"/>
      <c r="AZ11" s="6"/>
      <c r="BA11" s="6"/>
      <c r="BB11" s="6"/>
      <c r="BC11" s="6"/>
      <c r="BD11" s="6"/>
      <c r="BE11" s="6"/>
      <c r="BF11" s="6"/>
      <c r="BG11" s="6"/>
      <c r="BH11" s="6"/>
      <c r="BI11" s="6"/>
      <c r="BJ11" s="6"/>
      <c r="BK11" s="6"/>
      <c r="BL11" s="6"/>
      <c r="BM11" s="6"/>
      <c r="BN11" s="9"/>
      <c r="BW11" s="24"/>
      <c r="BX11" s="25"/>
      <c r="BY11" s="25"/>
      <c r="BZ11" s="25"/>
      <c r="CB11" s="5"/>
      <c r="CC11" s="45"/>
    </row>
    <row r="12" spans="1:81" ht="21" customHeight="1" x14ac:dyDescent="0.55000000000000004">
      <c r="A12" s="5"/>
      <c r="G12" s="68"/>
      <c r="H12" s="69"/>
      <c r="I12" s="69"/>
      <c r="J12" s="70"/>
      <c r="O12" s="68"/>
      <c r="P12" s="69"/>
      <c r="Q12" s="69"/>
      <c r="R12" s="70"/>
      <c r="W12" s="7"/>
      <c r="AQ12" s="68"/>
      <c r="AR12" s="69"/>
      <c r="AS12" s="69"/>
      <c r="AT12" s="70"/>
      <c r="AU12" s="68"/>
      <c r="AV12" s="69"/>
      <c r="AW12" s="69"/>
      <c r="AX12" s="69"/>
      <c r="BN12" s="8"/>
      <c r="BW12" s="24"/>
      <c r="BX12" s="25"/>
      <c r="BY12" s="25"/>
      <c r="BZ12" s="25"/>
      <c r="CB12" s="5"/>
      <c r="CC12" s="45"/>
    </row>
    <row r="13" spans="1:81" ht="21" customHeight="1" x14ac:dyDescent="0.55000000000000004">
      <c r="A13" s="5"/>
      <c r="G13" s="71"/>
      <c r="H13" s="72"/>
      <c r="I13" s="72"/>
      <c r="J13" s="73"/>
      <c r="O13" s="71"/>
      <c r="P13" s="72"/>
      <c r="Q13" s="72"/>
      <c r="R13" s="73"/>
      <c r="W13" s="7"/>
      <c r="AQ13" s="71"/>
      <c r="AR13" s="72"/>
      <c r="AS13" s="72"/>
      <c r="AT13" s="73"/>
      <c r="AU13" s="71"/>
      <c r="AV13" s="72"/>
      <c r="AW13" s="72"/>
      <c r="AX13" s="72"/>
      <c r="BN13" s="8"/>
      <c r="BW13" s="24"/>
      <c r="BX13" s="24"/>
      <c r="BY13" s="48"/>
      <c r="BZ13" s="24"/>
      <c r="CB13" s="5"/>
      <c r="CC13" s="45"/>
    </row>
    <row r="14" spans="1:81" ht="21" customHeight="1" thickBot="1" x14ac:dyDescent="0.6">
      <c r="A14" s="5"/>
      <c r="G14" s="81"/>
      <c r="H14" s="79"/>
      <c r="I14" s="79"/>
      <c r="J14" s="82"/>
      <c r="O14" s="74"/>
      <c r="P14" s="75"/>
      <c r="Q14" s="75"/>
      <c r="R14" s="76"/>
      <c r="W14" s="7"/>
      <c r="AQ14" s="74"/>
      <c r="AR14" s="75"/>
      <c r="AS14" s="75"/>
      <c r="AT14" s="76"/>
      <c r="AU14" s="74"/>
      <c r="AV14" s="75"/>
      <c r="AW14" s="75"/>
      <c r="AX14" s="75"/>
      <c r="BN14" s="8"/>
      <c r="BW14" s="24"/>
      <c r="BX14" s="24"/>
      <c r="BY14" s="48"/>
      <c r="BZ14" s="24"/>
      <c r="CB14" s="5"/>
      <c r="CC14" s="45"/>
    </row>
    <row r="15" spans="1:81" ht="21" customHeight="1" x14ac:dyDescent="0.55000000000000004">
      <c r="A15" s="5"/>
      <c r="C15" s="1" t="s">
        <v>165</v>
      </c>
      <c r="G15" s="7"/>
      <c r="J15" s="8"/>
      <c r="O15" s="4">
        <v>11</v>
      </c>
      <c r="P15" s="77"/>
      <c r="Q15" s="77"/>
      <c r="R15" s="78"/>
      <c r="S15" s="4">
        <v>12</v>
      </c>
      <c r="T15" s="77"/>
      <c r="U15" s="77"/>
      <c r="V15" s="78"/>
      <c r="W15" s="4">
        <v>13</v>
      </c>
      <c r="X15" s="77"/>
      <c r="Y15" s="77"/>
      <c r="Z15" s="78"/>
      <c r="AA15" s="4">
        <v>14</v>
      </c>
      <c r="AB15" s="77"/>
      <c r="AC15" s="77"/>
      <c r="AD15" s="78"/>
      <c r="AE15" s="4">
        <v>15</v>
      </c>
      <c r="AF15" s="77"/>
      <c r="AG15" s="77"/>
      <c r="AH15" s="78"/>
      <c r="AI15" s="4">
        <v>16</v>
      </c>
      <c r="AJ15" s="77"/>
      <c r="AK15" s="77"/>
      <c r="AL15" s="78"/>
      <c r="AM15" s="4">
        <v>17</v>
      </c>
      <c r="AN15" s="77"/>
      <c r="AO15" s="77"/>
      <c r="AP15" s="78"/>
      <c r="AQ15" s="4">
        <v>18</v>
      </c>
      <c r="AR15" s="77"/>
      <c r="AS15" s="77"/>
      <c r="AT15" s="78"/>
      <c r="AU15" s="4">
        <v>19</v>
      </c>
      <c r="AV15" s="77"/>
      <c r="AW15" s="77"/>
      <c r="AX15" s="77"/>
      <c r="AY15" s="6"/>
      <c r="AZ15" s="6"/>
      <c r="BA15" s="6"/>
      <c r="BB15" s="6"/>
      <c r="BC15" s="6"/>
      <c r="BD15" s="6"/>
      <c r="BE15" s="6"/>
      <c r="BF15" s="6"/>
      <c r="BG15" s="6"/>
      <c r="BH15" s="6"/>
      <c r="BI15" s="6"/>
      <c r="BJ15" s="6"/>
      <c r="BK15" s="6"/>
      <c r="BL15" s="6"/>
      <c r="BM15" s="6"/>
      <c r="BN15" s="6"/>
      <c r="BO15" s="4">
        <v>20</v>
      </c>
      <c r="BP15" s="77"/>
      <c r="BQ15" s="77"/>
      <c r="BR15" s="78"/>
      <c r="BW15" s="24"/>
      <c r="BX15" s="24"/>
      <c r="BY15" s="48"/>
      <c r="BZ15" s="24"/>
      <c r="CB15" s="5"/>
      <c r="CC15" s="45"/>
    </row>
    <row r="16" spans="1:81" ht="21" customHeight="1" x14ac:dyDescent="0.55000000000000004">
      <c r="A16" s="5"/>
      <c r="G16" s="7"/>
      <c r="J16" s="8"/>
      <c r="O16" s="68"/>
      <c r="P16" s="69"/>
      <c r="Q16" s="69"/>
      <c r="R16" s="70"/>
      <c r="S16" s="68"/>
      <c r="T16" s="69"/>
      <c r="U16" s="69"/>
      <c r="V16" s="70"/>
      <c r="W16" s="68"/>
      <c r="X16" s="69"/>
      <c r="Y16" s="69"/>
      <c r="Z16" s="70"/>
      <c r="AA16" s="68"/>
      <c r="AB16" s="69"/>
      <c r="AC16" s="69"/>
      <c r="AD16" s="70"/>
      <c r="AE16" s="68"/>
      <c r="AF16" s="69"/>
      <c r="AG16" s="69"/>
      <c r="AH16" s="70"/>
      <c r="AI16" s="68"/>
      <c r="AJ16" s="69"/>
      <c r="AK16" s="69"/>
      <c r="AL16" s="70"/>
      <c r="AM16" s="68"/>
      <c r="AN16" s="69"/>
      <c r="AO16" s="69"/>
      <c r="AP16" s="70"/>
      <c r="AQ16" s="68"/>
      <c r="AR16" s="69"/>
      <c r="AS16" s="69"/>
      <c r="AT16" s="70"/>
      <c r="AU16" s="68"/>
      <c r="AV16" s="69"/>
      <c r="AW16" s="69"/>
      <c r="AX16" s="69"/>
      <c r="BO16" s="68"/>
      <c r="BP16" s="69"/>
      <c r="BQ16" s="69"/>
      <c r="BR16" s="70"/>
      <c r="BW16" s="24"/>
      <c r="BX16" s="24"/>
      <c r="BY16" s="48"/>
      <c r="BZ16" s="24"/>
      <c r="CB16" s="5"/>
      <c r="CC16" s="45"/>
    </row>
    <row r="17" spans="1:81" ht="21" customHeight="1" x14ac:dyDescent="0.55000000000000004">
      <c r="A17" s="5"/>
      <c r="G17" s="7"/>
      <c r="J17" s="8"/>
      <c r="O17" s="71"/>
      <c r="P17" s="72"/>
      <c r="Q17" s="72"/>
      <c r="R17" s="73"/>
      <c r="S17" s="71"/>
      <c r="T17" s="72"/>
      <c r="U17" s="72"/>
      <c r="V17" s="73"/>
      <c r="W17" s="71"/>
      <c r="X17" s="72"/>
      <c r="Y17" s="72"/>
      <c r="Z17" s="73"/>
      <c r="AA17" s="71"/>
      <c r="AB17" s="72"/>
      <c r="AC17" s="72"/>
      <c r="AD17" s="73"/>
      <c r="AE17" s="71"/>
      <c r="AF17" s="72"/>
      <c r="AG17" s="72"/>
      <c r="AH17" s="73"/>
      <c r="AI17" s="71"/>
      <c r="AJ17" s="72"/>
      <c r="AK17" s="72"/>
      <c r="AL17" s="73"/>
      <c r="AM17" s="71"/>
      <c r="AN17" s="72"/>
      <c r="AO17" s="72"/>
      <c r="AP17" s="73"/>
      <c r="AQ17" s="71"/>
      <c r="AR17" s="72"/>
      <c r="AS17" s="72"/>
      <c r="AT17" s="73"/>
      <c r="AU17" s="71"/>
      <c r="AV17" s="72"/>
      <c r="AW17" s="72"/>
      <c r="AX17" s="72"/>
      <c r="BO17" s="71"/>
      <c r="BP17" s="72"/>
      <c r="BQ17" s="72"/>
      <c r="BR17" s="73"/>
      <c r="BW17" s="25"/>
      <c r="BX17" s="25"/>
      <c r="BY17" s="48"/>
      <c r="BZ17" s="25"/>
      <c r="CB17" s="5"/>
      <c r="CC17" s="45"/>
    </row>
    <row r="18" spans="1:81" ht="21" customHeight="1" thickBot="1" x14ac:dyDescent="0.6">
      <c r="A18" s="5"/>
      <c r="G18" s="7"/>
      <c r="J18" s="8"/>
      <c r="O18" s="74"/>
      <c r="P18" s="75"/>
      <c r="Q18" s="75"/>
      <c r="R18" s="76"/>
      <c r="S18" s="74"/>
      <c r="T18" s="75"/>
      <c r="U18" s="75"/>
      <c r="V18" s="76"/>
      <c r="W18" s="74"/>
      <c r="X18" s="75"/>
      <c r="Y18" s="75"/>
      <c r="Z18" s="76"/>
      <c r="AA18" s="74"/>
      <c r="AB18" s="75"/>
      <c r="AC18" s="75"/>
      <c r="AD18" s="76"/>
      <c r="AE18" s="74"/>
      <c r="AF18" s="75"/>
      <c r="AG18" s="75"/>
      <c r="AH18" s="76"/>
      <c r="AI18" s="74"/>
      <c r="AJ18" s="75"/>
      <c r="AK18" s="75"/>
      <c r="AL18" s="76"/>
      <c r="AM18" s="74"/>
      <c r="AN18" s="75"/>
      <c r="AO18" s="75"/>
      <c r="AP18" s="76"/>
      <c r="AQ18" s="74"/>
      <c r="AR18" s="75"/>
      <c r="AS18" s="75"/>
      <c r="AT18" s="76"/>
      <c r="AU18" s="74"/>
      <c r="AV18" s="75"/>
      <c r="AW18" s="75"/>
      <c r="AX18" s="75"/>
      <c r="BO18" s="74"/>
      <c r="BP18" s="75"/>
      <c r="BQ18" s="75"/>
      <c r="BR18" s="76"/>
      <c r="BW18" s="25"/>
      <c r="BX18" s="25"/>
      <c r="BY18" s="48"/>
      <c r="BZ18" s="25"/>
      <c r="CB18" s="5"/>
      <c r="CC18" s="45"/>
    </row>
    <row r="19" spans="1:81" ht="21" customHeight="1" x14ac:dyDescent="0.55000000000000004">
      <c r="A19" s="5"/>
      <c r="C19" s="1" t="s">
        <v>166</v>
      </c>
      <c r="G19" s="7"/>
      <c r="K19" s="4">
        <v>21</v>
      </c>
      <c r="L19" s="77"/>
      <c r="M19" s="77"/>
      <c r="N19" s="78"/>
      <c r="O19" s="4">
        <v>22</v>
      </c>
      <c r="P19" s="77"/>
      <c r="Q19" s="77"/>
      <c r="R19" s="77"/>
      <c r="S19" s="6"/>
      <c r="T19" s="6"/>
      <c r="U19" s="6"/>
      <c r="V19" s="6"/>
      <c r="W19" s="4">
        <v>23</v>
      </c>
      <c r="X19" s="77"/>
      <c r="Y19" s="77"/>
      <c r="Z19" s="78"/>
      <c r="AA19" s="4">
        <v>24</v>
      </c>
      <c r="AB19" s="77"/>
      <c r="AC19" s="77"/>
      <c r="AD19" s="77"/>
      <c r="AE19" s="6"/>
      <c r="AF19" s="6"/>
      <c r="AG19" s="6"/>
      <c r="AH19" s="6"/>
      <c r="AI19" s="4">
        <v>25</v>
      </c>
      <c r="AJ19" s="77"/>
      <c r="AK19" s="77"/>
      <c r="AL19" s="78"/>
      <c r="AM19" s="4">
        <v>26</v>
      </c>
      <c r="AN19" s="77"/>
      <c r="AO19" s="77"/>
      <c r="AP19" s="78"/>
      <c r="AQ19" s="4">
        <v>27</v>
      </c>
      <c r="AR19" s="77"/>
      <c r="AS19" s="77"/>
      <c r="AT19" s="78"/>
      <c r="AU19" s="4">
        <v>28</v>
      </c>
      <c r="AV19" s="77"/>
      <c r="AW19" s="77"/>
      <c r="AX19" s="78"/>
      <c r="AY19" s="4">
        <v>29</v>
      </c>
      <c r="AZ19" s="77"/>
      <c r="BA19" s="77"/>
      <c r="BB19" s="78"/>
      <c r="BC19" s="4">
        <v>30</v>
      </c>
      <c r="BD19" s="77"/>
      <c r="BE19" s="77"/>
      <c r="BF19" s="78"/>
      <c r="BG19" s="4">
        <v>31</v>
      </c>
      <c r="BH19" s="77"/>
      <c r="BI19" s="77"/>
      <c r="BJ19" s="78"/>
      <c r="BK19" s="4">
        <v>32</v>
      </c>
      <c r="BL19" s="77"/>
      <c r="BM19" s="77"/>
      <c r="BN19" s="78"/>
      <c r="BO19" s="4">
        <v>33</v>
      </c>
      <c r="BP19" s="77"/>
      <c r="BQ19" s="77"/>
      <c r="BR19" s="78"/>
      <c r="BX19" s="24"/>
      <c r="BY19" s="48"/>
      <c r="BZ19" s="25"/>
      <c r="CB19" s="5"/>
      <c r="CC19" s="45"/>
    </row>
    <row r="20" spans="1:81" ht="21" customHeight="1" x14ac:dyDescent="0.55000000000000004">
      <c r="A20" s="5"/>
      <c r="G20" s="7"/>
      <c r="K20" s="68"/>
      <c r="L20" s="69"/>
      <c r="M20" s="69"/>
      <c r="N20" s="70"/>
      <c r="O20" s="68"/>
      <c r="P20" s="69"/>
      <c r="Q20" s="69"/>
      <c r="R20" s="69"/>
      <c r="V20" s="8"/>
      <c r="W20" s="68"/>
      <c r="X20" s="69"/>
      <c r="Y20" s="69"/>
      <c r="Z20" s="70"/>
      <c r="AA20" s="68"/>
      <c r="AB20" s="69"/>
      <c r="AC20" s="69"/>
      <c r="AD20" s="69"/>
      <c r="AI20" s="68"/>
      <c r="AJ20" s="69"/>
      <c r="AK20" s="69"/>
      <c r="AL20" s="70"/>
      <c r="AM20" s="68"/>
      <c r="AN20" s="69"/>
      <c r="AO20" s="69"/>
      <c r="AP20" s="70"/>
      <c r="AQ20" s="68"/>
      <c r="AR20" s="69"/>
      <c r="AS20" s="69"/>
      <c r="AT20" s="70"/>
      <c r="AU20" s="68"/>
      <c r="AV20" s="69"/>
      <c r="AW20" s="69"/>
      <c r="AX20" s="70"/>
      <c r="AY20" s="68"/>
      <c r="AZ20" s="69"/>
      <c r="BA20" s="69"/>
      <c r="BB20" s="70"/>
      <c r="BC20" s="68"/>
      <c r="BD20" s="69"/>
      <c r="BE20" s="69"/>
      <c r="BF20" s="70"/>
      <c r="BG20" s="68"/>
      <c r="BH20" s="69"/>
      <c r="BI20" s="69"/>
      <c r="BJ20" s="70"/>
      <c r="BK20" s="68"/>
      <c r="BL20" s="69"/>
      <c r="BM20" s="69"/>
      <c r="BN20" s="70"/>
      <c r="BO20" s="68"/>
      <c r="BP20" s="69"/>
      <c r="BQ20" s="69"/>
      <c r="BR20" s="70"/>
      <c r="BX20" s="24"/>
      <c r="BY20" s="48"/>
      <c r="BZ20" s="25"/>
      <c r="CB20" s="5"/>
      <c r="CC20" s="45"/>
    </row>
    <row r="21" spans="1:81" ht="21" customHeight="1" x14ac:dyDescent="0.55000000000000004">
      <c r="A21" s="5"/>
      <c r="G21" s="7"/>
      <c r="K21" s="71"/>
      <c r="L21" s="72"/>
      <c r="M21" s="72"/>
      <c r="N21" s="73"/>
      <c r="O21" s="71"/>
      <c r="P21" s="72"/>
      <c r="Q21" s="72"/>
      <c r="R21" s="72"/>
      <c r="V21" s="8"/>
      <c r="W21" s="71"/>
      <c r="X21" s="72"/>
      <c r="Y21" s="72"/>
      <c r="Z21" s="73"/>
      <c r="AA21" s="71"/>
      <c r="AB21" s="72"/>
      <c r="AC21" s="72"/>
      <c r="AD21" s="72"/>
      <c r="AI21" s="71"/>
      <c r="AJ21" s="72"/>
      <c r="AK21" s="72"/>
      <c r="AL21" s="73"/>
      <c r="AM21" s="71"/>
      <c r="AN21" s="72"/>
      <c r="AO21" s="72"/>
      <c r="AP21" s="73"/>
      <c r="AQ21" s="71"/>
      <c r="AR21" s="72"/>
      <c r="AS21" s="72"/>
      <c r="AT21" s="73"/>
      <c r="AU21" s="71"/>
      <c r="AV21" s="72"/>
      <c r="AW21" s="72"/>
      <c r="AX21" s="73"/>
      <c r="AY21" s="71"/>
      <c r="AZ21" s="72"/>
      <c r="BA21" s="72"/>
      <c r="BB21" s="73"/>
      <c r="BC21" s="71"/>
      <c r="BD21" s="72"/>
      <c r="BE21" s="72"/>
      <c r="BF21" s="73"/>
      <c r="BG21" s="71"/>
      <c r="BH21" s="72"/>
      <c r="BI21" s="72"/>
      <c r="BJ21" s="73"/>
      <c r="BK21" s="71"/>
      <c r="BL21" s="72"/>
      <c r="BM21" s="72"/>
      <c r="BN21" s="73"/>
      <c r="BO21" s="71"/>
      <c r="BP21" s="72"/>
      <c r="BQ21" s="72"/>
      <c r="BR21" s="73"/>
      <c r="BX21" s="24"/>
      <c r="BY21" s="48"/>
      <c r="BZ21" s="25"/>
      <c r="CB21" s="5"/>
      <c r="CC21" s="45"/>
    </row>
    <row r="22" spans="1:81" ht="21" customHeight="1" thickBot="1" x14ac:dyDescent="0.6">
      <c r="A22" s="5"/>
      <c r="G22" s="10"/>
      <c r="H22" s="11"/>
      <c r="I22" s="11"/>
      <c r="J22" s="11"/>
      <c r="K22" s="74"/>
      <c r="L22" s="75"/>
      <c r="M22" s="75"/>
      <c r="N22" s="76"/>
      <c r="O22" s="74"/>
      <c r="P22" s="75"/>
      <c r="Q22" s="75"/>
      <c r="R22" s="75"/>
      <c r="S22" s="11"/>
      <c r="T22" s="11"/>
      <c r="U22" s="11"/>
      <c r="V22" s="13"/>
      <c r="W22" s="81"/>
      <c r="X22" s="79"/>
      <c r="Y22" s="79"/>
      <c r="Z22" s="82"/>
      <c r="AA22" s="74"/>
      <c r="AB22" s="75"/>
      <c r="AC22" s="75"/>
      <c r="AD22" s="75"/>
      <c r="AI22" s="74"/>
      <c r="AJ22" s="75"/>
      <c r="AK22" s="75"/>
      <c r="AL22" s="76"/>
      <c r="AM22" s="74"/>
      <c r="AN22" s="75"/>
      <c r="AO22" s="75"/>
      <c r="AP22" s="76"/>
      <c r="AQ22" s="74"/>
      <c r="AR22" s="75"/>
      <c r="AS22" s="75"/>
      <c r="AT22" s="76"/>
      <c r="AU22" s="74"/>
      <c r="AV22" s="75"/>
      <c r="AW22" s="75"/>
      <c r="AX22" s="76"/>
      <c r="AY22" s="74"/>
      <c r="AZ22" s="75"/>
      <c r="BA22" s="75"/>
      <c r="BB22" s="76"/>
      <c r="BC22" s="74"/>
      <c r="BD22" s="75"/>
      <c r="BE22" s="75"/>
      <c r="BF22" s="76"/>
      <c r="BG22" s="74"/>
      <c r="BH22" s="75"/>
      <c r="BI22" s="75"/>
      <c r="BJ22" s="76"/>
      <c r="BK22" s="74"/>
      <c r="BL22" s="75"/>
      <c r="BM22" s="75"/>
      <c r="BN22" s="76"/>
      <c r="BO22" s="74"/>
      <c r="BP22" s="75"/>
      <c r="BQ22" s="75"/>
      <c r="BR22" s="76"/>
      <c r="BX22" s="24"/>
      <c r="BY22" s="48"/>
      <c r="BZ22" s="25"/>
      <c r="CB22" s="5"/>
      <c r="CC22" s="45"/>
    </row>
    <row r="23" spans="1:81" ht="21" customHeight="1" x14ac:dyDescent="0.55000000000000004">
      <c r="A23" s="5"/>
      <c r="C23" s="1" t="s">
        <v>167</v>
      </c>
      <c r="G23" s="4">
        <v>34</v>
      </c>
      <c r="H23" s="77"/>
      <c r="I23" s="77"/>
      <c r="J23" s="77"/>
      <c r="K23" s="6"/>
      <c r="L23" s="6"/>
      <c r="M23" s="6"/>
      <c r="N23" s="6"/>
      <c r="O23" s="6"/>
      <c r="P23" s="6"/>
      <c r="Q23" s="6"/>
      <c r="R23" s="9"/>
      <c r="S23" s="4">
        <v>35</v>
      </c>
      <c r="T23" s="77"/>
      <c r="U23" s="77"/>
      <c r="V23" s="78"/>
      <c r="AA23" s="4">
        <v>36</v>
      </c>
      <c r="AB23" s="77"/>
      <c r="AC23" s="77"/>
      <c r="AD23" s="78"/>
      <c r="AE23" s="4">
        <v>37</v>
      </c>
      <c r="AF23" s="77"/>
      <c r="AG23" s="77"/>
      <c r="AH23" s="78"/>
      <c r="AI23" s="4">
        <v>38</v>
      </c>
      <c r="AJ23" s="77"/>
      <c r="AK23" s="77"/>
      <c r="AL23" s="78"/>
      <c r="AM23" s="4">
        <v>39</v>
      </c>
      <c r="AN23" s="77"/>
      <c r="AO23" s="77"/>
      <c r="AP23" s="77"/>
      <c r="AQ23" s="6"/>
      <c r="AR23" s="6"/>
      <c r="AS23" s="6"/>
      <c r="AT23" s="6"/>
      <c r="AU23" s="4">
        <v>40</v>
      </c>
      <c r="AV23" s="77"/>
      <c r="AW23" s="77"/>
      <c r="AX23" s="77"/>
      <c r="AY23" s="12">
        <v>41</v>
      </c>
      <c r="AZ23" s="77"/>
      <c r="BA23" s="77"/>
      <c r="BB23" s="77"/>
      <c r="BC23" s="12">
        <v>42</v>
      </c>
      <c r="BD23" s="77"/>
      <c r="BE23" s="77"/>
      <c r="BF23" s="77"/>
      <c r="BG23" s="12">
        <v>43</v>
      </c>
      <c r="BH23" s="77"/>
      <c r="BI23" s="77"/>
      <c r="BJ23" s="78"/>
      <c r="BK23" s="12">
        <v>44</v>
      </c>
      <c r="BL23" s="77"/>
      <c r="BM23" s="77"/>
      <c r="BN23" s="77"/>
      <c r="BO23" s="6"/>
      <c r="BP23" s="6"/>
      <c r="BQ23" s="6"/>
      <c r="BR23" s="9"/>
      <c r="BS23" s="4">
        <v>45</v>
      </c>
      <c r="BT23" s="77"/>
      <c r="BU23" s="77"/>
      <c r="BV23" s="78"/>
      <c r="BX23" s="24"/>
      <c r="BY23" s="48"/>
      <c r="BZ23" s="25"/>
      <c r="CB23" s="5"/>
      <c r="CC23" s="45"/>
    </row>
    <row r="24" spans="1:81" ht="21" customHeight="1" x14ac:dyDescent="0.55000000000000004">
      <c r="A24" s="5"/>
      <c r="G24" s="68"/>
      <c r="H24" s="69"/>
      <c r="I24" s="69"/>
      <c r="J24" s="69"/>
      <c r="R24" s="8"/>
      <c r="S24" s="68"/>
      <c r="T24" s="69"/>
      <c r="U24" s="69"/>
      <c r="V24" s="70"/>
      <c r="W24" s="7"/>
      <c r="Z24" s="8"/>
      <c r="AA24" s="68"/>
      <c r="AB24" s="69"/>
      <c r="AC24" s="69"/>
      <c r="AD24" s="70"/>
      <c r="AE24" s="68"/>
      <c r="AF24" s="69"/>
      <c r="AG24" s="69"/>
      <c r="AH24" s="70"/>
      <c r="AI24" s="68"/>
      <c r="AJ24" s="69"/>
      <c r="AK24" s="69"/>
      <c r="AL24" s="70"/>
      <c r="AM24" s="68"/>
      <c r="AN24" s="69"/>
      <c r="AO24" s="69"/>
      <c r="AP24" s="69"/>
      <c r="AU24" s="68"/>
      <c r="AV24" s="69"/>
      <c r="AW24" s="69"/>
      <c r="AX24" s="69"/>
      <c r="AY24" s="69"/>
      <c r="AZ24" s="69"/>
      <c r="BA24" s="69"/>
      <c r="BB24" s="69"/>
      <c r="BC24" s="69"/>
      <c r="BD24" s="69"/>
      <c r="BE24" s="69"/>
      <c r="BF24" s="69"/>
      <c r="BG24" s="69"/>
      <c r="BH24" s="69"/>
      <c r="BI24" s="69"/>
      <c r="BJ24" s="69"/>
      <c r="BK24" s="68"/>
      <c r="BL24" s="69"/>
      <c r="BM24" s="69"/>
      <c r="BN24" s="69"/>
      <c r="BR24" s="8"/>
      <c r="BS24" s="68"/>
      <c r="BT24" s="69"/>
      <c r="BU24" s="69"/>
      <c r="BV24" s="70"/>
      <c r="BX24" s="24"/>
      <c r="BY24" s="48"/>
      <c r="BZ24" s="25"/>
      <c r="CB24" s="5"/>
      <c r="CC24" s="45"/>
    </row>
    <row r="25" spans="1:81" ht="21" customHeight="1" x14ac:dyDescent="0.55000000000000004">
      <c r="A25" s="5"/>
      <c r="G25" s="71"/>
      <c r="H25" s="72"/>
      <c r="I25" s="72"/>
      <c r="J25" s="72"/>
      <c r="R25" s="8"/>
      <c r="S25" s="71"/>
      <c r="T25" s="72"/>
      <c r="U25" s="72"/>
      <c r="V25" s="73"/>
      <c r="W25" s="7"/>
      <c r="Z25" s="8"/>
      <c r="AA25" s="71"/>
      <c r="AB25" s="72"/>
      <c r="AC25" s="72"/>
      <c r="AD25" s="73"/>
      <c r="AE25" s="71"/>
      <c r="AF25" s="72"/>
      <c r="AG25" s="72"/>
      <c r="AH25" s="73"/>
      <c r="AI25" s="71"/>
      <c r="AJ25" s="72"/>
      <c r="AK25" s="72"/>
      <c r="AL25" s="73"/>
      <c r="AM25" s="71"/>
      <c r="AN25" s="72"/>
      <c r="AO25" s="72"/>
      <c r="AP25" s="72"/>
      <c r="AU25" s="71"/>
      <c r="AV25" s="72"/>
      <c r="AW25" s="72"/>
      <c r="AX25" s="72"/>
      <c r="AY25" s="72"/>
      <c r="AZ25" s="72"/>
      <c r="BA25" s="72"/>
      <c r="BB25" s="72"/>
      <c r="BC25" s="72"/>
      <c r="BD25" s="72"/>
      <c r="BE25" s="72"/>
      <c r="BF25" s="72"/>
      <c r="BG25" s="72"/>
      <c r="BH25" s="72"/>
      <c r="BI25" s="72"/>
      <c r="BJ25" s="72"/>
      <c r="BK25" s="71"/>
      <c r="BL25" s="72"/>
      <c r="BM25" s="72"/>
      <c r="BN25" s="72"/>
      <c r="BR25" s="8"/>
      <c r="BS25" s="71"/>
      <c r="BT25" s="72"/>
      <c r="BU25" s="72"/>
      <c r="BV25" s="73"/>
      <c r="BX25" s="24"/>
      <c r="BY25" s="48"/>
      <c r="BZ25" s="25"/>
      <c r="CB25" s="5"/>
      <c r="CC25" s="45"/>
    </row>
    <row r="26" spans="1:81" ht="21" customHeight="1" thickBot="1" x14ac:dyDescent="0.6">
      <c r="A26" s="5"/>
      <c r="G26" s="74"/>
      <c r="H26" s="75"/>
      <c r="I26" s="75"/>
      <c r="J26" s="75"/>
      <c r="R26" s="8"/>
      <c r="S26" s="74"/>
      <c r="T26" s="75"/>
      <c r="U26" s="75"/>
      <c r="V26" s="76"/>
      <c r="W26" s="10"/>
      <c r="X26" s="11"/>
      <c r="Y26" s="11"/>
      <c r="Z26" s="13"/>
      <c r="AA26" s="74"/>
      <c r="AB26" s="75"/>
      <c r="AC26" s="75"/>
      <c r="AD26" s="76"/>
      <c r="AE26" s="74"/>
      <c r="AF26" s="75"/>
      <c r="AG26" s="75"/>
      <c r="AH26" s="76"/>
      <c r="AI26" s="74"/>
      <c r="AJ26" s="75"/>
      <c r="AK26" s="75"/>
      <c r="AL26" s="76"/>
      <c r="AM26" s="74"/>
      <c r="AN26" s="75"/>
      <c r="AO26" s="75"/>
      <c r="AP26" s="75"/>
      <c r="AU26" s="74"/>
      <c r="AV26" s="75"/>
      <c r="AW26" s="75"/>
      <c r="AX26" s="75"/>
      <c r="AY26" s="79"/>
      <c r="AZ26" s="79"/>
      <c r="BA26" s="79"/>
      <c r="BB26" s="79"/>
      <c r="BC26" s="79"/>
      <c r="BD26" s="79"/>
      <c r="BE26" s="79"/>
      <c r="BF26" s="79"/>
      <c r="BG26" s="79"/>
      <c r="BH26" s="79"/>
      <c r="BI26" s="79"/>
      <c r="BJ26" s="79"/>
      <c r="BK26" s="74"/>
      <c r="BL26" s="75"/>
      <c r="BM26" s="75"/>
      <c r="BN26" s="75"/>
      <c r="BO26" s="11"/>
      <c r="BP26" s="11"/>
      <c r="BQ26" s="11"/>
      <c r="BR26" s="13"/>
      <c r="BS26" s="74"/>
      <c r="BT26" s="75"/>
      <c r="BU26" s="75"/>
      <c r="BV26" s="76"/>
      <c r="BX26" s="24"/>
      <c r="BY26" s="48"/>
      <c r="BZ26" s="25"/>
      <c r="CB26" s="5"/>
      <c r="CC26" s="45"/>
    </row>
    <row r="27" spans="1:81" ht="21" customHeight="1" x14ac:dyDescent="0.55000000000000004">
      <c r="A27" s="5"/>
      <c r="C27" s="1" t="s">
        <v>168</v>
      </c>
      <c r="G27" s="4">
        <v>46</v>
      </c>
      <c r="H27" s="77"/>
      <c r="I27" s="77"/>
      <c r="J27" s="78"/>
      <c r="R27" s="8"/>
      <c r="S27" s="4">
        <v>47</v>
      </c>
      <c r="T27" s="77"/>
      <c r="U27" s="77"/>
      <c r="V27" s="77"/>
      <c r="W27" s="6"/>
      <c r="X27" s="6"/>
      <c r="Y27" s="6"/>
      <c r="Z27" s="6"/>
      <c r="AA27" s="6"/>
      <c r="AB27" s="6"/>
      <c r="AC27" s="6"/>
      <c r="AD27" s="6"/>
      <c r="AE27" s="6"/>
      <c r="AF27" s="6"/>
      <c r="AG27" s="6"/>
      <c r="AH27" s="6"/>
      <c r="AI27" s="4">
        <v>48</v>
      </c>
      <c r="AJ27" s="77"/>
      <c r="AK27" s="77"/>
      <c r="AL27" s="78"/>
      <c r="AM27" s="4">
        <v>49</v>
      </c>
      <c r="AN27" s="77"/>
      <c r="AO27" s="77"/>
      <c r="AP27" s="78"/>
      <c r="AQ27" s="4">
        <v>50</v>
      </c>
      <c r="AR27" s="77"/>
      <c r="AS27" s="77"/>
      <c r="AT27" s="78"/>
      <c r="AU27" s="4">
        <v>51</v>
      </c>
      <c r="AV27" s="77"/>
      <c r="AW27" s="77"/>
      <c r="AX27" s="78"/>
      <c r="AY27" s="14">
        <v>52</v>
      </c>
      <c r="AZ27" s="80"/>
      <c r="BA27" s="80"/>
      <c r="BB27" s="80"/>
      <c r="BC27" s="3">
        <v>53</v>
      </c>
      <c r="BD27" s="80"/>
      <c r="BE27" s="80"/>
      <c r="BF27" s="80"/>
      <c r="BG27" s="3">
        <v>54</v>
      </c>
      <c r="BH27" s="80"/>
      <c r="BI27" s="80"/>
      <c r="BJ27" s="80"/>
      <c r="BK27" s="4">
        <v>55</v>
      </c>
      <c r="BL27" s="77"/>
      <c r="BM27" s="77"/>
      <c r="BN27" s="77"/>
      <c r="BS27" s="4">
        <v>56</v>
      </c>
      <c r="BT27" s="77"/>
      <c r="BU27" s="77"/>
      <c r="BV27" s="78"/>
      <c r="BX27" s="24"/>
      <c r="BY27" s="48"/>
      <c r="BZ27" s="25"/>
      <c r="CB27" s="5"/>
      <c r="CC27" s="45"/>
    </row>
    <row r="28" spans="1:81" ht="21" customHeight="1" x14ac:dyDescent="0.55000000000000004">
      <c r="A28" s="5"/>
      <c r="G28" s="68"/>
      <c r="H28" s="69"/>
      <c r="I28" s="69"/>
      <c r="J28" s="70"/>
      <c r="R28" s="8"/>
      <c r="S28" s="68"/>
      <c r="T28" s="69"/>
      <c r="U28" s="69"/>
      <c r="V28" s="69"/>
      <c r="AI28" s="68"/>
      <c r="AJ28" s="69"/>
      <c r="AK28" s="69"/>
      <c r="AL28" s="70"/>
      <c r="AM28" s="68"/>
      <c r="AN28" s="69"/>
      <c r="AO28" s="69"/>
      <c r="AP28" s="70"/>
      <c r="AQ28" s="68"/>
      <c r="AR28" s="69"/>
      <c r="AS28" s="69"/>
      <c r="AT28" s="70"/>
      <c r="AU28" s="68"/>
      <c r="AV28" s="69"/>
      <c r="AW28" s="69"/>
      <c r="AX28" s="70"/>
      <c r="AY28" s="68"/>
      <c r="AZ28" s="69"/>
      <c r="BA28" s="69"/>
      <c r="BB28" s="69"/>
      <c r="BC28" s="69"/>
      <c r="BD28" s="69"/>
      <c r="BE28" s="69"/>
      <c r="BF28" s="69"/>
      <c r="BG28" s="69"/>
      <c r="BH28" s="69"/>
      <c r="BI28" s="69"/>
      <c r="BJ28" s="69"/>
      <c r="BK28" s="68"/>
      <c r="BL28" s="69"/>
      <c r="BM28" s="69"/>
      <c r="BN28" s="69"/>
      <c r="BS28" s="68"/>
      <c r="BT28" s="69"/>
      <c r="BU28" s="69"/>
      <c r="BV28" s="70"/>
      <c r="CB28" s="5"/>
      <c r="CC28" s="45"/>
    </row>
    <row r="29" spans="1:81" ht="21" customHeight="1" x14ac:dyDescent="0.55000000000000004">
      <c r="A29" s="5"/>
      <c r="G29" s="71"/>
      <c r="H29" s="72"/>
      <c r="I29" s="72"/>
      <c r="J29" s="73"/>
      <c r="R29" s="8"/>
      <c r="S29" s="71"/>
      <c r="T29" s="72"/>
      <c r="U29" s="72"/>
      <c r="V29" s="72"/>
      <c r="AI29" s="71"/>
      <c r="AJ29" s="72"/>
      <c r="AK29" s="72"/>
      <c r="AL29" s="73"/>
      <c r="AM29" s="71"/>
      <c r="AN29" s="72"/>
      <c r="AO29" s="72"/>
      <c r="AP29" s="73"/>
      <c r="AQ29" s="71"/>
      <c r="AR29" s="72"/>
      <c r="AS29" s="72"/>
      <c r="AT29" s="73"/>
      <c r="AU29" s="71"/>
      <c r="AV29" s="72"/>
      <c r="AW29" s="72"/>
      <c r="AX29" s="73"/>
      <c r="AY29" s="71"/>
      <c r="AZ29" s="72"/>
      <c r="BA29" s="72"/>
      <c r="BB29" s="72"/>
      <c r="BC29" s="72"/>
      <c r="BD29" s="72"/>
      <c r="BE29" s="72"/>
      <c r="BF29" s="72"/>
      <c r="BG29" s="72"/>
      <c r="BH29" s="72"/>
      <c r="BI29" s="72"/>
      <c r="BJ29" s="72"/>
      <c r="BK29" s="71"/>
      <c r="BL29" s="72"/>
      <c r="BM29" s="72"/>
      <c r="BN29" s="72"/>
      <c r="BS29" s="71"/>
      <c r="BT29" s="72"/>
      <c r="BU29" s="72"/>
      <c r="BV29" s="73"/>
      <c r="CB29" s="5"/>
      <c r="CC29" s="45"/>
    </row>
    <row r="30" spans="1:81" ht="21" customHeight="1" thickBot="1" x14ac:dyDescent="0.6">
      <c r="A30" s="5"/>
      <c r="G30" s="74"/>
      <c r="H30" s="75"/>
      <c r="I30" s="75"/>
      <c r="J30" s="76"/>
      <c r="R30" s="8"/>
      <c r="S30" s="81"/>
      <c r="T30" s="79"/>
      <c r="U30" s="79"/>
      <c r="V30" s="79"/>
      <c r="AI30" s="74"/>
      <c r="AJ30" s="75"/>
      <c r="AK30" s="75"/>
      <c r="AL30" s="76"/>
      <c r="AM30" s="74"/>
      <c r="AN30" s="75"/>
      <c r="AO30" s="75"/>
      <c r="AP30" s="76"/>
      <c r="AQ30" s="74"/>
      <c r="AR30" s="75"/>
      <c r="AS30" s="75"/>
      <c r="AT30" s="76"/>
      <c r="AU30" s="74"/>
      <c r="AV30" s="75"/>
      <c r="AW30" s="75"/>
      <c r="AX30" s="76"/>
      <c r="AY30" s="81"/>
      <c r="AZ30" s="79"/>
      <c r="BA30" s="79"/>
      <c r="BB30" s="79"/>
      <c r="BC30" s="79"/>
      <c r="BD30" s="79"/>
      <c r="BE30" s="79"/>
      <c r="BF30" s="79"/>
      <c r="BG30" s="79"/>
      <c r="BH30" s="79"/>
      <c r="BI30" s="79"/>
      <c r="BJ30" s="79"/>
      <c r="BK30" s="81"/>
      <c r="BL30" s="79"/>
      <c r="BM30" s="79"/>
      <c r="BN30" s="79"/>
      <c r="BS30" s="74"/>
      <c r="BT30" s="75"/>
      <c r="BU30" s="75"/>
      <c r="BV30" s="76"/>
      <c r="CB30" s="5"/>
      <c r="CC30" s="45"/>
    </row>
    <row r="31" spans="1:81" ht="21" customHeight="1" x14ac:dyDescent="0.55000000000000004">
      <c r="A31" s="5"/>
      <c r="C31" s="1" t="s">
        <v>169</v>
      </c>
      <c r="G31" s="7"/>
      <c r="R31" s="8"/>
      <c r="S31" s="7"/>
      <c r="AM31" s="4">
        <v>57</v>
      </c>
      <c r="AN31" s="77"/>
      <c r="AO31" s="77"/>
      <c r="AP31" s="78"/>
      <c r="AQ31" s="4">
        <v>58</v>
      </c>
      <c r="AR31" s="77"/>
      <c r="AS31" s="77"/>
      <c r="AT31" s="78"/>
      <c r="AU31" s="4">
        <v>59</v>
      </c>
      <c r="AV31" s="77"/>
      <c r="AW31" s="77"/>
      <c r="AX31" s="78"/>
      <c r="AY31" s="14">
        <v>60</v>
      </c>
      <c r="AZ31" s="80"/>
      <c r="BA31" s="80"/>
      <c r="BB31" s="80"/>
      <c r="BC31" s="3">
        <v>61</v>
      </c>
      <c r="BD31" s="80"/>
      <c r="BE31" s="80"/>
      <c r="BF31" s="80"/>
      <c r="BG31" s="3">
        <v>62</v>
      </c>
      <c r="BH31" s="80"/>
      <c r="BI31" s="80"/>
      <c r="BJ31" s="80"/>
      <c r="BK31" s="7"/>
      <c r="BS31" s="4">
        <v>63</v>
      </c>
      <c r="BT31" s="77"/>
      <c r="BU31" s="77"/>
      <c r="BV31" s="78"/>
      <c r="CB31" s="5"/>
      <c r="CC31" s="45"/>
    </row>
    <row r="32" spans="1:81" ht="21" customHeight="1" x14ac:dyDescent="0.55000000000000004">
      <c r="A32" s="5"/>
      <c r="G32" s="7"/>
      <c r="R32" s="8"/>
      <c r="S32" s="7"/>
      <c r="AM32" s="68"/>
      <c r="AN32" s="69"/>
      <c r="AO32" s="69"/>
      <c r="AP32" s="70"/>
      <c r="AQ32" s="68"/>
      <c r="AR32" s="69"/>
      <c r="AS32" s="69"/>
      <c r="AT32" s="70"/>
      <c r="AU32" s="68"/>
      <c r="AV32" s="69"/>
      <c r="AW32" s="69"/>
      <c r="AX32" s="70"/>
      <c r="AY32" s="68"/>
      <c r="AZ32" s="69"/>
      <c r="BA32" s="69"/>
      <c r="BB32" s="69"/>
      <c r="BC32" s="69"/>
      <c r="BD32" s="69"/>
      <c r="BE32" s="69"/>
      <c r="BF32" s="69"/>
      <c r="BG32" s="69"/>
      <c r="BH32" s="69"/>
      <c r="BI32" s="69"/>
      <c r="BJ32" s="69"/>
      <c r="BK32" s="7"/>
      <c r="BS32" s="68"/>
      <c r="BT32" s="69"/>
      <c r="BU32" s="69"/>
      <c r="BV32" s="70"/>
      <c r="CB32" s="5"/>
      <c r="CC32" s="45"/>
    </row>
    <row r="33" spans="1:81" ht="21" customHeight="1" x14ac:dyDescent="0.55000000000000004">
      <c r="A33" s="5"/>
      <c r="G33" s="7"/>
      <c r="R33" s="8"/>
      <c r="S33" s="7"/>
      <c r="AI33" s="28"/>
      <c r="AM33" s="71"/>
      <c r="AN33" s="72"/>
      <c r="AO33" s="72"/>
      <c r="AP33" s="73"/>
      <c r="AQ33" s="71"/>
      <c r="AR33" s="72"/>
      <c r="AS33" s="72"/>
      <c r="AT33" s="73"/>
      <c r="AU33" s="71"/>
      <c r="AV33" s="72"/>
      <c r="AW33" s="72"/>
      <c r="AX33" s="73"/>
      <c r="AY33" s="71"/>
      <c r="AZ33" s="72"/>
      <c r="BA33" s="72"/>
      <c r="BB33" s="72"/>
      <c r="BC33" s="72"/>
      <c r="BD33" s="72"/>
      <c r="BE33" s="72"/>
      <c r="BF33" s="72"/>
      <c r="BG33" s="72"/>
      <c r="BH33" s="72"/>
      <c r="BI33" s="72"/>
      <c r="BJ33" s="72"/>
      <c r="BK33" s="7"/>
      <c r="BS33" s="71"/>
      <c r="BT33" s="72"/>
      <c r="BU33" s="72"/>
      <c r="BV33" s="73"/>
      <c r="CB33" s="5"/>
      <c r="CC33" s="45"/>
    </row>
    <row r="34" spans="1:81" ht="21" customHeight="1" thickBot="1" x14ac:dyDescent="0.6">
      <c r="A34" s="5"/>
      <c r="G34" s="10"/>
      <c r="H34" s="11"/>
      <c r="I34" s="11"/>
      <c r="J34" s="11"/>
      <c r="K34" s="11"/>
      <c r="L34" s="11"/>
      <c r="M34" s="11"/>
      <c r="N34" s="11"/>
      <c r="O34" s="11"/>
      <c r="P34" s="11"/>
      <c r="Q34" s="11"/>
      <c r="R34" s="13"/>
      <c r="S34" s="10"/>
      <c r="T34" s="11"/>
      <c r="U34" s="11"/>
      <c r="V34" s="11"/>
      <c r="W34" s="11"/>
      <c r="X34" s="11"/>
      <c r="Y34" s="11"/>
      <c r="Z34" s="11"/>
      <c r="AA34" s="11"/>
      <c r="AB34" s="11"/>
      <c r="AC34" s="11"/>
      <c r="AD34" s="11"/>
      <c r="AE34" s="11"/>
      <c r="AF34" s="11"/>
      <c r="AG34" s="11"/>
      <c r="AH34" s="11"/>
      <c r="AI34" s="11"/>
      <c r="AJ34" s="11"/>
      <c r="AK34" s="11"/>
      <c r="AL34" s="11"/>
      <c r="AM34" s="74"/>
      <c r="AN34" s="75"/>
      <c r="AO34" s="75"/>
      <c r="AP34" s="76"/>
      <c r="AQ34" s="74"/>
      <c r="AR34" s="75"/>
      <c r="AS34" s="75"/>
      <c r="AT34" s="76"/>
      <c r="AU34" s="74"/>
      <c r="AV34" s="75"/>
      <c r="AW34" s="75"/>
      <c r="AX34" s="76"/>
      <c r="AY34" s="74"/>
      <c r="AZ34" s="75"/>
      <c r="BA34" s="75"/>
      <c r="BB34" s="75"/>
      <c r="BC34" s="79"/>
      <c r="BD34" s="79"/>
      <c r="BE34" s="79"/>
      <c r="BF34" s="79"/>
      <c r="BG34" s="79"/>
      <c r="BH34" s="79"/>
      <c r="BI34" s="79"/>
      <c r="BJ34" s="79"/>
      <c r="BK34" s="7"/>
      <c r="BS34" s="74"/>
      <c r="BT34" s="75"/>
      <c r="BU34" s="75"/>
      <c r="BV34" s="76"/>
      <c r="CB34" s="5"/>
      <c r="CC34" s="45"/>
    </row>
    <row r="35" spans="1:81" ht="21" customHeight="1" x14ac:dyDescent="0.55000000000000004">
      <c r="A35" s="5"/>
      <c r="C35" s="1" t="s">
        <v>170</v>
      </c>
      <c r="AM35" s="4">
        <v>64</v>
      </c>
      <c r="AN35" s="77"/>
      <c r="AO35" s="77"/>
      <c r="AP35" s="78"/>
      <c r="AQ35" s="4">
        <v>65</v>
      </c>
      <c r="AR35" s="77"/>
      <c r="AS35" s="77"/>
      <c r="AT35" s="78"/>
      <c r="AU35" s="4">
        <v>66</v>
      </c>
      <c r="AV35" s="77"/>
      <c r="AW35" s="77"/>
      <c r="AX35" s="78"/>
      <c r="AY35" s="4">
        <v>67</v>
      </c>
      <c r="AZ35" s="77"/>
      <c r="BA35" s="77"/>
      <c r="BB35" s="78"/>
      <c r="BC35" s="4">
        <v>68</v>
      </c>
      <c r="BD35" s="77"/>
      <c r="BE35" s="77"/>
      <c r="BF35" s="78"/>
      <c r="BG35" s="4">
        <v>69</v>
      </c>
      <c r="BH35" s="77"/>
      <c r="BI35" s="77"/>
      <c r="BJ35" s="78"/>
      <c r="BK35" s="4">
        <v>70</v>
      </c>
      <c r="BL35" s="77"/>
      <c r="BM35" s="77"/>
      <c r="BN35" s="78"/>
      <c r="BO35" s="4">
        <v>71</v>
      </c>
      <c r="BP35" s="77"/>
      <c r="BQ35" s="77"/>
      <c r="BR35" s="78"/>
      <c r="BS35" s="4">
        <v>72</v>
      </c>
      <c r="BT35" s="77"/>
      <c r="BU35" s="77"/>
      <c r="BV35" s="78"/>
      <c r="CB35" s="5"/>
      <c r="CC35" s="45"/>
    </row>
    <row r="36" spans="1:81" ht="21" customHeight="1" x14ac:dyDescent="0.55000000000000004">
      <c r="A36" s="5"/>
      <c r="AC36" s="55">
        <v>40</v>
      </c>
      <c r="AD36" s="55">
        <v>41</v>
      </c>
      <c r="AE36" s="55">
        <v>42</v>
      </c>
      <c r="AF36" s="55">
        <v>43</v>
      </c>
      <c r="AG36" s="2" t="s">
        <v>173</v>
      </c>
      <c r="AH36" s="55" t="s">
        <v>163</v>
      </c>
      <c r="AI36" s="2" t="str">
        <f>VLOOKUP(AH36,市町村データ領域,MATCH("名前", 市町村データヘッダー, 0),FALSE)</f>
        <v>さいたま市</v>
      </c>
      <c r="AM36" s="68"/>
      <c r="AN36" s="69"/>
      <c r="AO36" s="69"/>
      <c r="AP36" s="70"/>
      <c r="AQ36" s="68"/>
      <c r="AR36" s="69"/>
      <c r="AS36" s="69"/>
      <c r="AT36" s="70"/>
      <c r="AU36" s="68"/>
      <c r="AV36" s="69"/>
      <c r="AW36" s="69"/>
      <c r="AX36" s="70"/>
      <c r="AY36" s="68"/>
      <c r="AZ36" s="69"/>
      <c r="BA36" s="69"/>
      <c r="BB36" s="70"/>
      <c r="BC36" s="68"/>
      <c r="BD36" s="69"/>
      <c r="BE36" s="69"/>
      <c r="BF36" s="70"/>
      <c r="BG36" s="68"/>
      <c r="BH36" s="69"/>
      <c r="BI36" s="69"/>
      <c r="BJ36" s="70"/>
      <c r="BK36" s="68"/>
      <c r="BL36" s="69"/>
      <c r="BM36" s="69"/>
      <c r="BN36" s="70"/>
      <c r="BO36" s="68"/>
      <c r="BP36" s="69"/>
      <c r="BQ36" s="69"/>
      <c r="BR36" s="70"/>
      <c r="BS36" s="68"/>
      <c r="BT36" s="69"/>
      <c r="BU36" s="69"/>
      <c r="BV36" s="70"/>
      <c r="CB36" s="5"/>
      <c r="CC36" s="45"/>
    </row>
    <row r="37" spans="1:81" ht="21" customHeight="1" x14ac:dyDescent="0.55000000000000004">
      <c r="A37" s="5"/>
      <c r="G37" s="2" t="s">
        <v>172</v>
      </c>
      <c r="AD37" s="55">
        <v>52</v>
      </c>
      <c r="AE37" s="55">
        <v>53</v>
      </c>
      <c r="AF37" s="55">
        <v>54</v>
      </c>
      <c r="AH37" s="2" t="str">
        <f>VLOOKUP(AH36,市町村データ領域,MATCH("なまえ", 市町村データヘッダー, 0),FALSE)</f>
        <v>さいたまし</v>
      </c>
      <c r="AM37" s="71"/>
      <c r="AN37" s="72"/>
      <c r="AO37" s="72"/>
      <c r="AP37" s="73"/>
      <c r="AQ37" s="71"/>
      <c r="AR37" s="72"/>
      <c r="AS37" s="72"/>
      <c r="AT37" s="73"/>
      <c r="AU37" s="71"/>
      <c r="AV37" s="72"/>
      <c r="AW37" s="72"/>
      <c r="AX37" s="73"/>
      <c r="AY37" s="71"/>
      <c r="AZ37" s="72"/>
      <c r="BA37" s="72"/>
      <c r="BB37" s="73"/>
      <c r="BC37" s="71"/>
      <c r="BD37" s="72"/>
      <c r="BE37" s="72"/>
      <c r="BF37" s="73"/>
      <c r="BG37" s="71"/>
      <c r="BH37" s="72"/>
      <c r="BI37" s="72"/>
      <c r="BJ37" s="73"/>
      <c r="BK37" s="71"/>
      <c r="BL37" s="72"/>
      <c r="BM37" s="72"/>
      <c r="BN37" s="73"/>
      <c r="BO37" s="71"/>
      <c r="BP37" s="72"/>
      <c r="BQ37" s="72"/>
      <c r="BR37" s="73"/>
      <c r="BS37" s="71"/>
      <c r="BT37" s="72"/>
      <c r="BU37" s="72"/>
      <c r="BV37" s="73"/>
      <c r="CB37" s="5"/>
      <c r="CC37" s="45"/>
    </row>
    <row r="38" spans="1:81" ht="21" customHeight="1" thickBot="1" x14ac:dyDescent="0.6">
      <c r="A38" s="5"/>
      <c r="G38" s="15" t="s">
        <v>171</v>
      </c>
      <c r="AD38" s="55">
        <v>60</v>
      </c>
      <c r="AE38" s="55">
        <v>61</v>
      </c>
      <c r="AF38" s="55">
        <v>62</v>
      </c>
      <c r="AM38" s="74"/>
      <c r="AN38" s="75"/>
      <c r="AO38" s="75"/>
      <c r="AP38" s="76"/>
      <c r="AQ38" s="74"/>
      <c r="AR38" s="75"/>
      <c r="AS38" s="75"/>
      <c r="AT38" s="76"/>
      <c r="AU38" s="74"/>
      <c r="AV38" s="75"/>
      <c r="AW38" s="75"/>
      <c r="AX38" s="76"/>
      <c r="AY38" s="74"/>
      <c r="AZ38" s="75"/>
      <c r="BA38" s="75"/>
      <c r="BB38" s="76"/>
      <c r="BC38" s="74"/>
      <c r="BD38" s="75"/>
      <c r="BE38" s="75"/>
      <c r="BF38" s="76"/>
      <c r="BG38" s="74"/>
      <c r="BH38" s="75"/>
      <c r="BI38" s="75"/>
      <c r="BJ38" s="76"/>
      <c r="BK38" s="74"/>
      <c r="BL38" s="75"/>
      <c r="BM38" s="75"/>
      <c r="BN38" s="76"/>
      <c r="BO38" s="74"/>
      <c r="BP38" s="75"/>
      <c r="BQ38" s="75"/>
      <c r="BR38" s="76"/>
      <c r="BS38" s="74"/>
      <c r="BT38" s="75"/>
      <c r="BU38" s="75"/>
      <c r="BV38" s="76"/>
      <c r="CB38" s="5"/>
      <c r="CC38" s="45"/>
    </row>
    <row r="39" spans="1:81" ht="21" customHeight="1" x14ac:dyDescent="0.55000000000000004">
      <c r="A39" s="5"/>
      <c r="CB39" s="5"/>
      <c r="CC39" s="45"/>
    </row>
    <row r="40" spans="1:81" ht="21" customHeight="1" x14ac:dyDescent="0.55000000000000004">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5"/>
    </row>
    <row r="41" spans="1:81" ht="21" customHeight="1" x14ac:dyDescent="0.55000000000000004">
      <c r="A41" s="45" t="s">
        <v>266</v>
      </c>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c r="BJ41" s="45"/>
      <c r="BK41" s="45"/>
      <c r="BL41" s="45"/>
      <c r="BM41" s="45"/>
      <c r="BN41" s="45"/>
      <c r="BO41" s="45"/>
      <c r="BP41" s="45"/>
      <c r="BQ41" s="45"/>
      <c r="BR41" s="45"/>
      <c r="BS41" s="45"/>
      <c r="BT41" s="45"/>
      <c r="BU41" s="45"/>
      <c r="BV41" s="45"/>
      <c r="BW41" s="45"/>
      <c r="BX41" s="45"/>
      <c r="BY41" s="45"/>
      <c r="BZ41" s="45"/>
      <c r="CA41" s="45"/>
      <c r="CB41" s="45"/>
      <c r="CC41" s="45"/>
    </row>
  </sheetData>
  <mergeCells count="288">
    <mergeCell ref="H7:J7"/>
    <mergeCell ref="L7:N7"/>
    <mergeCell ref="P7:R7"/>
    <mergeCell ref="X7:Z7"/>
    <mergeCell ref="AR7:AT7"/>
    <mergeCell ref="AV7:AX7"/>
    <mergeCell ref="AV11:AX11"/>
    <mergeCell ref="G12:J12"/>
    <mergeCell ref="G13:J13"/>
    <mergeCell ref="AU12:AX12"/>
    <mergeCell ref="AU13:AX13"/>
    <mergeCell ref="AQ8:AT8"/>
    <mergeCell ref="AQ9:AT9"/>
    <mergeCell ref="AQ10:AT10"/>
    <mergeCell ref="AU8:AX8"/>
    <mergeCell ref="AU9:AX9"/>
    <mergeCell ref="AU10:AX10"/>
    <mergeCell ref="O8:R8"/>
    <mergeCell ref="O9:R9"/>
    <mergeCell ref="O10:R10"/>
    <mergeCell ref="W8:Z8"/>
    <mergeCell ref="W9:Z9"/>
    <mergeCell ref="W10:Z10"/>
    <mergeCell ref="G8:J8"/>
    <mergeCell ref="G9:J9"/>
    <mergeCell ref="G10:J10"/>
    <mergeCell ref="K8:N8"/>
    <mergeCell ref="K9:N9"/>
    <mergeCell ref="K10:N10"/>
    <mergeCell ref="G14:J14"/>
    <mergeCell ref="O12:R12"/>
    <mergeCell ref="O13:R13"/>
    <mergeCell ref="O14:R14"/>
    <mergeCell ref="AQ12:AT12"/>
    <mergeCell ref="AQ13:AT13"/>
    <mergeCell ref="AQ14:AT14"/>
    <mergeCell ref="H11:J11"/>
    <mergeCell ref="P11:R11"/>
    <mergeCell ref="AR11:AT11"/>
    <mergeCell ref="AU14:AX14"/>
    <mergeCell ref="P15:R15"/>
    <mergeCell ref="T15:V15"/>
    <mergeCell ref="X15:Z15"/>
    <mergeCell ref="AB15:AD15"/>
    <mergeCell ref="AF15:AH15"/>
    <mergeCell ref="AJ15:AL15"/>
    <mergeCell ref="AN15:AP15"/>
    <mergeCell ref="AR15:AT15"/>
    <mergeCell ref="AV15:AX15"/>
    <mergeCell ref="BP15:BR15"/>
    <mergeCell ref="O16:R16"/>
    <mergeCell ref="O17:R17"/>
    <mergeCell ref="O18:R18"/>
    <mergeCell ref="S16:V16"/>
    <mergeCell ref="S17:V17"/>
    <mergeCell ref="S18:V18"/>
    <mergeCell ref="W16:Z16"/>
    <mergeCell ref="W17:Z17"/>
    <mergeCell ref="W18:Z18"/>
    <mergeCell ref="BO16:BR16"/>
    <mergeCell ref="BO17:BR17"/>
    <mergeCell ref="BO18:BR18"/>
    <mergeCell ref="AA16:AD16"/>
    <mergeCell ref="AA17:AD17"/>
    <mergeCell ref="AA18:AD18"/>
    <mergeCell ref="AE16:AH16"/>
    <mergeCell ref="AU16:AX16"/>
    <mergeCell ref="AU17:AX17"/>
    <mergeCell ref="AU18:AX18"/>
    <mergeCell ref="AE17:AH17"/>
    <mergeCell ref="AE18:AH18"/>
    <mergeCell ref="AN19:AP19"/>
    <mergeCell ref="AQ16:AT16"/>
    <mergeCell ref="AQ17:AT17"/>
    <mergeCell ref="AQ18:AT18"/>
    <mergeCell ref="AI16:AL16"/>
    <mergeCell ref="AI17:AL17"/>
    <mergeCell ref="AI18:AL18"/>
    <mergeCell ref="AM16:AP16"/>
    <mergeCell ref="AM17:AP17"/>
    <mergeCell ref="AM18:AP18"/>
    <mergeCell ref="AA22:AD22"/>
    <mergeCell ref="AJ19:AL19"/>
    <mergeCell ref="K20:N20"/>
    <mergeCell ref="K21:N21"/>
    <mergeCell ref="K22:N22"/>
    <mergeCell ref="P19:R19"/>
    <mergeCell ref="O20:R20"/>
    <mergeCell ref="O21:R21"/>
    <mergeCell ref="O22:R22"/>
    <mergeCell ref="L19:N19"/>
    <mergeCell ref="X19:Z19"/>
    <mergeCell ref="W20:Z20"/>
    <mergeCell ref="W21:Z21"/>
    <mergeCell ref="AB19:AD19"/>
    <mergeCell ref="AA20:AD20"/>
    <mergeCell ref="AA21:AD21"/>
    <mergeCell ref="BP19:BR19"/>
    <mergeCell ref="AI20:AL20"/>
    <mergeCell ref="AI21:AL21"/>
    <mergeCell ref="AI22:AL22"/>
    <mergeCell ref="AM20:AP20"/>
    <mergeCell ref="AM21:AP21"/>
    <mergeCell ref="AM22:AP22"/>
    <mergeCell ref="AQ20:AT20"/>
    <mergeCell ref="AQ21:AT21"/>
    <mergeCell ref="AQ22:AT22"/>
    <mergeCell ref="AR19:AT19"/>
    <mergeCell ref="AV19:AX19"/>
    <mergeCell ref="AZ19:BB19"/>
    <mergeCell ref="BD19:BF19"/>
    <mergeCell ref="BH19:BJ19"/>
    <mergeCell ref="BL19:BN19"/>
    <mergeCell ref="BO20:BR20"/>
    <mergeCell ref="BO21:BR21"/>
    <mergeCell ref="BO22:BR22"/>
    <mergeCell ref="BC20:BF20"/>
    <mergeCell ref="BC21:BF21"/>
    <mergeCell ref="BC22:BF22"/>
    <mergeCell ref="BG20:BJ20"/>
    <mergeCell ref="BG21:BJ21"/>
    <mergeCell ref="H23:J23"/>
    <mergeCell ref="G24:J24"/>
    <mergeCell ref="G25:J25"/>
    <mergeCell ref="G26:J26"/>
    <mergeCell ref="T23:V23"/>
    <mergeCell ref="S24:V24"/>
    <mergeCell ref="S25:V25"/>
    <mergeCell ref="S26:V26"/>
    <mergeCell ref="W22:Z22"/>
    <mergeCell ref="BK20:BN20"/>
    <mergeCell ref="BK21:BN21"/>
    <mergeCell ref="BK22:BN22"/>
    <mergeCell ref="AU20:AX20"/>
    <mergeCell ref="AU21:AX21"/>
    <mergeCell ref="AU22:AX22"/>
    <mergeCell ref="AY20:BB20"/>
    <mergeCell ref="AY21:BB21"/>
    <mergeCell ref="AY22:BB22"/>
    <mergeCell ref="BG22:BJ22"/>
    <mergeCell ref="BL23:BN23"/>
    <mergeCell ref="BT23:BV23"/>
    <mergeCell ref="BK24:BN24"/>
    <mergeCell ref="BK25:BN25"/>
    <mergeCell ref="BC25:BF25"/>
    <mergeCell ref="AB23:AD23"/>
    <mergeCell ref="AF23:AH23"/>
    <mergeCell ref="AJ23:AL23"/>
    <mergeCell ref="AN23:AP23"/>
    <mergeCell ref="AV23:AX23"/>
    <mergeCell ref="AZ23:BB23"/>
    <mergeCell ref="AI24:AL24"/>
    <mergeCell ref="AI25:AL25"/>
    <mergeCell ref="BS24:BV24"/>
    <mergeCell ref="BS25:BV25"/>
    <mergeCell ref="BD23:BF23"/>
    <mergeCell ref="BH23:BJ23"/>
    <mergeCell ref="AY34:BB34"/>
    <mergeCell ref="AY24:BB24"/>
    <mergeCell ref="AY25:BB25"/>
    <mergeCell ref="AY26:BB26"/>
    <mergeCell ref="BK26:BN26"/>
    <mergeCell ref="AU24:AX24"/>
    <mergeCell ref="AU25:AX25"/>
    <mergeCell ref="AU26:AX26"/>
    <mergeCell ref="AZ27:BB27"/>
    <mergeCell ref="AZ31:BB31"/>
    <mergeCell ref="AY28:BB28"/>
    <mergeCell ref="AY29:BB29"/>
    <mergeCell ref="AY30:BB30"/>
    <mergeCell ref="BC24:BF24"/>
    <mergeCell ref="AV27:AX27"/>
    <mergeCell ref="BL27:BN27"/>
    <mergeCell ref="AU33:AX33"/>
    <mergeCell ref="AU34:AX34"/>
    <mergeCell ref="BS26:BV26"/>
    <mergeCell ref="AA24:AD24"/>
    <mergeCell ref="AA25:AD25"/>
    <mergeCell ref="AA26:AD26"/>
    <mergeCell ref="AE24:AH24"/>
    <mergeCell ref="AE25:AH25"/>
    <mergeCell ref="AE26:AH26"/>
    <mergeCell ref="AM24:AP24"/>
    <mergeCell ref="AM25:AP25"/>
    <mergeCell ref="AM26:AP26"/>
    <mergeCell ref="BG24:BJ24"/>
    <mergeCell ref="BG25:BJ25"/>
    <mergeCell ref="BG26:BJ26"/>
    <mergeCell ref="BC26:BF26"/>
    <mergeCell ref="AI26:AL26"/>
    <mergeCell ref="H27:J27"/>
    <mergeCell ref="G28:J28"/>
    <mergeCell ref="G29:J29"/>
    <mergeCell ref="G30:J30"/>
    <mergeCell ref="T27:V27"/>
    <mergeCell ref="S28:V28"/>
    <mergeCell ref="S29:V29"/>
    <mergeCell ref="S30:V30"/>
    <mergeCell ref="BG30:BJ30"/>
    <mergeCell ref="AQ28:AT28"/>
    <mergeCell ref="AQ29:AT29"/>
    <mergeCell ref="AQ30:AT30"/>
    <mergeCell ref="BD27:BF27"/>
    <mergeCell ref="BH27:BJ27"/>
    <mergeCell ref="BG28:BJ28"/>
    <mergeCell ref="BG29:BJ29"/>
    <mergeCell ref="BC28:BF28"/>
    <mergeCell ref="BC29:BF29"/>
    <mergeCell ref="BC30:BF30"/>
    <mergeCell ref="AI28:AL28"/>
    <mergeCell ref="AI29:AL29"/>
    <mergeCell ref="AI30:AL30"/>
    <mergeCell ref="AM28:AP28"/>
    <mergeCell ref="AM29:AP29"/>
    <mergeCell ref="AM30:AP30"/>
    <mergeCell ref="AJ27:AL27"/>
    <mergeCell ref="AN27:AP27"/>
    <mergeCell ref="AR27:AT27"/>
    <mergeCell ref="AU28:AX28"/>
    <mergeCell ref="AU29:AX29"/>
    <mergeCell ref="AU30:AX30"/>
    <mergeCell ref="BS28:BV28"/>
    <mergeCell ref="BS29:BV29"/>
    <mergeCell ref="BS30:BV30"/>
    <mergeCell ref="BK28:BN28"/>
    <mergeCell ref="BK29:BN29"/>
    <mergeCell ref="BK30:BN30"/>
    <mergeCell ref="BT27:BV27"/>
    <mergeCell ref="BT31:BV31"/>
    <mergeCell ref="BS32:BV32"/>
    <mergeCell ref="BS33:BV33"/>
    <mergeCell ref="BS34:BV34"/>
    <mergeCell ref="AN31:AP31"/>
    <mergeCell ref="AR31:AT31"/>
    <mergeCell ref="AV31:AX31"/>
    <mergeCell ref="AM32:AP32"/>
    <mergeCell ref="AM33:AP33"/>
    <mergeCell ref="AM34:AP34"/>
    <mergeCell ref="AQ32:AT32"/>
    <mergeCell ref="AQ33:AT33"/>
    <mergeCell ref="AQ34:AT34"/>
    <mergeCell ref="AU32:AX32"/>
    <mergeCell ref="BG32:BJ32"/>
    <mergeCell ref="BG33:BJ33"/>
    <mergeCell ref="BG34:BJ34"/>
    <mergeCell ref="BC34:BF34"/>
    <mergeCell ref="BD31:BF31"/>
    <mergeCell ref="BH31:BJ31"/>
    <mergeCell ref="BC32:BF32"/>
    <mergeCell ref="BC33:BF33"/>
    <mergeCell ref="AY32:BB32"/>
    <mergeCell ref="AY33:BB33"/>
    <mergeCell ref="BP35:BR35"/>
    <mergeCell ref="BT35:BV35"/>
    <mergeCell ref="AM36:AP36"/>
    <mergeCell ref="AM37:AP37"/>
    <mergeCell ref="AM38:AP38"/>
    <mergeCell ref="AQ36:AT36"/>
    <mergeCell ref="AQ37:AT37"/>
    <mergeCell ref="AQ38:AT38"/>
    <mergeCell ref="AU36:AX36"/>
    <mergeCell ref="AN35:AP35"/>
    <mergeCell ref="AR35:AT35"/>
    <mergeCell ref="AV35:AX35"/>
    <mergeCell ref="AZ35:BB35"/>
    <mergeCell ref="BD35:BF35"/>
    <mergeCell ref="BH35:BJ35"/>
    <mergeCell ref="AU37:AX37"/>
    <mergeCell ref="AU38:AX38"/>
    <mergeCell ref="AY36:BB36"/>
    <mergeCell ref="AY37:BB37"/>
    <mergeCell ref="AY38:BB38"/>
    <mergeCell ref="BC36:BF36"/>
    <mergeCell ref="BC37:BF37"/>
    <mergeCell ref="BC38:BF38"/>
    <mergeCell ref="BL35:BN35"/>
    <mergeCell ref="BO36:BR36"/>
    <mergeCell ref="BO37:BR37"/>
    <mergeCell ref="BO38:BR38"/>
    <mergeCell ref="BS36:BV36"/>
    <mergeCell ref="BS37:BV37"/>
    <mergeCell ref="BS38:BV38"/>
    <mergeCell ref="BG36:BJ36"/>
    <mergeCell ref="BG37:BJ37"/>
    <mergeCell ref="BG38:BJ38"/>
    <mergeCell ref="BK36:BN36"/>
    <mergeCell ref="BK37:BN37"/>
    <mergeCell ref="BK38:BN38"/>
  </mergeCells>
  <phoneticPr fontId="1"/>
  <hyperlinks>
    <hyperlink ref="G38" r:id="rId1" xr:uid="{B526F805-2F15-4BE9-81F6-6ECFFACA721A}"/>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8D5B4-FF2C-4D3D-BC22-358CE5E1CCC4}">
  <sheetPr codeName="Sheet11">
    <tabColor rgb="FF86DFCB"/>
  </sheetPr>
  <dimension ref="A1:CE41"/>
  <sheetViews>
    <sheetView zoomScale="70" zoomScaleNormal="70" workbookViewId="0">
      <selection activeCell="BX10" sqref="BX10"/>
    </sheetView>
  </sheetViews>
  <sheetFormatPr defaultColWidth="3.5" defaultRowHeight="21" customHeight="1" x14ac:dyDescent="0.55000000000000004"/>
  <cols>
    <col min="1" max="16384" width="3.5" style="2"/>
  </cols>
  <sheetData>
    <row r="1" spans="1:83" ht="21" customHeight="1" x14ac:dyDescent="0.55000000000000004">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45"/>
    </row>
    <row r="2" spans="1:83" ht="21" customHeight="1" x14ac:dyDescent="0.55000000000000004">
      <c r="A2" s="5"/>
      <c r="CD2" s="5"/>
      <c r="CE2" s="45"/>
    </row>
    <row r="3" spans="1:83" ht="21" customHeight="1" x14ac:dyDescent="0.55000000000000004">
      <c r="A3" s="5"/>
      <c r="C3" s="5"/>
      <c r="D3" s="33"/>
      <c r="E3" s="33"/>
      <c r="F3" s="33"/>
      <c r="G3" s="1" t="s">
        <v>146</v>
      </c>
      <c r="K3" s="1" t="s">
        <v>147</v>
      </c>
      <c r="O3" s="1" t="s">
        <v>148</v>
      </c>
      <c r="S3" s="1" t="s">
        <v>149</v>
      </c>
      <c r="W3" s="1" t="s">
        <v>150</v>
      </c>
      <c r="AA3" s="1" t="s">
        <v>151</v>
      </c>
      <c r="AE3" s="1" t="s">
        <v>152</v>
      </c>
      <c r="AI3" s="1" t="s">
        <v>153</v>
      </c>
      <c r="AM3" s="1" t="s">
        <v>154</v>
      </c>
      <c r="AQ3" s="1" t="s">
        <v>155</v>
      </c>
      <c r="AU3" s="1" t="s">
        <v>156</v>
      </c>
      <c r="AY3" s="1" t="s">
        <v>157</v>
      </c>
      <c r="BC3" s="1" t="s">
        <v>158</v>
      </c>
      <c r="BG3" s="1" t="s">
        <v>159</v>
      </c>
      <c r="BK3" s="1" t="s">
        <v>160</v>
      </c>
      <c r="BO3" s="1" t="s">
        <v>161</v>
      </c>
      <c r="BS3" s="1" t="s">
        <v>162</v>
      </c>
      <c r="CD3" s="5"/>
      <c r="CE3" s="45"/>
    </row>
    <row r="4" spans="1:83" ht="21" customHeight="1" x14ac:dyDescent="0.55000000000000004">
      <c r="A4" s="5"/>
      <c r="C4" s="33"/>
      <c r="D4" s="33"/>
      <c r="E4" s="33"/>
      <c r="F4" s="33"/>
      <c r="CD4" s="5"/>
      <c r="CE4" s="45"/>
    </row>
    <row r="5" spans="1:83" ht="21" customHeight="1" x14ac:dyDescent="0.55000000000000004">
      <c r="A5" s="5"/>
      <c r="C5" s="33"/>
      <c r="D5" s="33"/>
      <c r="E5" s="33"/>
      <c r="F5" s="33"/>
      <c r="CD5" s="5"/>
      <c r="CE5" s="45"/>
    </row>
    <row r="6" spans="1:83" ht="21" customHeight="1" thickBot="1" x14ac:dyDescent="0.6">
      <c r="A6" s="5"/>
      <c r="C6" s="33"/>
      <c r="D6" s="33"/>
      <c r="E6" s="33"/>
      <c r="F6" s="33"/>
      <c r="CD6" s="5"/>
      <c r="CE6" s="45"/>
    </row>
    <row r="7" spans="1:83" ht="21" customHeight="1" x14ac:dyDescent="0.55000000000000004">
      <c r="A7" s="5"/>
      <c r="C7" s="1" t="s">
        <v>163</v>
      </c>
      <c r="G7" s="4">
        <v>1</v>
      </c>
      <c r="H7" s="77"/>
      <c r="I7" s="77"/>
      <c r="J7" s="78"/>
      <c r="K7" s="12">
        <v>2</v>
      </c>
      <c r="L7" s="77"/>
      <c r="M7" s="77"/>
      <c r="N7" s="78"/>
      <c r="O7" s="4">
        <v>3</v>
      </c>
      <c r="P7" s="77"/>
      <c r="Q7" s="77"/>
      <c r="R7" s="77"/>
      <c r="S7" s="6"/>
      <c r="T7" s="6"/>
      <c r="U7" s="6"/>
      <c r="V7" s="6"/>
      <c r="W7" s="4">
        <v>4</v>
      </c>
      <c r="X7" s="77"/>
      <c r="Y7" s="77"/>
      <c r="Z7" s="77"/>
      <c r="AA7" s="6"/>
      <c r="AB7" s="6"/>
      <c r="AC7" s="6"/>
      <c r="AD7" s="6"/>
      <c r="AE7" s="6"/>
      <c r="AF7" s="6"/>
      <c r="AG7" s="6"/>
      <c r="AH7" s="6"/>
      <c r="AI7" s="6"/>
      <c r="AJ7" s="6"/>
      <c r="AK7" s="6"/>
      <c r="AL7" s="6"/>
      <c r="AM7" s="6"/>
      <c r="AN7" s="6"/>
      <c r="AO7" s="6"/>
      <c r="AP7" s="6"/>
      <c r="AQ7" s="4">
        <v>5</v>
      </c>
      <c r="AR7" s="77"/>
      <c r="AS7" s="77"/>
      <c r="AT7" s="78"/>
      <c r="AU7" s="4">
        <v>6</v>
      </c>
      <c r="AV7" s="77"/>
      <c r="AW7" s="77"/>
      <c r="AX7" s="78"/>
      <c r="BO7" s="22"/>
      <c r="BX7" s="31"/>
      <c r="BY7" s="31"/>
      <c r="BZ7" s="31"/>
      <c r="CA7" s="31"/>
      <c r="CB7" s="31"/>
      <c r="CD7" s="5"/>
      <c r="CE7" s="45"/>
    </row>
    <row r="8" spans="1:83" ht="21" customHeight="1" x14ac:dyDescent="0.55000000000000004">
      <c r="A8" s="5"/>
      <c r="G8" s="68"/>
      <c r="H8" s="69"/>
      <c r="I8" s="69"/>
      <c r="J8" s="70"/>
      <c r="K8" s="69"/>
      <c r="L8" s="69"/>
      <c r="M8" s="69"/>
      <c r="N8" s="70"/>
      <c r="O8" s="68"/>
      <c r="P8" s="69"/>
      <c r="Q8" s="69"/>
      <c r="R8" s="69"/>
      <c r="W8" s="68"/>
      <c r="X8" s="69"/>
      <c r="Y8" s="69"/>
      <c r="Z8" s="69"/>
      <c r="AQ8" s="68"/>
      <c r="AR8" s="69"/>
      <c r="AS8" s="69"/>
      <c r="AT8" s="69"/>
      <c r="AU8" s="68"/>
      <c r="AV8" s="69"/>
      <c r="AW8" s="69"/>
      <c r="AX8" s="70"/>
      <c r="BW8" s="24"/>
      <c r="BX8" s="31"/>
      <c r="BY8" s="31"/>
      <c r="BZ8" s="31"/>
      <c r="CA8" s="31"/>
      <c r="CB8" s="31"/>
      <c r="CD8" s="5"/>
      <c r="CE8" s="45"/>
    </row>
    <row r="9" spans="1:83" ht="21" customHeight="1" x14ac:dyDescent="0.55000000000000004">
      <c r="A9" s="5"/>
      <c r="G9" s="71"/>
      <c r="H9" s="72"/>
      <c r="I9" s="72"/>
      <c r="J9" s="73"/>
      <c r="K9" s="72"/>
      <c r="L9" s="72"/>
      <c r="M9" s="72"/>
      <c r="N9" s="73"/>
      <c r="O9" s="71"/>
      <c r="P9" s="72"/>
      <c r="Q9" s="72"/>
      <c r="R9" s="72"/>
      <c r="W9" s="71"/>
      <c r="X9" s="72"/>
      <c r="Y9" s="72"/>
      <c r="Z9" s="72"/>
      <c r="AQ9" s="71"/>
      <c r="AR9" s="72"/>
      <c r="AS9" s="72"/>
      <c r="AT9" s="72"/>
      <c r="AU9" s="71"/>
      <c r="AV9" s="72"/>
      <c r="AW9" s="72"/>
      <c r="AX9" s="73"/>
      <c r="BW9" s="24"/>
      <c r="BX9" s="31"/>
      <c r="BY9" s="31"/>
      <c r="BZ9" s="31"/>
      <c r="CA9" s="31"/>
      <c r="CB9" s="31"/>
      <c r="CD9" s="5"/>
      <c r="CE9" s="45"/>
    </row>
    <row r="10" spans="1:83" ht="21" customHeight="1" thickBot="1" x14ac:dyDescent="0.6">
      <c r="A10" s="5"/>
      <c r="G10" s="74"/>
      <c r="H10" s="75"/>
      <c r="I10" s="75"/>
      <c r="J10" s="76"/>
      <c r="K10" s="79"/>
      <c r="L10" s="79"/>
      <c r="M10" s="79"/>
      <c r="N10" s="82"/>
      <c r="O10" s="74"/>
      <c r="P10" s="75"/>
      <c r="Q10" s="75"/>
      <c r="R10" s="75"/>
      <c r="W10" s="81"/>
      <c r="X10" s="79"/>
      <c r="Y10" s="79"/>
      <c r="Z10" s="79"/>
      <c r="AQ10" s="74"/>
      <c r="AR10" s="75"/>
      <c r="AS10" s="75"/>
      <c r="AT10" s="75"/>
      <c r="AU10" s="74"/>
      <c r="AV10" s="75"/>
      <c r="AW10" s="75"/>
      <c r="AX10" s="76"/>
      <c r="BW10" s="24"/>
      <c r="BX10" s="31"/>
      <c r="BY10" s="31"/>
      <c r="BZ10" s="31"/>
      <c r="CA10" s="31"/>
      <c r="CB10" s="31"/>
      <c r="CD10" s="5"/>
      <c r="CE10" s="45"/>
    </row>
    <row r="11" spans="1:83" ht="21" customHeight="1" x14ac:dyDescent="0.55000000000000004">
      <c r="A11" s="5"/>
      <c r="C11" s="1" t="s">
        <v>164</v>
      </c>
      <c r="G11" s="4">
        <v>7</v>
      </c>
      <c r="H11" s="77"/>
      <c r="I11" s="77"/>
      <c r="J11" s="78"/>
      <c r="O11" s="4">
        <v>8</v>
      </c>
      <c r="P11" s="77"/>
      <c r="Q11" s="77"/>
      <c r="R11" s="78"/>
      <c r="W11" s="7"/>
      <c r="AQ11" s="4">
        <v>9</v>
      </c>
      <c r="AR11" s="77"/>
      <c r="AS11" s="77"/>
      <c r="AT11" s="78"/>
      <c r="AU11" s="4">
        <v>10</v>
      </c>
      <c r="AV11" s="77"/>
      <c r="AW11" s="77"/>
      <c r="AX11" s="77"/>
      <c r="AY11" s="6"/>
      <c r="AZ11" s="6"/>
      <c r="BA11" s="6"/>
      <c r="BB11" s="6"/>
      <c r="BC11" s="6"/>
      <c r="BD11" s="6"/>
      <c r="BE11" s="6"/>
      <c r="BF11" s="6"/>
      <c r="BG11" s="6"/>
      <c r="BH11" s="6"/>
      <c r="BI11" s="6"/>
      <c r="BJ11" s="6"/>
      <c r="BK11" s="6"/>
      <c r="BL11" s="6"/>
      <c r="BM11" s="6"/>
      <c r="BN11" s="9"/>
      <c r="BW11" s="24"/>
      <c r="BX11" s="24"/>
      <c r="BY11" s="24"/>
      <c r="BZ11" s="24"/>
      <c r="CA11" s="24"/>
      <c r="CB11" s="24"/>
      <c r="CD11" s="5"/>
      <c r="CE11" s="45"/>
    </row>
    <row r="12" spans="1:83" ht="21" customHeight="1" x14ac:dyDescent="0.55000000000000004">
      <c r="A12" s="5"/>
      <c r="G12" s="68"/>
      <c r="H12" s="69"/>
      <c r="I12" s="69"/>
      <c r="J12" s="70"/>
      <c r="O12" s="68"/>
      <c r="P12" s="69"/>
      <c r="Q12" s="69"/>
      <c r="R12" s="70"/>
      <c r="W12" s="7"/>
      <c r="AQ12" s="68"/>
      <c r="AR12" s="69"/>
      <c r="AS12" s="69"/>
      <c r="AT12" s="70"/>
      <c r="AU12" s="68"/>
      <c r="AV12" s="69"/>
      <c r="AW12" s="69"/>
      <c r="AX12" s="69"/>
      <c r="BN12" s="8"/>
      <c r="BW12" s="24"/>
      <c r="BX12" s="31"/>
      <c r="BY12" s="31"/>
      <c r="BZ12" s="31"/>
      <c r="CA12" s="31"/>
      <c r="CB12" s="31"/>
      <c r="CD12" s="5"/>
      <c r="CE12" s="45"/>
    </row>
    <row r="13" spans="1:83" ht="21" customHeight="1" x14ac:dyDescent="0.55000000000000004">
      <c r="A13" s="5"/>
      <c r="G13" s="71"/>
      <c r="H13" s="72"/>
      <c r="I13" s="72"/>
      <c r="J13" s="73"/>
      <c r="O13" s="71"/>
      <c r="P13" s="72"/>
      <c r="Q13" s="72"/>
      <c r="R13" s="73"/>
      <c r="W13" s="7"/>
      <c r="AQ13" s="71"/>
      <c r="AR13" s="72"/>
      <c r="AS13" s="72"/>
      <c r="AT13" s="73"/>
      <c r="AU13" s="71"/>
      <c r="AV13" s="72"/>
      <c r="AW13" s="72"/>
      <c r="AX13" s="72"/>
      <c r="BN13" s="8"/>
      <c r="BW13" s="24"/>
      <c r="BX13" s="24"/>
      <c r="BY13" s="24"/>
      <c r="BZ13" s="24"/>
      <c r="CA13" s="24"/>
      <c r="CB13" s="24"/>
      <c r="CD13" s="5"/>
      <c r="CE13" s="45"/>
    </row>
    <row r="14" spans="1:83" ht="21" customHeight="1" thickBot="1" x14ac:dyDescent="0.6">
      <c r="A14" s="5"/>
      <c r="G14" s="81"/>
      <c r="H14" s="79"/>
      <c r="I14" s="79"/>
      <c r="J14" s="82"/>
      <c r="O14" s="74"/>
      <c r="P14" s="75"/>
      <c r="Q14" s="75"/>
      <c r="R14" s="76"/>
      <c r="W14" s="7"/>
      <c r="AQ14" s="74"/>
      <c r="AR14" s="75"/>
      <c r="AS14" s="75"/>
      <c r="AT14" s="76"/>
      <c r="AU14" s="74"/>
      <c r="AV14" s="75"/>
      <c r="AW14" s="75"/>
      <c r="AX14" s="75"/>
      <c r="BN14" s="8"/>
      <c r="BW14" s="24"/>
      <c r="BX14" s="32"/>
      <c r="BY14" s="30"/>
      <c r="BZ14" s="32"/>
      <c r="CA14" s="32"/>
      <c r="CB14" s="32"/>
      <c r="CD14" s="5"/>
      <c r="CE14" s="45"/>
    </row>
    <row r="15" spans="1:83" ht="21" customHeight="1" x14ac:dyDescent="0.55000000000000004">
      <c r="A15" s="5"/>
      <c r="C15" s="1" t="s">
        <v>165</v>
      </c>
      <c r="G15" s="7"/>
      <c r="J15" s="8"/>
      <c r="O15" s="4">
        <v>11</v>
      </c>
      <c r="P15" s="77"/>
      <c r="Q15" s="77"/>
      <c r="R15" s="78"/>
      <c r="S15" s="4">
        <v>12</v>
      </c>
      <c r="T15" s="77"/>
      <c r="U15" s="77"/>
      <c r="V15" s="78"/>
      <c r="W15" s="4">
        <v>13</v>
      </c>
      <c r="X15" s="77"/>
      <c r="Y15" s="77"/>
      <c r="Z15" s="78"/>
      <c r="AA15" s="4">
        <v>14</v>
      </c>
      <c r="AB15" s="77"/>
      <c r="AC15" s="77"/>
      <c r="AD15" s="78"/>
      <c r="AE15" s="4">
        <v>15</v>
      </c>
      <c r="AF15" s="77"/>
      <c r="AG15" s="77"/>
      <c r="AH15" s="78"/>
      <c r="AI15" s="4">
        <v>16</v>
      </c>
      <c r="AJ15" s="77"/>
      <c r="AK15" s="77"/>
      <c r="AL15" s="78"/>
      <c r="AM15" s="4">
        <v>17</v>
      </c>
      <c r="AN15" s="77"/>
      <c r="AO15" s="77"/>
      <c r="AP15" s="78"/>
      <c r="AQ15" s="4">
        <v>18</v>
      </c>
      <c r="AR15" s="77"/>
      <c r="AS15" s="77"/>
      <c r="AT15" s="78"/>
      <c r="AU15" s="4">
        <v>19</v>
      </c>
      <c r="AV15" s="77"/>
      <c r="AW15" s="77"/>
      <c r="AX15" s="77"/>
      <c r="AY15" s="6"/>
      <c r="AZ15" s="6"/>
      <c r="BA15" s="6"/>
      <c r="BB15" s="6"/>
      <c r="BC15" s="6"/>
      <c r="BD15" s="6"/>
      <c r="BE15" s="6"/>
      <c r="BF15" s="6"/>
      <c r="BG15" s="6"/>
      <c r="BH15" s="6"/>
      <c r="BI15" s="6"/>
      <c r="BJ15" s="6"/>
      <c r="BK15" s="6"/>
      <c r="BL15" s="6"/>
      <c r="BM15" s="6"/>
      <c r="BN15" s="6"/>
      <c r="BO15" s="4">
        <v>20</v>
      </c>
      <c r="BP15" s="77"/>
      <c r="BQ15" s="77"/>
      <c r="BR15" s="78"/>
      <c r="BW15" s="24"/>
      <c r="BX15" s="24"/>
      <c r="BY15" s="24"/>
      <c r="BZ15" s="24"/>
      <c r="CA15" s="24"/>
      <c r="CB15" s="24"/>
      <c r="CD15" s="5"/>
      <c r="CE15" s="45"/>
    </row>
    <row r="16" spans="1:83" ht="21" customHeight="1" x14ac:dyDescent="0.55000000000000004">
      <c r="A16" s="5"/>
      <c r="G16" s="7"/>
      <c r="J16" s="8"/>
      <c r="O16" s="68"/>
      <c r="P16" s="69"/>
      <c r="Q16" s="69"/>
      <c r="R16" s="70"/>
      <c r="S16" s="68"/>
      <c r="T16" s="69"/>
      <c r="U16" s="69"/>
      <c r="V16" s="70"/>
      <c r="W16" s="68"/>
      <c r="X16" s="69"/>
      <c r="Y16" s="69"/>
      <c r="Z16" s="70"/>
      <c r="AA16" s="68"/>
      <c r="AB16" s="69"/>
      <c r="AC16" s="69"/>
      <c r="AD16" s="70"/>
      <c r="AE16" s="68"/>
      <c r="AF16" s="69"/>
      <c r="AG16" s="69"/>
      <c r="AH16" s="70"/>
      <c r="AI16" s="68"/>
      <c r="AJ16" s="69"/>
      <c r="AK16" s="69"/>
      <c r="AL16" s="70"/>
      <c r="AM16" s="68"/>
      <c r="AN16" s="69"/>
      <c r="AO16" s="69"/>
      <c r="AP16" s="70"/>
      <c r="AQ16" s="68"/>
      <c r="AR16" s="69"/>
      <c r="AS16" s="69"/>
      <c r="AT16" s="70"/>
      <c r="AU16" s="68"/>
      <c r="AV16" s="69"/>
      <c r="AW16" s="69"/>
      <c r="AX16" s="69"/>
      <c r="BO16" s="68"/>
      <c r="BP16" s="69"/>
      <c r="BQ16" s="69"/>
      <c r="BR16" s="70"/>
      <c r="BW16" s="24"/>
      <c r="BX16" s="24"/>
      <c r="BY16" s="24"/>
      <c r="BZ16" s="24"/>
      <c r="CA16" s="24"/>
      <c r="CB16" s="24"/>
      <c r="CD16" s="5"/>
      <c r="CE16" s="45"/>
    </row>
    <row r="17" spans="1:83" ht="21" customHeight="1" x14ac:dyDescent="0.55000000000000004">
      <c r="A17" s="5"/>
      <c r="G17" s="7"/>
      <c r="J17" s="8"/>
      <c r="O17" s="71"/>
      <c r="P17" s="72"/>
      <c r="Q17" s="72"/>
      <c r="R17" s="73"/>
      <c r="S17" s="71"/>
      <c r="T17" s="72"/>
      <c r="U17" s="72"/>
      <c r="V17" s="73"/>
      <c r="W17" s="71"/>
      <c r="X17" s="72"/>
      <c r="Y17" s="72"/>
      <c r="Z17" s="73"/>
      <c r="AA17" s="71"/>
      <c r="AB17" s="72"/>
      <c r="AC17" s="72"/>
      <c r="AD17" s="73"/>
      <c r="AE17" s="71"/>
      <c r="AF17" s="72"/>
      <c r="AG17" s="72"/>
      <c r="AH17" s="73"/>
      <c r="AI17" s="71"/>
      <c r="AJ17" s="72"/>
      <c r="AK17" s="72"/>
      <c r="AL17" s="73"/>
      <c r="AM17" s="71"/>
      <c r="AN17" s="72"/>
      <c r="AO17" s="72"/>
      <c r="AP17" s="73"/>
      <c r="AQ17" s="71"/>
      <c r="AR17" s="72"/>
      <c r="AS17" s="72"/>
      <c r="AT17" s="73"/>
      <c r="AU17" s="71"/>
      <c r="AV17" s="72"/>
      <c r="AW17" s="72"/>
      <c r="AX17" s="72"/>
      <c r="BO17" s="71"/>
      <c r="BP17" s="72"/>
      <c r="BQ17" s="72"/>
      <c r="BR17" s="73"/>
      <c r="BW17" s="25"/>
      <c r="BX17" s="24"/>
      <c r="BY17" s="24"/>
      <c r="BZ17" s="24"/>
      <c r="CA17" s="24"/>
      <c r="CB17" s="24"/>
      <c r="CD17" s="5"/>
      <c r="CE17" s="45"/>
    </row>
    <row r="18" spans="1:83" ht="21" customHeight="1" thickBot="1" x14ac:dyDescent="0.6">
      <c r="A18" s="5"/>
      <c r="G18" s="7"/>
      <c r="J18" s="8"/>
      <c r="O18" s="74"/>
      <c r="P18" s="75"/>
      <c r="Q18" s="75"/>
      <c r="R18" s="76"/>
      <c r="S18" s="74"/>
      <c r="T18" s="75"/>
      <c r="U18" s="75"/>
      <c r="V18" s="76"/>
      <c r="W18" s="74"/>
      <c r="X18" s="75"/>
      <c r="Y18" s="75"/>
      <c r="Z18" s="76"/>
      <c r="AA18" s="74"/>
      <c r="AB18" s="75"/>
      <c r="AC18" s="75"/>
      <c r="AD18" s="76"/>
      <c r="AE18" s="74"/>
      <c r="AF18" s="75"/>
      <c r="AG18" s="75"/>
      <c r="AH18" s="76"/>
      <c r="AI18" s="74"/>
      <c r="AJ18" s="75"/>
      <c r="AK18" s="75"/>
      <c r="AL18" s="76"/>
      <c r="AM18" s="74"/>
      <c r="AN18" s="75"/>
      <c r="AO18" s="75"/>
      <c r="AP18" s="76"/>
      <c r="AQ18" s="74"/>
      <c r="AR18" s="75"/>
      <c r="AS18" s="75"/>
      <c r="AT18" s="76"/>
      <c r="AU18" s="74"/>
      <c r="AV18" s="75"/>
      <c r="AW18" s="75"/>
      <c r="AX18" s="75"/>
      <c r="BO18" s="74"/>
      <c r="BP18" s="75"/>
      <c r="BQ18" s="75"/>
      <c r="BR18" s="76"/>
      <c r="BW18" s="25"/>
      <c r="BX18" s="24"/>
      <c r="BY18" s="24"/>
      <c r="BZ18" s="24"/>
      <c r="CA18" s="24"/>
      <c r="CB18" s="24"/>
      <c r="CD18" s="5"/>
      <c r="CE18" s="45"/>
    </row>
    <row r="19" spans="1:83" ht="21" customHeight="1" x14ac:dyDescent="0.55000000000000004">
      <c r="A19" s="5"/>
      <c r="C19" s="1" t="s">
        <v>166</v>
      </c>
      <c r="G19" s="7"/>
      <c r="J19" s="8"/>
      <c r="K19" s="12">
        <v>21</v>
      </c>
      <c r="L19" s="77"/>
      <c r="M19" s="77"/>
      <c r="N19" s="78"/>
      <c r="O19" s="4">
        <v>22</v>
      </c>
      <c r="P19" s="77"/>
      <c r="Q19" s="77"/>
      <c r="R19" s="77"/>
      <c r="S19" s="6"/>
      <c r="T19" s="6"/>
      <c r="U19" s="6"/>
      <c r="V19" s="6"/>
      <c r="W19" s="4">
        <v>23</v>
      </c>
      <c r="X19" s="77"/>
      <c r="Y19" s="77"/>
      <c r="Z19" s="78"/>
      <c r="AA19" s="4">
        <v>24</v>
      </c>
      <c r="AB19" s="77"/>
      <c r="AC19" s="77"/>
      <c r="AD19" s="77"/>
      <c r="AE19" s="6"/>
      <c r="AF19" s="6"/>
      <c r="AG19" s="6"/>
      <c r="AH19" s="6"/>
      <c r="AI19" s="4">
        <v>25</v>
      </c>
      <c r="AJ19" s="77"/>
      <c r="AK19" s="77"/>
      <c r="AL19" s="78"/>
      <c r="AM19" s="4">
        <v>26</v>
      </c>
      <c r="AN19" s="77"/>
      <c r="AO19" s="77"/>
      <c r="AP19" s="78"/>
      <c r="AQ19" s="4">
        <v>27</v>
      </c>
      <c r="AR19" s="77"/>
      <c r="AS19" s="77"/>
      <c r="AT19" s="78"/>
      <c r="AU19" s="4">
        <v>28</v>
      </c>
      <c r="AV19" s="77"/>
      <c r="AW19" s="77"/>
      <c r="AX19" s="78"/>
      <c r="AY19" s="4">
        <v>29</v>
      </c>
      <c r="AZ19" s="77"/>
      <c r="BA19" s="77"/>
      <c r="BB19" s="78"/>
      <c r="BC19" s="4">
        <v>30</v>
      </c>
      <c r="BD19" s="77"/>
      <c r="BE19" s="77"/>
      <c r="BF19" s="78"/>
      <c r="BG19" s="4">
        <v>31</v>
      </c>
      <c r="BH19" s="77"/>
      <c r="BI19" s="77"/>
      <c r="BJ19" s="78"/>
      <c r="BK19" s="4">
        <v>32</v>
      </c>
      <c r="BL19" s="77"/>
      <c r="BM19" s="77"/>
      <c r="BN19" s="78"/>
      <c r="BO19" s="4">
        <v>33</v>
      </c>
      <c r="BP19" s="77"/>
      <c r="BQ19" s="77"/>
      <c r="BR19" s="78"/>
      <c r="BX19" s="24"/>
      <c r="BY19" s="24"/>
      <c r="BZ19" s="24"/>
      <c r="CA19" s="24"/>
      <c r="CB19" s="24"/>
      <c r="CD19" s="5"/>
      <c r="CE19" s="45"/>
    </row>
    <row r="20" spans="1:83" ht="21" customHeight="1" x14ac:dyDescent="0.55000000000000004">
      <c r="A20" s="5"/>
      <c r="G20" s="7"/>
      <c r="J20" s="8"/>
      <c r="K20" s="69"/>
      <c r="L20" s="69"/>
      <c r="M20" s="69"/>
      <c r="N20" s="70"/>
      <c r="O20" s="68"/>
      <c r="P20" s="69"/>
      <c r="Q20" s="69"/>
      <c r="R20" s="69"/>
      <c r="V20" s="8"/>
      <c r="W20" s="68"/>
      <c r="X20" s="69"/>
      <c r="Y20" s="69"/>
      <c r="Z20" s="70"/>
      <c r="AA20" s="68"/>
      <c r="AB20" s="69"/>
      <c r="AC20" s="69"/>
      <c r="AD20" s="69"/>
      <c r="AI20" s="68"/>
      <c r="AJ20" s="69"/>
      <c r="AK20" s="69"/>
      <c r="AL20" s="70"/>
      <c r="AM20" s="68"/>
      <c r="AN20" s="69"/>
      <c r="AO20" s="69"/>
      <c r="AP20" s="70"/>
      <c r="AQ20" s="68"/>
      <c r="AR20" s="69"/>
      <c r="AS20" s="69"/>
      <c r="AT20" s="70"/>
      <c r="AU20" s="68"/>
      <c r="AV20" s="69"/>
      <c r="AW20" s="69"/>
      <c r="AX20" s="70"/>
      <c r="AY20" s="68"/>
      <c r="AZ20" s="69"/>
      <c r="BA20" s="69"/>
      <c r="BB20" s="70"/>
      <c r="BC20" s="68"/>
      <c r="BD20" s="69"/>
      <c r="BE20" s="69"/>
      <c r="BF20" s="70"/>
      <c r="BG20" s="68"/>
      <c r="BH20" s="69"/>
      <c r="BI20" s="69"/>
      <c r="BJ20" s="70"/>
      <c r="BK20" s="68"/>
      <c r="BL20" s="69"/>
      <c r="BM20" s="69"/>
      <c r="BN20" s="70"/>
      <c r="BO20" s="68"/>
      <c r="BP20" s="69"/>
      <c r="BQ20" s="69"/>
      <c r="BR20" s="70"/>
      <c r="BX20" s="24"/>
      <c r="BY20" s="24"/>
      <c r="BZ20" s="24"/>
      <c r="CA20" s="24"/>
      <c r="CB20" s="24"/>
      <c r="CD20" s="5"/>
      <c r="CE20" s="45"/>
    </row>
    <row r="21" spans="1:83" ht="21" customHeight="1" x14ac:dyDescent="0.55000000000000004">
      <c r="A21" s="5"/>
      <c r="G21" s="7"/>
      <c r="J21" s="8"/>
      <c r="K21" s="72"/>
      <c r="L21" s="72"/>
      <c r="M21" s="72"/>
      <c r="N21" s="73"/>
      <c r="O21" s="71"/>
      <c r="P21" s="72"/>
      <c r="Q21" s="72"/>
      <c r="R21" s="72"/>
      <c r="V21" s="8"/>
      <c r="W21" s="71"/>
      <c r="X21" s="72"/>
      <c r="Y21" s="72"/>
      <c r="Z21" s="73"/>
      <c r="AA21" s="71"/>
      <c r="AB21" s="72"/>
      <c r="AC21" s="72"/>
      <c r="AD21" s="72"/>
      <c r="AI21" s="71"/>
      <c r="AJ21" s="72"/>
      <c r="AK21" s="72"/>
      <c r="AL21" s="73"/>
      <c r="AM21" s="71"/>
      <c r="AN21" s="72"/>
      <c r="AO21" s="72"/>
      <c r="AP21" s="73"/>
      <c r="AQ21" s="71"/>
      <c r="AR21" s="72"/>
      <c r="AS21" s="72"/>
      <c r="AT21" s="73"/>
      <c r="AU21" s="71"/>
      <c r="AV21" s="72"/>
      <c r="AW21" s="72"/>
      <c r="AX21" s="73"/>
      <c r="AY21" s="71"/>
      <c r="AZ21" s="72"/>
      <c r="BA21" s="72"/>
      <c r="BB21" s="73"/>
      <c r="BC21" s="71"/>
      <c r="BD21" s="72"/>
      <c r="BE21" s="72"/>
      <c r="BF21" s="73"/>
      <c r="BG21" s="71"/>
      <c r="BH21" s="72"/>
      <c r="BI21" s="72"/>
      <c r="BJ21" s="73"/>
      <c r="BK21" s="71"/>
      <c r="BL21" s="72"/>
      <c r="BM21" s="72"/>
      <c r="BN21" s="73"/>
      <c r="BO21" s="71"/>
      <c r="BP21" s="72"/>
      <c r="BQ21" s="72"/>
      <c r="BR21" s="73"/>
      <c r="BX21" s="24"/>
      <c r="BY21" s="24"/>
      <c r="BZ21" s="24"/>
      <c r="CA21" s="24"/>
      <c r="CB21" s="24"/>
      <c r="CD21" s="5"/>
      <c r="CE21" s="45"/>
    </row>
    <row r="22" spans="1:83" ht="21" customHeight="1" thickBot="1" x14ac:dyDescent="0.6">
      <c r="A22" s="5"/>
      <c r="G22" s="10"/>
      <c r="H22" s="11"/>
      <c r="I22" s="11"/>
      <c r="J22" s="13"/>
      <c r="K22" s="75"/>
      <c r="L22" s="75"/>
      <c r="M22" s="75"/>
      <c r="N22" s="76"/>
      <c r="O22" s="74"/>
      <c r="P22" s="75"/>
      <c r="Q22" s="75"/>
      <c r="R22" s="75"/>
      <c r="S22" s="11"/>
      <c r="T22" s="11"/>
      <c r="U22" s="11"/>
      <c r="V22" s="13"/>
      <c r="W22" s="81"/>
      <c r="X22" s="79"/>
      <c r="Y22" s="79"/>
      <c r="Z22" s="82"/>
      <c r="AA22" s="74"/>
      <c r="AB22" s="75"/>
      <c r="AC22" s="75"/>
      <c r="AD22" s="75"/>
      <c r="AI22" s="74"/>
      <c r="AJ22" s="75"/>
      <c r="AK22" s="75"/>
      <c r="AL22" s="76"/>
      <c r="AM22" s="74"/>
      <c r="AN22" s="75"/>
      <c r="AO22" s="75"/>
      <c r="AP22" s="76"/>
      <c r="AQ22" s="74"/>
      <c r="AR22" s="75"/>
      <c r="AS22" s="75"/>
      <c r="AT22" s="76"/>
      <c r="AU22" s="74"/>
      <c r="AV22" s="75"/>
      <c r="AW22" s="75"/>
      <c r="AX22" s="76"/>
      <c r="AY22" s="74"/>
      <c r="AZ22" s="75"/>
      <c r="BA22" s="75"/>
      <c r="BB22" s="76"/>
      <c r="BC22" s="74"/>
      <c r="BD22" s="75"/>
      <c r="BE22" s="75"/>
      <c r="BF22" s="76"/>
      <c r="BG22" s="74"/>
      <c r="BH22" s="75"/>
      <c r="BI22" s="75"/>
      <c r="BJ22" s="76"/>
      <c r="BK22" s="74"/>
      <c r="BL22" s="75"/>
      <c r="BM22" s="75"/>
      <c r="BN22" s="76"/>
      <c r="BO22" s="74"/>
      <c r="BP22" s="75"/>
      <c r="BQ22" s="75"/>
      <c r="BR22" s="76"/>
      <c r="BX22" s="24"/>
      <c r="BY22" s="24"/>
      <c r="BZ22" s="24"/>
      <c r="CA22" s="24"/>
      <c r="CB22" s="24"/>
      <c r="CD22" s="5"/>
      <c r="CE22" s="45"/>
    </row>
    <row r="23" spans="1:83" ht="21" customHeight="1" x14ac:dyDescent="0.55000000000000004">
      <c r="A23" s="5"/>
      <c r="C23" s="1" t="s">
        <v>167</v>
      </c>
      <c r="G23" s="4">
        <v>34</v>
      </c>
      <c r="H23" s="77"/>
      <c r="I23" s="77"/>
      <c r="J23" s="77"/>
      <c r="K23" s="6"/>
      <c r="L23" s="6"/>
      <c r="M23" s="6"/>
      <c r="N23" s="6"/>
      <c r="O23" s="6"/>
      <c r="P23" s="6"/>
      <c r="Q23" s="6"/>
      <c r="R23" s="9"/>
      <c r="S23" s="4">
        <v>35</v>
      </c>
      <c r="T23" s="77"/>
      <c r="U23" s="77"/>
      <c r="V23" s="78"/>
      <c r="AA23" s="4">
        <v>36</v>
      </c>
      <c r="AB23" s="77"/>
      <c r="AC23" s="77"/>
      <c r="AD23" s="78"/>
      <c r="AE23" s="4">
        <v>37</v>
      </c>
      <c r="AF23" s="77"/>
      <c r="AG23" s="77"/>
      <c r="AH23" s="78"/>
      <c r="AI23" s="4">
        <v>38</v>
      </c>
      <c r="AJ23" s="77"/>
      <c r="AK23" s="77"/>
      <c r="AL23" s="78"/>
      <c r="AM23" s="4">
        <v>39</v>
      </c>
      <c r="AN23" s="77"/>
      <c r="AO23" s="77"/>
      <c r="AP23" s="77"/>
      <c r="AQ23" s="6"/>
      <c r="AR23" s="6"/>
      <c r="AS23" s="6"/>
      <c r="AT23" s="6"/>
      <c r="AU23" s="19"/>
      <c r="AV23" s="6"/>
      <c r="AW23" s="6"/>
      <c r="AX23" s="6"/>
      <c r="AY23" s="20"/>
      <c r="AZ23" s="6"/>
      <c r="BA23" s="6"/>
      <c r="BB23" s="6"/>
      <c r="BC23" s="20"/>
      <c r="BD23" s="6"/>
      <c r="BE23" s="6"/>
      <c r="BF23" s="6"/>
      <c r="BG23" s="20"/>
      <c r="BH23" s="6"/>
      <c r="BI23" s="6"/>
      <c r="BJ23" s="9"/>
      <c r="BK23" s="12">
        <v>44</v>
      </c>
      <c r="BL23" s="77"/>
      <c r="BM23" s="77"/>
      <c r="BN23" s="77"/>
      <c r="BO23" s="6"/>
      <c r="BP23" s="6"/>
      <c r="BQ23" s="6"/>
      <c r="BR23" s="9"/>
      <c r="BS23" s="4">
        <v>45</v>
      </c>
      <c r="BT23" s="77"/>
      <c r="BU23" s="77"/>
      <c r="BV23" s="78"/>
      <c r="BX23" s="24"/>
      <c r="BY23" s="24"/>
      <c r="BZ23" s="24"/>
      <c r="CA23" s="24"/>
      <c r="CB23" s="24"/>
      <c r="CD23" s="5"/>
      <c r="CE23" s="45"/>
    </row>
    <row r="24" spans="1:83" ht="21" customHeight="1" x14ac:dyDescent="0.55000000000000004">
      <c r="A24" s="5"/>
      <c r="G24" s="68"/>
      <c r="H24" s="69"/>
      <c r="I24" s="69"/>
      <c r="J24" s="69"/>
      <c r="R24" s="8"/>
      <c r="S24" s="68"/>
      <c r="T24" s="69"/>
      <c r="U24" s="69"/>
      <c r="V24" s="70"/>
      <c r="W24" s="7"/>
      <c r="Z24" s="8"/>
      <c r="AA24" s="68"/>
      <c r="AB24" s="69"/>
      <c r="AC24" s="69"/>
      <c r="AD24" s="70"/>
      <c r="AE24" s="68"/>
      <c r="AF24" s="69"/>
      <c r="AG24" s="69"/>
      <c r="AH24" s="70"/>
      <c r="AI24" s="68"/>
      <c r="AJ24" s="69"/>
      <c r="AK24" s="69"/>
      <c r="AL24" s="70"/>
      <c r="AM24" s="68"/>
      <c r="AN24" s="69"/>
      <c r="AO24" s="69"/>
      <c r="AP24" s="69"/>
      <c r="AU24" s="29"/>
      <c r="AY24" s="28"/>
      <c r="BC24" s="28"/>
      <c r="BG24" s="28"/>
      <c r="BK24" s="68"/>
      <c r="BL24" s="69"/>
      <c r="BM24" s="69"/>
      <c r="BN24" s="69"/>
      <c r="BR24" s="8"/>
      <c r="BS24" s="68"/>
      <c r="BT24" s="69"/>
      <c r="BU24" s="69"/>
      <c r="BV24" s="70"/>
      <c r="BX24" s="24"/>
      <c r="BY24" s="24"/>
      <c r="BZ24" s="24"/>
      <c r="CA24" s="24"/>
      <c r="CB24" s="24"/>
      <c r="CD24" s="5"/>
      <c r="CE24" s="45"/>
    </row>
    <row r="25" spans="1:83" ht="21" customHeight="1" x14ac:dyDescent="0.55000000000000004">
      <c r="A25" s="5"/>
      <c r="G25" s="71"/>
      <c r="H25" s="72"/>
      <c r="I25" s="72"/>
      <c r="J25" s="72"/>
      <c r="R25" s="8"/>
      <c r="S25" s="71"/>
      <c r="T25" s="72"/>
      <c r="U25" s="72"/>
      <c r="V25" s="73"/>
      <c r="W25" s="7"/>
      <c r="Z25" s="8"/>
      <c r="AA25" s="71"/>
      <c r="AB25" s="72"/>
      <c r="AC25" s="72"/>
      <c r="AD25" s="73"/>
      <c r="AE25" s="71"/>
      <c r="AF25" s="72"/>
      <c r="AG25" s="72"/>
      <c r="AH25" s="73"/>
      <c r="AI25" s="71"/>
      <c r="AJ25" s="72"/>
      <c r="AK25" s="72"/>
      <c r="AL25" s="73"/>
      <c r="AM25" s="71"/>
      <c r="AN25" s="72"/>
      <c r="AO25" s="72"/>
      <c r="AP25" s="72"/>
      <c r="AU25" s="7"/>
      <c r="BK25" s="71"/>
      <c r="BL25" s="72"/>
      <c r="BM25" s="72"/>
      <c r="BN25" s="72"/>
      <c r="BR25" s="8"/>
      <c r="BS25" s="71"/>
      <c r="BT25" s="72"/>
      <c r="BU25" s="72"/>
      <c r="BV25" s="73"/>
      <c r="BX25" s="24"/>
      <c r="BY25" s="24"/>
      <c r="BZ25" s="24"/>
      <c r="CA25" s="24"/>
      <c r="CB25" s="24"/>
      <c r="CD25" s="5"/>
      <c r="CE25" s="45"/>
    </row>
    <row r="26" spans="1:83" ht="21" customHeight="1" thickBot="1" x14ac:dyDescent="0.6">
      <c r="A26" s="5"/>
      <c r="G26" s="74"/>
      <c r="H26" s="75"/>
      <c r="I26" s="75"/>
      <c r="J26" s="75"/>
      <c r="R26" s="8"/>
      <c r="S26" s="74"/>
      <c r="T26" s="75"/>
      <c r="U26" s="75"/>
      <c r="V26" s="76"/>
      <c r="W26" s="10"/>
      <c r="X26" s="11"/>
      <c r="Y26" s="11"/>
      <c r="Z26" s="13"/>
      <c r="AA26" s="74"/>
      <c r="AB26" s="75"/>
      <c r="AC26" s="75"/>
      <c r="AD26" s="76"/>
      <c r="AE26" s="74"/>
      <c r="AF26" s="75"/>
      <c r="AG26" s="75"/>
      <c r="AH26" s="76"/>
      <c r="AI26" s="74"/>
      <c r="AJ26" s="75"/>
      <c r="AK26" s="75"/>
      <c r="AL26" s="76"/>
      <c r="AM26" s="74"/>
      <c r="AN26" s="75"/>
      <c r="AO26" s="75"/>
      <c r="AP26" s="75"/>
      <c r="AU26" s="7"/>
      <c r="BK26" s="74"/>
      <c r="BL26" s="75"/>
      <c r="BM26" s="75"/>
      <c r="BN26" s="75"/>
      <c r="BO26" s="11"/>
      <c r="BP26" s="11"/>
      <c r="BQ26" s="11"/>
      <c r="BR26" s="13"/>
      <c r="BS26" s="74"/>
      <c r="BT26" s="75"/>
      <c r="BU26" s="75"/>
      <c r="BV26" s="76"/>
      <c r="BX26" s="24"/>
      <c r="BY26" s="24"/>
      <c r="BZ26" s="24"/>
      <c r="CA26" s="24"/>
      <c r="CB26" s="24"/>
      <c r="CD26" s="5"/>
      <c r="CE26" s="45"/>
    </row>
    <row r="27" spans="1:83" ht="21" customHeight="1" x14ac:dyDescent="0.55000000000000004">
      <c r="A27" s="5"/>
      <c r="C27" s="1" t="s">
        <v>168</v>
      </c>
      <c r="G27" s="4">
        <v>46</v>
      </c>
      <c r="H27" s="77"/>
      <c r="I27" s="77"/>
      <c r="J27" s="78"/>
      <c r="R27" s="8"/>
      <c r="S27" s="4">
        <v>47</v>
      </c>
      <c r="T27" s="77"/>
      <c r="U27" s="77"/>
      <c r="V27" s="77"/>
      <c r="W27" s="6"/>
      <c r="X27" s="6"/>
      <c r="Y27" s="6"/>
      <c r="Z27" s="6"/>
      <c r="AA27" s="6"/>
      <c r="AB27" s="6"/>
      <c r="AC27" s="6"/>
      <c r="AD27" s="6"/>
      <c r="AE27" s="6"/>
      <c r="AF27" s="6"/>
      <c r="AG27" s="6"/>
      <c r="AH27" s="6"/>
      <c r="AI27" s="4">
        <v>48</v>
      </c>
      <c r="AJ27" s="77"/>
      <c r="AK27" s="77"/>
      <c r="AL27" s="78"/>
      <c r="AM27" s="4">
        <v>49</v>
      </c>
      <c r="AN27" s="77"/>
      <c r="AO27" s="77"/>
      <c r="AP27" s="78"/>
      <c r="AQ27" s="4">
        <v>50</v>
      </c>
      <c r="AR27" s="77"/>
      <c r="AS27" s="77"/>
      <c r="AT27" s="78"/>
      <c r="AU27" s="4">
        <v>51</v>
      </c>
      <c r="AV27" s="77"/>
      <c r="AW27" s="77"/>
      <c r="AX27" s="78"/>
      <c r="AY27" s="21"/>
      <c r="BC27" s="3" t="s">
        <v>163</v>
      </c>
      <c r="BD27" s="80"/>
      <c r="BE27" s="80"/>
      <c r="BF27" s="80"/>
      <c r="BG27" s="22"/>
      <c r="BJ27" s="8"/>
      <c r="BK27" s="4">
        <v>55</v>
      </c>
      <c r="BL27" s="77"/>
      <c r="BM27" s="77"/>
      <c r="BN27" s="77"/>
      <c r="BS27" s="4">
        <v>56</v>
      </c>
      <c r="BT27" s="77"/>
      <c r="BU27" s="77"/>
      <c r="BV27" s="78"/>
      <c r="BX27" s="24"/>
      <c r="BY27" s="24"/>
      <c r="BZ27" s="24"/>
      <c r="CA27" s="24"/>
      <c r="CB27" s="24"/>
      <c r="CD27" s="5"/>
      <c r="CE27" s="45"/>
    </row>
    <row r="28" spans="1:83" ht="21" customHeight="1" x14ac:dyDescent="0.55000000000000004">
      <c r="A28" s="5"/>
      <c r="G28" s="68"/>
      <c r="H28" s="69"/>
      <c r="I28" s="69"/>
      <c r="J28" s="70"/>
      <c r="R28" s="8"/>
      <c r="S28" s="68"/>
      <c r="T28" s="69"/>
      <c r="U28" s="69"/>
      <c r="V28" s="69"/>
      <c r="AI28" s="68"/>
      <c r="AJ28" s="69"/>
      <c r="AK28" s="69"/>
      <c r="AL28" s="70"/>
      <c r="AM28" s="68"/>
      <c r="AN28" s="69"/>
      <c r="AO28" s="69"/>
      <c r="AP28" s="70"/>
      <c r="AQ28" s="68"/>
      <c r="AR28" s="69"/>
      <c r="AS28" s="69"/>
      <c r="AT28" s="70"/>
      <c r="AU28" s="68"/>
      <c r="AV28" s="69"/>
      <c r="AW28" s="69"/>
      <c r="AX28" s="70"/>
      <c r="AY28" s="28"/>
      <c r="BC28" s="69"/>
      <c r="BD28" s="69"/>
      <c r="BE28" s="69"/>
      <c r="BF28" s="69"/>
      <c r="BG28" s="28"/>
      <c r="BK28" s="68"/>
      <c r="BL28" s="69"/>
      <c r="BM28" s="69"/>
      <c r="BN28" s="69"/>
      <c r="BS28" s="68"/>
      <c r="BT28" s="69"/>
      <c r="BU28" s="69"/>
      <c r="BV28" s="70"/>
      <c r="CD28" s="5"/>
      <c r="CE28" s="45"/>
    </row>
    <row r="29" spans="1:83" ht="21" customHeight="1" x14ac:dyDescent="0.55000000000000004">
      <c r="A29" s="5"/>
      <c r="G29" s="71"/>
      <c r="H29" s="72"/>
      <c r="I29" s="72"/>
      <c r="J29" s="73"/>
      <c r="R29" s="8"/>
      <c r="S29" s="71"/>
      <c r="T29" s="72"/>
      <c r="U29" s="72"/>
      <c r="V29" s="72"/>
      <c r="AI29" s="71"/>
      <c r="AJ29" s="72"/>
      <c r="AK29" s="72"/>
      <c r="AL29" s="73"/>
      <c r="AM29" s="71"/>
      <c r="AN29" s="72"/>
      <c r="AO29" s="72"/>
      <c r="AP29" s="73"/>
      <c r="AQ29" s="71"/>
      <c r="AR29" s="72"/>
      <c r="AS29" s="72"/>
      <c r="AT29" s="73"/>
      <c r="AU29" s="71"/>
      <c r="AV29" s="72"/>
      <c r="AW29" s="72"/>
      <c r="AX29" s="73"/>
      <c r="BC29" s="72"/>
      <c r="BD29" s="72"/>
      <c r="BE29" s="72"/>
      <c r="BF29" s="72"/>
      <c r="BK29" s="71"/>
      <c r="BL29" s="72"/>
      <c r="BM29" s="72"/>
      <c r="BN29" s="72"/>
      <c r="BS29" s="71"/>
      <c r="BT29" s="72"/>
      <c r="BU29" s="72"/>
      <c r="BV29" s="73"/>
      <c r="CD29" s="5"/>
      <c r="CE29" s="45"/>
    </row>
    <row r="30" spans="1:83" ht="21" customHeight="1" thickBot="1" x14ac:dyDescent="0.6">
      <c r="A30" s="5"/>
      <c r="G30" s="74"/>
      <c r="H30" s="75"/>
      <c r="I30" s="75"/>
      <c r="J30" s="76"/>
      <c r="R30" s="8"/>
      <c r="S30" s="81"/>
      <c r="T30" s="79"/>
      <c r="U30" s="79"/>
      <c r="V30" s="79"/>
      <c r="AI30" s="74"/>
      <c r="AJ30" s="75"/>
      <c r="AK30" s="75"/>
      <c r="AL30" s="76"/>
      <c r="AM30" s="74"/>
      <c r="AN30" s="75"/>
      <c r="AO30" s="75"/>
      <c r="AP30" s="76"/>
      <c r="AQ30" s="74"/>
      <c r="AR30" s="75"/>
      <c r="AS30" s="75"/>
      <c r="AT30" s="76"/>
      <c r="AU30" s="74"/>
      <c r="AV30" s="75"/>
      <c r="AW30" s="75"/>
      <c r="AX30" s="76"/>
      <c r="BC30" s="79"/>
      <c r="BD30" s="79"/>
      <c r="BE30" s="79"/>
      <c r="BF30" s="79"/>
      <c r="BK30" s="81"/>
      <c r="BL30" s="79"/>
      <c r="BM30" s="79"/>
      <c r="BN30" s="79"/>
      <c r="BS30" s="74"/>
      <c r="BT30" s="75"/>
      <c r="BU30" s="75"/>
      <c r="BV30" s="76"/>
      <c r="CD30" s="5"/>
      <c r="CE30" s="45"/>
    </row>
    <row r="31" spans="1:83" ht="21" customHeight="1" x14ac:dyDescent="0.55000000000000004">
      <c r="A31" s="5"/>
      <c r="C31" s="1" t="s">
        <v>169</v>
      </c>
      <c r="G31" s="7"/>
      <c r="R31" s="8"/>
      <c r="S31" s="7"/>
      <c r="AM31" s="4">
        <v>57</v>
      </c>
      <c r="AN31" s="77"/>
      <c r="AO31" s="77"/>
      <c r="AP31" s="78"/>
      <c r="AQ31" s="4">
        <v>58</v>
      </c>
      <c r="AR31" s="77"/>
      <c r="AS31" s="77"/>
      <c r="AT31" s="78"/>
      <c r="AU31" s="4">
        <v>59</v>
      </c>
      <c r="AV31" s="77"/>
      <c r="AW31" s="77"/>
      <c r="AX31" s="78"/>
      <c r="AY31" s="22"/>
      <c r="BC31" s="22"/>
      <c r="BG31" s="22"/>
      <c r="BJ31" s="8"/>
      <c r="BK31" s="7"/>
      <c r="BS31" s="4">
        <v>63</v>
      </c>
      <c r="BT31" s="77"/>
      <c r="BU31" s="77"/>
      <c r="BV31" s="78"/>
      <c r="CD31" s="5"/>
      <c r="CE31" s="45"/>
    </row>
    <row r="32" spans="1:83" ht="21" customHeight="1" x14ac:dyDescent="0.55000000000000004">
      <c r="A32" s="5"/>
      <c r="G32" s="7"/>
      <c r="R32" s="8"/>
      <c r="S32" s="7"/>
      <c r="AM32" s="68"/>
      <c r="AN32" s="69"/>
      <c r="AO32" s="69"/>
      <c r="AP32" s="70"/>
      <c r="AQ32" s="68"/>
      <c r="AR32" s="69"/>
      <c r="AS32" s="69"/>
      <c r="AT32" s="70"/>
      <c r="AU32" s="68"/>
      <c r="AV32" s="69"/>
      <c r="AW32" s="69"/>
      <c r="AX32" s="70"/>
      <c r="AY32" s="28"/>
      <c r="BC32" s="28"/>
      <c r="BG32" s="28"/>
      <c r="BK32" s="7"/>
      <c r="BS32" s="68"/>
      <c r="BT32" s="69"/>
      <c r="BU32" s="69"/>
      <c r="BV32" s="70"/>
      <c r="CD32" s="5"/>
      <c r="CE32" s="45"/>
    </row>
    <row r="33" spans="1:83" ht="21" customHeight="1" x14ac:dyDescent="0.55000000000000004">
      <c r="A33" s="5"/>
      <c r="G33" s="7"/>
      <c r="R33" s="8"/>
      <c r="S33" s="7"/>
      <c r="AI33" s="28"/>
      <c r="AM33" s="71"/>
      <c r="AN33" s="72"/>
      <c r="AO33" s="72"/>
      <c r="AP33" s="73"/>
      <c r="AQ33" s="71"/>
      <c r="AR33" s="72"/>
      <c r="AS33" s="72"/>
      <c r="AT33" s="73"/>
      <c r="AU33" s="71"/>
      <c r="AV33" s="72"/>
      <c r="AW33" s="72"/>
      <c r="AX33" s="73"/>
      <c r="BK33" s="7"/>
      <c r="BS33" s="71"/>
      <c r="BT33" s="72"/>
      <c r="BU33" s="72"/>
      <c r="BV33" s="73"/>
      <c r="CD33" s="5"/>
      <c r="CE33" s="45"/>
    </row>
    <row r="34" spans="1:83" ht="21" customHeight="1" thickBot="1" x14ac:dyDescent="0.6">
      <c r="A34" s="5"/>
      <c r="G34" s="10"/>
      <c r="H34" s="11"/>
      <c r="I34" s="11"/>
      <c r="J34" s="11"/>
      <c r="K34" s="11"/>
      <c r="L34" s="11"/>
      <c r="M34" s="11"/>
      <c r="N34" s="11"/>
      <c r="O34" s="11"/>
      <c r="P34" s="11"/>
      <c r="Q34" s="11"/>
      <c r="R34" s="13"/>
      <c r="S34" s="10"/>
      <c r="T34" s="11"/>
      <c r="U34" s="11"/>
      <c r="V34" s="11"/>
      <c r="W34" s="11"/>
      <c r="X34" s="11"/>
      <c r="Y34" s="11"/>
      <c r="Z34" s="11"/>
      <c r="AA34" s="11"/>
      <c r="AB34" s="11"/>
      <c r="AC34" s="11"/>
      <c r="AD34" s="11"/>
      <c r="AE34" s="11"/>
      <c r="AF34" s="11"/>
      <c r="AG34" s="11"/>
      <c r="AH34" s="11"/>
      <c r="AI34" s="11"/>
      <c r="AJ34" s="11"/>
      <c r="AK34" s="11"/>
      <c r="AL34" s="11"/>
      <c r="AM34" s="74"/>
      <c r="AN34" s="75"/>
      <c r="AO34" s="75"/>
      <c r="AP34" s="76"/>
      <c r="AQ34" s="74"/>
      <c r="AR34" s="75"/>
      <c r="AS34" s="75"/>
      <c r="AT34" s="76"/>
      <c r="AU34" s="74"/>
      <c r="AV34" s="75"/>
      <c r="AW34" s="75"/>
      <c r="AX34" s="76"/>
      <c r="AY34" s="11"/>
      <c r="AZ34" s="11"/>
      <c r="BA34" s="11"/>
      <c r="BB34" s="11"/>
      <c r="BC34" s="11"/>
      <c r="BD34" s="11"/>
      <c r="BE34" s="11"/>
      <c r="BF34" s="11"/>
      <c r="BG34" s="11"/>
      <c r="BH34" s="11"/>
      <c r="BI34" s="11"/>
      <c r="BJ34" s="11"/>
      <c r="BK34" s="7"/>
      <c r="BS34" s="74"/>
      <c r="BT34" s="75"/>
      <c r="BU34" s="75"/>
      <c r="BV34" s="76"/>
      <c r="CD34" s="5"/>
      <c r="CE34" s="45"/>
    </row>
    <row r="35" spans="1:83" ht="21" customHeight="1" x14ac:dyDescent="0.55000000000000004">
      <c r="A35" s="5"/>
      <c r="C35" s="1" t="s">
        <v>170</v>
      </c>
      <c r="AM35" s="4">
        <v>64</v>
      </c>
      <c r="AN35" s="77"/>
      <c r="AO35" s="77"/>
      <c r="AP35" s="78"/>
      <c r="AQ35" s="4">
        <v>65</v>
      </c>
      <c r="AR35" s="77"/>
      <c r="AS35" s="77"/>
      <c r="AT35" s="78"/>
      <c r="AU35" s="4">
        <v>66</v>
      </c>
      <c r="AV35" s="77"/>
      <c r="AW35" s="77"/>
      <c r="AX35" s="78"/>
      <c r="AY35" s="4">
        <v>67</v>
      </c>
      <c r="AZ35" s="77"/>
      <c r="BA35" s="77"/>
      <c r="BB35" s="78"/>
      <c r="BC35" s="4">
        <v>68</v>
      </c>
      <c r="BD35" s="77"/>
      <c r="BE35" s="77"/>
      <c r="BF35" s="78"/>
      <c r="BG35" s="4">
        <v>69</v>
      </c>
      <c r="BH35" s="77"/>
      <c r="BI35" s="77"/>
      <c r="BJ35" s="78"/>
      <c r="BK35" s="4">
        <v>70</v>
      </c>
      <c r="BL35" s="77"/>
      <c r="BM35" s="77"/>
      <c r="BN35" s="78"/>
      <c r="BO35" s="4">
        <v>71</v>
      </c>
      <c r="BP35" s="77"/>
      <c r="BQ35" s="77"/>
      <c r="BR35" s="78"/>
      <c r="BS35" s="4">
        <v>72</v>
      </c>
      <c r="BT35" s="77"/>
      <c r="BU35" s="77"/>
      <c r="BV35" s="78"/>
      <c r="CD35" s="5"/>
      <c r="CE35" s="45"/>
    </row>
    <row r="36" spans="1:83" ht="21" customHeight="1" x14ac:dyDescent="0.55000000000000004">
      <c r="A36" s="5"/>
      <c r="AD36" s="55">
        <v>40</v>
      </c>
      <c r="AE36" s="55">
        <v>41</v>
      </c>
      <c r="AF36" s="55">
        <v>42</v>
      </c>
      <c r="AG36" s="55">
        <v>43</v>
      </c>
      <c r="AH36" s="2" t="s">
        <v>173</v>
      </c>
      <c r="AI36" s="55" t="s">
        <v>163</v>
      </c>
      <c r="AM36" s="68"/>
      <c r="AN36" s="69"/>
      <c r="AO36" s="69"/>
      <c r="AP36" s="70"/>
      <c r="AQ36" s="68"/>
      <c r="AR36" s="69"/>
      <c r="AS36" s="69"/>
      <c r="AT36" s="70"/>
      <c r="AU36" s="68"/>
      <c r="AV36" s="69"/>
      <c r="AW36" s="69"/>
      <c r="AX36" s="70"/>
      <c r="AY36" s="68"/>
      <c r="AZ36" s="69"/>
      <c r="BA36" s="69"/>
      <c r="BB36" s="70"/>
      <c r="BC36" s="68"/>
      <c r="BD36" s="69"/>
      <c r="BE36" s="69"/>
      <c r="BF36" s="70"/>
      <c r="BG36" s="68"/>
      <c r="BH36" s="69"/>
      <c r="BI36" s="69"/>
      <c r="BJ36" s="70"/>
      <c r="BK36" s="68"/>
      <c r="BL36" s="69"/>
      <c r="BM36" s="69"/>
      <c r="BN36" s="70"/>
      <c r="BO36" s="68"/>
      <c r="BP36" s="69"/>
      <c r="BQ36" s="69"/>
      <c r="BR36" s="70"/>
      <c r="BS36" s="68"/>
      <c r="BT36" s="69"/>
      <c r="BU36" s="69"/>
      <c r="BV36" s="70"/>
      <c r="CD36" s="5"/>
      <c r="CE36" s="45"/>
    </row>
    <row r="37" spans="1:83" ht="21" customHeight="1" x14ac:dyDescent="0.55000000000000004">
      <c r="A37" s="5"/>
      <c r="G37" s="2" t="s">
        <v>172</v>
      </c>
      <c r="AE37" s="55">
        <v>52</v>
      </c>
      <c r="AF37" s="55">
        <v>53</v>
      </c>
      <c r="AG37" s="55">
        <v>54</v>
      </c>
      <c r="AI37" s="2" t="str">
        <f>VLOOKUP(AI36,市町村データ領域,MATCH("なまえ", 市町村データヘッダー, 0),FALSE)</f>
        <v>さいたまし</v>
      </c>
      <c r="AM37" s="71"/>
      <c r="AN37" s="72"/>
      <c r="AO37" s="72"/>
      <c r="AP37" s="73"/>
      <c r="AQ37" s="71"/>
      <c r="AR37" s="72"/>
      <c r="AS37" s="72"/>
      <c r="AT37" s="73"/>
      <c r="AU37" s="71"/>
      <c r="AV37" s="72"/>
      <c r="AW37" s="72"/>
      <c r="AX37" s="73"/>
      <c r="AY37" s="71"/>
      <c r="AZ37" s="72"/>
      <c r="BA37" s="72"/>
      <c r="BB37" s="73"/>
      <c r="BC37" s="71"/>
      <c r="BD37" s="72"/>
      <c r="BE37" s="72"/>
      <c r="BF37" s="73"/>
      <c r="BG37" s="71"/>
      <c r="BH37" s="72"/>
      <c r="BI37" s="72"/>
      <c r="BJ37" s="73"/>
      <c r="BK37" s="71"/>
      <c r="BL37" s="72"/>
      <c r="BM37" s="72"/>
      <c r="BN37" s="73"/>
      <c r="BO37" s="71"/>
      <c r="BP37" s="72"/>
      <c r="BQ37" s="72"/>
      <c r="BR37" s="73"/>
      <c r="BS37" s="71"/>
      <c r="BT37" s="72"/>
      <c r="BU37" s="72"/>
      <c r="BV37" s="73"/>
      <c r="CD37" s="5"/>
      <c r="CE37" s="45"/>
    </row>
    <row r="38" spans="1:83" ht="21" customHeight="1" thickBot="1" x14ac:dyDescent="0.6">
      <c r="A38" s="5"/>
      <c r="G38" s="15" t="s">
        <v>171</v>
      </c>
      <c r="AE38" s="55">
        <v>60</v>
      </c>
      <c r="AF38" s="55">
        <v>61</v>
      </c>
      <c r="AG38" s="55">
        <v>62</v>
      </c>
      <c r="AM38" s="74"/>
      <c r="AN38" s="75"/>
      <c r="AO38" s="75"/>
      <c r="AP38" s="76"/>
      <c r="AQ38" s="74"/>
      <c r="AR38" s="75"/>
      <c r="AS38" s="75"/>
      <c r="AT38" s="76"/>
      <c r="AU38" s="74"/>
      <c r="AV38" s="75"/>
      <c r="AW38" s="75"/>
      <c r="AX38" s="76"/>
      <c r="AY38" s="74"/>
      <c r="AZ38" s="75"/>
      <c r="BA38" s="75"/>
      <c r="BB38" s="76"/>
      <c r="BC38" s="74"/>
      <c r="BD38" s="75"/>
      <c r="BE38" s="75"/>
      <c r="BF38" s="76"/>
      <c r="BG38" s="74"/>
      <c r="BH38" s="75"/>
      <c r="BI38" s="75"/>
      <c r="BJ38" s="76"/>
      <c r="BK38" s="74"/>
      <c r="BL38" s="75"/>
      <c r="BM38" s="75"/>
      <c r="BN38" s="76"/>
      <c r="BO38" s="74"/>
      <c r="BP38" s="75"/>
      <c r="BQ38" s="75"/>
      <c r="BR38" s="76"/>
      <c r="BS38" s="74"/>
      <c r="BT38" s="75"/>
      <c r="BU38" s="75"/>
      <c r="BV38" s="76"/>
      <c r="CD38" s="5"/>
      <c r="CE38" s="45"/>
    </row>
    <row r="39" spans="1:83" ht="21" customHeight="1" x14ac:dyDescent="0.55000000000000004">
      <c r="A39" s="5"/>
      <c r="CD39" s="5"/>
      <c r="CE39" s="45"/>
    </row>
    <row r="40" spans="1:83" ht="21" customHeight="1" x14ac:dyDescent="0.55000000000000004">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45"/>
    </row>
    <row r="41" spans="1:83" ht="21" customHeight="1" x14ac:dyDescent="0.55000000000000004">
      <c r="A41" s="45" t="s">
        <v>266</v>
      </c>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c r="BJ41" s="45"/>
      <c r="BK41" s="45"/>
      <c r="BL41" s="45"/>
      <c r="BM41" s="45"/>
      <c r="BN41" s="45"/>
      <c r="BO41" s="45"/>
      <c r="BP41" s="45"/>
      <c r="BQ41" s="45"/>
      <c r="BR41" s="45"/>
      <c r="BS41" s="45"/>
      <c r="BT41" s="45"/>
      <c r="BU41" s="45"/>
      <c r="BV41" s="45"/>
      <c r="BW41" s="45"/>
      <c r="BX41" s="45"/>
      <c r="BY41" s="45"/>
      <c r="BZ41" s="45"/>
      <c r="CA41" s="45"/>
      <c r="CB41" s="45"/>
      <c r="CC41" s="45"/>
      <c r="CD41" s="45"/>
      <c r="CE41" s="45"/>
    </row>
  </sheetData>
  <mergeCells count="252">
    <mergeCell ref="G8:J8"/>
    <mergeCell ref="K8:N8"/>
    <mergeCell ref="O8:R8"/>
    <mergeCell ref="W8:Z8"/>
    <mergeCell ref="AQ8:AT8"/>
    <mergeCell ref="AU8:AX8"/>
    <mergeCell ref="H7:J7"/>
    <mergeCell ref="L7:N7"/>
    <mergeCell ref="P7:R7"/>
    <mergeCell ref="X7:Z7"/>
    <mergeCell ref="AR7:AT7"/>
    <mergeCell ref="AV7:AX7"/>
    <mergeCell ref="G10:J10"/>
    <mergeCell ref="K10:N10"/>
    <mergeCell ref="O10:R10"/>
    <mergeCell ref="W10:Z10"/>
    <mergeCell ref="AQ10:AT10"/>
    <mergeCell ref="AU10:AX10"/>
    <mergeCell ref="G9:J9"/>
    <mergeCell ref="K9:N9"/>
    <mergeCell ref="O9:R9"/>
    <mergeCell ref="W9:Z9"/>
    <mergeCell ref="AQ9:AT9"/>
    <mergeCell ref="AU9:AX9"/>
    <mergeCell ref="G13:J13"/>
    <mergeCell ref="O13:R13"/>
    <mergeCell ref="AQ13:AT13"/>
    <mergeCell ref="AU13:AX13"/>
    <mergeCell ref="G14:J14"/>
    <mergeCell ref="O14:R14"/>
    <mergeCell ref="AQ14:AT14"/>
    <mergeCell ref="AU14:AX14"/>
    <mergeCell ref="H11:J11"/>
    <mergeCell ref="P11:R11"/>
    <mergeCell ref="AR11:AT11"/>
    <mergeCell ref="AV11:AX11"/>
    <mergeCell ref="G12:J12"/>
    <mergeCell ref="O12:R12"/>
    <mergeCell ref="AQ12:AT12"/>
    <mergeCell ref="AU12:AX12"/>
    <mergeCell ref="AN15:AP15"/>
    <mergeCell ref="AR15:AT15"/>
    <mergeCell ref="AV15:AX15"/>
    <mergeCell ref="BP15:BR15"/>
    <mergeCell ref="O16:R16"/>
    <mergeCell ref="S16:V16"/>
    <mergeCell ref="W16:Z16"/>
    <mergeCell ref="AA16:AD16"/>
    <mergeCell ref="AE16:AH16"/>
    <mergeCell ref="AI16:AL16"/>
    <mergeCell ref="P15:R15"/>
    <mergeCell ref="T15:V15"/>
    <mergeCell ref="X15:Z15"/>
    <mergeCell ref="AB15:AD15"/>
    <mergeCell ref="AF15:AH15"/>
    <mergeCell ref="AJ15:AL15"/>
    <mergeCell ref="AM16:AP16"/>
    <mergeCell ref="AQ16:AT16"/>
    <mergeCell ref="AU16:AX16"/>
    <mergeCell ref="BO16:BR16"/>
    <mergeCell ref="BO17:BR17"/>
    <mergeCell ref="O18:R18"/>
    <mergeCell ref="S18:V18"/>
    <mergeCell ref="W18:Z18"/>
    <mergeCell ref="AA18:AD18"/>
    <mergeCell ref="AE18:AH18"/>
    <mergeCell ref="AI18:AL18"/>
    <mergeCell ref="AM18:AP18"/>
    <mergeCell ref="AQ18:AT18"/>
    <mergeCell ref="AU18:AX18"/>
    <mergeCell ref="BO18:BR18"/>
    <mergeCell ref="O17:R17"/>
    <mergeCell ref="S17:V17"/>
    <mergeCell ref="W17:Z17"/>
    <mergeCell ref="AA17:AD17"/>
    <mergeCell ref="AE17:AH17"/>
    <mergeCell ref="AI17:AL17"/>
    <mergeCell ref="AM17:AP17"/>
    <mergeCell ref="AQ17:AT17"/>
    <mergeCell ref="AU17:AX17"/>
    <mergeCell ref="L19:N19"/>
    <mergeCell ref="P19:R19"/>
    <mergeCell ref="X19:Z19"/>
    <mergeCell ref="AB19:AD19"/>
    <mergeCell ref="AJ19:AL19"/>
    <mergeCell ref="AN19:AP19"/>
    <mergeCell ref="BP19:BR19"/>
    <mergeCell ref="K20:N20"/>
    <mergeCell ref="O20:R20"/>
    <mergeCell ref="W20:Z20"/>
    <mergeCell ref="AA20:AD20"/>
    <mergeCell ref="AI20:AL20"/>
    <mergeCell ref="AM20:AP20"/>
    <mergeCell ref="AQ20:AT20"/>
    <mergeCell ref="AU20:AX20"/>
    <mergeCell ref="AY20:BB20"/>
    <mergeCell ref="AR19:AT19"/>
    <mergeCell ref="AV19:AX19"/>
    <mergeCell ref="AZ19:BB19"/>
    <mergeCell ref="BD19:BF19"/>
    <mergeCell ref="BH19:BJ19"/>
    <mergeCell ref="BL19:BN19"/>
    <mergeCell ref="BC20:BF20"/>
    <mergeCell ref="BG20:BJ20"/>
    <mergeCell ref="BK20:BN20"/>
    <mergeCell ref="BO20:BR20"/>
    <mergeCell ref="K21:N21"/>
    <mergeCell ref="O21:R21"/>
    <mergeCell ref="W21:Z21"/>
    <mergeCell ref="AA21:AD21"/>
    <mergeCell ref="AI21:AL21"/>
    <mergeCell ref="AM21:AP21"/>
    <mergeCell ref="BO21:BR21"/>
    <mergeCell ref="AQ21:AT21"/>
    <mergeCell ref="AU21:AX21"/>
    <mergeCell ref="AY21:BB21"/>
    <mergeCell ref="BC21:BF21"/>
    <mergeCell ref="BG21:BJ21"/>
    <mergeCell ref="BK21:BN21"/>
    <mergeCell ref="BC22:BF22"/>
    <mergeCell ref="BG22:BJ22"/>
    <mergeCell ref="BK22:BN22"/>
    <mergeCell ref="BO22:BR22"/>
    <mergeCell ref="H23:J23"/>
    <mergeCell ref="T23:V23"/>
    <mergeCell ref="AB23:AD23"/>
    <mergeCell ref="AF23:AH23"/>
    <mergeCell ref="AJ23:AL23"/>
    <mergeCell ref="AN23:AP23"/>
    <mergeCell ref="BL23:BN23"/>
    <mergeCell ref="K22:N22"/>
    <mergeCell ref="O22:R22"/>
    <mergeCell ref="W22:Z22"/>
    <mergeCell ref="AA22:AD22"/>
    <mergeCell ref="AI22:AL22"/>
    <mergeCell ref="AM22:AP22"/>
    <mergeCell ref="AQ22:AT22"/>
    <mergeCell ref="AU22:AX22"/>
    <mergeCell ref="AY22:BB22"/>
    <mergeCell ref="BT23:BV23"/>
    <mergeCell ref="G24:J24"/>
    <mergeCell ref="S24:V24"/>
    <mergeCell ref="AA24:AD24"/>
    <mergeCell ref="AE24:AH24"/>
    <mergeCell ref="AI24:AL24"/>
    <mergeCell ref="AM24:AP24"/>
    <mergeCell ref="BK24:BN24"/>
    <mergeCell ref="BS24:BV24"/>
    <mergeCell ref="BK25:BN25"/>
    <mergeCell ref="BS25:BV25"/>
    <mergeCell ref="G26:J26"/>
    <mergeCell ref="S26:V26"/>
    <mergeCell ref="AA26:AD26"/>
    <mergeCell ref="AE26:AH26"/>
    <mergeCell ref="AI26:AL26"/>
    <mergeCell ref="AM26:AP26"/>
    <mergeCell ref="BK26:BN26"/>
    <mergeCell ref="BS26:BV26"/>
    <mergeCell ref="G25:J25"/>
    <mergeCell ref="S25:V25"/>
    <mergeCell ref="AA25:AD25"/>
    <mergeCell ref="AE25:AH25"/>
    <mergeCell ref="AI25:AL25"/>
    <mergeCell ref="AM25:AP25"/>
    <mergeCell ref="BD27:BF27"/>
    <mergeCell ref="BL27:BN27"/>
    <mergeCell ref="BT27:BV27"/>
    <mergeCell ref="G28:J28"/>
    <mergeCell ref="S28:V28"/>
    <mergeCell ref="AI28:AL28"/>
    <mergeCell ref="AM28:AP28"/>
    <mergeCell ref="AQ28:AT28"/>
    <mergeCell ref="AU28:AX28"/>
    <mergeCell ref="BC28:BF28"/>
    <mergeCell ref="H27:J27"/>
    <mergeCell ref="T27:V27"/>
    <mergeCell ref="AJ27:AL27"/>
    <mergeCell ref="AN27:AP27"/>
    <mergeCell ref="AR27:AT27"/>
    <mergeCell ref="AV27:AX27"/>
    <mergeCell ref="BK28:BN28"/>
    <mergeCell ref="BS28:BV28"/>
    <mergeCell ref="G29:J29"/>
    <mergeCell ref="S29:V29"/>
    <mergeCell ref="AI29:AL29"/>
    <mergeCell ref="AM29:AP29"/>
    <mergeCell ref="AQ29:AT29"/>
    <mergeCell ref="AU29:AX29"/>
    <mergeCell ref="BC29:BF29"/>
    <mergeCell ref="BK29:BN29"/>
    <mergeCell ref="BS29:BV29"/>
    <mergeCell ref="G30:J30"/>
    <mergeCell ref="S30:V30"/>
    <mergeCell ref="AI30:AL30"/>
    <mergeCell ref="AM30:AP30"/>
    <mergeCell ref="AQ30:AT30"/>
    <mergeCell ref="AU30:AX30"/>
    <mergeCell ref="BC30:BF30"/>
    <mergeCell ref="BK30:BN30"/>
    <mergeCell ref="BS30:BV30"/>
    <mergeCell ref="AM33:AP33"/>
    <mergeCell ref="AQ33:AT33"/>
    <mergeCell ref="AU33:AX33"/>
    <mergeCell ref="BS33:BV33"/>
    <mergeCell ref="AM34:AP34"/>
    <mergeCell ref="AQ34:AT34"/>
    <mergeCell ref="AU34:AX34"/>
    <mergeCell ref="BS34:BV34"/>
    <mergeCell ref="AN31:AP31"/>
    <mergeCell ref="AR31:AT31"/>
    <mergeCell ref="AV31:AX31"/>
    <mergeCell ref="BT31:BV31"/>
    <mergeCell ref="AM32:AP32"/>
    <mergeCell ref="AQ32:AT32"/>
    <mergeCell ref="AU32:AX32"/>
    <mergeCell ref="BS32:BV32"/>
    <mergeCell ref="BL35:BN35"/>
    <mergeCell ref="BP35:BR35"/>
    <mergeCell ref="BT35:BV35"/>
    <mergeCell ref="AM36:AP36"/>
    <mergeCell ref="AQ36:AT36"/>
    <mergeCell ref="AU36:AX36"/>
    <mergeCell ref="AY36:BB36"/>
    <mergeCell ref="BC36:BF36"/>
    <mergeCell ref="BG36:BJ36"/>
    <mergeCell ref="BK36:BN36"/>
    <mergeCell ref="AN35:AP35"/>
    <mergeCell ref="AR35:AT35"/>
    <mergeCell ref="AV35:AX35"/>
    <mergeCell ref="AZ35:BB35"/>
    <mergeCell ref="BD35:BF35"/>
    <mergeCell ref="BH35:BJ35"/>
    <mergeCell ref="BO36:BR36"/>
    <mergeCell ref="BS36:BV36"/>
    <mergeCell ref="AM37:AP37"/>
    <mergeCell ref="AQ37:AT37"/>
    <mergeCell ref="AU37:AX37"/>
    <mergeCell ref="AY37:BB37"/>
    <mergeCell ref="BC37:BF37"/>
    <mergeCell ref="BG37:BJ37"/>
    <mergeCell ref="BK37:BN37"/>
    <mergeCell ref="BO37:BR37"/>
    <mergeCell ref="BS37:BV37"/>
    <mergeCell ref="AM38:AP38"/>
    <mergeCell ref="AQ38:AT38"/>
    <mergeCell ref="AU38:AX38"/>
    <mergeCell ref="AY38:BB38"/>
    <mergeCell ref="BC38:BF38"/>
    <mergeCell ref="BG38:BJ38"/>
    <mergeCell ref="BK38:BN38"/>
    <mergeCell ref="BO38:BR38"/>
    <mergeCell ref="BS38:BV38"/>
  </mergeCells>
  <phoneticPr fontId="1"/>
  <hyperlinks>
    <hyperlink ref="G38" r:id="rId1" xr:uid="{8C8F9617-1EC0-4AC2-B9B2-EF7D5D3C77D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15BDC-0E50-4EB6-95A0-CC74E8AA64C6}">
  <sheetPr codeName="Sheet4">
    <tabColor rgb="FF86DFCB"/>
  </sheetPr>
  <dimension ref="A1:F77"/>
  <sheetViews>
    <sheetView workbookViewId="0">
      <selection activeCell="B4" sqref="B4"/>
    </sheetView>
  </sheetViews>
  <sheetFormatPr defaultRowHeight="18" x14ac:dyDescent="0.55000000000000004"/>
  <cols>
    <col min="1" max="1" width="6.83203125" style="18" customWidth="1"/>
    <col min="2" max="2" width="10.4140625" bestFit="1" customWidth="1"/>
    <col min="3" max="3" width="16.25" bestFit="1" customWidth="1"/>
    <col min="4" max="4" width="10.58203125" bestFit="1" customWidth="1"/>
    <col min="5" max="5" width="19.58203125" bestFit="1" customWidth="1"/>
    <col min="6" max="6" width="12.6640625" bestFit="1" customWidth="1"/>
  </cols>
  <sheetData>
    <row r="1" spans="1:6" s="26" customFormat="1" x14ac:dyDescent="0.55000000000000004">
      <c r="A1" s="5" t="s">
        <v>172</v>
      </c>
    </row>
    <row r="2" spans="1:6" s="26" customFormat="1" x14ac:dyDescent="0.55000000000000004">
      <c r="A2" s="27" t="s">
        <v>171</v>
      </c>
    </row>
    <row r="4" spans="1:6" x14ac:dyDescent="0.55000000000000004">
      <c r="A4" s="52" t="s">
        <v>184</v>
      </c>
      <c r="B4" s="16" t="s">
        <v>174</v>
      </c>
      <c r="C4" s="16" t="s">
        <v>175</v>
      </c>
      <c r="D4" s="16" t="s">
        <v>176</v>
      </c>
      <c r="E4" s="16" t="s">
        <v>177</v>
      </c>
      <c r="F4" s="16" t="s">
        <v>178</v>
      </c>
    </row>
    <row r="5" spans="1:6" x14ac:dyDescent="0.55000000000000004">
      <c r="A5" s="17">
        <v>1</v>
      </c>
      <c r="B5" s="2" t="s">
        <v>2</v>
      </c>
      <c r="C5" s="2" t="s">
        <v>3</v>
      </c>
      <c r="D5">
        <v>30549</v>
      </c>
      <c r="E5">
        <v>1047</v>
      </c>
      <c r="F5">
        <f t="shared" ref="F5:F36" si="0">ROUND(D5/E5,1)</f>
        <v>29.2</v>
      </c>
    </row>
    <row r="6" spans="1:6" x14ac:dyDescent="0.55000000000000004">
      <c r="A6" s="17">
        <v>2</v>
      </c>
      <c r="B6" s="2" t="s">
        <v>4</v>
      </c>
      <c r="C6" s="2" t="s">
        <v>5</v>
      </c>
      <c r="D6">
        <v>77285</v>
      </c>
      <c r="E6">
        <v>862</v>
      </c>
      <c r="F6">
        <f t="shared" si="0"/>
        <v>89.7</v>
      </c>
    </row>
    <row r="7" spans="1:6" x14ac:dyDescent="0.55000000000000004">
      <c r="A7" s="17">
        <v>3</v>
      </c>
      <c r="B7" s="2" t="s">
        <v>6</v>
      </c>
      <c r="C7" s="2" t="s">
        <v>7</v>
      </c>
      <c r="D7">
        <v>141419</v>
      </c>
      <c r="E7">
        <v>1022</v>
      </c>
      <c r="F7">
        <f t="shared" si="0"/>
        <v>138.4</v>
      </c>
    </row>
    <row r="8" spans="1:6" x14ac:dyDescent="0.55000000000000004">
      <c r="A8" s="17">
        <v>4</v>
      </c>
      <c r="B8" s="2" t="s">
        <v>91</v>
      </c>
      <c r="C8" s="2" t="s">
        <v>18</v>
      </c>
      <c r="D8">
        <v>192074</v>
      </c>
      <c r="E8">
        <v>1202</v>
      </c>
      <c r="F8">
        <f t="shared" si="0"/>
        <v>159.80000000000001</v>
      </c>
    </row>
    <row r="9" spans="1:6" x14ac:dyDescent="0.55000000000000004">
      <c r="A9" s="17">
        <v>5</v>
      </c>
      <c r="B9" s="2" t="s">
        <v>93</v>
      </c>
      <c r="C9" s="2" t="s">
        <v>23</v>
      </c>
      <c r="D9">
        <v>78416</v>
      </c>
      <c r="E9">
        <v>1162</v>
      </c>
      <c r="F9">
        <f t="shared" si="0"/>
        <v>67.5</v>
      </c>
    </row>
    <row r="10" spans="1:6" x14ac:dyDescent="0.55000000000000004">
      <c r="A10" s="17">
        <v>6</v>
      </c>
      <c r="B10" s="2" t="s">
        <v>94</v>
      </c>
      <c r="C10" s="2" t="s">
        <v>27</v>
      </c>
      <c r="D10">
        <v>53855</v>
      </c>
      <c r="E10">
        <v>918</v>
      </c>
      <c r="F10">
        <f t="shared" si="0"/>
        <v>58.7</v>
      </c>
    </row>
    <row r="11" spans="1:6" x14ac:dyDescent="0.55000000000000004">
      <c r="A11" s="17">
        <v>7</v>
      </c>
      <c r="B11" s="2" t="s">
        <v>8</v>
      </c>
      <c r="C11" s="2" t="s">
        <v>9</v>
      </c>
      <c r="D11">
        <v>12888</v>
      </c>
      <c r="E11">
        <v>272</v>
      </c>
      <c r="F11">
        <f t="shared" si="0"/>
        <v>47.4</v>
      </c>
    </row>
    <row r="12" spans="1:6" x14ac:dyDescent="0.55000000000000004">
      <c r="A12" s="17">
        <v>8</v>
      </c>
      <c r="B12" s="2" t="s">
        <v>10</v>
      </c>
      <c r="C12" s="2" t="s">
        <v>11</v>
      </c>
      <c r="D12">
        <v>10819</v>
      </c>
      <c r="E12">
        <v>324</v>
      </c>
      <c r="F12">
        <f t="shared" si="0"/>
        <v>33.4</v>
      </c>
    </row>
    <row r="13" spans="1:6" x14ac:dyDescent="0.55000000000000004">
      <c r="A13" s="17">
        <v>9</v>
      </c>
      <c r="B13" s="2" t="s">
        <v>95</v>
      </c>
      <c r="C13" s="2" t="s">
        <v>24</v>
      </c>
      <c r="D13">
        <v>117582</v>
      </c>
      <c r="E13">
        <v>1744</v>
      </c>
      <c r="F13">
        <f t="shared" si="0"/>
        <v>67.400000000000006</v>
      </c>
    </row>
    <row r="14" spans="1:6" x14ac:dyDescent="0.55000000000000004">
      <c r="A14" s="17">
        <v>10</v>
      </c>
      <c r="B14" s="2" t="s">
        <v>96</v>
      </c>
      <c r="C14" s="2" t="s">
        <v>28</v>
      </c>
      <c r="D14">
        <v>112163</v>
      </c>
      <c r="E14">
        <v>841</v>
      </c>
      <c r="F14">
        <f t="shared" si="0"/>
        <v>133.4</v>
      </c>
    </row>
    <row r="15" spans="1:6" x14ac:dyDescent="0.55000000000000004">
      <c r="A15" s="17">
        <v>11</v>
      </c>
      <c r="B15" s="2" t="s">
        <v>0</v>
      </c>
      <c r="C15" s="2" t="s">
        <v>1</v>
      </c>
      <c r="D15">
        <v>6516</v>
      </c>
      <c r="E15">
        <v>214</v>
      </c>
      <c r="F15">
        <f t="shared" si="0"/>
        <v>30.4</v>
      </c>
    </row>
    <row r="16" spans="1:6" x14ac:dyDescent="0.55000000000000004">
      <c r="A16" s="17">
        <v>12</v>
      </c>
      <c r="B16" s="2" t="s">
        <v>97</v>
      </c>
      <c r="C16" s="2" t="s">
        <v>14</v>
      </c>
      <c r="D16">
        <v>32041</v>
      </c>
      <c r="E16">
        <v>499</v>
      </c>
      <c r="F16">
        <f t="shared" si="0"/>
        <v>64.2</v>
      </c>
    </row>
    <row r="17" spans="1:6" x14ac:dyDescent="0.55000000000000004">
      <c r="A17" s="17">
        <v>13</v>
      </c>
      <c r="B17" s="2" t="s">
        <v>98</v>
      </c>
      <c r="C17" s="2" t="s">
        <v>19</v>
      </c>
      <c r="D17">
        <v>27886</v>
      </c>
      <c r="E17">
        <v>462</v>
      </c>
      <c r="F17">
        <f t="shared" si="0"/>
        <v>60.4</v>
      </c>
    </row>
    <row r="18" spans="1:6" x14ac:dyDescent="0.55000000000000004">
      <c r="A18" s="17">
        <v>14</v>
      </c>
      <c r="B18" s="2" t="s">
        <v>99</v>
      </c>
      <c r="C18" s="2" t="s">
        <v>20</v>
      </c>
      <c r="D18">
        <v>17516</v>
      </c>
      <c r="E18">
        <v>585</v>
      </c>
      <c r="F18">
        <f t="shared" si="0"/>
        <v>29.9</v>
      </c>
    </row>
    <row r="19" spans="1:6" x14ac:dyDescent="0.55000000000000004">
      <c r="A19" s="17">
        <v>15</v>
      </c>
      <c r="B19" s="2" t="s">
        <v>100</v>
      </c>
      <c r="C19" s="2" t="s">
        <v>21</v>
      </c>
      <c r="D19">
        <v>19745</v>
      </c>
      <c r="E19">
        <v>665</v>
      </c>
      <c r="F19">
        <f t="shared" si="0"/>
        <v>29.7</v>
      </c>
    </row>
    <row r="20" spans="1:6" x14ac:dyDescent="0.55000000000000004">
      <c r="A20" s="17">
        <v>16</v>
      </c>
      <c r="B20" s="2" t="s">
        <v>101</v>
      </c>
      <c r="C20" s="2" t="s">
        <v>22</v>
      </c>
      <c r="D20">
        <v>91094</v>
      </c>
      <c r="E20">
        <v>1394</v>
      </c>
      <c r="F20">
        <f t="shared" si="0"/>
        <v>65.3</v>
      </c>
    </row>
    <row r="21" spans="1:6" x14ac:dyDescent="0.55000000000000004">
      <c r="A21" s="17">
        <v>17</v>
      </c>
      <c r="B21" s="2" t="s">
        <v>102</v>
      </c>
      <c r="C21" s="2" t="s">
        <v>25</v>
      </c>
      <c r="D21">
        <v>17859</v>
      </c>
      <c r="E21">
        <v>462</v>
      </c>
      <c r="F21">
        <f t="shared" si="0"/>
        <v>38.700000000000003</v>
      </c>
    </row>
    <row r="22" spans="1:6" x14ac:dyDescent="0.55000000000000004">
      <c r="A22" s="17">
        <v>18</v>
      </c>
      <c r="B22" s="2" t="s">
        <v>103</v>
      </c>
      <c r="C22" s="2" t="s">
        <v>26</v>
      </c>
      <c r="D22">
        <v>65403</v>
      </c>
      <c r="E22">
        <v>3300</v>
      </c>
      <c r="F22">
        <f t="shared" si="0"/>
        <v>19.8</v>
      </c>
    </row>
    <row r="23" spans="1:6" x14ac:dyDescent="0.55000000000000004">
      <c r="A23" s="17">
        <v>19</v>
      </c>
      <c r="B23" s="2" t="s">
        <v>104</v>
      </c>
      <c r="C23" s="2" t="s">
        <v>29</v>
      </c>
      <c r="D23">
        <v>150913</v>
      </c>
      <c r="E23">
        <v>1831</v>
      </c>
      <c r="F23">
        <f t="shared" si="0"/>
        <v>82.4</v>
      </c>
    </row>
    <row r="24" spans="1:6" x14ac:dyDescent="0.55000000000000004">
      <c r="A24" s="17">
        <v>20</v>
      </c>
      <c r="B24" s="2" t="s">
        <v>105</v>
      </c>
      <c r="C24" s="2" t="s">
        <v>30</v>
      </c>
      <c r="D24">
        <v>49063</v>
      </c>
      <c r="E24">
        <v>1446</v>
      </c>
      <c r="F24">
        <f t="shared" si="0"/>
        <v>33.9</v>
      </c>
    </row>
    <row r="25" spans="1:6" x14ac:dyDescent="0.55000000000000004">
      <c r="A25" s="17">
        <v>21</v>
      </c>
      <c r="B25" s="2" t="s">
        <v>106</v>
      </c>
      <c r="C25" s="2" t="s">
        <v>12</v>
      </c>
      <c r="D25">
        <v>9050</v>
      </c>
      <c r="E25">
        <v>142</v>
      </c>
      <c r="F25">
        <f t="shared" si="0"/>
        <v>63.7</v>
      </c>
    </row>
    <row r="26" spans="1:6" x14ac:dyDescent="0.55000000000000004">
      <c r="A26" s="17">
        <v>22</v>
      </c>
      <c r="B26" s="2" t="s">
        <v>107</v>
      </c>
      <c r="C26" s="2" t="s">
        <v>13</v>
      </c>
      <c r="D26">
        <v>2473</v>
      </c>
      <c r="E26">
        <v>67</v>
      </c>
      <c r="F26">
        <f t="shared" si="0"/>
        <v>36.9</v>
      </c>
    </row>
    <row r="27" spans="1:6" x14ac:dyDescent="0.55000000000000004">
      <c r="A27" s="17">
        <v>23</v>
      </c>
      <c r="B27" s="2" t="s">
        <v>108</v>
      </c>
      <c r="C27" s="2" t="s">
        <v>31</v>
      </c>
      <c r="D27">
        <v>10414</v>
      </c>
      <c r="E27">
        <v>186</v>
      </c>
      <c r="F27">
        <f t="shared" si="0"/>
        <v>56</v>
      </c>
    </row>
    <row r="28" spans="1:6" x14ac:dyDescent="0.55000000000000004">
      <c r="A28" s="17">
        <v>24</v>
      </c>
      <c r="B28" s="2" t="s">
        <v>109</v>
      </c>
      <c r="C28" s="2" t="s">
        <v>32</v>
      </c>
      <c r="D28">
        <v>12967</v>
      </c>
      <c r="E28">
        <v>504</v>
      </c>
      <c r="F28">
        <f t="shared" si="0"/>
        <v>25.7</v>
      </c>
    </row>
    <row r="29" spans="1:6" x14ac:dyDescent="0.55000000000000004">
      <c r="A29" s="17">
        <v>25</v>
      </c>
      <c r="B29" s="2" t="s">
        <v>110</v>
      </c>
      <c r="C29" s="2" t="s">
        <v>34</v>
      </c>
      <c r="D29">
        <v>99527</v>
      </c>
      <c r="E29">
        <v>2426</v>
      </c>
      <c r="F29">
        <f t="shared" si="0"/>
        <v>41</v>
      </c>
    </row>
    <row r="30" spans="1:6" x14ac:dyDescent="0.55000000000000004">
      <c r="A30" s="17">
        <v>26</v>
      </c>
      <c r="B30" s="2" t="s">
        <v>111</v>
      </c>
      <c r="C30" s="2" t="s">
        <v>41</v>
      </c>
      <c r="D30">
        <v>18874</v>
      </c>
      <c r="E30">
        <v>453</v>
      </c>
      <c r="F30">
        <f t="shared" si="0"/>
        <v>41.7</v>
      </c>
    </row>
    <row r="31" spans="1:6" x14ac:dyDescent="0.55000000000000004">
      <c r="A31" s="17">
        <v>27</v>
      </c>
      <c r="B31" s="2" t="s">
        <v>112</v>
      </c>
      <c r="C31" s="2" t="s">
        <v>43</v>
      </c>
      <c r="D31">
        <v>74448</v>
      </c>
      <c r="E31">
        <v>2937</v>
      </c>
      <c r="F31">
        <f t="shared" si="0"/>
        <v>25.3</v>
      </c>
    </row>
    <row r="32" spans="1:6" x14ac:dyDescent="0.55000000000000004">
      <c r="A32" s="17">
        <v>28</v>
      </c>
      <c r="B32" s="2" t="s">
        <v>113</v>
      </c>
      <c r="C32" s="2" t="s">
        <v>48</v>
      </c>
      <c r="D32">
        <v>230167</v>
      </c>
      <c r="E32">
        <v>5058</v>
      </c>
      <c r="F32">
        <f t="shared" si="0"/>
        <v>45.5</v>
      </c>
    </row>
    <row r="33" spans="1:6" x14ac:dyDescent="0.55000000000000004">
      <c r="A33" s="17">
        <v>29</v>
      </c>
      <c r="B33" s="2" t="s">
        <v>114</v>
      </c>
      <c r="C33" s="2" t="s">
        <v>49</v>
      </c>
      <c r="D33">
        <v>45045</v>
      </c>
      <c r="E33">
        <v>3046</v>
      </c>
      <c r="F33">
        <f t="shared" si="0"/>
        <v>14.8</v>
      </c>
    </row>
    <row r="34" spans="1:6" x14ac:dyDescent="0.55000000000000004">
      <c r="A34" s="17">
        <v>30</v>
      </c>
      <c r="B34" s="2" t="s">
        <v>115</v>
      </c>
      <c r="C34" s="2" t="s">
        <v>50</v>
      </c>
      <c r="D34">
        <v>61337</v>
      </c>
      <c r="E34">
        <v>2248</v>
      </c>
      <c r="F34">
        <f t="shared" si="0"/>
        <v>27.3</v>
      </c>
    </row>
    <row r="35" spans="1:6" x14ac:dyDescent="0.55000000000000004">
      <c r="A35" s="17">
        <v>31</v>
      </c>
      <c r="B35" s="2" t="s">
        <v>116</v>
      </c>
      <c r="C35" s="2" t="s">
        <v>51</v>
      </c>
      <c r="D35">
        <v>52649</v>
      </c>
      <c r="E35">
        <v>2113</v>
      </c>
      <c r="F35">
        <f t="shared" si="0"/>
        <v>24.9</v>
      </c>
    </row>
    <row r="36" spans="1:6" x14ac:dyDescent="0.55000000000000004">
      <c r="A36" s="17">
        <v>32</v>
      </c>
      <c r="B36" s="2" t="s">
        <v>117</v>
      </c>
      <c r="C36" s="2" t="s">
        <v>52</v>
      </c>
      <c r="D36">
        <v>33371</v>
      </c>
      <c r="E36">
        <v>2092</v>
      </c>
      <c r="F36">
        <f t="shared" si="0"/>
        <v>16</v>
      </c>
    </row>
    <row r="37" spans="1:6" x14ac:dyDescent="0.55000000000000004">
      <c r="A37" s="17">
        <v>33</v>
      </c>
      <c r="B37" s="2" t="s">
        <v>118</v>
      </c>
      <c r="C37" s="2" t="s">
        <v>53</v>
      </c>
      <c r="D37">
        <v>44014</v>
      </c>
      <c r="E37">
        <v>1466</v>
      </c>
      <c r="F37">
        <f t="shared" ref="F37:F68" si="1">ROUND(D37/E37,1)</f>
        <v>30</v>
      </c>
    </row>
    <row r="38" spans="1:6" x14ac:dyDescent="0.55000000000000004">
      <c r="A38" s="17">
        <v>34</v>
      </c>
      <c r="B38" s="2" t="s">
        <v>92</v>
      </c>
      <c r="C38" s="2" t="s">
        <v>16</v>
      </c>
      <c r="D38">
        <v>58223</v>
      </c>
      <c r="E38">
        <v>101</v>
      </c>
      <c r="F38">
        <f t="shared" si="1"/>
        <v>576.5</v>
      </c>
    </row>
    <row r="39" spans="1:6" x14ac:dyDescent="0.55000000000000004">
      <c r="A39" s="17">
        <v>35</v>
      </c>
      <c r="B39" s="2" t="s">
        <v>119</v>
      </c>
      <c r="C39" s="2" t="s">
        <v>17</v>
      </c>
      <c r="D39">
        <v>7748</v>
      </c>
      <c r="E39">
        <v>157</v>
      </c>
      <c r="F39">
        <f t="shared" si="1"/>
        <v>49.4</v>
      </c>
    </row>
    <row r="40" spans="1:6" x14ac:dyDescent="0.55000000000000004">
      <c r="A40" s="17">
        <v>36</v>
      </c>
      <c r="B40" s="2" t="s">
        <v>120</v>
      </c>
      <c r="C40" s="2" t="s">
        <v>33</v>
      </c>
      <c r="D40">
        <v>10863</v>
      </c>
      <c r="E40">
        <v>269</v>
      </c>
      <c r="F40">
        <f t="shared" si="1"/>
        <v>40.4</v>
      </c>
    </row>
    <row r="41" spans="1:6" x14ac:dyDescent="0.55000000000000004">
      <c r="A41" s="17">
        <v>37</v>
      </c>
      <c r="B41" s="2" t="s">
        <v>121</v>
      </c>
      <c r="C41" s="2" t="s">
        <v>35</v>
      </c>
      <c r="D41">
        <v>32365</v>
      </c>
      <c r="E41">
        <v>950</v>
      </c>
      <c r="F41">
        <f t="shared" si="1"/>
        <v>34.1</v>
      </c>
    </row>
    <row r="42" spans="1:6" x14ac:dyDescent="0.55000000000000004">
      <c r="A42" s="17">
        <v>38</v>
      </c>
      <c r="B42" s="2" t="s">
        <v>122</v>
      </c>
      <c r="C42" s="2" t="s">
        <v>36</v>
      </c>
      <c r="D42">
        <v>70063</v>
      </c>
      <c r="E42">
        <v>3970</v>
      </c>
      <c r="F42">
        <f t="shared" si="1"/>
        <v>17.600000000000001</v>
      </c>
    </row>
    <row r="43" spans="1:6" x14ac:dyDescent="0.55000000000000004">
      <c r="A43" s="17">
        <v>39</v>
      </c>
      <c r="B43" s="2" t="s">
        <v>123</v>
      </c>
      <c r="C43" s="2" t="s">
        <v>42</v>
      </c>
      <c r="D43">
        <v>352717</v>
      </c>
      <c r="E43">
        <v>3232</v>
      </c>
      <c r="F43">
        <f t="shared" si="1"/>
        <v>109.1</v>
      </c>
    </row>
    <row r="44" spans="1:6" x14ac:dyDescent="0.55000000000000004">
      <c r="A44" s="17">
        <v>40</v>
      </c>
      <c r="B44" s="2" t="s">
        <v>124</v>
      </c>
      <c r="C44" s="2" t="s">
        <v>80</v>
      </c>
      <c r="F44" t="e">
        <f t="shared" si="1"/>
        <v>#DIV/0!</v>
      </c>
    </row>
    <row r="45" spans="1:6" x14ac:dyDescent="0.55000000000000004">
      <c r="A45" s="17">
        <v>41</v>
      </c>
      <c r="B45" s="2" t="s">
        <v>125</v>
      </c>
      <c r="C45" s="2" t="s">
        <v>81</v>
      </c>
      <c r="F45" t="e">
        <f t="shared" si="1"/>
        <v>#DIV/0!</v>
      </c>
    </row>
    <row r="46" spans="1:6" x14ac:dyDescent="0.55000000000000004">
      <c r="A46" s="17">
        <v>42</v>
      </c>
      <c r="B46" s="2" t="s">
        <v>126</v>
      </c>
      <c r="C46" s="2" t="s">
        <v>82</v>
      </c>
      <c r="F46" t="e">
        <f t="shared" si="1"/>
        <v>#DIV/0!</v>
      </c>
    </row>
    <row r="47" spans="1:6" x14ac:dyDescent="0.55000000000000004">
      <c r="A47" s="17">
        <v>43</v>
      </c>
      <c r="B47" s="2" t="s">
        <v>127</v>
      </c>
      <c r="C47" s="2" t="s">
        <v>83</v>
      </c>
      <c r="F47" t="e">
        <f t="shared" si="1"/>
        <v>#DIV/0!</v>
      </c>
    </row>
    <row r="48" spans="1:6" x14ac:dyDescent="0.55000000000000004">
      <c r="A48" s="17">
        <v>44</v>
      </c>
      <c r="B48" s="2" t="s">
        <v>128</v>
      </c>
      <c r="C48" s="2" t="s">
        <v>54</v>
      </c>
      <c r="D48">
        <v>230687</v>
      </c>
      <c r="E48">
        <v>3495</v>
      </c>
      <c r="F48">
        <f t="shared" si="1"/>
        <v>66</v>
      </c>
    </row>
    <row r="49" spans="1:6" x14ac:dyDescent="0.55000000000000004">
      <c r="A49" s="17">
        <v>45</v>
      </c>
      <c r="B49" s="2" t="s">
        <v>129</v>
      </c>
      <c r="C49" s="2" t="s">
        <v>56</v>
      </c>
      <c r="D49">
        <v>28140</v>
      </c>
      <c r="E49">
        <v>1737</v>
      </c>
      <c r="F49">
        <f t="shared" si="1"/>
        <v>16.2</v>
      </c>
    </row>
    <row r="50" spans="1:6" x14ac:dyDescent="0.55000000000000004">
      <c r="A50" s="17">
        <v>46</v>
      </c>
      <c r="B50" s="2" t="s">
        <v>130</v>
      </c>
      <c r="C50" s="2" t="s">
        <v>15</v>
      </c>
      <c r="D50">
        <v>10316</v>
      </c>
      <c r="E50">
        <v>60</v>
      </c>
      <c r="F50">
        <f t="shared" si="1"/>
        <v>171.9</v>
      </c>
    </row>
    <row r="51" spans="1:6" x14ac:dyDescent="0.55000000000000004">
      <c r="A51" s="17">
        <v>47</v>
      </c>
      <c r="B51" s="2" t="s">
        <v>131</v>
      </c>
      <c r="C51" s="2" t="s">
        <v>40</v>
      </c>
      <c r="D51">
        <v>78472</v>
      </c>
      <c r="E51">
        <v>406</v>
      </c>
      <c r="F51">
        <f t="shared" si="1"/>
        <v>193.3</v>
      </c>
    </row>
    <row r="52" spans="1:6" x14ac:dyDescent="0.55000000000000004">
      <c r="A52" s="17">
        <v>48</v>
      </c>
      <c r="B52" s="2" t="s">
        <v>132</v>
      </c>
      <c r="C52" s="2" t="s">
        <v>37</v>
      </c>
      <c r="D52">
        <v>54396</v>
      </c>
      <c r="E52">
        <v>1146</v>
      </c>
      <c r="F52">
        <f t="shared" si="1"/>
        <v>47.5</v>
      </c>
    </row>
    <row r="53" spans="1:6" x14ac:dyDescent="0.55000000000000004">
      <c r="A53" s="17">
        <v>49</v>
      </c>
      <c r="B53" s="2" t="s">
        <v>133</v>
      </c>
      <c r="C53" s="2" t="s">
        <v>38</v>
      </c>
      <c r="D53">
        <v>148872</v>
      </c>
      <c r="E53">
        <v>3039</v>
      </c>
      <c r="F53">
        <f t="shared" si="1"/>
        <v>49</v>
      </c>
    </row>
    <row r="54" spans="1:6" x14ac:dyDescent="0.55000000000000004">
      <c r="A54" s="17">
        <v>50</v>
      </c>
      <c r="B54" s="2" t="s">
        <v>134</v>
      </c>
      <c r="C54" s="2" t="s">
        <v>44</v>
      </c>
      <c r="D54">
        <v>114363</v>
      </c>
      <c r="E54">
        <v>7812</v>
      </c>
      <c r="F54">
        <f t="shared" si="1"/>
        <v>14.6</v>
      </c>
    </row>
    <row r="55" spans="1:6" x14ac:dyDescent="0.55000000000000004">
      <c r="A55" s="17">
        <v>51</v>
      </c>
      <c r="B55" s="2" t="s">
        <v>135</v>
      </c>
      <c r="C55" s="2" t="s">
        <v>77</v>
      </c>
      <c r="D55">
        <v>113145</v>
      </c>
      <c r="E55">
        <v>5723</v>
      </c>
      <c r="F55">
        <f t="shared" si="1"/>
        <v>19.8</v>
      </c>
    </row>
    <row r="56" spans="1:6" x14ac:dyDescent="0.55000000000000004">
      <c r="A56" s="17">
        <v>52</v>
      </c>
      <c r="B56" s="2" t="s">
        <v>136</v>
      </c>
      <c r="C56" s="2" t="s">
        <v>84</v>
      </c>
      <c r="F56" t="e">
        <f t="shared" si="1"/>
        <v>#DIV/0!</v>
      </c>
    </row>
    <row r="57" spans="1:6" x14ac:dyDescent="0.55000000000000004">
      <c r="A57" s="17">
        <v>53</v>
      </c>
      <c r="B57" s="2" t="s">
        <v>137</v>
      </c>
      <c r="C57" s="2" t="s">
        <v>85</v>
      </c>
      <c r="F57" t="e">
        <f t="shared" si="1"/>
        <v>#DIV/0!</v>
      </c>
    </row>
    <row r="58" spans="1:6" x14ac:dyDescent="0.55000000000000004">
      <c r="A58" s="17">
        <v>54</v>
      </c>
      <c r="B58" s="2" t="s">
        <v>87</v>
      </c>
      <c r="C58" s="2" t="s">
        <v>86</v>
      </c>
      <c r="F58" t="e">
        <f t="shared" si="1"/>
        <v>#DIV/0!</v>
      </c>
    </row>
    <row r="59" spans="1:6" x14ac:dyDescent="0.55000000000000004">
      <c r="A59" s="17">
        <v>55</v>
      </c>
      <c r="B59" s="2" t="s">
        <v>138</v>
      </c>
      <c r="C59" s="2" t="s">
        <v>55</v>
      </c>
      <c r="D59">
        <v>343062</v>
      </c>
      <c r="E59">
        <v>5695</v>
      </c>
      <c r="F59">
        <f t="shared" si="1"/>
        <v>60.2</v>
      </c>
    </row>
    <row r="60" spans="1:6" x14ac:dyDescent="0.55000000000000004">
      <c r="A60" s="17">
        <v>56</v>
      </c>
      <c r="B60" s="2" t="s">
        <v>58</v>
      </c>
      <c r="C60" s="2" t="s">
        <v>57</v>
      </c>
      <c r="D60">
        <v>72678</v>
      </c>
      <c r="E60">
        <v>2296</v>
      </c>
      <c r="F60">
        <f t="shared" si="1"/>
        <v>31.7</v>
      </c>
    </row>
    <row r="61" spans="1:6" x14ac:dyDescent="0.55000000000000004">
      <c r="A61" s="17">
        <v>57</v>
      </c>
      <c r="B61" s="2" t="s">
        <v>139</v>
      </c>
      <c r="C61" s="2" t="s">
        <v>39</v>
      </c>
      <c r="D61">
        <v>144723</v>
      </c>
      <c r="E61">
        <v>3238</v>
      </c>
      <c r="F61">
        <f t="shared" si="1"/>
        <v>44.7</v>
      </c>
    </row>
    <row r="62" spans="1:6" x14ac:dyDescent="0.55000000000000004">
      <c r="A62" s="17">
        <v>58</v>
      </c>
      <c r="B62" s="2" t="s">
        <v>140</v>
      </c>
      <c r="C62" s="2" t="s">
        <v>45</v>
      </c>
      <c r="D62">
        <v>37453</v>
      </c>
      <c r="E62">
        <v>2443</v>
      </c>
      <c r="F62">
        <f t="shared" si="1"/>
        <v>15.3</v>
      </c>
    </row>
    <row r="63" spans="1:6" x14ac:dyDescent="0.55000000000000004">
      <c r="A63" s="17">
        <v>59</v>
      </c>
      <c r="B63" s="2" t="s">
        <v>141</v>
      </c>
      <c r="C63" s="2" t="s">
        <v>76</v>
      </c>
      <c r="D63">
        <v>76312</v>
      </c>
      <c r="E63">
        <v>8432</v>
      </c>
      <c r="F63">
        <f t="shared" si="1"/>
        <v>9.1</v>
      </c>
    </row>
    <row r="64" spans="1:6" x14ac:dyDescent="0.55000000000000004">
      <c r="A64" s="17">
        <v>60</v>
      </c>
      <c r="B64" s="2" t="s">
        <v>142</v>
      </c>
      <c r="C64" s="2" t="s">
        <v>88</v>
      </c>
      <c r="F64" t="e">
        <f t="shared" si="1"/>
        <v>#DIV/0!</v>
      </c>
    </row>
    <row r="65" spans="1:6" x14ac:dyDescent="0.55000000000000004">
      <c r="A65" s="17">
        <v>61</v>
      </c>
      <c r="B65" s="2" t="s">
        <v>143</v>
      </c>
      <c r="C65" s="2" t="s">
        <v>89</v>
      </c>
      <c r="F65" t="e">
        <f t="shared" si="1"/>
        <v>#DIV/0!</v>
      </c>
    </row>
    <row r="66" spans="1:6" x14ac:dyDescent="0.55000000000000004">
      <c r="A66" s="17">
        <v>62</v>
      </c>
      <c r="B66" s="2" t="s">
        <v>144</v>
      </c>
      <c r="C66" s="2" t="s">
        <v>90</v>
      </c>
      <c r="F66" t="e">
        <f t="shared" si="1"/>
        <v>#DIV/0!</v>
      </c>
    </row>
    <row r="67" spans="1:6" x14ac:dyDescent="0.55000000000000004">
      <c r="A67" s="17">
        <v>63</v>
      </c>
      <c r="B67" s="2" t="s">
        <v>145</v>
      </c>
      <c r="C67" s="2" t="s">
        <v>59</v>
      </c>
      <c r="D67">
        <v>141942</v>
      </c>
      <c r="E67">
        <v>4711</v>
      </c>
      <c r="F67">
        <f t="shared" si="1"/>
        <v>30.1</v>
      </c>
    </row>
    <row r="68" spans="1:6" x14ac:dyDescent="0.55000000000000004">
      <c r="A68" s="17">
        <v>64</v>
      </c>
      <c r="B68" s="2" t="s">
        <v>47</v>
      </c>
      <c r="C68" s="2" t="s">
        <v>46</v>
      </c>
      <c r="D68">
        <v>343529</v>
      </c>
      <c r="E68">
        <v>4764</v>
      </c>
      <c r="F68">
        <f t="shared" si="1"/>
        <v>72.099999999999994</v>
      </c>
    </row>
    <row r="69" spans="1:6" x14ac:dyDescent="0.55000000000000004">
      <c r="A69" s="17">
        <v>65</v>
      </c>
      <c r="B69" s="2" t="s">
        <v>74</v>
      </c>
      <c r="C69" s="2" t="s">
        <v>75</v>
      </c>
      <c r="D69">
        <v>166036</v>
      </c>
      <c r="E69">
        <v>7289</v>
      </c>
      <c r="F69">
        <f t="shared" ref="F69:F100" si="2">ROUND(D69/E69,1)</f>
        <v>22.8</v>
      </c>
    </row>
    <row r="70" spans="1:6" x14ac:dyDescent="0.55000000000000004">
      <c r="A70" s="17">
        <v>66</v>
      </c>
      <c r="B70" s="2" t="s">
        <v>73</v>
      </c>
      <c r="C70" s="2" t="s">
        <v>72</v>
      </c>
      <c r="D70">
        <v>144964</v>
      </c>
      <c r="E70">
        <v>7904</v>
      </c>
      <c r="F70">
        <f t="shared" si="2"/>
        <v>18.3</v>
      </c>
    </row>
    <row r="71" spans="1:6" x14ac:dyDescent="0.55000000000000004">
      <c r="A71" s="17">
        <v>67</v>
      </c>
      <c r="B71" s="2" t="s">
        <v>71</v>
      </c>
      <c r="C71" s="2" t="s">
        <v>70</v>
      </c>
      <c r="D71">
        <v>84728</v>
      </c>
      <c r="E71">
        <v>7675</v>
      </c>
      <c r="F71">
        <f t="shared" si="2"/>
        <v>11</v>
      </c>
    </row>
    <row r="72" spans="1:6" x14ac:dyDescent="0.55000000000000004">
      <c r="A72" s="17">
        <v>68</v>
      </c>
      <c r="B72" s="2" t="s">
        <v>69</v>
      </c>
      <c r="C72" s="2" t="s">
        <v>68</v>
      </c>
      <c r="D72">
        <v>142163</v>
      </c>
      <c r="E72">
        <v>7815</v>
      </c>
      <c r="F72">
        <f t="shared" si="2"/>
        <v>18.2</v>
      </c>
    </row>
    <row r="73" spans="1:6" x14ac:dyDescent="0.55000000000000004">
      <c r="A73" s="17">
        <v>69</v>
      </c>
      <c r="B73" s="2" t="s">
        <v>67</v>
      </c>
      <c r="C73" s="2" t="s">
        <v>66</v>
      </c>
      <c r="D73">
        <v>75646</v>
      </c>
      <c r="E73">
        <v>14804</v>
      </c>
      <c r="F73">
        <f t="shared" si="2"/>
        <v>5.0999999999999996</v>
      </c>
    </row>
    <row r="74" spans="1:6" x14ac:dyDescent="0.55000000000000004">
      <c r="A74" s="17">
        <v>70</v>
      </c>
      <c r="B74" s="2" t="s">
        <v>65</v>
      </c>
      <c r="C74" s="2" t="s">
        <v>64</v>
      </c>
      <c r="D74">
        <v>606315</v>
      </c>
      <c r="E74">
        <v>9787</v>
      </c>
      <c r="F74">
        <f t="shared" si="2"/>
        <v>62</v>
      </c>
    </row>
    <row r="75" spans="1:6" x14ac:dyDescent="0.55000000000000004">
      <c r="A75" s="17">
        <v>71</v>
      </c>
      <c r="B75" s="2" t="s">
        <v>63</v>
      </c>
      <c r="C75" s="2" t="s">
        <v>62</v>
      </c>
      <c r="D75">
        <v>251219</v>
      </c>
      <c r="E75">
        <v>9149</v>
      </c>
      <c r="F75">
        <f t="shared" si="2"/>
        <v>27.5</v>
      </c>
    </row>
    <row r="76" spans="1:6" x14ac:dyDescent="0.55000000000000004">
      <c r="A76" s="17">
        <v>72</v>
      </c>
      <c r="B76" s="2" t="s">
        <v>61</v>
      </c>
      <c r="C76" s="2" t="s">
        <v>60</v>
      </c>
      <c r="D76">
        <v>93065</v>
      </c>
      <c r="E76">
        <v>5165</v>
      </c>
      <c r="F76">
        <f t="shared" si="2"/>
        <v>18</v>
      </c>
    </row>
    <row r="77" spans="1:6" x14ac:dyDescent="0.55000000000000004">
      <c r="A77" s="17" t="s">
        <v>163</v>
      </c>
      <c r="B77" t="s">
        <v>79</v>
      </c>
      <c r="C77" s="2" t="s">
        <v>78</v>
      </c>
      <c r="D77">
        <v>1345012</v>
      </c>
      <c r="E77">
        <v>6186</v>
      </c>
      <c r="F77">
        <f t="shared" si="2"/>
        <v>217.4</v>
      </c>
    </row>
  </sheetData>
  <autoFilter ref="A4:F77" xr:uid="{7C915BDC-0E50-4EB6-95A0-CC74E8AA64C6}">
    <sortState xmlns:xlrd2="http://schemas.microsoft.com/office/spreadsheetml/2017/richdata2" ref="A5:F77">
      <sortCondition ref="A4:A77"/>
    </sortState>
  </autoFilter>
  <phoneticPr fontId="1"/>
  <hyperlinks>
    <hyperlink ref="A2" r:id="rId1" xr:uid="{625114E7-6A80-409E-8E39-AF2F8DF4065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250353-7810-437D-97FA-3672A8F9C8E9}">
  <sheetPr codeName="Sheet9">
    <tabColor rgb="FF0F8472"/>
  </sheetPr>
  <dimension ref="A1:AG117"/>
  <sheetViews>
    <sheetView topLeftCell="A97" zoomScale="130" zoomScaleNormal="130" workbookViewId="0">
      <selection activeCell="P47" sqref="P47:Y48"/>
    </sheetView>
  </sheetViews>
  <sheetFormatPr defaultColWidth="3.5" defaultRowHeight="21" customHeight="1" x14ac:dyDescent="0.55000000000000004"/>
  <cols>
    <col min="1" max="16384" width="3.5" style="26"/>
  </cols>
  <sheetData>
    <row r="1" spans="1:33" ht="21" customHeight="1" x14ac:dyDescent="0.55000000000000004">
      <c r="A1" s="64" t="s">
        <v>343</v>
      </c>
    </row>
    <row r="2" spans="1:33" ht="21" customHeight="1" x14ac:dyDescent="0.55000000000000004">
      <c r="B2" s="35" t="s">
        <v>190</v>
      </c>
      <c r="C2" s="34"/>
      <c r="D2" s="34"/>
      <c r="E2" s="34"/>
      <c r="F2" s="34"/>
      <c r="G2" s="34"/>
      <c r="H2" s="34"/>
      <c r="I2" s="34"/>
      <c r="J2" s="34"/>
      <c r="K2" s="34"/>
      <c r="L2" s="34"/>
      <c r="M2" s="34"/>
      <c r="N2" s="34"/>
      <c r="O2" s="34"/>
      <c r="P2" s="34"/>
      <c r="Q2" s="34"/>
      <c r="R2" s="34"/>
      <c r="S2" s="34"/>
      <c r="T2" s="34"/>
      <c r="U2" s="34"/>
      <c r="V2" s="34"/>
      <c r="W2" s="34"/>
      <c r="X2" s="34"/>
      <c r="Y2" s="34"/>
      <c r="Z2" s="34"/>
      <c r="AA2" s="34"/>
      <c r="AB2" s="34"/>
      <c r="AC2" s="34"/>
      <c r="AD2" s="34"/>
      <c r="AE2" s="34"/>
    </row>
    <row r="4" spans="1:33" ht="21" customHeight="1" x14ac:dyDescent="0.55000000000000004">
      <c r="D4" s="35" t="s">
        <v>188</v>
      </c>
      <c r="E4" s="34"/>
      <c r="F4" s="34"/>
      <c r="G4" s="34"/>
      <c r="H4" s="34"/>
      <c r="I4" s="34"/>
      <c r="J4" s="34"/>
      <c r="K4" s="34"/>
      <c r="L4" s="34"/>
      <c r="M4" s="34"/>
      <c r="N4" s="34"/>
      <c r="O4" s="34"/>
      <c r="P4" s="34"/>
      <c r="Q4" s="34"/>
      <c r="R4" s="34"/>
      <c r="S4" s="34"/>
      <c r="T4" s="34"/>
      <c r="U4" s="34"/>
      <c r="V4" s="34"/>
      <c r="W4" s="34"/>
      <c r="X4" s="34"/>
      <c r="Y4" s="34"/>
      <c r="Z4" s="34"/>
      <c r="AA4" s="34"/>
      <c r="AB4" s="34"/>
      <c r="AC4" s="34"/>
      <c r="AD4" s="34"/>
      <c r="AE4" s="34"/>
      <c r="AF4" s="34"/>
      <c r="AG4" s="34"/>
    </row>
    <row r="12" spans="1:33" ht="21" customHeight="1" x14ac:dyDescent="0.55000000000000004">
      <c r="G12" s="26" t="s">
        <v>370</v>
      </c>
    </row>
    <row r="13" spans="1:33" ht="21" customHeight="1" x14ac:dyDescent="0.55000000000000004">
      <c r="F13" s="36" t="s">
        <v>186</v>
      </c>
      <c r="G13" s="26" t="s">
        <v>369</v>
      </c>
    </row>
    <row r="15" spans="1:33" ht="21" customHeight="1" thickBot="1" x14ac:dyDescent="0.45">
      <c r="F15" s="49" t="s">
        <v>201</v>
      </c>
      <c r="Q15" s="49" t="s">
        <v>202</v>
      </c>
    </row>
    <row r="16" spans="1:33" ht="21" customHeight="1" thickTop="1" thickBot="1" x14ac:dyDescent="0.6">
      <c r="A16" s="64" t="s">
        <v>344</v>
      </c>
      <c r="F16" s="65" t="s">
        <v>249</v>
      </c>
      <c r="G16" s="66"/>
      <c r="H16" s="66"/>
      <c r="I16" s="66"/>
      <c r="J16" s="66"/>
      <c r="K16" s="66"/>
      <c r="L16" s="66"/>
      <c r="M16" s="66"/>
      <c r="N16" s="66"/>
      <c r="O16" s="67"/>
      <c r="Q16" s="65" t="s">
        <v>334</v>
      </c>
      <c r="R16" s="66"/>
      <c r="S16" s="66"/>
      <c r="T16" s="67"/>
    </row>
    <row r="17" spans="1:33" ht="21" customHeight="1" thickTop="1" x14ac:dyDescent="0.55000000000000004"/>
    <row r="19" spans="1:33" ht="21" customHeight="1" x14ac:dyDescent="0.55000000000000004">
      <c r="D19" s="35" t="s">
        <v>189</v>
      </c>
      <c r="E19" s="34"/>
      <c r="F19" s="3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c r="AF19" s="34"/>
      <c r="AG19" s="34"/>
    </row>
    <row r="26" spans="1:33" ht="21" customHeight="1" x14ac:dyDescent="0.55000000000000004">
      <c r="H26" s="26" t="s">
        <v>374</v>
      </c>
    </row>
    <row r="27" spans="1:33" ht="21" customHeight="1" x14ac:dyDescent="0.55000000000000004">
      <c r="F27" s="36"/>
      <c r="G27" s="36" t="s">
        <v>186</v>
      </c>
      <c r="H27" s="26" t="s">
        <v>375</v>
      </c>
    </row>
    <row r="28" spans="1:33" ht="21" customHeight="1" x14ac:dyDescent="0.55000000000000004">
      <c r="F28" s="36"/>
    </row>
    <row r="29" spans="1:33" ht="21" customHeight="1" x14ac:dyDescent="0.55000000000000004">
      <c r="G29" s="26" t="s">
        <v>251</v>
      </c>
    </row>
    <row r="30" spans="1:33" ht="21" customHeight="1" thickBot="1" x14ac:dyDescent="0.45">
      <c r="F30" s="49" t="s">
        <v>201</v>
      </c>
      <c r="Q30" s="49" t="s">
        <v>203</v>
      </c>
    </row>
    <row r="31" spans="1:33" ht="21" customHeight="1" thickTop="1" thickBot="1" x14ac:dyDescent="0.6">
      <c r="A31" s="64" t="s">
        <v>371</v>
      </c>
      <c r="F31" s="65" t="s">
        <v>200</v>
      </c>
      <c r="G31" s="66"/>
      <c r="H31" s="66"/>
      <c r="I31" s="66"/>
      <c r="J31" s="66"/>
      <c r="K31" s="66"/>
      <c r="L31" s="66"/>
      <c r="M31" s="66"/>
      <c r="N31" s="66"/>
      <c r="O31" s="67"/>
      <c r="Q31" s="65" t="s">
        <v>341</v>
      </c>
      <c r="R31" s="67"/>
    </row>
    <row r="32" spans="1:33" ht="21" customHeight="1" thickTop="1" x14ac:dyDescent="0.55000000000000004"/>
    <row r="34" spans="4:33" ht="21" customHeight="1" x14ac:dyDescent="0.55000000000000004">
      <c r="D34" s="35" t="s">
        <v>191</v>
      </c>
      <c r="E34" s="34"/>
      <c r="F34" s="34"/>
      <c r="G34" s="34"/>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row>
    <row r="46" spans="4:33" ht="21" customHeight="1" x14ac:dyDescent="0.55000000000000004">
      <c r="F46" s="36" t="s">
        <v>186</v>
      </c>
      <c r="G46" s="26" t="s">
        <v>195</v>
      </c>
    </row>
    <row r="47" spans="4:33" ht="21" customHeight="1" x14ac:dyDescent="0.55000000000000004">
      <c r="F47" s="36"/>
      <c r="P47" s="56" t="s">
        <v>261</v>
      </c>
      <c r="Q47" s="56"/>
      <c r="R47" s="56"/>
      <c r="S47" s="56"/>
      <c r="T47" s="26" t="s">
        <v>379</v>
      </c>
    </row>
    <row r="48" spans="4:33" ht="21" customHeight="1" x14ac:dyDescent="0.55000000000000004">
      <c r="F48" s="36"/>
      <c r="P48" s="36" t="s">
        <v>186</v>
      </c>
      <c r="Q48" s="26" t="s">
        <v>376</v>
      </c>
    </row>
    <row r="49" spans="1:33" ht="21" customHeight="1" x14ac:dyDescent="0.55000000000000004">
      <c r="F49" s="36"/>
      <c r="G49" s="26" t="s">
        <v>252</v>
      </c>
    </row>
    <row r="50" spans="1:33" ht="21" customHeight="1" x14ac:dyDescent="0.55000000000000004">
      <c r="G50" s="26" t="s">
        <v>194</v>
      </c>
    </row>
    <row r="51" spans="1:33" ht="21" customHeight="1" thickBot="1" x14ac:dyDescent="0.45">
      <c r="F51" s="46"/>
      <c r="G51" s="46"/>
      <c r="H51" s="46"/>
      <c r="I51" s="46"/>
      <c r="J51" s="46"/>
      <c r="K51" s="46"/>
      <c r="M51" s="49" t="s">
        <v>204</v>
      </c>
    </row>
    <row r="52" spans="1:33" ht="21" customHeight="1" thickTop="1" thickBot="1" x14ac:dyDescent="0.6">
      <c r="A52" s="64" t="s">
        <v>372</v>
      </c>
      <c r="F52" s="46"/>
      <c r="G52" s="23"/>
      <c r="H52" s="77" t="s">
        <v>174</v>
      </c>
      <c r="I52" s="77"/>
      <c r="J52" s="78"/>
      <c r="K52" s="46"/>
      <c r="M52" s="50" t="s">
        <v>357</v>
      </c>
      <c r="N52" s="51"/>
    </row>
    <row r="53" spans="1:33" ht="21" customHeight="1" thickTop="1" x14ac:dyDescent="0.55000000000000004">
      <c r="F53" s="46"/>
      <c r="G53" s="89" t="s">
        <v>175</v>
      </c>
      <c r="H53" s="90"/>
      <c r="I53" s="90"/>
      <c r="J53" s="91"/>
      <c r="K53" s="46"/>
    </row>
    <row r="54" spans="1:33" ht="21" customHeight="1" x14ac:dyDescent="0.55000000000000004">
      <c r="F54" s="46"/>
      <c r="G54" s="92"/>
      <c r="H54" s="93"/>
      <c r="I54" s="93"/>
      <c r="J54" s="94"/>
      <c r="K54" s="46"/>
    </row>
    <row r="55" spans="1:33" ht="21" customHeight="1" thickBot="1" x14ac:dyDescent="0.6">
      <c r="F55" s="46"/>
      <c r="G55" s="86"/>
      <c r="H55" s="87"/>
      <c r="I55" s="87"/>
      <c r="J55" s="88"/>
      <c r="K55" s="46"/>
    </row>
    <row r="56" spans="1:33" ht="21" customHeight="1" x14ac:dyDescent="0.55000000000000004">
      <c r="F56" s="46"/>
      <c r="G56" s="46"/>
      <c r="H56" s="46"/>
      <c r="I56" s="46"/>
      <c r="J56" s="46"/>
      <c r="K56" s="46"/>
    </row>
    <row r="59" spans="1:33" ht="21" customHeight="1" x14ac:dyDescent="0.55000000000000004">
      <c r="D59" s="35" t="s">
        <v>192</v>
      </c>
      <c r="E59" s="34"/>
      <c r="F59" s="34"/>
      <c r="G59" s="34"/>
      <c r="H59" s="34"/>
      <c r="I59" s="34"/>
      <c r="J59" s="34"/>
      <c r="K59" s="34"/>
      <c r="L59" s="34"/>
      <c r="M59" s="34"/>
      <c r="N59" s="34"/>
      <c r="O59" s="34"/>
      <c r="P59" s="34"/>
      <c r="Q59" s="34"/>
      <c r="R59" s="34"/>
      <c r="S59" s="34"/>
      <c r="T59" s="34"/>
      <c r="U59" s="34"/>
      <c r="V59" s="34"/>
      <c r="W59" s="34"/>
      <c r="X59" s="34"/>
      <c r="Y59" s="34"/>
      <c r="Z59" s="34"/>
      <c r="AA59" s="34"/>
      <c r="AB59" s="34"/>
      <c r="AC59" s="34"/>
      <c r="AD59" s="34"/>
      <c r="AE59" s="34"/>
      <c r="AF59" s="34"/>
      <c r="AG59" s="34"/>
    </row>
    <row r="61" spans="1:33" ht="21" customHeight="1" x14ac:dyDescent="0.55000000000000004">
      <c r="F61" s="36" t="s">
        <v>186</v>
      </c>
      <c r="G61" s="26" t="s">
        <v>197</v>
      </c>
    </row>
    <row r="62" spans="1:33" ht="21" customHeight="1" x14ac:dyDescent="0.55000000000000004">
      <c r="G62" s="26" t="s">
        <v>377</v>
      </c>
    </row>
    <row r="63" spans="1:33" ht="21" customHeight="1" x14ac:dyDescent="0.55000000000000004">
      <c r="G63" s="26" t="s">
        <v>194</v>
      </c>
    </row>
    <row r="64" spans="1:33" ht="21" customHeight="1" thickBot="1" x14ac:dyDescent="0.45">
      <c r="F64" s="47"/>
      <c r="G64" s="47"/>
      <c r="H64" s="47"/>
      <c r="I64" s="47"/>
      <c r="J64" s="47"/>
      <c r="K64" s="47"/>
      <c r="L64" s="47"/>
      <c r="M64" s="47"/>
      <c r="N64" s="47"/>
      <c r="O64" s="47"/>
      <c r="Q64" s="49" t="s">
        <v>205</v>
      </c>
      <c r="V64" s="49" t="s">
        <v>204</v>
      </c>
    </row>
    <row r="65" spans="1:23" ht="21" customHeight="1" thickTop="1" thickBot="1" x14ac:dyDescent="0.6">
      <c r="A65" s="64" t="s">
        <v>373</v>
      </c>
      <c r="F65" s="47"/>
      <c r="G65" s="26" t="s">
        <v>198</v>
      </c>
      <c r="H65" s="95" t="s">
        <v>183</v>
      </c>
      <c r="I65" s="95"/>
      <c r="J65" s="95"/>
      <c r="K65" s="96" t="s">
        <v>182</v>
      </c>
      <c r="L65" s="96"/>
      <c r="M65" s="97" t="s">
        <v>185</v>
      </c>
      <c r="N65" s="97"/>
      <c r="O65" s="47"/>
      <c r="Q65" s="65" t="s">
        <v>378</v>
      </c>
      <c r="R65" s="66"/>
      <c r="S65" s="66"/>
      <c r="T65" s="67"/>
      <c r="V65" s="65" t="s">
        <v>358</v>
      </c>
      <c r="W65" s="67"/>
    </row>
    <row r="66" spans="1:23" ht="21" customHeight="1" thickTop="1" x14ac:dyDescent="0.55000000000000004">
      <c r="F66" s="47"/>
      <c r="G66" s="26">
        <v>1</v>
      </c>
      <c r="H66" s="83"/>
      <c r="I66" s="83"/>
      <c r="J66" s="83"/>
      <c r="K66" s="84"/>
      <c r="L66" s="84"/>
      <c r="M66" s="85"/>
      <c r="N66" s="85"/>
      <c r="O66" s="47"/>
    </row>
    <row r="67" spans="1:23" ht="21" customHeight="1" x14ac:dyDescent="0.55000000000000004">
      <c r="F67" s="47"/>
      <c r="G67" s="26">
        <v>2</v>
      </c>
      <c r="H67" s="83"/>
      <c r="I67" s="83"/>
      <c r="J67" s="83"/>
      <c r="K67" s="84"/>
      <c r="L67" s="84"/>
      <c r="M67" s="85"/>
      <c r="N67" s="85"/>
      <c r="O67" s="47"/>
    </row>
    <row r="68" spans="1:23" ht="21" customHeight="1" x14ac:dyDescent="0.55000000000000004">
      <c r="F68" s="47"/>
      <c r="G68" s="26">
        <v>3</v>
      </c>
      <c r="H68" s="83"/>
      <c r="I68" s="83"/>
      <c r="J68" s="83"/>
      <c r="K68" s="84"/>
      <c r="L68" s="84"/>
      <c r="M68" s="85"/>
      <c r="N68" s="85"/>
      <c r="O68" s="47"/>
    </row>
    <row r="69" spans="1:23" ht="21" customHeight="1" x14ac:dyDescent="0.55000000000000004">
      <c r="F69" s="47"/>
      <c r="G69" s="26">
        <v>4</v>
      </c>
      <c r="H69" s="83"/>
      <c r="I69" s="83"/>
      <c r="J69" s="83"/>
      <c r="K69" s="84"/>
      <c r="L69" s="84"/>
      <c r="M69" s="85"/>
      <c r="N69" s="85"/>
      <c r="O69" s="47"/>
    </row>
    <row r="70" spans="1:23" ht="21" customHeight="1" x14ac:dyDescent="0.55000000000000004">
      <c r="F70" s="47"/>
      <c r="G70" s="26">
        <v>5</v>
      </c>
      <c r="H70" s="83"/>
      <c r="I70" s="83"/>
      <c r="J70" s="83"/>
      <c r="K70" s="84"/>
      <c r="L70" s="84"/>
      <c r="M70" s="85"/>
      <c r="N70" s="85"/>
      <c r="O70" s="47"/>
    </row>
    <row r="71" spans="1:23" ht="21" customHeight="1" x14ac:dyDescent="0.55000000000000004">
      <c r="F71" s="47"/>
      <c r="G71" s="26">
        <v>6</v>
      </c>
      <c r="H71" s="83"/>
      <c r="I71" s="83"/>
      <c r="J71" s="83"/>
      <c r="K71" s="84"/>
      <c r="L71" s="84"/>
      <c r="M71" s="85"/>
      <c r="N71" s="85"/>
      <c r="O71" s="47"/>
    </row>
    <row r="72" spans="1:23" ht="21" customHeight="1" x14ac:dyDescent="0.55000000000000004">
      <c r="F72" s="47"/>
      <c r="G72" s="26">
        <v>7</v>
      </c>
      <c r="H72" s="83"/>
      <c r="I72" s="83"/>
      <c r="J72" s="83"/>
      <c r="K72" s="84"/>
      <c r="L72" s="84"/>
      <c r="M72" s="85"/>
      <c r="N72" s="85"/>
      <c r="O72" s="47"/>
    </row>
    <row r="73" spans="1:23" ht="21" customHeight="1" x14ac:dyDescent="0.55000000000000004">
      <c r="F73" s="47"/>
      <c r="G73" s="26">
        <v>8</v>
      </c>
      <c r="H73" s="83"/>
      <c r="I73" s="83"/>
      <c r="J73" s="83"/>
      <c r="K73" s="84"/>
      <c r="L73" s="84"/>
      <c r="M73" s="85"/>
      <c r="N73" s="85"/>
      <c r="O73" s="47"/>
    </row>
    <row r="74" spans="1:23" ht="21" customHeight="1" x14ac:dyDescent="0.55000000000000004">
      <c r="F74" s="47"/>
      <c r="G74" s="26">
        <v>9</v>
      </c>
      <c r="H74" s="83"/>
      <c r="I74" s="83"/>
      <c r="J74" s="83"/>
      <c r="K74" s="84"/>
      <c r="L74" s="84"/>
      <c r="M74" s="85"/>
      <c r="N74" s="85"/>
      <c r="O74" s="47"/>
    </row>
    <row r="75" spans="1:23" ht="21" customHeight="1" x14ac:dyDescent="0.55000000000000004">
      <c r="F75" s="47"/>
      <c r="G75" s="26">
        <v>10</v>
      </c>
      <c r="H75" s="83"/>
      <c r="I75" s="83"/>
      <c r="J75" s="83"/>
      <c r="K75" s="84"/>
      <c r="L75" s="84"/>
      <c r="M75" s="85"/>
      <c r="N75" s="85"/>
      <c r="O75" s="47"/>
    </row>
    <row r="76" spans="1:23" ht="21" customHeight="1" x14ac:dyDescent="0.55000000000000004">
      <c r="F76" s="47"/>
      <c r="G76" s="26">
        <v>11</v>
      </c>
      <c r="H76" s="83"/>
      <c r="I76" s="83"/>
      <c r="J76" s="83"/>
      <c r="K76" s="84"/>
      <c r="L76" s="84"/>
      <c r="M76" s="85"/>
      <c r="N76" s="85"/>
      <c r="O76" s="47"/>
    </row>
    <row r="77" spans="1:23" ht="21" customHeight="1" x14ac:dyDescent="0.55000000000000004">
      <c r="F77" s="47"/>
      <c r="G77" s="26">
        <v>12</v>
      </c>
      <c r="H77" s="83"/>
      <c r="I77" s="83"/>
      <c r="J77" s="83"/>
      <c r="K77" s="84"/>
      <c r="L77" s="84"/>
      <c r="M77" s="85"/>
      <c r="N77" s="85"/>
      <c r="O77" s="47"/>
    </row>
    <row r="78" spans="1:23" ht="21" customHeight="1" x14ac:dyDescent="0.55000000000000004">
      <c r="F78" s="47"/>
      <c r="G78" s="26">
        <v>13</v>
      </c>
      <c r="H78" s="83"/>
      <c r="I78" s="83"/>
      <c r="J78" s="83"/>
      <c r="K78" s="84"/>
      <c r="L78" s="84"/>
      <c r="M78" s="85"/>
      <c r="N78" s="85"/>
      <c r="O78" s="47"/>
    </row>
    <row r="79" spans="1:23" ht="21" customHeight="1" x14ac:dyDescent="0.55000000000000004">
      <c r="F79" s="47"/>
      <c r="G79" s="26">
        <v>14</v>
      </c>
      <c r="H79" s="83"/>
      <c r="I79" s="83"/>
      <c r="J79" s="83"/>
      <c r="K79" s="84"/>
      <c r="L79" s="84"/>
      <c r="M79" s="85"/>
      <c r="N79" s="85"/>
      <c r="O79" s="47"/>
    </row>
    <row r="80" spans="1:23" ht="21" customHeight="1" x14ac:dyDescent="0.55000000000000004">
      <c r="F80" s="47"/>
      <c r="G80" s="26">
        <v>15</v>
      </c>
      <c r="H80" s="83"/>
      <c r="I80" s="83"/>
      <c r="J80" s="83"/>
      <c r="K80" s="84"/>
      <c r="L80" s="84"/>
      <c r="M80" s="85"/>
      <c r="N80" s="85"/>
      <c r="O80" s="47"/>
    </row>
    <row r="81" spans="4:33" ht="21" customHeight="1" x14ac:dyDescent="0.55000000000000004">
      <c r="F81" s="47"/>
      <c r="G81" s="26">
        <v>16</v>
      </c>
      <c r="H81" s="83"/>
      <c r="I81" s="83"/>
      <c r="J81" s="83"/>
      <c r="K81" s="84"/>
      <c r="L81" s="84"/>
      <c r="M81" s="85"/>
      <c r="N81" s="85"/>
      <c r="O81" s="47"/>
    </row>
    <row r="82" spans="4:33" ht="21" customHeight="1" x14ac:dyDescent="0.55000000000000004">
      <c r="F82" s="47"/>
      <c r="G82" s="26">
        <v>17</v>
      </c>
      <c r="H82" s="83"/>
      <c r="I82" s="83"/>
      <c r="J82" s="83"/>
      <c r="K82" s="84"/>
      <c r="L82" s="84"/>
      <c r="M82" s="85"/>
      <c r="N82" s="85"/>
      <c r="O82" s="47"/>
    </row>
    <row r="83" spans="4:33" ht="21" customHeight="1" x14ac:dyDescent="0.55000000000000004">
      <c r="F83" s="47"/>
      <c r="G83" s="26">
        <v>18</v>
      </c>
      <c r="H83" s="83"/>
      <c r="I83" s="83"/>
      <c r="J83" s="83"/>
      <c r="K83" s="84"/>
      <c r="L83" s="84"/>
      <c r="M83" s="85"/>
      <c r="N83" s="85"/>
      <c r="O83" s="47"/>
    </row>
    <row r="84" spans="4:33" ht="21" customHeight="1" x14ac:dyDescent="0.55000000000000004">
      <c r="F84" s="47"/>
      <c r="G84" s="26">
        <v>19</v>
      </c>
      <c r="H84" s="83"/>
      <c r="I84" s="83"/>
      <c r="J84" s="83"/>
      <c r="K84" s="84"/>
      <c r="L84" s="84"/>
      <c r="M84" s="85"/>
      <c r="N84" s="85"/>
      <c r="O84" s="47"/>
    </row>
    <row r="85" spans="4:33" ht="21" customHeight="1" x14ac:dyDescent="0.55000000000000004">
      <c r="F85" s="47"/>
      <c r="G85" s="26">
        <v>20</v>
      </c>
      <c r="H85" s="83"/>
      <c r="I85" s="83"/>
      <c r="J85" s="83"/>
      <c r="K85" s="84"/>
      <c r="L85" s="84"/>
      <c r="M85" s="85"/>
      <c r="N85" s="85"/>
      <c r="O85" s="47"/>
    </row>
    <row r="86" spans="4:33" ht="21" customHeight="1" x14ac:dyDescent="0.55000000000000004">
      <c r="F86" s="47"/>
      <c r="G86" s="47"/>
      <c r="H86" s="47"/>
      <c r="I86" s="47"/>
      <c r="J86" s="47"/>
      <c r="K86" s="47"/>
      <c r="L86" s="47"/>
      <c r="M86" s="47"/>
      <c r="N86" s="47"/>
      <c r="O86" s="47"/>
    </row>
    <row r="89" spans="4:33" ht="21" customHeight="1" x14ac:dyDescent="0.55000000000000004">
      <c r="D89" s="35" t="s">
        <v>192</v>
      </c>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c r="AE89" s="34"/>
      <c r="AF89" s="34"/>
      <c r="AG89" s="34"/>
    </row>
    <row r="91" spans="4:33" ht="21" customHeight="1" thickBot="1" x14ac:dyDescent="0.6">
      <c r="F91" s="36" t="s">
        <v>186</v>
      </c>
      <c r="G91" s="26" t="s">
        <v>187</v>
      </c>
    </row>
    <row r="92" spans="4:33" ht="21" customHeight="1" x14ac:dyDescent="0.55000000000000004">
      <c r="F92" s="37"/>
      <c r="G92" s="38"/>
      <c r="H92" s="38"/>
      <c r="I92" s="38"/>
      <c r="J92" s="38"/>
      <c r="K92" s="38"/>
      <c r="L92" s="38"/>
      <c r="M92" s="38"/>
      <c r="N92" s="39"/>
    </row>
    <row r="93" spans="4:33" ht="21" customHeight="1" x14ac:dyDescent="0.55000000000000004">
      <c r="F93" s="40"/>
      <c r="N93" s="41"/>
    </row>
    <row r="94" spans="4:33" ht="21" customHeight="1" x14ac:dyDescent="0.55000000000000004">
      <c r="F94" s="40"/>
      <c r="N94" s="41"/>
    </row>
    <row r="95" spans="4:33" ht="21" customHeight="1" thickBot="1" x14ac:dyDescent="0.6">
      <c r="F95" s="42"/>
      <c r="G95" s="43"/>
      <c r="H95" s="43"/>
      <c r="I95" s="43"/>
      <c r="J95" s="43"/>
      <c r="K95" s="43"/>
      <c r="L95" s="43"/>
      <c r="M95" s="43"/>
      <c r="N95" s="44"/>
    </row>
    <row r="114" spans="1:8" ht="21" customHeight="1" x14ac:dyDescent="0.55000000000000004">
      <c r="H114" s="26" t="s">
        <v>253</v>
      </c>
    </row>
    <row r="116" spans="1:8" ht="21" customHeight="1" x14ac:dyDescent="0.55000000000000004">
      <c r="B116" s="26" t="s">
        <v>183</v>
      </c>
    </row>
    <row r="117" spans="1:8" ht="21" customHeight="1" x14ac:dyDescent="0.55000000000000004">
      <c r="A117" s="64" t="s">
        <v>342</v>
      </c>
    </row>
  </sheetData>
  <mergeCells count="73">
    <mergeCell ref="G55:J55"/>
    <mergeCell ref="Q16:T16"/>
    <mergeCell ref="Q65:T65"/>
    <mergeCell ref="V65:W65"/>
    <mergeCell ref="F16:O16"/>
    <mergeCell ref="F31:O31"/>
    <mergeCell ref="H52:J52"/>
    <mergeCell ref="G53:J53"/>
    <mergeCell ref="G54:J54"/>
    <mergeCell ref="H65:J65"/>
    <mergeCell ref="K65:L65"/>
    <mergeCell ref="M65:N65"/>
    <mergeCell ref="Q31:R31"/>
    <mergeCell ref="H66:J66"/>
    <mergeCell ref="K66:L66"/>
    <mergeCell ref="M66:N66"/>
    <mergeCell ref="H67:J67"/>
    <mergeCell ref="K67:L67"/>
    <mergeCell ref="M67:N67"/>
    <mergeCell ref="H68:J68"/>
    <mergeCell ref="K68:L68"/>
    <mergeCell ref="M68:N68"/>
    <mergeCell ref="H69:J69"/>
    <mergeCell ref="K69:L69"/>
    <mergeCell ref="M69:N69"/>
    <mergeCell ref="H70:J70"/>
    <mergeCell ref="K70:L70"/>
    <mergeCell ref="M70:N70"/>
    <mergeCell ref="H71:J71"/>
    <mergeCell ref="K71:L71"/>
    <mergeCell ref="M71:N71"/>
    <mergeCell ref="H72:J72"/>
    <mergeCell ref="K72:L72"/>
    <mergeCell ref="M72:N72"/>
    <mergeCell ref="H73:J73"/>
    <mergeCell ref="K73:L73"/>
    <mergeCell ref="M73:N73"/>
    <mergeCell ref="H74:J74"/>
    <mergeCell ref="K74:L74"/>
    <mergeCell ref="M74:N74"/>
    <mergeCell ref="H75:J75"/>
    <mergeCell ref="K75:L75"/>
    <mergeCell ref="M75:N75"/>
    <mergeCell ref="H76:J76"/>
    <mergeCell ref="K76:L76"/>
    <mergeCell ref="M76:N76"/>
    <mergeCell ref="H77:J77"/>
    <mergeCell ref="K77:L77"/>
    <mergeCell ref="M77:N77"/>
    <mergeCell ref="H78:J78"/>
    <mergeCell ref="K78:L78"/>
    <mergeCell ref="M78:N78"/>
    <mergeCell ref="H79:J79"/>
    <mergeCell ref="K79:L79"/>
    <mergeCell ref="M79:N79"/>
    <mergeCell ref="H80:J80"/>
    <mergeCell ref="K80:L80"/>
    <mergeCell ref="M80:N80"/>
    <mergeCell ref="H81:J81"/>
    <mergeCell ref="K81:L81"/>
    <mergeCell ref="M81:N81"/>
    <mergeCell ref="H82:J82"/>
    <mergeCell ref="K82:L82"/>
    <mergeCell ref="M82:N82"/>
    <mergeCell ref="H85:J85"/>
    <mergeCell ref="K85:L85"/>
    <mergeCell ref="M85:N85"/>
    <mergeCell ref="H83:J83"/>
    <mergeCell ref="K83:L83"/>
    <mergeCell ref="M83:N83"/>
    <mergeCell ref="H84:J84"/>
    <mergeCell ref="K84:L84"/>
    <mergeCell ref="M84:N84"/>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3729" r:id="rId3" name="Button 1">
              <controlPr defaultSize="0" print="0" autoFill="0" autoPict="0" macro="[0]!設定_人口_ボタン1_Click">
                <anchor moveWithCells="1" sizeWithCells="1">
                  <from>
                    <xdr:col>6</xdr:col>
                    <xdr:colOff>82550</xdr:colOff>
                    <xdr:row>91</xdr:row>
                    <xdr:rowOff>184150</xdr:rowOff>
                  </from>
                  <to>
                    <xdr:col>12</xdr:col>
                    <xdr:colOff>139700</xdr:colOff>
                    <xdr:row>94</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24A48-EC68-4D5B-BDCD-72C87F324FC8}">
  <sheetPr codeName="Sheet18"/>
  <dimension ref="A1:CB40"/>
  <sheetViews>
    <sheetView zoomScale="70" zoomScaleNormal="70" workbookViewId="0"/>
  </sheetViews>
  <sheetFormatPr defaultColWidth="3.5" defaultRowHeight="21.15" customHeight="1" x14ac:dyDescent="0.55000000000000004"/>
  <sheetData>
    <row r="1" spans="1:80" ht="21.15" customHeight="1" x14ac:dyDescent="0.55000000000000004">
      <c r="A1" s="162"/>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row>
    <row r="2" spans="1:80" ht="21.15" customHeight="1" thickBot="1" x14ac:dyDescent="0.6">
      <c r="A2" s="162"/>
      <c r="B2" s="163"/>
      <c r="C2" s="163"/>
      <c r="D2" s="163"/>
      <c r="E2" s="163"/>
      <c r="F2" s="163"/>
      <c r="G2" s="163"/>
      <c r="H2" s="163"/>
      <c r="I2" s="163"/>
      <c r="J2" s="163"/>
      <c r="K2" s="163"/>
      <c r="L2" s="163"/>
      <c r="M2" s="163"/>
      <c r="N2" s="163"/>
      <c r="O2" s="163"/>
      <c r="P2" s="163"/>
      <c r="Q2" s="163"/>
      <c r="R2" s="163"/>
      <c r="S2" s="163"/>
      <c r="T2" s="163"/>
      <c r="U2" s="163"/>
      <c r="V2" s="163"/>
      <c r="W2" s="163"/>
      <c r="X2" s="163"/>
      <c r="Y2" s="163"/>
      <c r="Z2" s="163"/>
      <c r="AA2" s="163"/>
      <c r="AB2" s="163"/>
      <c r="AC2" s="163"/>
      <c r="AD2" s="163"/>
      <c r="AE2" s="163"/>
      <c r="AF2" s="163"/>
      <c r="AG2" s="163"/>
      <c r="AH2" s="163"/>
      <c r="AI2" s="163"/>
      <c r="AJ2" s="163"/>
      <c r="AK2" s="163"/>
      <c r="AL2" s="163"/>
      <c r="AM2" s="163"/>
      <c r="AN2" s="163"/>
      <c r="AO2" s="163"/>
      <c r="AP2" s="163"/>
      <c r="AQ2" s="163"/>
      <c r="AR2" s="163"/>
      <c r="AS2" s="163"/>
      <c r="AT2" s="163"/>
      <c r="AU2" s="163"/>
      <c r="AV2" s="163"/>
      <c r="AW2" s="163"/>
      <c r="AX2" s="163"/>
      <c r="AY2" s="163"/>
      <c r="AZ2" s="163"/>
      <c r="BA2" s="163"/>
      <c r="BB2" s="163"/>
      <c r="BC2" s="163"/>
      <c r="BD2" s="163"/>
      <c r="BE2" s="163"/>
      <c r="BF2" s="163"/>
      <c r="BG2" s="163"/>
      <c r="BH2" s="163"/>
      <c r="BI2" s="163"/>
      <c r="BJ2" s="163"/>
      <c r="BK2" s="163"/>
      <c r="BL2" s="163"/>
      <c r="BM2" s="163"/>
      <c r="BN2" s="163"/>
      <c r="BO2" s="163"/>
      <c r="BP2" s="163"/>
      <c r="BQ2" s="163"/>
      <c r="BR2" s="163"/>
      <c r="BS2" s="163"/>
      <c r="BT2" s="163"/>
      <c r="BU2" s="163"/>
      <c r="BV2" s="163"/>
      <c r="BW2" s="163"/>
      <c r="BX2" s="163"/>
      <c r="BY2" s="163"/>
      <c r="BZ2" s="163"/>
      <c r="CA2" s="163"/>
      <c r="CB2" s="162"/>
    </row>
    <row r="3" spans="1:80" ht="21.15" customHeight="1" x14ac:dyDescent="0.55000000000000004">
      <c r="A3" s="162"/>
      <c r="B3" s="163"/>
      <c r="C3" s="182"/>
      <c r="D3" s="166" t="s">
        <v>236</v>
      </c>
      <c r="E3" s="239"/>
      <c r="F3" s="240"/>
      <c r="G3" s="164" t="s">
        <v>225</v>
      </c>
      <c r="H3" s="163"/>
      <c r="I3" s="163"/>
      <c r="J3" s="163"/>
      <c r="K3" s="164" t="s">
        <v>224</v>
      </c>
      <c r="L3" s="163"/>
      <c r="M3" s="163"/>
      <c r="N3" s="163"/>
      <c r="O3" s="164" t="s">
        <v>223</v>
      </c>
      <c r="P3" s="163"/>
      <c r="Q3" s="163"/>
      <c r="R3" s="163"/>
      <c r="S3" s="164" t="s">
        <v>222</v>
      </c>
      <c r="T3" s="163"/>
      <c r="U3" s="163"/>
      <c r="V3" s="163"/>
      <c r="W3" s="164" t="s">
        <v>221</v>
      </c>
      <c r="X3" s="163"/>
      <c r="Y3" s="163"/>
      <c r="Z3" s="163"/>
      <c r="AA3" s="164" t="s">
        <v>220</v>
      </c>
      <c r="AB3" s="163"/>
      <c r="AC3" s="163"/>
      <c r="AD3" s="163"/>
      <c r="AE3" s="164" t="s">
        <v>219</v>
      </c>
      <c r="AF3" s="163"/>
      <c r="AG3" s="163"/>
      <c r="AH3" s="163"/>
      <c r="AI3" s="164" t="s">
        <v>218</v>
      </c>
      <c r="AJ3" s="163"/>
      <c r="AK3" s="163"/>
      <c r="AL3" s="163"/>
      <c r="AM3" s="164" t="s">
        <v>217</v>
      </c>
      <c r="AN3" s="163"/>
      <c r="AO3" s="163"/>
      <c r="AP3" s="163"/>
      <c r="AQ3" s="164" t="s">
        <v>216</v>
      </c>
      <c r="AR3" s="163"/>
      <c r="AS3" s="163"/>
      <c r="AT3" s="163"/>
      <c r="AU3" s="164" t="s">
        <v>215</v>
      </c>
      <c r="AV3" s="163"/>
      <c r="AW3" s="163"/>
      <c r="AX3" s="163"/>
      <c r="AY3" s="164" t="s">
        <v>214</v>
      </c>
      <c r="AZ3" s="163"/>
      <c r="BA3" s="163"/>
      <c r="BB3" s="163"/>
      <c r="BC3" s="164" t="s">
        <v>213</v>
      </c>
      <c r="BD3" s="163"/>
      <c r="BE3" s="163"/>
      <c r="BF3" s="163"/>
      <c r="BG3" s="164" t="s">
        <v>212</v>
      </c>
      <c r="BH3" s="163"/>
      <c r="BI3" s="163"/>
      <c r="BJ3" s="163"/>
      <c r="BK3" s="164" t="s">
        <v>211</v>
      </c>
      <c r="BL3" s="163"/>
      <c r="BM3" s="163"/>
      <c r="BN3" s="163"/>
      <c r="BO3" s="164" t="s">
        <v>210</v>
      </c>
      <c r="BP3" s="163"/>
      <c r="BQ3" s="163"/>
      <c r="BR3" s="163"/>
      <c r="BS3" s="164" t="s">
        <v>209</v>
      </c>
      <c r="BT3" s="163"/>
      <c r="BU3" s="163"/>
      <c r="BV3" s="163"/>
      <c r="BW3" s="163"/>
      <c r="BX3" s="163"/>
      <c r="BY3" s="163"/>
      <c r="BZ3" s="163"/>
      <c r="CA3" s="163"/>
      <c r="CB3" s="162"/>
    </row>
    <row r="4" spans="1:80" ht="21.15" customHeight="1" x14ac:dyDescent="0.55000000000000004">
      <c r="A4" s="162"/>
      <c r="B4" s="163"/>
      <c r="C4" s="242" t="s">
        <v>255</v>
      </c>
      <c r="D4" s="238"/>
      <c r="E4" s="238"/>
      <c r="F4" s="241"/>
      <c r="G4" s="163"/>
      <c r="H4" s="163"/>
      <c r="I4" s="163"/>
      <c r="J4" s="163"/>
      <c r="K4" s="163"/>
      <c r="L4" s="163"/>
      <c r="M4" s="163"/>
      <c r="N4" s="163"/>
      <c r="O4" s="163"/>
      <c r="P4" s="163"/>
      <c r="Q4" s="163"/>
      <c r="R4" s="163"/>
      <c r="S4" s="163"/>
      <c r="T4" s="163"/>
      <c r="U4" s="163"/>
      <c r="V4" s="163"/>
      <c r="W4" s="163"/>
      <c r="X4" s="163"/>
      <c r="Y4" s="163"/>
      <c r="Z4" s="163"/>
      <c r="AA4" s="163"/>
      <c r="AB4" s="163"/>
      <c r="AC4" s="163"/>
      <c r="AD4" s="163"/>
      <c r="AE4" s="163"/>
      <c r="AF4" s="163"/>
      <c r="AG4" s="163"/>
      <c r="AH4" s="163"/>
      <c r="AI4" s="163"/>
      <c r="AJ4" s="163"/>
      <c r="AK4" s="163"/>
      <c r="AL4" s="163"/>
      <c r="AM4" s="163"/>
      <c r="AN4" s="163"/>
      <c r="AO4" s="163"/>
      <c r="AP4" s="163"/>
      <c r="AQ4" s="163"/>
      <c r="AR4" s="163"/>
      <c r="AS4" s="163"/>
      <c r="AT4" s="163"/>
      <c r="AU4" s="163"/>
      <c r="AV4" s="163"/>
      <c r="AW4" s="163"/>
      <c r="AX4" s="163"/>
      <c r="AY4" s="163"/>
      <c r="AZ4" s="163"/>
      <c r="BA4" s="163"/>
      <c r="BB4" s="163"/>
      <c r="BC4" s="163"/>
      <c r="BD4" s="163"/>
      <c r="BE4" s="163"/>
      <c r="BF4" s="163"/>
      <c r="BG4" s="163"/>
      <c r="BH4" s="163"/>
      <c r="BI4" s="163"/>
      <c r="BJ4" s="163"/>
      <c r="BK4" s="163"/>
      <c r="BL4" s="163"/>
      <c r="BM4" s="163"/>
      <c r="BN4" s="163"/>
      <c r="BO4" s="163"/>
      <c r="BP4" s="163"/>
      <c r="BQ4" s="163"/>
      <c r="BR4" s="163"/>
      <c r="BS4" s="163"/>
      <c r="BT4" s="163"/>
      <c r="BU4" s="163"/>
      <c r="BV4" s="163"/>
      <c r="BW4" s="163"/>
      <c r="BX4" s="163"/>
      <c r="BY4" s="163"/>
      <c r="BZ4" s="163"/>
      <c r="CA4" s="163"/>
      <c r="CB4" s="162"/>
    </row>
    <row r="5" spans="1:80" ht="21.15" customHeight="1" x14ac:dyDescent="0.55000000000000004">
      <c r="A5" s="162"/>
      <c r="B5" s="163"/>
      <c r="C5" s="185"/>
      <c r="D5" s="193"/>
      <c r="E5" s="193"/>
      <c r="F5" s="243"/>
      <c r="G5" s="163"/>
      <c r="H5" s="163"/>
      <c r="I5" s="163"/>
      <c r="J5" s="163"/>
      <c r="K5" s="163"/>
      <c r="L5" s="163"/>
      <c r="M5" s="163"/>
      <c r="N5" s="163"/>
      <c r="O5" s="163"/>
      <c r="P5" s="163"/>
      <c r="Q5" s="163"/>
      <c r="R5" s="163"/>
      <c r="S5" s="163"/>
      <c r="T5" s="163"/>
      <c r="U5" s="163"/>
      <c r="V5" s="163"/>
      <c r="W5" s="163"/>
      <c r="X5" s="163"/>
      <c r="Y5" s="163"/>
      <c r="Z5" s="163"/>
      <c r="AA5" s="163"/>
      <c r="AB5" s="163"/>
      <c r="AC5" s="163"/>
      <c r="AD5" s="163"/>
      <c r="AE5" s="163"/>
      <c r="AF5" s="163"/>
      <c r="AG5" s="163"/>
      <c r="AH5" s="163"/>
      <c r="AI5" s="163"/>
      <c r="AJ5" s="163"/>
      <c r="AK5" s="163"/>
      <c r="AL5" s="163"/>
      <c r="AM5" s="163"/>
      <c r="AN5" s="163"/>
      <c r="AO5" s="163"/>
      <c r="AP5" s="163"/>
      <c r="AQ5" s="163"/>
      <c r="AR5" s="163"/>
      <c r="AS5" s="163"/>
      <c r="AT5" s="163"/>
      <c r="AU5" s="163"/>
      <c r="AV5" s="163"/>
      <c r="AW5" s="163"/>
      <c r="AX5" s="163"/>
      <c r="AY5" s="163"/>
      <c r="AZ5" s="163"/>
      <c r="BA5" s="163"/>
      <c r="BB5" s="163"/>
      <c r="BC5" s="163"/>
      <c r="BD5" s="163"/>
      <c r="BE5" s="163"/>
      <c r="BF5" s="163"/>
      <c r="BG5" s="163"/>
      <c r="BH5" s="163"/>
      <c r="BI5" s="163"/>
      <c r="BJ5" s="163"/>
      <c r="BK5" s="163"/>
      <c r="BL5" s="163"/>
      <c r="BM5" s="163"/>
      <c r="BN5" s="163"/>
      <c r="BO5" s="163"/>
      <c r="BP5" s="163"/>
      <c r="BQ5" s="163"/>
      <c r="BR5" s="163"/>
      <c r="BS5" s="163"/>
      <c r="BT5" s="163"/>
      <c r="BU5" s="163"/>
      <c r="BV5" s="163"/>
      <c r="BW5" s="163"/>
      <c r="BX5" s="163"/>
      <c r="BY5" s="163"/>
      <c r="BZ5" s="163"/>
      <c r="CA5" s="163"/>
      <c r="CB5" s="162"/>
    </row>
    <row r="6" spans="1:80" ht="21.15" customHeight="1" thickBot="1" x14ac:dyDescent="0.6">
      <c r="A6" s="162"/>
      <c r="B6" s="163"/>
      <c r="C6" s="186"/>
      <c r="D6" s="212"/>
      <c r="E6" s="212"/>
      <c r="F6" s="244"/>
      <c r="G6" s="163"/>
      <c r="H6" s="163"/>
      <c r="I6" s="163"/>
      <c r="J6" s="163"/>
      <c r="K6" s="163"/>
      <c r="L6" s="163"/>
      <c r="M6" s="163"/>
      <c r="N6" s="163"/>
      <c r="O6" s="163"/>
      <c r="P6" s="163"/>
      <c r="Q6" s="163"/>
      <c r="R6" s="163"/>
      <c r="S6" s="163"/>
      <c r="T6" s="163"/>
      <c r="U6" s="163"/>
      <c r="V6" s="163"/>
      <c r="W6" s="163"/>
      <c r="X6" s="163"/>
      <c r="Y6" s="163"/>
      <c r="Z6" s="163"/>
      <c r="AA6" s="163"/>
      <c r="AB6" s="163"/>
      <c r="AC6" s="163"/>
      <c r="AD6" s="163"/>
      <c r="AE6" s="163"/>
      <c r="AF6" s="163"/>
      <c r="AG6" s="163"/>
      <c r="AH6" s="163"/>
      <c r="AI6" s="163"/>
      <c r="AJ6" s="163"/>
      <c r="AK6" s="163"/>
      <c r="AL6" s="163"/>
      <c r="AM6" s="163"/>
      <c r="AN6" s="163"/>
      <c r="AO6" s="163"/>
      <c r="AP6" s="163"/>
      <c r="AQ6" s="163"/>
      <c r="AR6" s="163"/>
      <c r="AS6" s="163"/>
      <c r="AT6" s="163"/>
      <c r="AU6" s="163"/>
      <c r="AV6" s="163"/>
      <c r="AW6" s="163"/>
      <c r="AX6" s="163"/>
      <c r="AY6" s="163"/>
      <c r="AZ6" s="163"/>
      <c r="BA6" s="163"/>
      <c r="BB6" s="163"/>
      <c r="BC6" s="163"/>
      <c r="BD6" s="163"/>
      <c r="BE6" s="163"/>
      <c r="BF6" s="163"/>
      <c r="BG6" s="163"/>
      <c r="BH6" s="163"/>
      <c r="BI6" s="163"/>
      <c r="BJ6" s="163"/>
      <c r="BK6" s="163"/>
      <c r="BL6" s="163"/>
      <c r="BM6" s="163"/>
      <c r="BN6" s="163"/>
      <c r="BO6" s="163"/>
      <c r="BP6" s="163"/>
      <c r="BQ6" s="163"/>
      <c r="BR6" s="163"/>
      <c r="BS6" s="163"/>
      <c r="BT6" s="163"/>
      <c r="BU6" s="163"/>
      <c r="BV6" s="163"/>
      <c r="BW6" s="163"/>
      <c r="BX6" s="163"/>
      <c r="BY6" s="163"/>
      <c r="BZ6" s="163"/>
      <c r="CA6" s="163"/>
      <c r="CB6" s="162"/>
    </row>
    <row r="7" spans="1:80" ht="21.15" customHeight="1" x14ac:dyDescent="0.55000000000000004">
      <c r="A7" s="162"/>
      <c r="B7" s="163"/>
      <c r="C7" s="164" t="s">
        <v>208</v>
      </c>
      <c r="D7" s="163"/>
      <c r="E7" s="163"/>
      <c r="F7" s="170"/>
      <c r="G7" s="167">
        <v>1</v>
      </c>
      <c r="H7" s="166" t="str">
        <f>VLOOKUP(G7,市町村データ領域,MATCH(手順書_市町村なまえ!$H$52, 市町村データヘッダー, 0),FALSE)</f>
        <v>上里町</v>
      </c>
      <c r="I7" s="102"/>
      <c r="J7" s="103"/>
      <c r="K7" s="167">
        <v>2</v>
      </c>
      <c r="L7" s="166" t="str">
        <f>VLOOKUP(K7,市町村データ領域,MATCH(手順書_市町村なまえ!$H$52, 市町村データヘッダー, 0),FALSE)</f>
        <v>本庄市</v>
      </c>
      <c r="M7" s="102"/>
      <c r="N7" s="103"/>
      <c r="O7" s="167">
        <v>3</v>
      </c>
      <c r="P7" s="166" t="str">
        <f>VLOOKUP(O7,市町村データ領域,MATCH(手順書_市町村なまえ!$H$52, 市町村データヘッダー, 0),FALSE)</f>
        <v>深谷市</v>
      </c>
      <c r="Q7" s="102"/>
      <c r="R7" s="102"/>
      <c r="S7" s="169"/>
      <c r="T7" s="169"/>
      <c r="U7" s="169"/>
      <c r="V7" s="168"/>
      <c r="W7" s="167">
        <v>4</v>
      </c>
      <c r="X7" s="166" t="str">
        <f>VLOOKUP(W7,市町村データ領域,MATCH(手順書_市町村なまえ!$H$52, 市町村データヘッダー, 0),FALSE)</f>
        <v>熊谷市</v>
      </c>
      <c r="Y7" s="102"/>
      <c r="Z7" s="102"/>
      <c r="AA7" s="169"/>
      <c r="AB7" s="169"/>
      <c r="AC7" s="169"/>
      <c r="AD7" s="169"/>
      <c r="AE7" s="169"/>
      <c r="AF7" s="169"/>
      <c r="AG7" s="169"/>
      <c r="AH7" s="169"/>
      <c r="AI7" s="169"/>
      <c r="AJ7" s="169"/>
      <c r="AK7" s="169"/>
      <c r="AL7" s="169"/>
      <c r="AM7" s="169"/>
      <c r="AN7" s="169"/>
      <c r="AO7" s="169"/>
      <c r="AP7" s="168"/>
      <c r="AQ7" s="167">
        <v>5</v>
      </c>
      <c r="AR7" s="166" t="str">
        <f>VLOOKUP(AQ7,市町村データ領域,MATCH(手順書_市町村なまえ!$H$52, 市町村データヘッダー, 0),FALSE)</f>
        <v>行田市</v>
      </c>
      <c r="AS7" s="102"/>
      <c r="AT7" s="103"/>
      <c r="AU7" s="167">
        <v>6</v>
      </c>
      <c r="AV7" s="166" t="str">
        <f>VLOOKUP(AU7,市町村データ領域,MATCH(手順書_市町村なまえ!$H$52, 市町村データヘッダー, 0),FALSE)</f>
        <v>羽生市</v>
      </c>
      <c r="AW7" s="102"/>
      <c r="AX7" s="103"/>
      <c r="AY7" s="163"/>
      <c r="AZ7" s="163"/>
      <c r="BA7" s="163"/>
      <c r="BB7" s="163"/>
      <c r="BC7" s="163"/>
      <c r="BD7" s="163"/>
      <c r="BE7" s="163"/>
      <c r="BF7" s="163"/>
      <c r="BG7" s="163"/>
      <c r="BH7" s="163"/>
      <c r="BI7" s="163"/>
      <c r="BJ7" s="163"/>
      <c r="BK7" s="163"/>
      <c r="BL7" s="163"/>
      <c r="BM7" s="163"/>
      <c r="BN7" s="163"/>
      <c r="BO7" s="165"/>
      <c r="BP7" s="163"/>
      <c r="BQ7" s="163"/>
      <c r="BR7" s="163"/>
      <c r="BS7" s="163"/>
      <c r="BT7" s="163"/>
      <c r="BU7" s="163"/>
      <c r="BV7" s="163"/>
      <c r="BW7" s="163"/>
      <c r="BX7" s="163"/>
      <c r="BY7" s="163"/>
      <c r="BZ7" s="163"/>
      <c r="CA7" s="163"/>
      <c r="CB7" s="162"/>
    </row>
    <row r="8" spans="1:80" ht="21.15" customHeight="1" x14ac:dyDescent="0.55000000000000004">
      <c r="A8" s="162"/>
      <c r="B8" s="163"/>
      <c r="C8" s="163"/>
      <c r="D8" s="163"/>
      <c r="E8" s="163"/>
      <c r="F8" s="170"/>
      <c r="G8" s="172" t="str">
        <f>VLOOKUP(G7,市町村データ領域,MATCH(手順書_市町村なまえ!$G$53, 市町村データヘッダー, 0),FALSE)</f>
        <v>かみさとまち</v>
      </c>
      <c r="H8" s="173"/>
      <c r="I8" s="173"/>
      <c r="J8" s="101"/>
      <c r="K8" s="172" t="str">
        <f>VLOOKUP(K7,市町村データ領域,MATCH(手順書_市町村なまえ!$G$53, 市町村データヘッダー, 0),FALSE)</f>
        <v>ほんじょうし</v>
      </c>
      <c r="L8" s="173"/>
      <c r="M8" s="173"/>
      <c r="N8" s="101"/>
      <c r="O8" s="172" t="str">
        <f>VLOOKUP(O7,市町村データ領域,MATCH(手順書_市町村なまえ!$G$53, 市町村データヘッダー, 0),FALSE)</f>
        <v>ふかやし</v>
      </c>
      <c r="P8" s="173"/>
      <c r="Q8" s="173"/>
      <c r="R8" s="173"/>
      <c r="S8" s="163"/>
      <c r="T8" s="163"/>
      <c r="U8" s="163"/>
      <c r="V8" s="170"/>
      <c r="W8" s="172" t="str">
        <f>VLOOKUP(W7,市町村データ領域,MATCH(手順書_市町村なまえ!$G$53, 市町村データヘッダー, 0),FALSE)</f>
        <v>くまがやし</v>
      </c>
      <c r="X8" s="173"/>
      <c r="Y8" s="173"/>
      <c r="Z8" s="173"/>
      <c r="AA8" s="163"/>
      <c r="AB8" s="163"/>
      <c r="AC8" s="163"/>
      <c r="AD8" s="163"/>
      <c r="AE8" s="163"/>
      <c r="AF8" s="163"/>
      <c r="AG8" s="163"/>
      <c r="AH8" s="163"/>
      <c r="AI8" s="163"/>
      <c r="AJ8" s="163"/>
      <c r="AK8" s="163"/>
      <c r="AL8" s="163"/>
      <c r="AM8" s="163"/>
      <c r="AN8" s="163"/>
      <c r="AO8" s="163"/>
      <c r="AP8" s="170"/>
      <c r="AQ8" s="172" t="str">
        <f>VLOOKUP(AQ7,市町村データ領域,MATCH(手順書_市町村なまえ!$G$53, 市町村データヘッダー, 0),FALSE)</f>
        <v>ぎょうだし</v>
      </c>
      <c r="AR8" s="173"/>
      <c r="AS8" s="173"/>
      <c r="AT8" s="101"/>
      <c r="AU8" s="172" t="str">
        <f>VLOOKUP(AU7,市町村データ領域,MATCH(手順書_市町村なまえ!$G$53, 市町村データヘッダー, 0),FALSE)</f>
        <v>はにゅうし</v>
      </c>
      <c r="AV8" s="173"/>
      <c r="AW8" s="173"/>
      <c r="AX8" s="101"/>
      <c r="AY8" s="163"/>
      <c r="AZ8" s="163"/>
      <c r="BA8" s="163"/>
      <c r="BB8" s="163"/>
      <c r="BC8" s="163"/>
      <c r="BD8" s="163"/>
      <c r="BE8" s="163"/>
      <c r="BF8" s="163"/>
      <c r="BG8" s="163"/>
      <c r="BH8" s="163"/>
      <c r="BI8" s="163"/>
      <c r="BJ8" s="163"/>
      <c r="BK8" s="163"/>
      <c r="BL8" s="163"/>
      <c r="BM8" s="163"/>
      <c r="BN8" s="163"/>
      <c r="BO8" s="163"/>
      <c r="BP8" s="163"/>
      <c r="BQ8" s="163"/>
      <c r="BR8" s="163"/>
      <c r="BS8" s="163"/>
      <c r="BT8" s="163"/>
      <c r="BU8" s="163"/>
      <c r="BV8" s="163"/>
      <c r="BW8" s="171"/>
      <c r="BX8" s="163"/>
      <c r="BY8" s="163"/>
      <c r="BZ8" s="163"/>
      <c r="CA8" s="163"/>
      <c r="CB8" s="162"/>
    </row>
    <row r="9" spans="1:80" ht="21.15" customHeight="1" x14ac:dyDescent="0.55000000000000004">
      <c r="A9" s="162"/>
      <c r="B9" s="163"/>
      <c r="C9" s="163"/>
      <c r="D9" s="163"/>
      <c r="E9" s="163"/>
      <c r="F9" s="170"/>
      <c r="G9" s="187"/>
      <c r="H9" s="188"/>
      <c r="I9" s="188"/>
      <c r="J9" s="98"/>
      <c r="K9" s="187"/>
      <c r="L9" s="188"/>
      <c r="M9" s="188"/>
      <c r="N9" s="98"/>
      <c r="O9" s="187"/>
      <c r="P9" s="188"/>
      <c r="Q9" s="188"/>
      <c r="R9" s="188"/>
      <c r="S9" s="163"/>
      <c r="T9" s="163"/>
      <c r="U9" s="163"/>
      <c r="V9" s="170"/>
      <c r="W9" s="187"/>
      <c r="X9" s="188"/>
      <c r="Y9" s="188"/>
      <c r="Z9" s="188"/>
      <c r="AA9" s="163"/>
      <c r="AB9" s="163"/>
      <c r="AC9" s="163"/>
      <c r="AD9" s="163"/>
      <c r="AE9" s="163"/>
      <c r="AF9" s="163"/>
      <c r="AG9" s="163"/>
      <c r="AH9" s="163"/>
      <c r="AI9" s="163"/>
      <c r="AJ9" s="163"/>
      <c r="AK9" s="163"/>
      <c r="AL9" s="163"/>
      <c r="AM9" s="163"/>
      <c r="AN9" s="163"/>
      <c r="AO9" s="163"/>
      <c r="AP9" s="170"/>
      <c r="AQ9" s="187"/>
      <c r="AR9" s="188"/>
      <c r="AS9" s="188"/>
      <c r="AT9" s="98"/>
      <c r="AU9" s="187"/>
      <c r="AV9" s="188"/>
      <c r="AW9" s="188"/>
      <c r="AX9" s="98"/>
      <c r="AY9" s="163"/>
      <c r="AZ9" s="163"/>
      <c r="BA9" s="163"/>
      <c r="BB9" s="163"/>
      <c r="BC9" s="163"/>
      <c r="BD9" s="163"/>
      <c r="BE9" s="163"/>
      <c r="BF9" s="163"/>
      <c r="BG9" s="163"/>
      <c r="BH9" s="163"/>
      <c r="BI9" s="163"/>
      <c r="BJ9" s="163"/>
      <c r="BK9" s="163"/>
      <c r="BL9" s="163"/>
      <c r="BM9" s="163"/>
      <c r="BN9" s="163"/>
      <c r="BO9" s="163"/>
      <c r="BP9" s="163"/>
      <c r="BQ9" s="163"/>
      <c r="BR9" s="163"/>
      <c r="BS9" s="163"/>
      <c r="BT9" s="163"/>
      <c r="BU9" s="163"/>
      <c r="BV9" s="163"/>
      <c r="BW9" s="171"/>
      <c r="BX9" s="163"/>
      <c r="BY9" s="163"/>
      <c r="BZ9" s="163"/>
      <c r="CA9" s="163"/>
      <c r="CB9" s="162"/>
    </row>
    <row r="10" spans="1:80" ht="21.15" customHeight="1" thickBot="1" x14ac:dyDescent="0.6">
      <c r="A10" s="162"/>
      <c r="B10" s="163"/>
      <c r="C10" s="163"/>
      <c r="D10" s="163"/>
      <c r="E10" s="163"/>
      <c r="F10" s="170"/>
      <c r="G10" s="189"/>
      <c r="H10" s="99"/>
      <c r="I10" s="99"/>
      <c r="J10" s="100"/>
      <c r="K10" s="190"/>
      <c r="L10" s="188"/>
      <c r="M10" s="188"/>
      <c r="N10" s="98"/>
      <c r="O10" s="189"/>
      <c r="P10" s="99"/>
      <c r="Q10" s="99"/>
      <c r="R10" s="99"/>
      <c r="S10" s="163"/>
      <c r="T10" s="163"/>
      <c r="U10" s="163"/>
      <c r="V10" s="170"/>
      <c r="W10" s="190"/>
      <c r="X10" s="188"/>
      <c r="Y10" s="188"/>
      <c r="Z10" s="188"/>
      <c r="AA10" s="163"/>
      <c r="AB10" s="163"/>
      <c r="AC10" s="163"/>
      <c r="AD10" s="163"/>
      <c r="AE10" s="163"/>
      <c r="AF10" s="163"/>
      <c r="AG10" s="163"/>
      <c r="AH10" s="163"/>
      <c r="AI10" s="163"/>
      <c r="AJ10" s="163"/>
      <c r="AK10" s="163"/>
      <c r="AL10" s="163"/>
      <c r="AM10" s="163"/>
      <c r="AN10" s="163"/>
      <c r="AO10" s="163"/>
      <c r="AP10" s="170"/>
      <c r="AQ10" s="189"/>
      <c r="AR10" s="99"/>
      <c r="AS10" s="99"/>
      <c r="AT10" s="100"/>
      <c r="AU10" s="189"/>
      <c r="AV10" s="99"/>
      <c r="AW10" s="99"/>
      <c r="AX10" s="100"/>
      <c r="AY10" s="163"/>
      <c r="AZ10" s="163"/>
      <c r="BA10" s="163"/>
      <c r="BB10" s="163"/>
      <c r="BC10" s="163"/>
      <c r="BD10" s="163"/>
      <c r="BE10" s="163"/>
      <c r="BF10" s="163"/>
      <c r="BG10" s="163"/>
      <c r="BH10" s="163"/>
      <c r="BI10" s="163"/>
      <c r="BJ10" s="163"/>
      <c r="BK10" s="163"/>
      <c r="BL10" s="163"/>
      <c r="BM10" s="163"/>
      <c r="BN10" s="163"/>
      <c r="BO10" s="163"/>
      <c r="BP10" s="163"/>
      <c r="BQ10" s="163"/>
      <c r="BR10" s="163"/>
      <c r="BS10" s="163"/>
      <c r="BT10" s="163"/>
      <c r="BU10" s="163"/>
      <c r="BV10" s="163"/>
      <c r="BW10" s="171"/>
      <c r="BX10" s="163"/>
      <c r="BY10" s="163"/>
      <c r="BZ10" s="163"/>
      <c r="CA10" s="163"/>
      <c r="CB10" s="162"/>
    </row>
    <row r="11" spans="1:80" ht="21.15" customHeight="1" x14ac:dyDescent="0.55000000000000004">
      <c r="A11" s="162"/>
      <c r="B11" s="163"/>
      <c r="C11" s="164" t="s">
        <v>226</v>
      </c>
      <c r="D11" s="163"/>
      <c r="E11" s="163"/>
      <c r="F11" s="170"/>
      <c r="G11" s="167">
        <v>7</v>
      </c>
      <c r="H11" s="166" t="str">
        <f>VLOOKUP(G11,市町村データ領域,MATCH(手順書_市町村なまえ!$H$52, 市町村データヘッダー, 0),FALSE)</f>
        <v>神川町</v>
      </c>
      <c r="I11" s="102"/>
      <c r="J11" s="103"/>
      <c r="K11" s="163"/>
      <c r="L11" s="163"/>
      <c r="M11" s="163"/>
      <c r="N11" s="170"/>
      <c r="O11" s="167">
        <v>8</v>
      </c>
      <c r="P11" s="166" t="str">
        <f>VLOOKUP(O11,市町村データ領域,MATCH(手順書_市町村なまえ!$H$52, 市町村データヘッダー, 0),FALSE)</f>
        <v>美里町</v>
      </c>
      <c r="Q11" s="102"/>
      <c r="R11" s="103"/>
      <c r="S11" s="163"/>
      <c r="T11" s="163"/>
      <c r="U11" s="163"/>
      <c r="V11" s="170"/>
      <c r="W11" s="163"/>
      <c r="X11" s="163"/>
      <c r="Y11" s="163"/>
      <c r="Z11" s="163"/>
      <c r="AA11" s="163"/>
      <c r="AB11" s="163"/>
      <c r="AC11" s="163"/>
      <c r="AD11" s="163"/>
      <c r="AE11" s="163"/>
      <c r="AF11" s="163"/>
      <c r="AG11" s="163"/>
      <c r="AH11" s="163"/>
      <c r="AI11" s="163"/>
      <c r="AJ11" s="163"/>
      <c r="AK11" s="163"/>
      <c r="AL11" s="163"/>
      <c r="AM11" s="163"/>
      <c r="AN11" s="163"/>
      <c r="AO11" s="163"/>
      <c r="AP11" s="170"/>
      <c r="AQ11" s="167">
        <v>9</v>
      </c>
      <c r="AR11" s="166" t="str">
        <f>VLOOKUP(AQ11,市町村データ領域,MATCH(手順書_市町村なまえ!$H$52, 市町村データヘッダー, 0),FALSE)</f>
        <v>鴻巣市</v>
      </c>
      <c r="AS11" s="102"/>
      <c r="AT11" s="103"/>
      <c r="AU11" s="167">
        <v>10</v>
      </c>
      <c r="AV11" s="166" t="str">
        <f>VLOOKUP(AU11,市町村データ領域,MATCH(手順書_市町村なまえ!$H$52, 市町村データヘッダー, 0),FALSE)</f>
        <v>加須市</v>
      </c>
      <c r="AW11" s="102"/>
      <c r="AX11" s="102"/>
      <c r="AY11" s="169"/>
      <c r="AZ11" s="169"/>
      <c r="BA11" s="169"/>
      <c r="BB11" s="169"/>
      <c r="BC11" s="169"/>
      <c r="BD11" s="169"/>
      <c r="BE11" s="169"/>
      <c r="BF11" s="169"/>
      <c r="BG11" s="169"/>
      <c r="BH11" s="169"/>
      <c r="BI11" s="169"/>
      <c r="BJ11" s="169"/>
      <c r="BK11" s="169"/>
      <c r="BL11" s="169"/>
      <c r="BM11" s="169"/>
      <c r="BN11" s="168"/>
      <c r="BO11" s="163"/>
      <c r="BP11" s="163"/>
      <c r="BQ11" s="163"/>
      <c r="BR11" s="163"/>
      <c r="BS11" s="163"/>
      <c r="BT11" s="163"/>
      <c r="BU11" s="163"/>
      <c r="BV11" s="163"/>
      <c r="BW11" s="171"/>
      <c r="BX11" s="163"/>
      <c r="BY11" s="163"/>
      <c r="BZ11" s="163"/>
      <c r="CA11" s="163"/>
      <c r="CB11" s="162"/>
    </row>
    <row r="12" spans="1:80" ht="21.15" customHeight="1" x14ac:dyDescent="0.55000000000000004">
      <c r="A12" s="162"/>
      <c r="B12" s="163"/>
      <c r="C12" s="163"/>
      <c r="D12" s="163"/>
      <c r="E12" s="163"/>
      <c r="F12" s="170"/>
      <c r="G12" s="172" t="str">
        <f>VLOOKUP(G11,市町村データ領域,MATCH(手順書_市町村なまえ!$G$53, 市町村データヘッダー, 0),FALSE)</f>
        <v>かみかわまち</v>
      </c>
      <c r="H12" s="173"/>
      <c r="I12" s="173"/>
      <c r="J12" s="101"/>
      <c r="K12" s="163"/>
      <c r="L12" s="163"/>
      <c r="M12" s="163"/>
      <c r="N12" s="170"/>
      <c r="O12" s="172" t="str">
        <f>VLOOKUP(O11,市町村データ領域,MATCH(手順書_市町村なまえ!$G$53, 市町村データヘッダー, 0),FALSE)</f>
        <v>みさとまち</v>
      </c>
      <c r="P12" s="173"/>
      <c r="Q12" s="173"/>
      <c r="R12" s="101"/>
      <c r="S12" s="163"/>
      <c r="T12" s="163"/>
      <c r="U12" s="163"/>
      <c r="V12" s="170"/>
      <c r="W12" s="163"/>
      <c r="X12" s="163"/>
      <c r="Y12" s="163"/>
      <c r="Z12" s="163"/>
      <c r="AA12" s="163"/>
      <c r="AB12" s="163"/>
      <c r="AC12" s="163"/>
      <c r="AD12" s="163"/>
      <c r="AE12" s="163"/>
      <c r="AF12" s="163"/>
      <c r="AG12" s="163"/>
      <c r="AH12" s="163"/>
      <c r="AI12" s="163"/>
      <c r="AJ12" s="163"/>
      <c r="AK12" s="163"/>
      <c r="AL12" s="163"/>
      <c r="AM12" s="163"/>
      <c r="AN12" s="163"/>
      <c r="AO12" s="163"/>
      <c r="AP12" s="170"/>
      <c r="AQ12" s="172" t="str">
        <f>VLOOKUP(AQ11,市町村データ領域,MATCH(手順書_市町村なまえ!$G$53, 市町村データヘッダー, 0),FALSE)</f>
        <v>こうのすし</v>
      </c>
      <c r="AR12" s="173"/>
      <c r="AS12" s="173"/>
      <c r="AT12" s="101"/>
      <c r="AU12" s="172" t="str">
        <f>VLOOKUP(AU11,市町村データ領域,MATCH(手順書_市町村なまえ!$G$53, 市町村データヘッダー, 0),FALSE)</f>
        <v>かぞし</v>
      </c>
      <c r="AV12" s="173"/>
      <c r="AW12" s="173"/>
      <c r="AX12" s="173"/>
      <c r="AY12" s="163"/>
      <c r="AZ12" s="163"/>
      <c r="BA12" s="163"/>
      <c r="BB12" s="163"/>
      <c r="BC12" s="163"/>
      <c r="BD12" s="163"/>
      <c r="BE12" s="163"/>
      <c r="BF12" s="163"/>
      <c r="BG12" s="163"/>
      <c r="BH12" s="163"/>
      <c r="BI12" s="163"/>
      <c r="BJ12" s="163"/>
      <c r="BK12" s="163"/>
      <c r="BL12" s="163"/>
      <c r="BM12" s="163"/>
      <c r="BN12" s="170"/>
      <c r="BO12" s="163"/>
      <c r="BP12" s="163"/>
      <c r="BQ12" s="163"/>
      <c r="BR12" s="163"/>
      <c r="BS12" s="163"/>
      <c r="BT12" s="163"/>
      <c r="BU12" s="163"/>
      <c r="BV12" s="163"/>
      <c r="BW12" s="171"/>
      <c r="BX12" s="163"/>
      <c r="BY12" s="163"/>
      <c r="BZ12" s="163"/>
      <c r="CA12" s="163"/>
      <c r="CB12" s="162"/>
    </row>
    <row r="13" spans="1:80" ht="21.15" customHeight="1" x14ac:dyDescent="0.55000000000000004">
      <c r="A13" s="162"/>
      <c r="B13" s="163"/>
      <c r="C13" s="163"/>
      <c r="D13" s="163"/>
      <c r="E13" s="163"/>
      <c r="F13" s="170"/>
      <c r="G13" s="187"/>
      <c r="H13" s="188"/>
      <c r="I13" s="188"/>
      <c r="J13" s="98"/>
      <c r="K13" s="163"/>
      <c r="L13" s="163"/>
      <c r="M13" s="163"/>
      <c r="N13" s="170"/>
      <c r="O13" s="187"/>
      <c r="P13" s="188"/>
      <c r="Q13" s="188"/>
      <c r="R13" s="98"/>
      <c r="S13" s="163"/>
      <c r="T13" s="163"/>
      <c r="U13" s="163"/>
      <c r="V13" s="170"/>
      <c r="W13" s="163"/>
      <c r="X13" s="163"/>
      <c r="Y13" s="163"/>
      <c r="Z13" s="163"/>
      <c r="AA13" s="163"/>
      <c r="AB13" s="163"/>
      <c r="AC13" s="163"/>
      <c r="AD13" s="163"/>
      <c r="AE13" s="163"/>
      <c r="AF13" s="163"/>
      <c r="AG13" s="163"/>
      <c r="AH13" s="163"/>
      <c r="AI13" s="163"/>
      <c r="AJ13" s="163"/>
      <c r="AK13" s="163"/>
      <c r="AL13" s="163"/>
      <c r="AM13" s="163"/>
      <c r="AN13" s="163"/>
      <c r="AO13" s="163"/>
      <c r="AP13" s="170"/>
      <c r="AQ13" s="187"/>
      <c r="AR13" s="188"/>
      <c r="AS13" s="188"/>
      <c r="AT13" s="98"/>
      <c r="AU13" s="187"/>
      <c r="AV13" s="188"/>
      <c r="AW13" s="188"/>
      <c r="AX13" s="188"/>
      <c r="AY13" s="163"/>
      <c r="AZ13" s="163"/>
      <c r="BA13" s="163"/>
      <c r="BB13" s="163"/>
      <c r="BC13" s="163"/>
      <c r="BD13" s="163"/>
      <c r="BE13" s="163"/>
      <c r="BF13" s="163"/>
      <c r="BG13" s="163"/>
      <c r="BH13" s="163"/>
      <c r="BI13" s="163"/>
      <c r="BJ13" s="163"/>
      <c r="BK13" s="163"/>
      <c r="BL13" s="163"/>
      <c r="BM13" s="163"/>
      <c r="BN13" s="170"/>
      <c r="BO13" s="163"/>
      <c r="BP13" s="163"/>
      <c r="BQ13" s="163"/>
      <c r="BR13" s="163"/>
      <c r="BS13" s="163"/>
      <c r="BT13" s="163"/>
      <c r="BU13" s="163"/>
      <c r="BV13" s="163"/>
      <c r="BW13" s="171"/>
      <c r="BX13" s="171"/>
      <c r="BY13" s="246"/>
      <c r="BZ13" s="171"/>
      <c r="CA13" s="163"/>
      <c r="CB13" s="162"/>
    </row>
    <row r="14" spans="1:80" ht="21.15" customHeight="1" thickBot="1" x14ac:dyDescent="0.6">
      <c r="A14" s="162"/>
      <c r="B14" s="163"/>
      <c r="C14" s="163"/>
      <c r="D14" s="163"/>
      <c r="E14" s="163"/>
      <c r="F14" s="170"/>
      <c r="G14" s="190"/>
      <c r="H14" s="188"/>
      <c r="I14" s="188"/>
      <c r="J14" s="98"/>
      <c r="K14" s="163"/>
      <c r="L14" s="163"/>
      <c r="M14" s="163"/>
      <c r="N14" s="170"/>
      <c r="O14" s="189"/>
      <c r="P14" s="99"/>
      <c r="Q14" s="99"/>
      <c r="R14" s="100"/>
      <c r="S14" s="163"/>
      <c r="T14" s="163"/>
      <c r="U14" s="163"/>
      <c r="V14" s="170"/>
      <c r="W14" s="163"/>
      <c r="X14" s="163"/>
      <c r="Y14" s="163"/>
      <c r="Z14" s="163"/>
      <c r="AA14" s="163"/>
      <c r="AB14" s="163"/>
      <c r="AC14" s="163"/>
      <c r="AD14" s="163"/>
      <c r="AE14" s="163"/>
      <c r="AF14" s="163"/>
      <c r="AG14" s="163"/>
      <c r="AH14" s="163"/>
      <c r="AI14" s="163"/>
      <c r="AJ14" s="163"/>
      <c r="AK14" s="163"/>
      <c r="AL14" s="163"/>
      <c r="AM14" s="163"/>
      <c r="AN14" s="163"/>
      <c r="AO14" s="163"/>
      <c r="AP14" s="170"/>
      <c r="AQ14" s="189"/>
      <c r="AR14" s="99"/>
      <c r="AS14" s="99"/>
      <c r="AT14" s="100"/>
      <c r="AU14" s="189"/>
      <c r="AV14" s="99"/>
      <c r="AW14" s="99"/>
      <c r="AX14" s="99"/>
      <c r="AY14" s="163"/>
      <c r="AZ14" s="163"/>
      <c r="BA14" s="163"/>
      <c r="BB14" s="163"/>
      <c r="BC14" s="163"/>
      <c r="BD14" s="163"/>
      <c r="BE14" s="163"/>
      <c r="BF14" s="163"/>
      <c r="BG14" s="163"/>
      <c r="BH14" s="163"/>
      <c r="BI14" s="163"/>
      <c r="BJ14" s="163"/>
      <c r="BK14" s="163"/>
      <c r="BL14" s="163"/>
      <c r="BM14" s="163"/>
      <c r="BN14" s="170"/>
      <c r="BO14" s="163"/>
      <c r="BP14" s="163"/>
      <c r="BQ14" s="163"/>
      <c r="BR14" s="163"/>
      <c r="BS14" s="163"/>
      <c r="BT14" s="163"/>
      <c r="BU14" s="163"/>
      <c r="BV14" s="163"/>
      <c r="BW14" s="171"/>
      <c r="BX14" s="171"/>
      <c r="BY14" s="246"/>
      <c r="BZ14" s="171"/>
      <c r="CA14" s="163"/>
      <c r="CB14" s="162"/>
    </row>
    <row r="15" spans="1:80" ht="21.15" customHeight="1" x14ac:dyDescent="0.55000000000000004">
      <c r="A15" s="162"/>
      <c r="B15" s="163"/>
      <c r="C15" s="164" t="s">
        <v>355</v>
      </c>
      <c r="D15" s="163"/>
      <c r="E15" s="163"/>
      <c r="F15" s="170"/>
      <c r="G15" s="163"/>
      <c r="H15" s="163"/>
      <c r="I15" s="163"/>
      <c r="J15" s="170"/>
      <c r="K15" s="163"/>
      <c r="L15" s="163"/>
      <c r="M15" s="163"/>
      <c r="N15" s="170"/>
      <c r="O15" s="167">
        <v>11</v>
      </c>
      <c r="P15" s="166" t="str">
        <f>VLOOKUP(O15,市町村データ領域,MATCH(手順書_市町村なまえ!$H$52, 市町村データヘッダー, 0),FALSE)</f>
        <v>長瀞町</v>
      </c>
      <c r="Q15" s="102"/>
      <c r="R15" s="103"/>
      <c r="S15" s="167">
        <v>12</v>
      </c>
      <c r="T15" s="166" t="str">
        <f>VLOOKUP(S15,市町村データ領域,MATCH(手順書_市町村なまえ!$H$52, 市町村データヘッダー, 0),FALSE)</f>
        <v>寄居町</v>
      </c>
      <c r="U15" s="102"/>
      <c r="V15" s="103"/>
      <c r="W15" s="167">
        <v>13</v>
      </c>
      <c r="X15" s="166" t="str">
        <f>VLOOKUP(W15,市町村データ領域,MATCH(手順書_市町村なまえ!$H$52, 市町村データヘッダー, 0),FALSE)</f>
        <v>小川町</v>
      </c>
      <c r="Y15" s="102"/>
      <c r="Z15" s="103"/>
      <c r="AA15" s="167">
        <v>14</v>
      </c>
      <c r="AB15" s="166" t="str">
        <f>VLOOKUP(AA15,市町村データ領域,MATCH(手順書_市町村なまえ!$H$52, 市町村データヘッダー, 0),FALSE)</f>
        <v>嵐山町</v>
      </c>
      <c r="AC15" s="102"/>
      <c r="AD15" s="103"/>
      <c r="AE15" s="167">
        <v>15</v>
      </c>
      <c r="AF15" s="166" t="str">
        <f>VLOOKUP(AE15,市町村データ領域,MATCH(手順書_市町村なまえ!$H$52, 市町村データヘッダー, 0),FALSE)</f>
        <v>滑川町</v>
      </c>
      <c r="AG15" s="102"/>
      <c r="AH15" s="103"/>
      <c r="AI15" s="167">
        <v>16</v>
      </c>
      <c r="AJ15" s="166" t="str">
        <f>VLOOKUP(AI15,市町村データ領域,MATCH(手順書_市町村なまえ!$H$52, 市町村データヘッダー, 0),FALSE)</f>
        <v>東松山市</v>
      </c>
      <c r="AK15" s="102"/>
      <c r="AL15" s="103"/>
      <c r="AM15" s="167">
        <v>17</v>
      </c>
      <c r="AN15" s="166" t="str">
        <f>VLOOKUP(AM15,市町村データ領域,MATCH(手順書_市町村なまえ!$H$52, 市町村データヘッダー, 0),FALSE)</f>
        <v>吉見町</v>
      </c>
      <c r="AO15" s="102"/>
      <c r="AP15" s="103"/>
      <c r="AQ15" s="167">
        <v>18</v>
      </c>
      <c r="AR15" s="166" t="str">
        <f>VLOOKUP(AQ15,市町村データ領域,MATCH(手順書_市町村なまえ!$H$52, 市町村データヘッダー, 0),FALSE)</f>
        <v>北本市</v>
      </c>
      <c r="AS15" s="102"/>
      <c r="AT15" s="103"/>
      <c r="AU15" s="167">
        <v>19</v>
      </c>
      <c r="AV15" s="166" t="str">
        <f>VLOOKUP(AU15,市町村データ領域,MATCH(手順書_市町村なまえ!$H$52, 市町村データヘッダー, 0),FALSE)</f>
        <v>久喜市</v>
      </c>
      <c r="AW15" s="102"/>
      <c r="AX15" s="102"/>
      <c r="AY15" s="169"/>
      <c r="AZ15" s="169"/>
      <c r="BA15" s="169"/>
      <c r="BB15" s="169"/>
      <c r="BC15" s="169"/>
      <c r="BD15" s="169"/>
      <c r="BE15" s="169"/>
      <c r="BF15" s="169"/>
      <c r="BG15" s="169"/>
      <c r="BH15" s="169"/>
      <c r="BI15" s="169"/>
      <c r="BJ15" s="169"/>
      <c r="BK15" s="169"/>
      <c r="BL15" s="169"/>
      <c r="BM15" s="169"/>
      <c r="BN15" s="168"/>
      <c r="BO15" s="167">
        <v>20</v>
      </c>
      <c r="BP15" s="166" t="str">
        <f>VLOOKUP(BO15,市町村データ領域,MATCH(手順書_市町村なまえ!$H$52, 市町村データヘッダー, 0),FALSE)</f>
        <v>幸手市</v>
      </c>
      <c r="BQ15" s="102"/>
      <c r="BR15" s="103"/>
      <c r="BS15" s="163"/>
      <c r="BT15" s="163"/>
      <c r="BU15" s="163"/>
      <c r="BV15" s="163"/>
      <c r="BW15" s="171"/>
      <c r="BX15" s="171"/>
      <c r="BY15" s="246"/>
      <c r="BZ15" s="171"/>
      <c r="CA15" s="163"/>
      <c r="CB15" s="162"/>
    </row>
    <row r="16" spans="1:80" ht="21.15" customHeight="1" x14ac:dyDescent="0.55000000000000004">
      <c r="A16" s="162"/>
      <c r="B16" s="163"/>
      <c r="C16" s="163"/>
      <c r="D16" s="163"/>
      <c r="E16" s="163"/>
      <c r="F16" s="170"/>
      <c r="G16" s="163"/>
      <c r="H16" s="163"/>
      <c r="I16" s="163"/>
      <c r="J16" s="170"/>
      <c r="K16" s="163"/>
      <c r="L16" s="163"/>
      <c r="M16" s="163"/>
      <c r="N16" s="170"/>
      <c r="O16" s="172" t="str">
        <f>VLOOKUP(O15,市町村データ領域,MATCH(手順書_市町村なまえ!$G$53, 市町村データヘッダー, 0),FALSE)</f>
        <v>ながとろまち</v>
      </c>
      <c r="P16" s="173"/>
      <c r="Q16" s="173"/>
      <c r="R16" s="101"/>
      <c r="S16" s="172" t="str">
        <f>VLOOKUP(S15,市町村データ領域,MATCH(手順書_市町村なまえ!$G$53, 市町村データヘッダー, 0),FALSE)</f>
        <v>よりいまち</v>
      </c>
      <c r="T16" s="173"/>
      <c r="U16" s="173"/>
      <c r="V16" s="101"/>
      <c r="W16" s="172" t="str">
        <f>VLOOKUP(W15,市町村データ領域,MATCH(手順書_市町村なまえ!$G$53, 市町村データヘッダー, 0),FALSE)</f>
        <v>おがわまち</v>
      </c>
      <c r="X16" s="173"/>
      <c r="Y16" s="173"/>
      <c r="Z16" s="101"/>
      <c r="AA16" s="172" t="str">
        <f>VLOOKUP(AA15,市町村データ領域,MATCH(手順書_市町村なまえ!$G$53, 市町村データヘッダー, 0),FALSE)</f>
        <v>らんざんまち</v>
      </c>
      <c r="AB16" s="173"/>
      <c r="AC16" s="173"/>
      <c r="AD16" s="101"/>
      <c r="AE16" s="172" t="str">
        <f>VLOOKUP(AE15,市町村データ領域,MATCH(手順書_市町村なまえ!$G$53, 市町村データヘッダー, 0),FALSE)</f>
        <v>なめがわまち</v>
      </c>
      <c r="AF16" s="173"/>
      <c r="AG16" s="173"/>
      <c r="AH16" s="101"/>
      <c r="AI16" s="172" t="str">
        <f>VLOOKUP(AI15,市町村データ領域,MATCH(手順書_市町村なまえ!$G$53, 市町村データヘッダー, 0),FALSE)</f>
        <v>ひがしまつやまし</v>
      </c>
      <c r="AJ16" s="173"/>
      <c r="AK16" s="173"/>
      <c r="AL16" s="101"/>
      <c r="AM16" s="172" t="str">
        <f>VLOOKUP(AM15,市町村データ領域,MATCH(手順書_市町村なまえ!$G$53, 市町村データヘッダー, 0),FALSE)</f>
        <v>よしみまち</v>
      </c>
      <c r="AN16" s="173"/>
      <c r="AO16" s="173"/>
      <c r="AP16" s="101"/>
      <c r="AQ16" s="172" t="str">
        <f>VLOOKUP(AQ15,市町村データ領域,MATCH(手順書_市町村なまえ!$G$53, 市町村データヘッダー, 0),FALSE)</f>
        <v>きたもとし</v>
      </c>
      <c r="AR16" s="173"/>
      <c r="AS16" s="173"/>
      <c r="AT16" s="101"/>
      <c r="AU16" s="172" t="str">
        <f>VLOOKUP(AU15,市町村データ領域,MATCH(手順書_市町村なまえ!$G$53, 市町村データヘッダー, 0),FALSE)</f>
        <v>くきし</v>
      </c>
      <c r="AV16" s="173"/>
      <c r="AW16" s="173"/>
      <c r="AX16" s="173"/>
      <c r="AY16" s="163"/>
      <c r="AZ16" s="163"/>
      <c r="BA16" s="163"/>
      <c r="BB16" s="163"/>
      <c r="BC16" s="163"/>
      <c r="BD16" s="163"/>
      <c r="BE16" s="163"/>
      <c r="BF16" s="163"/>
      <c r="BG16" s="163"/>
      <c r="BH16" s="163"/>
      <c r="BI16" s="163"/>
      <c r="BJ16" s="163"/>
      <c r="BK16" s="163"/>
      <c r="BL16" s="163"/>
      <c r="BM16" s="163"/>
      <c r="BN16" s="170"/>
      <c r="BO16" s="172" t="str">
        <f>VLOOKUP(BO15,市町村データ領域,MATCH(手順書_市町村なまえ!$G$53, 市町村データヘッダー, 0),FALSE)</f>
        <v>さってし</v>
      </c>
      <c r="BP16" s="173"/>
      <c r="BQ16" s="173"/>
      <c r="BR16" s="101"/>
      <c r="BS16" s="163"/>
      <c r="BT16" s="163"/>
      <c r="BU16" s="163"/>
      <c r="BV16" s="163"/>
      <c r="BW16" s="171"/>
      <c r="BX16" s="171"/>
      <c r="BY16" s="246"/>
      <c r="BZ16" s="171"/>
      <c r="CA16" s="163"/>
      <c r="CB16" s="162"/>
    </row>
    <row r="17" spans="1:80" ht="21.15" customHeight="1" x14ac:dyDescent="0.55000000000000004">
      <c r="A17" s="162"/>
      <c r="B17" s="163"/>
      <c r="C17" s="163"/>
      <c r="D17" s="163"/>
      <c r="E17" s="163"/>
      <c r="F17" s="170"/>
      <c r="G17" s="163"/>
      <c r="H17" s="163"/>
      <c r="I17" s="163"/>
      <c r="J17" s="170"/>
      <c r="K17" s="163"/>
      <c r="L17" s="163"/>
      <c r="M17" s="163"/>
      <c r="N17" s="170"/>
      <c r="O17" s="187"/>
      <c r="P17" s="188"/>
      <c r="Q17" s="188"/>
      <c r="R17" s="98"/>
      <c r="S17" s="187"/>
      <c r="T17" s="188"/>
      <c r="U17" s="188"/>
      <c r="V17" s="98"/>
      <c r="W17" s="187"/>
      <c r="X17" s="188"/>
      <c r="Y17" s="188"/>
      <c r="Z17" s="98"/>
      <c r="AA17" s="187"/>
      <c r="AB17" s="188"/>
      <c r="AC17" s="188"/>
      <c r="AD17" s="98"/>
      <c r="AE17" s="187"/>
      <c r="AF17" s="188"/>
      <c r="AG17" s="188"/>
      <c r="AH17" s="98"/>
      <c r="AI17" s="187"/>
      <c r="AJ17" s="188"/>
      <c r="AK17" s="188"/>
      <c r="AL17" s="98"/>
      <c r="AM17" s="187"/>
      <c r="AN17" s="188"/>
      <c r="AO17" s="188"/>
      <c r="AP17" s="98"/>
      <c r="AQ17" s="187"/>
      <c r="AR17" s="188"/>
      <c r="AS17" s="188"/>
      <c r="AT17" s="98"/>
      <c r="AU17" s="187"/>
      <c r="AV17" s="188"/>
      <c r="AW17" s="188"/>
      <c r="AX17" s="188"/>
      <c r="AY17" s="163"/>
      <c r="AZ17" s="163"/>
      <c r="BA17" s="163"/>
      <c r="BB17" s="163"/>
      <c r="BC17" s="163"/>
      <c r="BD17" s="163"/>
      <c r="BE17" s="163"/>
      <c r="BF17" s="163"/>
      <c r="BG17" s="163"/>
      <c r="BH17" s="163"/>
      <c r="BI17" s="163"/>
      <c r="BJ17" s="163"/>
      <c r="BK17" s="163"/>
      <c r="BL17" s="163"/>
      <c r="BM17" s="163"/>
      <c r="BN17" s="170"/>
      <c r="BO17" s="187"/>
      <c r="BP17" s="188"/>
      <c r="BQ17" s="188"/>
      <c r="BR17" s="98"/>
      <c r="BS17" s="163"/>
      <c r="BT17" s="163"/>
      <c r="BU17" s="163"/>
      <c r="BV17" s="163"/>
      <c r="BW17" s="163"/>
      <c r="BX17" s="163"/>
      <c r="BY17" s="246"/>
      <c r="BZ17" s="163"/>
      <c r="CA17" s="163"/>
      <c r="CB17" s="162"/>
    </row>
    <row r="18" spans="1:80" ht="21.15" customHeight="1" thickBot="1" x14ac:dyDescent="0.6">
      <c r="A18" s="162"/>
      <c r="B18" s="163"/>
      <c r="C18" s="163"/>
      <c r="D18" s="163"/>
      <c r="E18" s="163"/>
      <c r="F18" s="170"/>
      <c r="G18" s="163"/>
      <c r="H18" s="163"/>
      <c r="I18" s="163"/>
      <c r="J18" s="170"/>
      <c r="K18" s="163"/>
      <c r="L18" s="163"/>
      <c r="M18" s="163"/>
      <c r="N18" s="170"/>
      <c r="O18" s="189"/>
      <c r="P18" s="99"/>
      <c r="Q18" s="99"/>
      <c r="R18" s="100"/>
      <c r="S18" s="189"/>
      <c r="T18" s="99"/>
      <c r="U18" s="99"/>
      <c r="V18" s="100"/>
      <c r="W18" s="189"/>
      <c r="X18" s="99"/>
      <c r="Y18" s="99"/>
      <c r="Z18" s="100"/>
      <c r="AA18" s="189"/>
      <c r="AB18" s="99"/>
      <c r="AC18" s="99"/>
      <c r="AD18" s="100"/>
      <c r="AE18" s="189"/>
      <c r="AF18" s="99"/>
      <c r="AG18" s="99"/>
      <c r="AH18" s="100"/>
      <c r="AI18" s="189"/>
      <c r="AJ18" s="99"/>
      <c r="AK18" s="99"/>
      <c r="AL18" s="100"/>
      <c r="AM18" s="189"/>
      <c r="AN18" s="99"/>
      <c r="AO18" s="99"/>
      <c r="AP18" s="100"/>
      <c r="AQ18" s="189"/>
      <c r="AR18" s="99"/>
      <c r="AS18" s="99"/>
      <c r="AT18" s="100"/>
      <c r="AU18" s="189"/>
      <c r="AV18" s="99"/>
      <c r="AW18" s="99"/>
      <c r="AX18" s="99"/>
      <c r="AY18" s="163"/>
      <c r="AZ18" s="163"/>
      <c r="BA18" s="163"/>
      <c r="BB18" s="163"/>
      <c r="BC18" s="163"/>
      <c r="BD18" s="163"/>
      <c r="BE18" s="163"/>
      <c r="BF18" s="163"/>
      <c r="BG18" s="163"/>
      <c r="BH18" s="163"/>
      <c r="BI18" s="163"/>
      <c r="BJ18" s="163"/>
      <c r="BK18" s="163"/>
      <c r="BL18" s="163"/>
      <c r="BM18" s="163"/>
      <c r="BN18" s="170"/>
      <c r="BO18" s="189"/>
      <c r="BP18" s="99"/>
      <c r="BQ18" s="99"/>
      <c r="BR18" s="100"/>
      <c r="BS18" s="163"/>
      <c r="BT18" s="163"/>
      <c r="BU18" s="163"/>
      <c r="BV18" s="163"/>
      <c r="BW18" s="163"/>
      <c r="BX18" s="163"/>
      <c r="BY18" s="246"/>
      <c r="BZ18" s="163"/>
      <c r="CA18" s="163"/>
      <c r="CB18" s="162"/>
    </row>
    <row r="19" spans="1:80" ht="21.15" customHeight="1" x14ac:dyDescent="0.55000000000000004">
      <c r="A19" s="162"/>
      <c r="B19" s="163"/>
      <c r="C19" s="164" t="s">
        <v>227</v>
      </c>
      <c r="D19" s="163"/>
      <c r="E19" s="163"/>
      <c r="F19" s="170"/>
      <c r="G19" s="163"/>
      <c r="H19" s="163"/>
      <c r="I19" s="163"/>
      <c r="J19" s="170"/>
      <c r="K19" s="167">
        <v>21</v>
      </c>
      <c r="L19" s="166" t="str">
        <f>VLOOKUP(K19,市町村データ領域,MATCH(手順書_市町村なまえ!$H$52, 市町村データヘッダー, 0),FALSE)</f>
        <v>皆野町</v>
      </c>
      <c r="M19" s="102"/>
      <c r="N19" s="103"/>
      <c r="O19" s="167">
        <v>22</v>
      </c>
      <c r="P19" s="166" t="str">
        <f>VLOOKUP(O19,市町村データ領域,MATCH(手順書_市町村なまえ!$H$52, 市町村データヘッダー, 0),FALSE)</f>
        <v>東秩父村</v>
      </c>
      <c r="Q19" s="102"/>
      <c r="R19" s="102"/>
      <c r="S19" s="169"/>
      <c r="T19" s="169"/>
      <c r="U19" s="169"/>
      <c r="V19" s="168"/>
      <c r="W19" s="167">
        <v>23</v>
      </c>
      <c r="X19" s="166" t="str">
        <f>VLOOKUP(W19,市町村データ領域,MATCH(手順書_市町村なまえ!$H$52, 市町村データヘッダー, 0),FALSE)</f>
        <v>ときがわ町</v>
      </c>
      <c r="Y19" s="102"/>
      <c r="Z19" s="103"/>
      <c r="AA19" s="167">
        <v>24</v>
      </c>
      <c r="AB19" s="166" t="str">
        <f>VLOOKUP(AA19,市町村データ領域,MATCH(手順書_市町村なまえ!$H$52, 市町村データヘッダー, 0),FALSE)</f>
        <v>鳩山町</v>
      </c>
      <c r="AC19" s="102"/>
      <c r="AD19" s="102"/>
      <c r="AE19" s="169"/>
      <c r="AF19" s="169"/>
      <c r="AG19" s="169"/>
      <c r="AH19" s="168"/>
      <c r="AI19" s="167">
        <v>25</v>
      </c>
      <c r="AJ19" s="166" t="str">
        <f>VLOOKUP(AI19,市町村データ領域,MATCH(手順書_市町村なまえ!$H$52, 市町村データヘッダー, 0),FALSE)</f>
        <v>坂戸市</v>
      </c>
      <c r="AK19" s="102"/>
      <c r="AL19" s="103"/>
      <c r="AM19" s="167">
        <v>26</v>
      </c>
      <c r="AN19" s="166" t="str">
        <f>VLOOKUP(AM19,市町村データ領域,MATCH(手順書_市町村なまえ!$H$52, 市町村データヘッダー, 0),FALSE)</f>
        <v>川島町</v>
      </c>
      <c r="AO19" s="102"/>
      <c r="AP19" s="103"/>
      <c r="AQ19" s="167">
        <v>27</v>
      </c>
      <c r="AR19" s="166" t="str">
        <f>VLOOKUP(AQ19,市町村データ領域,MATCH(手順書_市町村なまえ!$H$52, 市町村データヘッダー, 0),FALSE)</f>
        <v>桶川市</v>
      </c>
      <c r="AS19" s="102"/>
      <c r="AT19" s="103"/>
      <c r="AU19" s="167">
        <v>28</v>
      </c>
      <c r="AV19" s="166" t="str">
        <f>VLOOKUP(AU19,市町村データ領域,MATCH(手順書_市町村なまえ!$H$52, 市町村データヘッダー, 0),FALSE)</f>
        <v>上尾市</v>
      </c>
      <c r="AW19" s="102"/>
      <c r="AX19" s="103"/>
      <c r="AY19" s="167">
        <v>29</v>
      </c>
      <c r="AZ19" s="166" t="str">
        <f>VLOOKUP(AY19,市町村データ領域,MATCH(手順書_市町村なまえ!$H$52, 市町村データヘッダー, 0),FALSE)</f>
        <v>伊奈町</v>
      </c>
      <c r="BA19" s="102"/>
      <c r="BB19" s="103"/>
      <c r="BC19" s="167">
        <v>30</v>
      </c>
      <c r="BD19" s="166" t="str">
        <f>VLOOKUP(BC19,市町村データ領域,MATCH(手順書_市町村なまえ!$H$52, 市町村データヘッダー, 0),FALSE)</f>
        <v>蓮田市</v>
      </c>
      <c r="BE19" s="102"/>
      <c r="BF19" s="103"/>
      <c r="BG19" s="167">
        <v>31</v>
      </c>
      <c r="BH19" s="166" t="str">
        <f>VLOOKUP(BG19,市町村データ領域,MATCH(手順書_市町村なまえ!$H$52, 市町村データヘッダー, 0),FALSE)</f>
        <v>白岡市</v>
      </c>
      <c r="BI19" s="102"/>
      <c r="BJ19" s="103"/>
      <c r="BK19" s="167">
        <v>32</v>
      </c>
      <c r="BL19" s="166" t="str">
        <f>VLOOKUP(BK19,市町村データ領域,MATCH(手順書_市町村なまえ!$H$52, 市町村データヘッダー, 0),FALSE)</f>
        <v>宮代町</v>
      </c>
      <c r="BM19" s="102"/>
      <c r="BN19" s="103"/>
      <c r="BO19" s="167">
        <v>33</v>
      </c>
      <c r="BP19" s="166" t="str">
        <f>VLOOKUP(BO19,市町村データ領域,MATCH(手順書_市町村なまえ!$H$52, 市町村データヘッダー, 0),FALSE)</f>
        <v>杉戸町</v>
      </c>
      <c r="BQ19" s="102"/>
      <c r="BR19" s="103"/>
      <c r="BS19" s="163"/>
      <c r="BT19" s="163"/>
      <c r="BU19" s="163"/>
      <c r="BV19" s="163"/>
      <c r="BW19" s="163"/>
      <c r="BX19" s="171"/>
      <c r="BY19" s="246"/>
      <c r="BZ19" s="163"/>
      <c r="CA19" s="163"/>
      <c r="CB19" s="162"/>
    </row>
    <row r="20" spans="1:80" ht="21.15" customHeight="1" x14ac:dyDescent="0.55000000000000004">
      <c r="A20" s="162"/>
      <c r="B20" s="163"/>
      <c r="C20" s="163"/>
      <c r="D20" s="163"/>
      <c r="E20" s="163"/>
      <c r="F20" s="170"/>
      <c r="G20" s="163"/>
      <c r="H20" s="163"/>
      <c r="I20" s="163"/>
      <c r="J20" s="170"/>
      <c r="K20" s="172" t="str">
        <f>VLOOKUP(K19,市町村データ領域,MATCH(手順書_市町村なまえ!$G$53, 市町村データヘッダー, 0),FALSE)</f>
        <v>みなのまち</v>
      </c>
      <c r="L20" s="173"/>
      <c r="M20" s="173"/>
      <c r="N20" s="101"/>
      <c r="O20" s="172" t="str">
        <f>VLOOKUP(O19,市町村データ領域,MATCH(手順書_市町村なまえ!$G$53, 市町村データヘッダー, 0),FALSE)</f>
        <v>ひがしちちぶむら</v>
      </c>
      <c r="P20" s="173"/>
      <c r="Q20" s="173"/>
      <c r="R20" s="173"/>
      <c r="S20" s="163"/>
      <c r="T20" s="163"/>
      <c r="U20" s="163"/>
      <c r="V20" s="170"/>
      <c r="W20" s="172" t="str">
        <f>VLOOKUP(W19,市町村データ領域,MATCH(手順書_市町村なまえ!$G$53, 市町村データヘッダー, 0),FALSE)</f>
        <v>ときがわまち</v>
      </c>
      <c r="X20" s="173"/>
      <c r="Y20" s="173"/>
      <c r="Z20" s="101"/>
      <c r="AA20" s="172" t="str">
        <f>VLOOKUP(AA19,市町村データ領域,MATCH(手順書_市町村なまえ!$G$53, 市町村データヘッダー, 0),FALSE)</f>
        <v>はとやままち</v>
      </c>
      <c r="AB20" s="173"/>
      <c r="AC20" s="173"/>
      <c r="AD20" s="173"/>
      <c r="AE20" s="163"/>
      <c r="AF20" s="163"/>
      <c r="AG20" s="163"/>
      <c r="AH20" s="170"/>
      <c r="AI20" s="172" t="str">
        <f>VLOOKUP(AI19,市町村データ領域,MATCH(手順書_市町村なまえ!$G$53, 市町村データヘッダー, 0),FALSE)</f>
        <v>さかどし</v>
      </c>
      <c r="AJ20" s="173"/>
      <c r="AK20" s="173"/>
      <c r="AL20" s="101"/>
      <c r="AM20" s="172" t="str">
        <f>VLOOKUP(AM19,市町村データ領域,MATCH(手順書_市町村なまえ!$G$53, 市町村データヘッダー, 0),FALSE)</f>
        <v>かわじままち</v>
      </c>
      <c r="AN20" s="173"/>
      <c r="AO20" s="173"/>
      <c r="AP20" s="101"/>
      <c r="AQ20" s="172" t="str">
        <f>VLOOKUP(AQ19,市町村データ領域,MATCH(手順書_市町村なまえ!$G$53, 市町村データヘッダー, 0),FALSE)</f>
        <v>おけがわし</v>
      </c>
      <c r="AR20" s="173"/>
      <c r="AS20" s="173"/>
      <c r="AT20" s="101"/>
      <c r="AU20" s="172" t="str">
        <f>VLOOKUP(AU19,市町村データ領域,MATCH(手順書_市町村なまえ!$G$53, 市町村データヘッダー, 0),FALSE)</f>
        <v>あげおし</v>
      </c>
      <c r="AV20" s="173"/>
      <c r="AW20" s="173"/>
      <c r="AX20" s="101"/>
      <c r="AY20" s="172" t="str">
        <f>VLOOKUP(AY19,市町村データ領域,MATCH(手順書_市町村なまえ!$G$53, 市町村データヘッダー, 0),FALSE)</f>
        <v>いなまち</v>
      </c>
      <c r="AZ20" s="173"/>
      <c r="BA20" s="173"/>
      <c r="BB20" s="101"/>
      <c r="BC20" s="172" t="str">
        <f>VLOOKUP(BC19,市町村データ領域,MATCH(手順書_市町村なまえ!$G$53, 市町村データヘッダー, 0),FALSE)</f>
        <v>はすだし</v>
      </c>
      <c r="BD20" s="173"/>
      <c r="BE20" s="173"/>
      <c r="BF20" s="101"/>
      <c r="BG20" s="172" t="str">
        <f>VLOOKUP(BG19,市町村データ領域,MATCH(手順書_市町村なまえ!$G$53, 市町村データヘッダー, 0),FALSE)</f>
        <v>しらおかし</v>
      </c>
      <c r="BH20" s="173"/>
      <c r="BI20" s="173"/>
      <c r="BJ20" s="101"/>
      <c r="BK20" s="172" t="str">
        <f>VLOOKUP(BK19,市町村データ領域,MATCH(手順書_市町村なまえ!$G$53, 市町村データヘッダー, 0),FALSE)</f>
        <v>みやしろまち</v>
      </c>
      <c r="BL20" s="173"/>
      <c r="BM20" s="173"/>
      <c r="BN20" s="101"/>
      <c r="BO20" s="172" t="str">
        <f>VLOOKUP(BO19,市町村データ領域,MATCH(手順書_市町村なまえ!$G$53, 市町村データヘッダー, 0),FALSE)</f>
        <v>すぎとまち</v>
      </c>
      <c r="BP20" s="173"/>
      <c r="BQ20" s="173"/>
      <c r="BR20" s="101"/>
      <c r="BS20" s="163"/>
      <c r="BT20" s="163"/>
      <c r="BU20" s="163"/>
      <c r="BV20" s="163"/>
      <c r="BW20" s="163"/>
      <c r="BX20" s="171"/>
      <c r="BY20" s="246"/>
      <c r="BZ20" s="163"/>
      <c r="CA20" s="163"/>
      <c r="CB20" s="162"/>
    </row>
    <row r="21" spans="1:80" ht="21.15" customHeight="1" x14ac:dyDescent="0.55000000000000004">
      <c r="A21" s="162"/>
      <c r="B21" s="163"/>
      <c r="C21" s="163"/>
      <c r="D21" s="163"/>
      <c r="E21" s="163"/>
      <c r="F21" s="170"/>
      <c r="G21" s="163"/>
      <c r="H21" s="163"/>
      <c r="I21" s="163"/>
      <c r="J21" s="170"/>
      <c r="K21" s="187"/>
      <c r="L21" s="188"/>
      <c r="M21" s="188"/>
      <c r="N21" s="98"/>
      <c r="O21" s="187"/>
      <c r="P21" s="188"/>
      <c r="Q21" s="188"/>
      <c r="R21" s="188"/>
      <c r="S21" s="163"/>
      <c r="T21" s="163"/>
      <c r="U21" s="163"/>
      <c r="V21" s="170"/>
      <c r="W21" s="187"/>
      <c r="X21" s="188"/>
      <c r="Y21" s="188"/>
      <c r="Z21" s="98"/>
      <c r="AA21" s="187"/>
      <c r="AB21" s="188"/>
      <c r="AC21" s="188"/>
      <c r="AD21" s="188"/>
      <c r="AE21" s="163"/>
      <c r="AF21" s="163"/>
      <c r="AG21" s="163"/>
      <c r="AH21" s="170"/>
      <c r="AI21" s="187"/>
      <c r="AJ21" s="188"/>
      <c r="AK21" s="188"/>
      <c r="AL21" s="98"/>
      <c r="AM21" s="187"/>
      <c r="AN21" s="188"/>
      <c r="AO21" s="188"/>
      <c r="AP21" s="98"/>
      <c r="AQ21" s="187"/>
      <c r="AR21" s="188"/>
      <c r="AS21" s="188"/>
      <c r="AT21" s="98"/>
      <c r="AU21" s="187"/>
      <c r="AV21" s="188"/>
      <c r="AW21" s="188"/>
      <c r="AX21" s="98"/>
      <c r="AY21" s="187"/>
      <c r="AZ21" s="188"/>
      <c r="BA21" s="188"/>
      <c r="BB21" s="98"/>
      <c r="BC21" s="187"/>
      <c r="BD21" s="188"/>
      <c r="BE21" s="188"/>
      <c r="BF21" s="98"/>
      <c r="BG21" s="187"/>
      <c r="BH21" s="188"/>
      <c r="BI21" s="188"/>
      <c r="BJ21" s="98"/>
      <c r="BK21" s="187"/>
      <c r="BL21" s="188"/>
      <c r="BM21" s="188"/>
      <c r="BN21" s="98"/>
      <c r="BO21" s="187"/>
      <c r="BP21" s="188"/>
      <c r="BQ21" s="188"/>
      <c r="BR21" s="98"/>
      <c r="BS21" s="163"/>
      <c r="BT21" s="163"/>
      <c r="BU21" s="163"/>
      <c r="BV21" s="163"/>
      <c r="BW21" s="163"/>
      <c r="BX21" s="171"/>
      <c r="BY21" s="246"/>
      <c r="BZ21" s="163"/>
      <c r="CA21" s="163"/>
      <c r="CB21" s="162"/>
    </row>
    <row r="22" spans="1:80" ht="21.15" customHeight="1" thickBot="1" x14ac:dyDescent="0.6">
      <c r="A22" s="162"/>
      <c r="B22" s="163"/>
      <c r="C22" s="163"/>
      <c r="D22" s="163"/>
      <c r="E22" s="163"/>
      <c r="F22" s="170"/>
      <c r="G22" s="163"/>
      <c r="H22" s="163"/>
      <c r="I22" s="163"/>
      <c r="J22" s="170"/>
      <c r="K22" s="189"/>
      <c r="L22" s="99"/>
      <c r="M22" s="99"/>
      <c r="N22" s="100"/>
      <c r="O22" s="189"/>
      <c r="P22" s="99"/>
      <c r="Q22" s="99"/>
      <c r="R22" s="99"/>
      <c r="S22" s="163"/>
      <c r="T22" s="163"/>
      <c r="U22" s="163"/>
      <c r="V22" s="170"/>
      <c r="W22" s="190"/>
      <c r="X22" s="188"/>
      <c r="Y22" s="188"/>
      <c r="Z22" s="98"/>
      <c r="AA22" s="189"/>
      <c r="AB22" s="99"/>
      <c r="AC22" s="99"/>
      <c r="AD22" s="99"/>
      <c r="AE22" s="163"/>
      <c r="AF22" s="163"/>
      <c r="AG22" s="163"/>
      <c r="AH22" s="170"/>
      <c r="AI22" s="189"/>
      <c r="AJ22" s="99"/>
      <c r="AK22" s="99"/>
      <c r="AL22" s="100"/>
      <c r="AM22" s="189"/>
      <c r="AN22" s="99"/>
      <c r="AO22" s="99"/>
      <c r="AP22" s="100"/>
      <c r="AQ22" s="189"/>
      <c r="AR22" s="99"/>
      <c r="AS22" s="99"/>
      <c r="AT22" s="100"/>
      <c r="AU22" s="189"/>
      <c r="AV22" s="99"/>
      <c r="AW22" s="99"/>
      <c r="AX22" s="100"/>
      <c r="AY22" s="189"/>
      <c r="AZ22" s="99"/>
      <c r="BA22" s="99"/>
      <c r="BB22" s="100"/>
      <c r="BC22" s="189"/>
      <c r="BD22" s="99"/>
      <c r="BE22" s="99"/>
      <c r="BF22" s="100"/>
      <c r="BG22" s="189"/>
      <c r="BH22" s="99"/>
      <c r="BI22" s="99"/>
      <c r="BJ22" s="100"/>
      <c r="BK22" s="189"/>
      <c r="BL22" s="99"/>
      <c r="BM22" s="99"/>
      <c r="BN22" s="100"/>
      <c r="BO22" s="189"/>
      <c r="BP22" s="99"/>
      <c r="BQ22" s="99"/>
      <c r="BR22" s="100"/>
      <c r="BS22" s="163"/>
      <c r="BT22" s="163"/>
      <c r="BU22" s="163"/>
      <c r="BV22" s="163"/>
      <c r="BW22" s="163"/>
      <c r="BX22" s="171"/>
      <c r="BY22" s="246"/>
      <c r="BZ22" s="163"/>
      <c r="CA22" s="163"/>
      <c r="CB22" s="162"/>
    </row>
    <row r="23" spans="1:80" ht="21.15" customHeight="1" x14ac:dyDescent="0.55000000000000004">
      <c r="A23" s="162"/>
      <c r="B23" s="163"/>
      <c r="C23" s="164" t="s">
        <v>228</v>
      </c>
      <c r="D23" s="163"/>
      <c r="E23" s="163"/>
      <c r="F23" s="170"/>
      <c r="G23" s="167">
        <v>34</v>
      </c>
      <c r="H23" s="166" t="str">
        <f>VLOOKUP(G23,市町村データ領域,MATCH(手順書_市町村なまえ!$H$52, 市町村データヘッダー, 0),FALSE)</f>
        <v>秩父市</v>
      </c>
      <c r="I23" s="102"/>
      <c r="J23" s="102"/>
      <c r="K23" s="169"/>
      <c r="L23" s="169"/>
      <c r="M23" s="169"/>
      <c r="N23" s="169"/>
      <c r="O23" s="169"/>
      <c r="P23" s="169"/>
      <c r="Q23" s="169"/>
      <c r="R23" s="168"/>
      <c r="S23" s="167">
        <v>35</v>
      </c>
      <c r="T23" s="166" t="str">
        <f>VLOOKUP(S23,市町村データ領域,MATCH(手順書_市町村なまえ!$H$52, 市町村データヘッダー, 0),FALSE)</f>
        <v>横瀬町</v>
      </c>
      <c r="U23" s="102"/>
      <c r="V23" s="103"/>
      <c r="W23" s="163"/>
      <c r="X23" s="163"/>
      <c r="Y23" s="163"/>
      <c r="Z23" s="170"/>
      <c r="AA23" s="167">
        <v>36</v>
      </c>
      <c r="AB23" s="166" t="str">
        <f>VLOOKUP(AA23,市町村データ領域,MATCH(手順書_市町村なまえ!$H$52, 市町村データヘッダー, 0),FALSE)</f>
        <v>越生町</v>
      </c>
      <c r="AC23" s="102"/>
      <c r="AD23" s="103"/>
      <c r="AE23" s="167">
        <v>37</v>
      </c>
      <c r="AF23" s="166" t="str">
        <f>VLOOKUP(AE23,市町村データ領域,MATCH(手順書_市町村なまえ!$H$52, 市町村データヘッダー, 0),FALSE)</f>
        <v>毛呂山町</v>
      </c>
      <c r="AG23" s="102"/>
      <c r="AH23" s="103"/>
      <c r="AI23" s="167">
        <v>38</v>
      </c>
      <c r="AJ23" s="166" t="str">
        <f>VLOOKUP(AI23,市町村データ領域,MATCH(手順書_市町村なまえ!$H$52, 市町村データヘッダー, 0),FALSE)</f>
        <v>鶴ヶ島市</v>
      </c>
      <c r="AK23" s="102"/>
      <c r="AL23" s="103"/>
      <c r="AM23" s="167">
        <v>39</v>
      </c>
      <c r="AN23" s="166" t="str">
        <f>VLOOKUP(AM23,市町村データ領域,MATCH(手順書_市町村なまえ!$H$52, 市町村データヘッダー, 0),FALSE)</f>
        <v>川越市</v>
      </c>
      <c r="AO23" s="102"/>
      <c r="AP23" s="102"/>
      <c r="AQ23" s="169"/>
      <c r="AR23" s="169"/>
      <c r="AS23" s="169"/>
      <c r="AT23" s="168"/>
      <c r="AU23" s="167">
        <v>40</v>
      </c>
      <c r="AV23" s="166" t="str">
        <f>VLOOKUP(AU23,市町村データ領域,MATCH(手順書_市町村なまえ!$H$52, 市町村データヘッダー, 0),FALSE)</f>
        <v>西区</v>
      </c>
      <c r="AW23" s="102"/>
      <c r="AX23" s="102"/>
      <c r="AY23" s="167">
        <v>41</v>
      </c>
      <c r="AZ23" s="166" t="str">
        <f>VLOOKUP(AY23,市町村データ領域,MATCH(手順書_市町村なまえ!$H$52, 市町村データヘッダー, 0),FALSE)</f>
        <v>北区</v>
      </c>
      <c r="BA23" s="102"/>
      <c r="BB23" s="102"/>
      <c r="BC23" s="167">
        <v>42</v>
      </c>
      <c r="BD23" s="166" t="str">
        <f>VLOOKUP(BC23,市町村データ領域,MATCH(手順書_市町村なまえ!$H$52, 市町村データヘッダー, 0),FALSE)</f>
        <v>見沼区</v>
      </c>
      <c r="BE23" s="102"/>
      <c r="BF23" s="102"/>
      <c r="BG23" s="167">
        <v>43</v>
      </c>
      <c r="BH23" s="166" t="str">
        <f>VLOOKUP(BG23,市町村データ領域,MATCH(手順書_市町村なまえ!$H$52, 市町村データヘッダー, 0),FALSE)</f>
        <v>岩槻区</v>
      </c>
      <c r="BI23" s="102"/>
      <c r="BJ23" s="103"/>
      <c r="BK23" s="167">
        <v>44</v>
      </c>
      <c r="BL23" s="166" t="str">
        <f>VLOOKUP(BK23,市町村データ領域,MATCH(手順書_市町村なまえ!$H$52, 市町村データヘッダー, 0),FALSE)</f>
        <v>春日部市</v>
      </c>
      <c r="BM23" s="102"/>
      <c r="BN23" s="102"/>
      <c r="BO23" s="169"/>
      <c r="BP23" s="169"/>
      <c r="BQ23" s="169"/>
      <c r="BR23" s="168"/>
      <c r="BS23" s="167">
        <v>45</v>
      </c>
      <c r="BT23" s="166" t="str">
        <f>VLOOKUP(BS23,市町村データ領域,MATCH(手順書_市町村なまえ!$H$52, 市町村データヘッダー, 0),FALSE)</f>
        <v>松伏町</v>
      </c>
      <c r="BU23" s="102"/>
      <c r="BV23" s="103"/>
      <c r="BW23" s="163"/>
      <c r="BX23" s="171"/>
      <c r="BY23" s="246"/>
      <c r="BZ23" s="163"/>
      <c r="CA23" s="163"/>
      <c r="CB23" s="162"/>
    </row>
    <row r="24" spans="1:80" ht="21.15" customHeight="1" x14ac:dyDescent="0.55000000000000004">
      <c r="A24" s="162"/>
      <c r="B24" s="163"/>
      <c r="C24" s="163"/>
      <c r="D24" s="163"/>
      <c r="E24" s="163"/>
      <c r="F24" s="170"/>
      <c r="G24" s="172" t="str">
        <f>VLOOKUP(G23,市町村データ領域,MATCH(手順書_市町村なまえ!$G$53, 市町村データヘッダー, 0),FALSE)</f>
        <v>ちちぶし</v>
      </c>
      <c r="H24" s="173"/>
      <c r="I24" s="173"/>
      <c r="J24" s="173"/>
      <c r="K24" s="163"/>
      <c r="L24" s="163"/>
      <c r="M24" s="163"/>
      <c r="N24" s="163"/>
      <c r="O24" s="163"/>
      <c r="P24" s="163"/>
      <c r="Q24" s="163"/>
      <c r="R24" s="170"/>
      <c r="S24" s="172" t="str">
        <f>VLOOKUP(S23,市町村データ領域,MATCH(手順書_市町村なまえ!$G$53, 市町村データヘッダー, 0),FALSE)</f>
        <v>よこぜまち</v>
      </c>
      <c r="T24" s="173"/>
      <c r="U24" s="173"/>
      <c r="V24" s="101"/>
      <c r="W24" s="163"/>
      <c r="X24" s="163"/>
      <c r="Y24" s="163"/>
      <c r="Z24" s="170"/>
      <c r="AA24" s="172" t="str">
        <f>VLOOKUP(AA23,市町村データ領域,MATCH(手順書_市町村なまえ!$G$53, 市町村データヘッダー, 0),FALSE)</f>
        <v>おごせまち</v>
      </c>
      <c r="AB24" s="173"/>
      <c r="AC24" s="173"/>
      <c r="AD24" s="101"/>
      <c r="AE24" s="172" t="str">
        <f>VLOOKUP(AE23,市町村データ領域,MATCH(手順書_市町村なまえ!$G$53, 市町村データヘッダー, 0),FALSE)</f>
        <v>もろやままち</v>
      </c>
      <c r="AF24" s="173"/>
      <c r="AG24" s="173"/>
      <c r="AH24" s="101"/>
      <c r="AI24" s="172" t="str">
        <f>VLOOKUP(AI23,市町村データ領域,MATCH(手順書_市町村なまえ!$G$53, 市町村データヘッダー, 0),FALSE)</f>
        <v>つるがしまし</v>
      </c>
      <c r="AJ24" s="173"/>
      <c r="AK24" s="173"/>
      <c r="AL24" s="101"/>
      <c r="AM24" s="172" t="str">
        <f>VLOOKUP(AM23,市町村データ領域,MATCH(手順書_市町村なまえ!$G$53, 市町村データヘッダー, 0),FALSE)</f>
        <v>かわごえし</v>
      </c>
      <c r="AN24" s="173"/>
      <c r="AO24" s="173"/>
      <c r="AP24" s="173"/>
      <c r="AQ24" s="163"/>
      <c r="AR24" s="163"/>
      <c r="AS24" s="163"/>
      <c r="AT24" s="170"/>
      <c r="AU24" s="172" t="str">
        <f>VLOOKUP(AU23,市町村データ領域,MATCH(手順書_市町村なまえ!$G$53, 市町村データヘッダー, 0),FALSE)</f>
        <v>にしく</v>
      </c>
      <c r="AV24" s="173"/>
      <c r="AW24" s="173"/>
      <c r="AX24" s="173"/>
      <c r="AY24" s="174" t="str">
        <f>VLOOKUP(AY23,市町村データ領域,MATCH(手順書_市町村なまえ!$G$53, 市町村データヘッダー, 0),FALSE)</f>
        <v>きたく</v>
      </c>
      <c r="AZ24" s="173"/>
      <c r="BA24" s="173"/>
      <c r="BB24" s="173"/>
      <c r="BC24" s="174" t="str">
        <f>VLOOKUP(BC23,市町村データ領域,MATCH(手順書_市町村なまえ!$G$53, 市町村データヘッダー, 0),FALSE)</f>
        <v>みぬまく</v>
      </c>
      <c r="BD24" s="173"/>
      <c r="BE24" s="173"/>
      <c r="BF24" s="173"/>
      <c r="BG24" s="174" t="str">
        <f>VLOOKUP(BG23,市町村データ領域,MATCH(手順書_市町村なまえ!$G$53, 市町村データヘッダー, 0),FALSE)</f>
        <v>いわつきく</v>
      </c>
      <c r="BH24" s="173"/>
      <c r="BI24" s="173"/>
      <c r="BJ24" s="101"/>
      <c r="BK24" s="172" t="str">
        <f>VLOOKUP(BK23,市町村データ領域,MATCH(手順書_市町村なまえ!$G$53, 市町村データヘッダー, 0),FALSE)</f>
        <v>かすかべし</v>
      </c>
      <c r="BL24" s="173"/>
      <c r="BM24" s="173"/>
      <c r="BN24" s="173"/>
      <c r="BO24" s="163"/>
      <c r="BP24" s="163"/>
      <c r="BQ24" s="163"/>
      <c r="BR24" s="170"/>
      <c r="BS24" s="172" t="str">
        <f>VLOOKUP(BS23,市町村データ領域,MATCH(手順書_市町村なまえ!$G$53, 市町村データヘッダー, 0),FALSE)</f>
        <v>まつぶしまち</v>
      </c>
      <c r="BT24" s="173"/>
      <c r="BU24" s="173"/>
      <c r="BV24" s="101"/>
      <c r="BW24" s="163"/>
      <c r="BX24" s="171"/>
      <c r="BY24" s="246"/>
      <c r="BZ24" s="163"/>
      <c r="CA24" s="163"/>
      <c r="CB24" s="162"/>
    </row>
    <row r="25" spans="1:80" ht="21.15" customHeight="1" x14ac:dyDescent="0.55000000000000004">
      <c r="A25" s="162"/>
      <c r="B25" s="163"/>
      <c r="C25" s="163"/>
      <c r="D25" s="163"/>
      <c r="E25" s="163"/>
      <c r="F25" s="170"/>
      <c r="G25" s="187"/>
      <c r="H25" s="188"/>
      <c r="I25" s="188"/>
      <c r="J25" s="188"/>
      <c r="K25" s="163"/>
      <c r="L25" s="163"/>
      <c r="M25" s="163"/>
      <c r="N25" s="163"/>
      <c r="O25" s="163"/>
      <c r="P25" s="163"/>
      <c r="Q25" s="163"/>
      <c r="R25" s="170"/>
      <c r="S25" s="187"/>
      <c r="T25" s="188"/>
      <c r="U25" s="188"/>
      <c r="V25" s="98"/>
      <c r="W25" s="163"/>
      <c r="X25" s="163"/>
      <c r="Y25" s="163"/>
      <c r="Z25" s="170"/>
      <c r="AA25" s="187"/>
      <c r="AB25" s="188"/>
      <c r="AC25" s="188"/>
      <c r="AD25" s="98"/>
      <c r="AE25" s="187"/>
      <c r="AF25" s="188"/>
      <c r="AG25" s="188"/>
      <c r="AH25" s="98"/>
      <c r="AI25" s="187"/>
      <c r="AJ25" s="188"/>
      <c r="AK25" s="188"/>
      <c r="AL25" s="98"/>
      <c r="AM25" s="187"/>
      <c r="AN25" s="188"/>
      <c r="AO25" s="188"/>
      <c r="AP25" s="188"/>
      <c r="AQ25" s="163"/>
      <c r="AR25" s="163"/>
      <c r="AS25" s="163"/>
      <c r="AT25" s="170"/>
      <c r="AU25" s="187"/>
      <c r="AV25" s="188"/>
      <c r="AW25" s="188"/>
      <c r="AX25" s="188"/>
      <c r="AY25" s="191"/>
      <c r="AZ25" s="188"/>
      <c r="BA25" s="188"/>
      <c r="BB25" s="188"/>
      <c r="BC25" s="191"/>
      <c r="BD25" s="188"/>
      <c r="BE25" s="188"/>
      <c r="BF25" s="188"/>
      <c r="BG25" s="191"/>
      <c r="BH25" s="188"/>
      <c r="BI25" s="188"/>
      <c r="BJ25" s="98"/>
      <c r="BK25" s="187"/>
      <c r="BL25" s="188"/>
      <c r="BM25" s="188"/>
      <c r="BN25" s="188"/>
      <c r="BO25" s="163"/>
      <c r="BP25" s="163"/>
      <c r="BQ25" s="163"/>
      <c r="BR25" s="170"/>
      <c r="BS25" s="187"/>
      <c r="BT25" s="188"/>
      <c r="BU25" s="188"/>
      <c r="BV25" s="98"/>
      <c r="BW25" s="163"/>
      <c r="BX25" s="171"/>
      <c r="BY25" s="246"/>
      <c r="BZ25" s="163"/>
      <c r="CA25" s="163"/>
      <c r="CB25" s="162"/>
    </row>
    <row r="26" spans="1:80" ht="21.15" customHeight="1" thickBot="1" x14ac:dyDescent="0.6">
      <c r="A26" s="162"/>
      <c r="B26" s="163"/>
      <c r="C26" s="163"/>
      <c r="D26" s="163"/>
      <c r="E26" s="163"/>
      <c r="F26" s="170"/>
      <c r="G26" s="189"/>
      <c r="H26" s="99"/>
      <c r="I26" s="99"/>
      <c r="J26" s="99"/>
      <c r="K26" s="163"/>
      <c r="L26" s="163"/>
      <c r="M26" s="163"/>
      <c r="N26" s="163"/>
      <c r="O26" s="163"/>
      <c r="P26" s="163"/>
      <c r="Q26" s="163"/>
      <c r="R26" s="170"/>
      <c r="S26" s="189"/>
      <c r="T26" s="99"/>
      <c r="U26" s="99"/>
      <c r="V26" s="100"/>
      <c r="W26" s="163"/>
      <c r="X26" s="163"/>
      <c r="Y26" s="163"/>
      <c r="Z26" s="170"/>
      <c r="AA26" s="189"/>
      <c r="AB26" s="99"/>
      <c r="AC26" s="99"/>
      <c r="AD26" s="100"/>
      <c r="AE26" s="189"/>
      <c r="AF26" s="99"/>
      <c r="AG26" s="99"/>
      <c r="AH26" s="100"/>
      <c r="AI26" s="189"/>
      <c r="AJ26" s="99"/>
      <c r="AK26" s="99"/>
      <c r="AL26" s="100"/>
      <c r="AM26" s="189"/>
      <c r="AN26" s="99"/>
      <c r="AO26" s="99"/>
      <c r="AP26" s="99"/>
      <c r="AQ26" s="163"/>
      <c r="AR26" s="163"/>
      <c r="AS26" s="163"/>
      <c r="AT26" s="170"/>
      <c r="AU26" s="189"/>
      <c r="AV26" s="99"/>
      <c r="AW26" s="99"/>
      <c r="AX26" s="99"/>
      <c r="AY26" s="192"/>
      <c r="AZ26" s="188"/>
      <c r="BA26" s="188"/>
      <c r="BB26" s="188"/>
      <c r="BC26" s="192"/>
      <c r="BD26" s="188"/>
      <c r="BE26" s="188"/>
      <c r="BF26" s="188"/>
      <c r="BG26" s="192"/>
      <c r="BH26" s="188"/>
      <c r="BI26" s="188"/>
      <c r="BJ26" s="98"/>
      <c r="BK26" s="189"/>
      <c r="BL26" s="99"/>
      <c r="BM26" s="99"/>
      <c r="BN26" s="99"/>
      <c r="BO26" s="163"/>
      <c r="BP26" s="163"/>
      <c r="BQ26" s="163"/>
      <c r="BR26" s="170"/>
      <c r="BS26" s="189"/>
      <c r="BT26" s="99"/>
      <c r="BU26" s="99"/>
      <c r="BV26" s="100"/>
      <c r="BW26" s="163"/>
      <c r="BX26" s="171"/>
      <c r="BY26" s="246"/>
      <c r="BZ26" s="163"/>
      <c r="CA26" s="163"/>
      <c r="CB26" s="162"/>
    </row>
    <row r="27" spans="1:80" ht="21.15" customHeight="1" x14ac:dyDescent="0.55000000000000004">
      <c r="A27" s="162"/>
      <c r="B27" s="163"/>
      <c r="C27" s="164" t="s">
        <v>229</v>
      </c>
      <c r="D27" s="163"/>
      <c r="E27" s="163"/>
      <c r="F27" s="170"/>
      <c r="G27" s="167">
        <v>46</v>
      </c>
      <c r="H27" s="166" t="str">
        <f>VLOOKUP(G27,市町村データ領域,MATCH(手順書_市町村なまえ!$H$52, 市町村データヘッダー, 0),FALSE)</f>
        <v>小鹿野町</v>
      </c>
      <c r="I27" s="102"/>
      <c r="J27" s="103"/>
      <c r="K27" s="163"/>
      <c r="L27" s="163"/>
      <c r="M27" s="163"/>
      <c r="N27" s="163"/>
      <c r="O27" s="163"/>
      <c r="P27" s="163"/>
      <c r="Q27" s="163"/>
      <c r="R27" s="170"/>
      <c r="S27" s="167">
        <v>47</v>
      </c>
      <c r="T27" s="166" t="str">
        <f>VLOOKUP(S27,市町村データ領域,MATCH(手順書_市町村なまえ!$H$52, 市町村データヘッダー, 0),FALSE)</f>
        <v>飯能市</v>
      </c>
      <c r="U27" s="102"/>
      <c r="V27" s="102"/>
      <c r="W27" s="169"/>
      <c r="X27" s="169"/>
      <c r="Y27" s="169"/>
      <c r="Z27" s="169"/>
      <c r="AA27" s="169"/>
      <c r="AB27" s="169"/>
      <c r="AC27" s="169"/>
      <c r="AD27" s="169"/>
      <c r="AE27" s="169"/>
      <c r="AF27" s="169"/>
      <c r="AG27" s="169"/>
      <c r="AH27" s="168"/>
      <c r="AI27" s="167">
        <v>48</v>
      </c>
      <c r="AJ27" s="166" t="str">
        <f>VLOOKUP(AI27,市町村データ領域,MATCH(手順書_市町村なまえ!$H$52, 市町村データヘッダー, 0),FALSE)</f>
        <v>日高市</v>
      </c>
      <c r="AK27" s="102"/>
      <c r="AL27" s="103"/>
      <c r="AM27" s="167">
        <v>49</v>
      </c>
      <c r="AN27" s="166" t="str">
        <f>VLOOKUP(AM27,市町村データ領域,MATCH(手順書_市町村なまえ!$H$52, 市町村データヘッダー, 0),FALSE)</f>
        <v>狭山市</v>
      </c>
      <c r="AO27" s="102"/>
      <c r="AP27" s="103"/>
      <c r="AQ27" s="167">
        <v>50</v>
      </c>
      <c r="AR27" s="166" t="str">
        <f>VLOOKUP(AQ27,市町村データ領域,MATCH(手順書_市町村なまえ!$H$52, 市町村データヘッダー, 0),FALSE)</f>
        <v>ふじみ野市</v>
      </c>
      <c r="AS27" s="102"/>
      <c r="AT27" s="103"/>
      <c r="AU27" s="167">
        <v>51</v>
      </c>
      <c r="AV27" s="166" t="str">
        <f>VLOOKUP(AU27,市町村データ領域,MATCH(手順書_市町村なまえ!$H$52, 市町村データヘッダー, 0),FALSE)</f>
        <v>富士見市</v>
      </c>
      <c r="AW27" s="102"/>
      <c r="AX27" s="103"/>
      <c r="AY27" s="178">
        <v>52</v>
      </c>
      <c r="AZ27" s="177" t="str">
        <f>VLOOKUP(AY27,市町村データ領域,MATCH(手順書_市町村なまえ!$H$52, 市町村データヘッダー, 0),FALSE)</f>
        <v>中央区</v>
      </c>
      <c r="BA27" s="173"/>
      <c r="BB27" s="173"/>
      <c r="BC27" s="178">
        <v>53</v>
      </c>
      <c r="BD27" s="177" t="str">
        <f>VLOOKUP(BC27,市町村データ領域,MATCH(手順書_市町村なまえ!$H$52, 市町村データヘッダー, 0),FALSE)</f>
        <v>大宮区</v>
      </c>
      <c r="BE27" s="173"/>
      <c r="BF27" s="173"/>
      <c r="BG27" s="178">
        <v>54</v>
      </c>
      <c r="BH27" s="177" t="str">
        <f>VLOOKUP(BG27,市町村データ領域,MATCH(手順書_市町村なまえ!$H$52, 市町村データヘッダー, 0),FALSE)</f>
        <v>浦和区</v>
      </c>
      <c r="BI27" s="173"/>
      <c r="BJ27" s="101"/>
      <c r="BK27" s="167">
        <v>55</v>
      </c>
      <c r="BL27" s="166" t="str">
        <f>VLOOKUP(BK27,市町村データ領域,MATCH(手順書_市町村なまえ!$H$52, 市町村データヘッダー, 0),FALSE)</f>
        <v>越谷市</v>
      </c>
      <c r="BM27" s="102"/>
      <c r="BN27" s="102"/>
      <c r="BO27" s="169"/>
      <c r="BP27" s="169"/>
      <c r="BQ27" s="169"/>
      <c r="BR27" s="168"/>
      <c r="BS27" s="167">
        <v>56</v>
      </c>
      <c r="BT27" s="166" t="str">
        <f>VLOOKUP(BS27,市町村データ領域,MATCH(手順書_市町村なまえ!$H$52, 市町村データヘッダー, 0),FALSE)</f>
        <v>吉川市</v>
      </c>
      <c r="BU27" s="102"/>
      <c r="BV27" s="103"/>
      <c r="BW27" s="163"/>
      <c r="BX27" s="171"/>
      <c r="BY27" s="246"/>
      <c r="BZ27" s="163"/>
      <c r="CA27" s="163"/>
      <c r="CB27" s="162"/>
    </row>
    <row r="28" spans="1:80" ht="21.15" customHeight="1" x14ac:dyDescent="0.55000000000000004">
      <c r="A28" s="162"/>
      <c r="B28" s="163"/>
      <c r="C28" s="163"/>
      <c r="D28" s="163"/>
      <c r="E28" s="163"/>
      <c r="F28" s="170"/>
      <c r="G28" s="172" t="str">
        <f>VLOOKUP(G27,市町村データ領域,MATCH(手順書_市町村なまえ!$G$53, 市町村データヘッダー, 0),FALSE)</f>
        <v>おがのまち</v>
      </c>
      <c r="H28" s="173"/>
      <c r="I28" s="173"/>
      <c r="J28" s="101"/>
      <c r="K28" s="163"/>
      <c r="L28" s="163"/>
      <c r="M28" s="163"/>
      <c r="N28" s="163"/>
      <c r="O28" s="163"/>
      <c r="P28" s="163"/>
      <c r="Q28" s="163"/>
      <c r="R28" s="170"/>
      <c r="S28" s="172" t="str">
        <f>VLOOKUP(S27,市町村データ領域,MATCH(手順書_市町村なまえ!$G$53, 市町村データヘッダー, 0),FALSE)</f>
        <v>はんのうし</v>
      </c>
      <c r="T28" s="173"/>
      <c r="U28" s="173"/>
      <c r="V28" s="173"/>
      <c r="W28" s="163"/>
      <c r="X28" s="163"/>
      <c r="Y28" s="163"/>
      <c r="Z28" s="163"/>
      <c r="AA28" s="163"/>
      <c r="AB28" s="163"/>
      <c r="AC28" s="163"/>
      <c r="AD28" s="163"/>
      <c r="AE28" s="163"/>
      <c r="AF28" s="163"/>
      <c r="AG28" s="163"/>
      <c r="AH28" s="170"/>
      <c r="AI28" s="172" t="str">
        <f>VLOOKUP(AI27,市町村データ領域,MATCH(手順書_市町村なまえ!$G$53, 市町村データヘッダー, 0),FALSE)</f>
        <v>ひだかし</v>
      </c>
      <c r="AJ28" s="173"/>
      <c r="AK28" s="173"/>
      <c r="AL28" s="101"/>
      <c r="AM28" s="172" t="str">
        <f>VLOOKUP(AM27,市町村データ領域,MATCH(手順書_市町村なまえ!$G$53, 市町村データヘッダー, 0),FALSE)</f>
        <v>さやまし</v>
      </c>
      <c r="AN28" s="173"/>
      <c r="AO28" s="173"/>
      <c r="AP28" s="101"/>
      <c r="AQ28" s="172" t="str">
        <f>VLOOKUP(AQ27,市町村データ領域,MATCH(手順書_市町村なまえ!$G$53, 市町村データヘッダー, 0),FALSE)</f>
        <v>ふじみのし</v>
      </c>
      <c r="AR28" s="173"/>
      <c r="AS28" s="173"/>
      <c r="AT28" s="101"/>
      <c r="AU28" s="172" t="str">
        <f>VLOOKUP(AU27,市町村データ領域,MATCH(手順書_市町村なまえ!$G$53, 市町村データヘッダー, 0),FALSE)</f>
        <v>ふじみし</v>
      </c>
      <c r="AV28" s="173"/>
      <c r="AW28" s="173"/>
      <c r="AX28" s="101"/>
      <c r="AY28" s="172" t="str">
        <f>VLOOKUP(AY27,市町村データ領域,MATCH(手順書_市町村なまえ!$G$53, 市町村データヘッダー, 0),FALSE)</f>
        <v>ちゅうおうく</v>
      </c>
      <c r="AZ28" s="173"/>
      <c r="BA28" s="173"/>
      <c r="BB28" s="173"/>
      <c r="BC28" s="174" t="str">
        <f>VLOOKUP(BC27,市町村データ領域,MATCH(手順書_市町村なまえ!$G$53, 市町村データヘッダー, 0),FALSE)</f>
        <v>おおみやく</v>
      </c>
      <c r="BD28" s="173"/>
      <c r="BE28" s="173"/>
      <c r="BF28" s="173"/>
      <c r="BG28" s="174" t="str">
        <f>VLOOKUP(BG27,市町村データ領域,MATCH(手順書_市町村なまえ!$G$53, 市町村データヘッダー, 0),FALSE)</f>
        <v>うらわく</v>
      </c>
      <c r="BH28" s="173"/>
      <c r="BI28" s="173"/>
      <c r="BJ28" s="101"/>
      <c r="BK28" s="172" t="str">
        <f>VLOOKUP(BK27,市町村データ領域,MATCH(手順書_市町村なまえ!$G$53, 市町村データヘッダー, 0),FALSE)</f>
        <v>こしがやし</v>
      </c>
      <c r="BL28" s="173"/>
      <c r="BM28" s="173"/>
      <c r="BN28" s="173"/>
      <c r="BO28" s="163"/>
      <c r="BP28" s="163"/>
      <c r="BQ28" s="163"/>
      <c r="BR28" s="170"/>
      <c r="BS28" s="172" t="str">
        <f>VLOOKUP(BS27,市町村データ領域,MATCH(手順書_市町村なまえ!$G$53, 市町村データヘッダー, 0),FALSE)</f>
        <v>よしかわし</v>
      </c>
      <c r="BT28" s="173"/>
      <c r="BU28" s="173"/>
      <c r="BV28" s="101"/>
      <c r="BW28" s="163"/>
      <c r="BX28" s="163"/>
      <c r="BY28" s="163"/>
      <c r="BZ28" s="163"/>
      <c r="CA28" s="163"/>
      <c r="CB28" s="162"/>
    </row>
    <row r="29" spans="1:80" ht="21.15" customHeight="1" x14ac:dyDescent="0.55000000000000004">
      <c r="A29" s="162"/>
      <c r="B29" s="163"/>
      <c r="C29" s="163"/>
      <c r="D29" s="163"/>
      <c r="E29" s="163"/>
      <c r="F29" s="170"/>
      <c r="G29" s="187"/>
      <c r="H29" s="188"/>
      <c r="I29" s="188"/>
      <c r="J29" s="98"/>
      <c r="K29" s="163"/>
      <c r="L29" s="163"/>
      <c r="M29" s="163"/>
      <c r="N29" s="163"/>
      <c r="O29" s="163"/>
      <c r="P29" s="163"/>
      <c r="Q29" s="163"/>
      <c r="R29" s="170"/>
      <c r="S29" s="187"/>
      <c r="T29" s="188"/>
      <c r="U29" s="188"/>
      <c r="V29" s="188"/>
      <c r="W29" s="163"/>
      <c r="X29" s="163"/>
      <c r="Y29" s="163"/>
      <c r="Z29" s="163"/>
      <c r="AA29" s="163"/>
      <c r="AB29" s="163"/>
      <c r="AC29" s="163"/>
      <c r="AD29" s="163"/>
      <c r="AE29" s="163"/>
      <c r="AF29" s="163"/>
      <c r="AG29" s="163"/>
      <c r="AH29" s="170"/>
      <c r="AI29" s="187"/>
      <c r="AJ29" s="188"/>
      <c r="AK29" s="188"/>
      <c r="AL29" s="98"/>
      <c r="AM29" s="187"/>
      <c r="AN29" s="188"/>
      <c r="AO29" s="188"/>
      <c r="AP29" s="98"/>
      <c r="AQ29" s="187"/>
      <c r="AR29" s="188"/>
      <c r="AS29" s="188"/>
      <c r="AT29" s="98"/>
      <c r="AU29" s="187"/>
      <c r="AV29" s="188"/>
      <c r="AW29" s="188"/>
      <c r="AX29" s="98"/>
      <c r="AY29" s="187"/>
      <c r="AZ29" s="188"/>
      <c r="BA29" s="188"/>
      <c r="BB29" s="188"/>
      <c r="BC29" s="191"/>
      <c r="BD29" s="188"/>
      <c r="BE29" s="188"/>
      <c r="BF29" s="188"/>
      <c r="BG29" s="191"/>
      <c r="BH29" s="188"/>
      <c r="BI29" s="188"/>
      <c r="BJ29" s="98"/>
      <c r="BK29" s="187"/>
      <c r="BL29" s="188"/>
      <c r="BM29" s="188"/>
      <c r="BN29" s="188"/>
      <c r="BO29" s="163"/>
      <c r="BP29" s="163"/>
      <c r="BQ29" s="163"/>
      <c r="BR29" s="170"/>
      <c r="BS29" s="187"/>
      <c r="BT29" s="188"/>
      <c r="BU29" s="188"/>
      <c r="BV29" s="98"/>
      <c r="BW29" s="163"/>
      <c r="BX29" s="163"/>
      <c r="BY29" s="163"/>
      <c r="BZ29" s="163"/>
      <c r="CA29" s="163"/>
      <c r="CB29" s="162"/>
    </row>
    <row r="30" spans="1:80" ht="21.15" customHeight="1" thickBot="1" x14ac:dyDescent="0.6">
      <c r="A30" s="162"/>
      <c r="B30" s="163"/>
      <c r="C30" s="163"/>
      <c r="D30" s="163"/>
      <c r="E30" s="163"/>
      <c r="F30" s="170"/>
      <c r="G30" s="189"/>
      <c r="H30" s="99"/>
      <c r="I30" s="99"/>
      <c r="J30" s="100"/>
      <c r="K30" s="163"/>
      <c r="L30" s="163"/>
      <c r="M30" s="163"/>
      <c r="N30" s="163"/>
      <c r="O30" s="163"/>
      <c r="P30" s="163"/>
      <c r="Q30" s="163"/>
      <c r="R30" s="170"/>
      <c r="S30" s="190"/>
      <c r="T30" s="188"/>
      <c r="U30" s="188"/>
      <c r="V30" s="188"/>
      <c r="W30" s="163"/>
      <c r="X30" s="163"/>
      <c r="Y30" s="163"/>
      <c r="Z30" s="163"/>
      <c r="AA30" s="163"/>
      <c r="AB30" s="163"/>
      <c r="AC30" s="163"/>
      <c r="AD30" s="163"/>
      <c r="AE30" s="163"/>
      <c r="AF30" s="163"/>
      <c r="AG30" s="163"/>
      <c r="AH30" s="170"/>
      <c r="AI30" s="189"/>
      <c r="AJ30" s="99"/>
      <c r="AK30" s="99"/>
      <c r="AL30" s="100"/>
      <c r="AM30" s="189"/>
      <c r="AN30" s="99"/>
      <c r="AO30" s="99"/>
      <c r="AP30" s="100"/>
      <c r="AQ30" s="189"/>
      <c r="AR30" s="99"/>
      <c r="AS30" s="99"/>
      <c r="AT30" s="100"/>
      <c r="AU30" s="189"/>
      <c r="AV30" s="99"/>
      <c r="AW30" s="99"/>
      <c r="AX30" s="100"/>
      <c r="AY30" s="190"/>
      <c r="AZ30" s="188"/>
      <c r="BA30" s="188"/>
      <c r="BB30" s="188"/>
      <c r="BC30" s="192"/>
      <c r="BD30" s="188"/>
      <c r="BE30" s="188"/>
      <c r="BF30" s="188"/>
      <c r="BG30" s="192"/>
      <c r="BH30" s="188"/>
      <c r="BI30" s="188"/>
      <c r="BJ30" s="98"/>
      <c r="BK30" s="190"/>
      <c r="BL30" s="188"/>
      <c r="BM30" s="188"/>
      <c r="BN30" s="188"/>
      <c r="BO30" s="163"/>
      <c r="BP30" s="163"/>
      <c r="BQ30" s="163"/>
      <c r="BR30" s="170"/>
      <c r="BS30" s="189"/>
      <c r="BT30" s="99"/>
      <c r="BU30" s="99"/>
      <c r="BV30" s="100"/>
      <c r="BW30" s="163"/>
      <c r="BX30" s="163"/>
      <c r="BY30" s="163"/>
      <c r="BZ30" s="163"/>
      <c r="CA30" s="163"/>
      <c r="CB30" s="162"/>
    </row>
    <row r="31" spans="1:80" ht="21.15" customHeight="1" x14ac:dyDescent="0.55000000000000004">
      <c r="A31" s="162"/>
      <c r="B31" s="163"/>
      <c r="C31" s="164" t="s">
        <v>230</v>
      </c>
      <c r="D31" s="163"/>
      <c r="E31" s="163"/>
      <c r="F31" s="170"/>
      <c r="G31" s="169"/>
      <c r="H31" s="169"/>
      <c r="I31" s="169"/>
      <c r="J31" s="169"/>
      <c r="K31" s="163"/>
      <c r="L31" s="163"/>
      <c r="M31" s="163"/>
      <c r="N31" s="163"/>
      <c r="O31" s="163"/>
      <c r="P31" s="163"/>
      <c r="Q31" s="163"/>
      <c r="R31" s="170"/>
      <c r="S31" s="163"/>
      <c r="T31" s="163"/>
      <c r="U31" s="163"/>
      <c r="V31" s="163"/>
      <c r="W31" s="163"/>
      <c r="X31" s="163"/>
      <c r="Y31" s="163"/>
      <c r="Z31" s="163"/>
      <c r="AA31" s="163"/>
      <c r="AB31" s="163"/>
      <c r="AC31" s="163"/>
      <c r="AD31" s="163"/>
      <c r="AE31" s="163"/>
      <c r="AF31" s="163"/>
      <c r="AG31" s="163"/>
      <c r="AH31" s="163"/>
      <c r="AI31" s="169"/>
      <c r="AJ31" s="169"/>
      <c r="AK31" s="169"/>
      <c r="AL31" s="168"/>
      <c r="AM31" s="167">
        <v>57</v>
      </c>
      <c r="AN31" s="166" t="str">
        <f>VLOOKUP(AM31,市町村データ領域,MATCH(手順書_市町村なまえ!$H$52, 市町村データヘッダー, 0),FALSE)</f>
        <v>入間市</v>
      </c>
      <c r="AO31" s="102"/>
      <c r="AP31" s="103"/>
      <c r="AQ31" s="167">
        <v>58</v>
      </c>
      <c r="AR31" s="166" t="str">
        <f>VLOOKUP(AQ31,市町村データ領域,MATCH(手順書_市町村なまえ!$H$52, 市町村データヘッダー, 0),FALSE)</f>
        <v>三芳町</v>
      </c>
      <c r="AS31" s="102"/>
      <c r="AT31" s="103"/>
      <c r="AU31" s="167">
        <v>59</v>
      </c>
      <c r="AV31" s="166" t="str">
        <f>VLOOKUP(AU31,市町村データ領域,MATCH(手順書_市町村なまえ!$H$52, 市町村データヘッダー, 0),FALSE)</f>
        <v>志木市</v>
      </c>
      <c r="AW31" s="102"/>
      <c r="AX31" s="103"/>
      <c r="AY31" s="178">
        <v>60</v>
      </c>
      <c r="AZ31" s="177" t="str">
        <f>VLOOKUP(AY31,市町村データ領域,MATCH(手順書_市町村なまえ!$H$52, 市町村データヘッダー, 0),FALSE)</f>
        <v>桜区</v>
      </c>
      <c r="BA31" s="173"/>
      <c r="BB31" s="173"/>
      <c r="BC31" s="178">
        <v>61</v>
      </c>
      <c r="BD31" s="177" t="str">
        <f>VLOOKUP(BC31,市町村データ領域,MATCH(手順書_市町村なまえ!$H$52, 市町村データヘッダー, 0),FALSE)</f>
        <v>南区</v>
      </c>
      <c r="BE31" s="173"/>
      <c r="BF31" s="173"/>
      <c r="BG31" s="178">
        <v>62</v>
      </c>
      <c r="BH31" s="177" t="str">
        <f>VLOOKUP(BG31,市町村データ領域,MATCH(手順書_市町村なまえ!$H$52, 市町村データヘッダー, 0),FALSE)</f>
        <v>緑区</v>
      </c>
      <c r="BI31" s="173"/>
      <c r="BJ31" s="101"/>
      <c r="BK31" s="163"/>
      <c r="BL31" s="163"/>
      <c r="BM31" s="163"/>
      <c r="BN31" s="163"/>
      <c r="BO31" s="163"/>
      <c r="BP31" s="163"/>
      <c r="BQ31" s="163"/>
      <c r="BR31" s="170"/>
      <c r="BS31" s="167">
        <v>63</v>
      </c>
      <c r="BT31" s="166" t="str">
        <f>VLOOKUP(BS31,市町村データ領域,MATCH(手順書_市町村なまえ!$H$52, 市町村データヘッダー, 0),FALSE)</f>
        <v>三郷市</v>
      </c>
      <c r="BU31" s="102"/>
      <c r="BV31" s="103"/>
      <c r="BW31" s="163"/>
      <c r="BX31" s="163"/>
      <c r="BY31" s="163"/>
      <c r="BZ31" s="163"/>
      <c r="CA31" s="163"/>
      <c r="CB31" s="162"/>
    </row>
    <row r="32" spans="1:80" ht="21.15" customHeight="1" x14ac:dyDescent="0.55000000000000004">
      <c r="A32" s="162"/>
      <c r="B32" s="163"/>
      <c r="C32" s="163"/>
      <c r="D32" s="163"/>
      <c r="E32" s="163"/>
      <c r="F32" s="170"/>
      <c r="G32" s="163"/>
      <c r="H32" s="163"/>
      <c r="I32" s="163"/>
      <c r="J32" s="163"/>
      <c r="K32" s="163"/>
      <c r="L32" s="163"/>
      <c r="M32" s="163"/>
      <c r="N32" s="163"/>
      <c r="O32" s="163"/>
      <c r="P32" s="163"/>
      <c r="Q32" s="163"/>
      <c r="R32" s="170"/>
      <c r="S32" s="163"/>
      <c r="T32" s="163"/>
      <c r="U32" s="163"/>
      <c r="V32" s="163"/>
      <c r="W32" s="163"/>
      <c r="X32" s="163"/>
      <c r="Y32" s="163"/>
      <c r="Z32" s="163"/>
      <c r="AA32" s="163"/>
      <c r="AB32" s="163"/>
      <c r="AC32" s="163"/>
      <c r="AD32" s="163"/>
      <c r="AE32" s="163"/>
      <c r="AF32" s="163"/>
      <c r="AG32" s="163"/>
      <c r="AH32" s="163"/>
      <c r="AI32" s="163"/>
      <c r="AJ32" s="163"/>
      <c r="AK32" s="163"/>
      <c r="AL32" s="170"/>
      <c r="AM32" s="172" t="str">
        <f>VLOOKUP(AM31,市町村データ領域,MATCH(手順書_市町村なまえ!$G$53, 市町村データヘッダー, 0),FALSE)</f>
        <v>いるまし</v>
      </c>
      <c r="AN32" s="173"/>
      <c r="AO32" s="173"/>
      <c r="AP32" s="101"/>
      <c r="AQ32" s="172" t="str">
        <f>VLOOKUP(AQ31,市町村データ領域,MATCH(手順書_市町村なまえ!$G$53, 市町村データヘッダー, 0),FALSE)</f>
        <v>みよしまち</v>
      </c>
      <c r="AR32" s="173"/>
      <c r="AS32" s="173"/>
      <c r="AT32" s="101"/>
      <c r="AU32" s="172" t="str">
        <f>VLOOKUP(AU31,市町村データ領域,MATCH(手順書_市町村なまえ!$G$53, 市町村データヘッダー, 0),FALSE)</f>
        <v>しきし</v>
      </c>
      <c r="AV32" s="173"/>
      <c r="AW32" s="173"/>
      <c r="AX32" s="101"/>
      <c r="AY32" s="172" t="str">
        <f>VLOOKUP(AY31,市町村データ領域,MATCH(手順書_市町村なまえ!$G$53, 市町村データヘッダー, 0),FALSE)</f>
        <v>さくらく</v>
      </c>
      <c r="AZ32" s="173"/>
      <c r="BA32" s="173"/>
      <c r="BB32" s="173"/>
      <c r="BC32" s="174" t="str">
        <f>VLOOKUP(BC31,市町村データ領域,MATCH(手順書_市町村なまえ!$G$53, 市町村データヘッダー, 0),FALSE)</f>
        <v>みなみく</v>
      </c>
      <c r="BD32" s="173"/>
      <c r="BE32" s="173"/>
      <c r="BF32" s="173"/>
      <c r="BG32" s="174" t="str">
        <f>VLOOKUP(BG31,市町村データ領域,MATCH(手順書_市町村なまえ!$G$53, 市町村データヘッダー, 0),FALSE)</f>
        <v>みどりく</v>
      </c>
      <c r="BH32" s="173"/>
      <c r="BI32" s="173"/>
      <c r="BJ32" s="101"/>
      <c r="BK32" s="163"/>
      <c r="BL32" s="163"/>
      <c r="BM32" s="163"/>
      <c r="BN32" s="163"/>
      <c r="BO32" s="163"/>
      <c r="BP32" s="163"/>
      <c r="BQ32" s="163"/>
      <c r="BR32" s="170"/>
      <c r="BS32" s="172" t="str">
        <f>VLOOKUP(BS31,市町村データ領域,MATCH(手順書_市町村なまえ!$G$53, 市町村データヘッダー, 0),FALSE)</f>
        <v>みさとし</v>
      </c>
      <c r="BT32" s="173"/>
      <c r="BU32" s="173"/>
      <c r="BV32" s="101"/>
      <c r="BW32" s="163"/>
      <c r="BX32" s="163"/>
      <c r="BY32" s="163"/>
      <c r="BZ32" s="163"/>
      <c r="CA32" s="163"/>
      <c r="CB32" s="162"/>
    </row>
    <row r="33" spans="1:80" ht="21.15" customHeight="1" x14ac:dyDescent="0.55000000000000004">
      <c r="A33" s="162"/>
      <c r="B33" s="163"/>
      <c r="C33" s="163"/>
      <c r="D33" s="163"/>
      <c r="E33" s="163"/>
      <c r="F33" s="170"/>
      <c r="G33" s="163"/>
      <c r="H33" s="163"/>
      <c r="I33" s="163"/>
      <c r="J33" s="163"/>
      <c r="K33" s="163"/>
      <c r="L33" s="163"/>
      <c r="M33" s="163"/>
      <c r="N33" s="163"/>
      <c r="O33" s="163"/>
      <c r="P33" s="163"/>
      <c r="Q33" s="163"/>
      <c r="R33" s="170"/>
      <c r="S33" s="163"/>
      <c r="T33" s="163"/>
      <c r="U33" s="163"/>
      <c r="V33" s="163"/>
      <c r="W33" s="163"/>
      <c r="X33" s="163"/>
      <c r="Y33" s="163"/>
      <c r="Z33" s="163"/>
      <c r="AA33" s="163"/>
      <c r="AB33" s="163"/>
      <c r="AC33" s="163"/>
      <c r="AD33" s="163"/>
      <c r="AE33" s="163"/>
      <c r="AF33" s="163"/>
      <c r="AG33" s="163"/>
      <c r="AH33" s="163"/>
      <c r="AI33" s="176"/>
      <c r="AJ33" s="163"/>
      <c r="AK33" s="163"/>
      <c r="AL33" s="170"/>
      <c r="AM33" s="187"/>
      <c r="AN33" s="188"/>
      <c r="AO33" s="188"/>
      <c r="AP33" s="98"/>
      <c r="AQ33" s="187"/>
      <c r="AR33" s="188"/>
      <c r="AS33" s="188"/>
      <c r="AT33" s="98"/>
      <c r="AU33" s="187"/>
      <c r="AV33" s="188"/>
      <c r="AW33" s="188"/>
      <c r="AX33" s="98"/>
      <c r="AY33" s="187"/>
      <c r="AZ33" s="188"/>
      <c r="BA33" s="188"/>
      <c r="BB33" s="188"/>
      <c r="BC33" s="191"/>
      <c r="BD33" s="188"/>
      <c r="BE33" s="188"/>
      <c r="BF33" s="188"/>
      <c r="BG33" s="191"/>
      <c r="BH33" s="188"/>
      <c r="BI33" s="188"/>
      <c r="BJ33" s="98"/>
      <c r="BK33" s="163"/>
      <c r="BL33" s="163"/>
      <c r="BM33" s="163"/>
      <c r="BN33" s="163"/>
      <c r="BO33" s="163"/>
      <c r="BP33" s="163"/>
      <c r="BQ33" s="163"/>
      <c r="BR33" s="170"/>
      <c r="BS33" s="187"/>
      <c r="BT33" s="188"/>
      <c r="BU33" s="188"/>
      <c r="BV33" s="98"/>
      <c r="BW33" s="163"/>
      <c r="BX33" s="163"/>
      <c r="BY33" s="163"/>
      <c r="BZ33" s="163"/>
      <c r="CA33" s="163"/>
      <c r="CB33" s="162"/>
    </row>
    <row r="34" spans="1:80" ht="21.15" customHeight="1" thickBot="1" x14ac:dyDescent="0.6">
      <c r="A34" s="162"/>
      <c r="B34" s="163"/>
      <c r="C34" s="163"/>
      <c r="D34" s="163"/>
      <c r="E34" s="163"/>
      <c r="F34" s="170"/>
      <c r="G34" s="163"/>
      <c r="H34" s="163"/>
      <c r="I34" s="163"/>
      <c r="J34" s="163"/>
      <c r="K34" s="163"/>
      <c r="L34" s="163"/>
      <c r="M34" s="163"/>
      <c r="N34" s="163"/>
      <c r="O34" s="163"/>
      <c r="P34" s="163"/>
      <c r="Q34" s="163"/>
      <c r="R34" s="170"/>
      <c r="S34" s="163"/>
      <c r="T34" s="163"/>
      <c r="U34" s="163"/>
      <c r="V34" s="163"/>
      <c r="W34" s="163"/>
      <c r="X34" s="163"/>
      <c r="Y34" s="163"/>
      <c r="Z34" s="163"/>
      <c r="AA34" s="163"/>
      <c r="AB34" s="163"/>
      <c r="AC34" s="163"/>
      <c r="AD34" s="163"/>
      <c r="AE34" s="163"/>
      <c r="AF34" s="163"/>
      <c r="AG34" s="163"/>
      <c r="AH34" s="163"/>
      <c r="AI34" s="163"/>
      <c r="AJ34" s="163"/>
      <c r="AK34" s="163"/>
      <c r="AL34" s="170"/>
      <c r="AM34" s="189"/>
      <c r="AN34" s="99"/>
      <c r="AO34" s="99"/>
      <c r="AP34" s="100"/>
      <c r="AQ34" s="189"/>
      <c r="AR34" s="99"/>
      <c r="AS34" s="99"/>
      <c r="AT34" s="100"/>
      <c r="AU34" s="189"/>
      <c r="AV34" s="99"/>
      <c r="AW34" s="99"/>
      <c r="AX34" s="100"/>
      <c r="AY34" s="189"/>
      <c r="AZ34" s="99"/>
      <c r="BA34" s="99"/>
      <c r="BB34" s="99"/>
      <c r="BC34" s="247"/>
      <c r="BD34" s="99"/>
      <c r="BE34" s="99"/>
      <c r="BF34" s="99"/>
      <c r="BG34" s="247"/>
      <c r="BH34" s="99"/>
      <c r="BI34" s="99"/>
      <c r="BJ34" s="100"/>
      <c r="BK34" s="163"/>
      <c r="BL34" s="163"/>
      <c r="BM34" s="163"/>
      <c r="BN34" s="163"/>
      <c r="BO34" s="163"/>
      <c r="BP34" s="163"/>
      <c r="BQ34" s="163"/>
      <c r="BR34" s="170"/>
      <c r="BS34" s="189"/>
      <c r="BT34" s="99"/>
      <c r="BU34" s="99"/>
      <c r="BV34" s="100"/>
      <c r="BW34" s="163"/>
      <c r="BX34" s="163"/>
      <c r="BY34" s="163"/>
      <c r="BZ34" s="163"/>
      <c r="CA34" s="163"/>
      <c r="CB34" s="162"/>
    </row>
    <row r="35" spans="1:80" ht="21.15" customHeight="1" x14ac:dyDescent="0.55000000000000004">
      <c r="A35" s="162"/>
      <c r="B35" s="163"/>
      <c r="C35" s="164" t="s">
        <v>231</v>
      </c>
      <c r="D35" s="163"/>
      <c r="E35" s="163"/>
      <c r="F35" s="163"/>
      <c r="G35" s="169"/>
      <c r="H35" s="169"/>
      <c r="I35" s="169"/>
      <c r="J35" s="169"/>
      <c r="K35" s="169"/>
      <c r="L35" s="169"/>
      <c r="M35" s="169"/>
      <c r="N35" s="169"/>
      <c r="O35" s="169"/>
      <c r="P35" s="169"/>
      <c r="Q35" s="169"/>
      <c r="R35" s="169"/>
      <c r="S35" s="169"/>
      <c r="T35" s="169"/>
      <c r="U35" s="169"/>
      <c r="V35" s="169"/>
      <c r="W35" s="169"/>
      <c r="X35" s="169"/>
      <c r="Y35" s="169"/>
      <c r="Z35" s="169"/>
      <c r="AA35" s="169"/>
      <c r="AB35" s="169"/>
      <c r="AC35" s="169"/>
      <c r="AD35" s="169"/>
      <c r="AE35" s="169"/>
      <c r="AF35" s="169"/>
      <c r="AG35" s="169"/>
      <c r="AH35" s="169"/>
      <c r="AI35" s="169"/>
      <c r="AJ35" s="169"/>
      <c r="AK35" s="169"/>
      <c r="AL35" s="168"/>
      <c r="AM35" s="167">
        <v>64</v>
      </c>
      <c r="AN35" s="166" t="str">
        <f>VLOOKUP(AM35,市町村データ領域,MATCH(手順書_市町村なまえ!$H$52, 市町村データヘッダー, 0),FALSE)</f>
        <v>所沢市</v>
      </c>
      <c r="AO35" s="102"/>
      <c r="AP35" s="103"/>
      <c r="AQ35" s="167">
        <v>65</v>
      </c>
      <c r="AR35" s="166" t="str">
        <f>VLOOKUP(AQ35,市町村データ領域,MATCH(手順書_市町村なまえ!$H$52, 市町村データヘッダー, 0),FALSE)</f>
        <v>新座市</v>
      </c>
      <c r="AS35" s="102"/>
      <c r="AT35" s="103"/>
      <c r="AU35" s="167">
        <v>66</v>
      </c>
      <c r="AV35" s="166" t="str">
        <f>VLOOKUP(AU35,市町村データ領域,MATCH(手順書_市町村なまえ!$H$52, 市町村データヘッダー, 0),FALSE)</f>
        <v>朝霞市</v>
      </c>
      <c r="AW35" s="102"/>
      <c r="AX35" s="103"/>
      <c r="AY35" s="167">
        <v>67</v>
      </c>
      <c r="AZ35" s="166" t="str">
        <f>VLOOKUP(AY35,市町村データ領域,MATCH(手順書_市町村なまえ!$H$52, 市町村データヘッダー, 0),FALSE)</f>
        <v>和光市</v>
      </c>
      <c r="BA35" s="102"/>
      <c r="BB35" s="103"/>
      <c r="BC35" s="167">
        <v>68</v>
      </c>
      <c r="BD35" s="166" t="str">
        <f>VLOOKUP(BC35,市町村データ領域,MATCH(手順書_市町村なまえ!$H$52, 市町村データヘッダー, 0),FALSE)</f>
        <v>戸田市</v>
      </c>
      <c r="BE35" s="102"/>
      <c r="BF35" s="103"/>
      <c r="BG35" s="167">
        <v>69</v>
      </c>
      <c r="BH35" s="166" t="str">
        <f>VLOOKUP(BG35,市町村データ領域,MATCH(手順書_市町村なまえ!$H$52, 市町村データヘッダー, 0),FALSE)</f>
        <v>蕨市</v>
      </c>
      <c r="BI35" s="102"/>
      <c r="BJ35" s="103"/>
      <c r="BK35" s="167">
        <v>70</v>
      </c>
      <c r="BL35" s="166" t="str">
        <f>VLOOKUP(BK35,市町村データ領域,MATCH(手順書_市町村なまえ!$H$52, 市町村データヘッダー, 0),FALSE)</f>
        <v>川口市</v>
      </c>
      <c r="BM35" s="102"/>
      <c r="BN35" s="103"/>
      <c r="BO35" s="167">
        <v>71</v>
      </c>
      <c r="BP35" s="166" t="str">
        <f>VLOOKUP(BO35,市町村データ領域,MATCH(手順書_市町村なまえ!$H$52, 市町村データヘッダー, 0),FALSE)</f>
        <v>草加市</v>
      </c>
      <c r="BQ35" s="102"/>
      <c r="BR35" s="103"/>
      <c r="BS35" s="167">
        <v>72</v>
      </c>
      <c r="BT35" s="166" t="str">
        <f>VLOOKUP(BS35,市町村データ領域,MATCH(手順書_市町村なまえ!$H$52, 市町村データヘッダー, 0),FALSE)</f>
        <v>八潮市</v>
      </c>
      <c r="BU35" s="102"/>
      <c r="BV35" s="103"/>
      <c r="BW35" s="163"/>
      <c r="BX35" s="163"/>
      <c r="BY35" s="163"/>
      <c r="BZ35" s="163"/>
      <c r="CA35" s="163"/>
      <c r="CB35" s="162"/>
    </row>
    <row r="36" spans="1:80" ht="21.15" customHeight="1" x14ac:dyDescent="0.55000000000000004">
      <c r="A36" s="162"/>
      <c r="B36" s="163"/>
      <c r="C36" s="163"/>
      <c r="D36" s="163"/>
      <c r="E36" s="163"/>
      <c r="F36" s="163"/>
      <c r="G36" s="163"/>
      <c r="H36" s="163"/>
      <c r="I36" s="163"/>
      <c r="J36" s="163"/>
      <c r="K36" s="163"/>
      <c r="L36" s="163"/>
      <c r="M36" s="163"/>
      <c r="N36" s="163"/>
      <c r="O36" s="163"/>
      <c r="P36" s="163"/>
      <c r="Q36" s="163"/>
      <c r="R36" s="163"/>
      <c r="S36" s="163"/>
      <c r="T36" s="163"/>
      <c r="U36" s="163"/>
      <c r="V36" s="163"/>
      <c r="W36" s="163"/>
      <c r="X36" s="163"/>
      <c r="Y36" s="163"/>
      <c r="Z36" s="163"/>
      <c r="AA36" s="163"/>
      <c r="AB36" s="163"/>
      <c r="AC36" s="179">
        <v>40</v>
      </c>
      <c r="AD36" s="179">
        <v>41</v>
      </c>
      <c r="AE36" s="179">
        <v>42</v>
      </c>
      <c r="AF36" s="179">
        <v>43</v>
      </c>
      <c r="AG36" s="163" t="s">
        <v>232</v>
      </c>
      <c r="AH36" s="179" t="s">
        <v>208</v>
      </c>
      <c r="AI36" s="163" t="s">
        <v>254</v>
      </c>
      <c r="AJ36" s="163"/>
      <c r="AK36" s="163"/>
      <c r="AL36" s="170"/>
      <c r="AM36" s="172" t="str">
        <f>VLOOKUP(AM35,市町村データ領域,MATCH(手順書_市町村なまえ!$G$53, 市町村データヘッダー, 0),FALSE)</f>
        <v>ところざわし</v>
      </c>
      <c r="AN36" s="173"/>
      <c r="AO36" s="173"/>
      <c r="AP36" s="101"/>
      <c r="AQ36" s="172" t="str">
        <f>VLOOKUP(AQ35,市町村データ領域,MATCH(手順書_市町村なまえ!$G$53, 市町村データヘッダー, 0),FALSE)</f>
        <v>にいざし</v>
      </c>
      <c r="AR36" s="173"/>
      <c r="AS36" s="173"/>
      <c r="AT36" s="101"/>
      <c r="AU36" s="172" t="str">
        <f>VLOOKUP(AU35,市町村データ領域,MATCH(手順書_市町村なまえ!$G$53, 市町村データヘッダー, 0),FALSE)</f>
        <v>あさかし</v>
      </c>
      <c r="AV36" s="173"/>
      <c r="AW36" s="173"/>
      <c r="AX36" s="101"/>
      <c r="AY36" s="172" t="str">
        <f>VLOOKUP(AY35,市町村データ領域,MATCH(手順書_市町村なまえ!$G$53, 市町村データヘッダー, 0),FALSE)</f>
        <v>わこうし</v>
      </c>
      <c r="AZ36" s="173"/>
      <c r="BA36" s="173"/>
      <c r="BB36" s="101"/>
      <c r="BC36" s="172" t="str">
        <f>VLOOKUP(BC35,市町村データ領域,MATCH(手順書_市町村なまえ!$G$53, 市町村データヘッダー, 0),FALSE)</f>
        <v>とだし</v>
      </c>
      <c r="BD36" s="173"/>
      <c r="BE36" s="173"/>
      <c r="BF36" s="101"/>
      <c r="BG36" s="172" t="str">
        <f>VLOOKUP(BG35,市町村データ領域,MATCH(手順書_市町村なまえ!$G$53, 市町村データヘッダー, 0),FALSE)</f>
        <v>わらびし</v>
      </c>
      <c r="BH36" s="173"/>
      <c r="BI36" s="173"/>
      <c r="BJ36" s="101"/>
      <c r="BK36" s="172" t="str">
        <f>VLOOKUP(BK35,市町村データ領域,MATCH(手順書_市町村なまえ!$G$53, 市町村データヘッダー, 0),FALSE)</f>
        <v>かわぐちし</v>
      </c>
      <c r="BL36" s="173"/>
      <c r="BM36" s="173"/>
      <c r="BN36" s="101"/>
      <c r="BO36" s="172" t="str">
        <f>VLOOKUP(BO35,市町村データ領域,MATCH(手順書_市町村なまえ!$G$53, 市町村データヘッダー, 0),FALSE)</f>
        <v>そうかし</v>
      </c>
      <c r="BP36" s="173"/>
      <c r="BQ36" s="173"/>
      <c r="BR36" s="101"/>
      <c r="BS36" s="172" t="str">
        <f>VLOOKUP(BS35,市町村データ領域,MATCH(手順書_市町村なまえ!$G$53, 市町村データヘッダー, 0),FALSE)</f>
        <v>やしおし</v>
      </c>
      <c r="BT36" s="173"/>
      <c r="BU36" s="173"/>
      <c r="BV36" s="101"/>
      <c r="BW36" s="163"/>
      <c r="BX36" s="163"/>
      <c r="BY36" s="163"/>
      <c r="BZ36" s="163"/>
      <c r="CA36" s="163"/>
      <c r="CB36" s="162"/>
    </row>
    <row r="37" spans="1:80" ht="21.15" customHeight="1" x14ac:dyDescent="0.55000000000000004">
      <c r="A37" s="162"/>
      <c r="B37" s="163"/>
      <c r="C37" s="163"/>
      <c r="D37" s="163"/>
      <c r="E37" s="163"/>
      <c r="F37" s="163"/>
      <c r="G37" s="163" t="s">
        <v>234</v>
      </c>
      <c r="H37" s="163"/>
      <c r="I37" s="163"/>
      <c r="J37" s="163"/>
      <c r="K37" s="163"/>
      <c r="L37" s="163"/>
      <c r="M37" s="163"/>
      <c r="N37" s="163"/>
      <c r="O37" s="163"/>
      <c r="P37" s="163"/>
      <c r="Q37" s="163"/>
      <c r="R37" s="163"/>
      <c r="S37" s="163"/>
      <c r="T37" s="163"/>
      <c r="U37" s="163"/>
      <c r="V37" s="163"/>
      <c r="W37" s="163"/>
      <c r="X37" s="163"/>
      <c r="Y37" s="163"/>
      <c r="Z37" s="163"/>
      <c r="AA37" s="163"/>
      <c r="AB37" s="163"/>
      <c r="AC37" s="163"/>
      <c r="AD37" s="179">
        <v>52</v>
      </c>
      <c r="AE37" s="179">
        <v>53</v>
      </c>
      <c r="AF37" s="179">
        <v>54</v>
      </c>
      <c r="AG37" s="163"/>
      <c r="AH37" s="163" t="s">
        <v>233</v>
      </c>
      <c r="AI37" s="163"/>
      <c r="AJ37" s="163"/>
      <c r="AK37" s="163"/>
      <c r="AL37" s="170"/>
      <c r="AM37" s="187"/>
      <c r="AN37" s="188"/>
      <c r="AO37" s="188"/>
      <c r="AP37" s="98"/>
      <c r="AQ37" s="187"/>
      <c r="AR37" s="188"/>
      <c r="AS37" s="188"/>
      <c r="AT37" s="98"/>
      <c r="AU37" s="187"/>
      <c r="AV37" s="188"/>
      <c r="AW37" s="188"/>
      <c r="AX37" s="98"/>
      <c r="AY37" s="187"/>
      <c r="AZ37" s="188"/>
      <c r="BA37" s="188"/>
      <c r="BB37" s="98"/>
      <c r="BC37" s="187"/>
      <c r="BD37" s="188"/>
      <c r="BE37" s="188"/>
      <c r="BF37" s="98"/>
      <c r="BG37" s="187"/>
      <c r="BH37" s="188"/>
      <c r="BI37" s="188"/>
      <c r="BJ37" s="98"/>
      <c r="BK37" s="187"/>
      <c r="BL37" s="188"/>
      <c r="BM37" s="188"/>
      <c r="BN37" s="98"/>
      <c r="BO37" s="187"/>
      <c r="BP37" s="188"/>
      <c r="BQ37" s="188"/>
      <c r="BR37" s="98"/>
      <c r="BS37" s="187"/>
      <c r="BT37" s="188"/>
      <c r="BU37" s="188"/>
      <c r="BV37" s="98"/>
      <c r="BW37" s="163"/>
      <c r="BX37" s="163"/>
      <c r="BY37" s="163"/>
      <c r="BZ37" s="163"/>
      <c r="CA37" s="163"/>
      <c r="CB37" s="162"/>
    </row>
    <row r="38" spans="1:80" ht="21.15" customHeight="1" thickBot="1" x14ac:dyDescent="0.6">
      <c r="A38" s="162"/>
      <c r="B38" s="163"/>
      <c r="C38" s="163"/>
      <c r="D38" s="163"/>
      <c r="E38" s="163"/>
      <c r="F38" s="163"/>
      <c r="G38" s="180" t="s">
        <v>235</v>
      </c>
      <c r="H38" s="163"/>
      <c r="I38" s="163"/>
      <c r="J38" s="163"/>
      <c r="K38" s="163"/>
      <c r="L38" s="163"/>
      <c r="M38" s="163"/>
      <c r="N38" s="163"/>
      <c r="O38" s="163"/>
      <c r="P38" s="163"/>
      <c r="Q38" s="163"/>
      <c r="R38" s="163"/>
      <c r="S38" s="163"/>
      <c r="T38" s="163"/>
      <c r="U38" s="163"/>
      <c r="V38" s="163"/>
      <c r="W38" s="163"/>
      <c r="X38" s="163"/>
      <c r="Y38" s="163"/>
      <c r="Z38" s="163"/>
      <c r="AA38" s="163"/>
      <c r="AB38" s="163"/>
      <c r="AC38" s="163"/>
      <c r="AD38" s="179">
        <v>60</v>
      </c>
      <c r="AE38" s="179">
        <v>61</v>
      </c>
      <c r="AF38" s="179">
        <v>62</v>
      </c>
      <c r="AG38" s="163"/>
      <c r="AH38" s="163"/>
      <c r="AI38" s="163"/>
      <c r="AJ38" s="163"/>
      <c r="AK38" s="163"/>
      <c r="AL38" s="170"/>
      <c r="AM38" s="189"/>
      <c r="AN38" s="99"/>
      <c r="AO38" s="99"/>
      <c r="AP38" s="100"/>
      <c r="AQ38" s="189"/>
      <c r="AR38" s="99"/>
      <c r="AS38" s="99"/>
      <c r="AT38" s="100"/>
      <c r="AU38" s="189"/>
      <c r="AV38" s="99"/>
      <c r="AW38" s="99"/>
      <c r="AX38" s="100"/>
      <c r="AY38" s="189"/>
      <c r="AZ38" s="99"/>
      <c r="BA38" s="99"/>
      <c r="BB38" s="100"/>
      <c r="BC38" s="189"/>
      <c r="BD38" s="99"/>
      <c r="BE38" s="99"/>
      <c r="BF38" s="100"/>
      <c r="BG38" s="189"/>
      <c r="BH38" s="99"/>
      <c r="BI38" s="99"/>
      <c r="BJ38" s="100"/>
      <c r="BK38" s="189"/>
      <c r="BL38" s="99"/>
      <c r="BM38" s="99"/>
      <c r="BN38" s="100"/>
      <c r="BO38" s="189"/>
      <c r="BP38" s="99"/>
      <c r="BQ38" s="99"/>
      <c r="BR38" s="100"/>
      <c r="BS38" s="189"/>
      <c r="BT38" s="99"/>
      <c r="BU38" s="99"/>
      <c r="BV38" s="100"/>
      <c r="BW38" s="163"/>
      <c r="BX38" s="163"/>
      <c r="BY38" s="163"/>
      <c r="BZ38" s="163"/>
      <c r="CA38" s="163"/>
      <c r="CB38" s="162"/>
    </row>
    <row r="39" spans="1:80" ht="21.15" customHeight="1" x14ac:dyDescent="0.55000000000000004">
      <c r="A39" s="162"/>
      <c r="B39" s="163"/>
      <c r="C39" s="163"/>
      <c r="D39" s="163"/>
      <c r="E39" s="163"/>
      <c r="F39" s="163"/>
      <c r="G39" s="163"/>
      <c r="H39" s="163"/>
      <c r="I39" s="163"/>
      <c r="J39" s="163"/>
      <c r="K39" s="163"/>
      <c r="L39" s="163"/>
      <c r="M39" s="163"/>
      <c r="N39" s="163"/>
      <c r="O39" s="163"/>
      <c r="P39" s="163"/>
      <c r="Q39" s="163"/>
      <c r="R39" s="163"/>
      <c r="S39" s="163"/>
      <c r="T39" s="163"/>
      <c r="U39" s="163"/>
      <c r="V39" s="163"/>
      <c r="W39" s="163"/>
      <c r="X39" s="163"/>
      <c r="Y39" s="163"/>
      <c r="Z39" s="163"/>
      <c r="AA39" s="163"/>
      <c r="AB39" s="163"/>
      <c r="AC39" s="163"/>
      <c r="AD39" s="163"/>
      <c r="AE39" s="163"/>
      <c r="AF39" s="163"/>
      <c r="AG39" s="163"/>
      <c r="AH39" s="163"/>
      <c r="AI39" s="163"/>
      <c r="AJ39" s="163"/>
      <c r="AK39" s="163"/>
      <c r="AL39" s="163"/>
      <c r="AM39" s="169"/>
      <c r="AN39" s="169"/>
      <c r="AO39" s="169"/>
      <c r="AP39" s="169"/>
      <c r="AQ39" s="169"/>
      <c r="AR39" s="169"/>
      <c r="AS39" s="169"/>
      <c r="AT39" s="169"/>
      <c r="AU39" s="169"/>
      <c r="AV39" s="169"/>
      <c r="AW39" s="169"/>
      <c r="AX39" s="169"/>
      <c r="AY39" s="169"/>
      <c r="AZ39" s="169"/>
      <c r="BA39" s="169"/>
      <c r="BB39" s="169"/>
      <c r="BC39" s="169"/>
      <c r="BD39" s="169"/>
      <c r="BE39" s="169"/>
      <c r="BF39" s="169"/>
      <c r="BG39" s="169"/>
      <c r="BH39" s="169"/>
      <c r="BI39" s="169"/>
      <c r="BJ39" s="169"/>
      <c r="BK39" s="169"/>
      <c r="BL39" s="169"/>
      <c r="BM39" s="169"/>
      <c r="BN39" s="169"/>
      <c r="BO39" s="169"/>
      <c r="BP39" s="169"/>
      <c r="BQ39" s="169"/>
      <c r="BR39" s="169"/>
      <c r="BS39" s="169"/>
      <c r="BT39" s="169"/>
      <c r="BU39" s="169"/>
      <c r="BV39" s="169"/>
      <c r="BW39" s="163"/>
      <c r="BX39" s="163"/>
      <c r="BY39" s="163"/>
      <c r="BZ39" s="163"/>
      <c r="CA39" s="163"/>
      <c r="CB39" s="162"/>
    </row>
    <row r="40" spans="1:80" ht="21.15" customHeight="1" x14ac:dyDescent="0.55000000000000004">
      <c r="A40" s="162"/>
      <c r="B40" s="162"/>
      <c r="C40" s="162"/>
      <c r="D40" s="162"/>
      <c r="E40" s="162"/>
      <c r="F40" s="162"/>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162"/>
      <c r="AJ40" s="162"/>
      <c r="AK40" s="162"/>
      <c r="AL40" s="162"/>
      <c r="AM40" s="162"/>
      <c r="AN40" s="162"/>
      <c r="AO40" s="162"/>
      <c r="AP40" s="162"/>
      <c r="AQ40" s="162"/>
      <c r="AR40" s="162"/>
      <c r="AS40" s="162"/>
      <c r="AT40" s="162"/>
      <c r="AU40" s="162"/>
      <c r="AV40" s="162"/>
      <c r="AW40" s="162"/>
      <c r="AX40" s="162"/>
      <c r="AY40" s="162"/>
      <c r="AZ40" s="162"/>
      <c r="BA40" s="162"/>
      <c r="BB40" s="162"/>
      <c r="BC40" s="162"/>
      <c r="BD40" s="162"/>
      <c r="BE40" s="162"/>
      <c r="BF40" s="162"/>
      <c r="BG40" s="162"/>
      <c r="BH40" s="162"/>
      <c r="BI40" s="162"/>
      <c r="BJ40" s="162"/>
      <c r="BK40" s="162"/>
      <c r="BL40" s="162"/>
      <c r="BM40" s="162"/>
      <c r="BN40" s="162"/>
      <c r="BO40" s="162"/>
      <c r="BP40" s="162"/>
      <c r="BQ40" s="162"/>
      <c r="BR40" s="162"/>
      <c r="BS40" s="162"/>
      <c r="BT40" s="162"/>
      <c r="BU40" s="162"/>
      <c r="BV40" s="162"/>
      <c r="BW40" s="162"/>
      <c r="BX40" s="162"/>
      <c r="BY40" s="162"/>
      <c r="BZ40" s="162"/>
      <c r="CA40" s="162"/>
      <c r="CB40" s="162"/>
    </row>
  </sheetData>
  <mergeCells count="292">
    <mergeCell ref="D3:F3"/>
    <mergeCell ref="C4:F4"/>
    <mergeCell ref="C5:F5"/>
    <mergeCell ref="C6:F6"/>
    <mergeCell ref="AM37:AP37"/>
    <mergeCell ref="BS38:BV38"/>
    <mergeCell ref="BO38:BR38"/>
    <mergeCell ref="BK38:BN38"/>
    <mergeCell ref="BG38:BJ38"/>
    <mergeCell ref="BC38:BF38"/>
    <mergeCell ref="AY38:BB38"/>
    <mergeCell ref="AU38:AX38"/>
    <mergeCell ref="AQ38:AT38"/>
    <mergeCell ref="AM38:AP38"/>
    <mergeCell ref="AQ36:AT36"/>
    <mergeCell ref="AM36:AP36"/>
    <mergeCell ref="BS37:BV37"/>
    <mergeCell ref="BO37:BR37"/>
    <mergeCell ref="BK37:BN37"/>
    <mergeCell ref="BG37:BJ37"/>
    <mergeCell ref="BC37:BF37"/>
    <mergeCell ref="AY37:BB37"/>
    <mergeCell ref="AU37:AX37"/>
    <mergeCell ref="AQ37:AT37"/>
    <mergeCell ref="AV35:AX35"/>
    <mergeCell ref="AR35:AT35"/>
    <mergeCell ref="AN35:AP35"/>
    <mergeCell ref="BS36:BV36"/>
    <mergeCell ref="BO36:BR36"/>
    <mergeCell ref="BK36:BN36"/>
    <mergeCell ref="BG36:BJ36"/>
    <mergeCell ref="BC36:BF36"/>
    <mergeCell ref="AY36:BB36"/>
    <mergeCell ref="AU36:AX36"/>
    <mergeCell ref="BT35:BV35"/>
    <mergeCell ref="BP35:BR35"/>
    <mergeCell ref="BL35:BN35"/>
    <mergeCell ref="BH35:BJ35"/>
    <mergeCell ref="BD35:BF35"/>
    <mergeCell ref="AZ35:BB35"/>
    <mergeCell ref="AM33:AP33"/>
    <mergeCell ref="BS34:BV34"/>
    <mergeCell ref="BG34:BJ34"/>
    <mergeCell ref="BC34:BF34"/>
    <mergeCell ref="AY34:BB34"/>
    <mergeCell ref="AU34:AX34"/>
    <mergeCell ref="AQ34:AT34"/>
    <mergeCell ref="AM34:AP34"/>
    <mergeCell ref="BS33:BV33"/>
    <mergeCell ref="BG33:BJ33"/>
    <mergeCell ref="BC33:BF33"/>
    <mergeCell ref="AY33:BB33"/>
    <mergeCell ref="AU33:AX33"/>
    <mergeCell ref="AQ33:AT33"/>
    <mergeCell ref="AN31:AP31"/>
    <mergeCell ref="BS32:BV32"/>
    <mergeCell ref="BG32:BJ32"/>
    <mergeCell ref="BC32:BF32"/>
    <mergeCell ref="AY32:BB32"/>
    <mergeCell ref="AU32:AX32"/>
    <mergeCell ref="AQ32:AT32"/>
    <mergeCell ref="AM32:AP32"/>
    <mergeCell ref="BT31:BV31"/>
    <mergeCell ref="BH31:BJ31"/>
    <mergeCell ref="BD31:BF31"/>
    <mergeCell ref="AZ31:BB31"/>
    <mergeCell ref="AV31:AX31"/>
    <mergeCell ref="AR31:AT31"/>
    <mergeCell ref="AU30:AX30"/>
    <mergeCell ref="AQ30:AT30"/>
    <mergeCell ref="AM30:AP30"/>
    <mergeCell ref="AI30:AL30"/>
    <mergeCell ref="S30:V30"/>
    <mergeCell ref="G30:J30"/>
    <mergeCell ref="AQ29:AT29"/>
    <mergeCell ref="AM29:AP29"/>
    <mergeCell ref="AI29:AL29"/>
    <mergeCell ref="S29:V29"/>
    <mergeCell ref="G29:J29"/>
    <mergeCell ref="BS30:BV30"/>
    <mergeCell ref="BK30:BN30"/>
    <mergeCell ref="BG30:BJ30"/>
    <mergeCell ref="BC30:BF30"/>
    <mergeCell ref="AY30:BB30"/>
    <mergeCell ref="BS29:BV29"/>
    <mergeCell ref="BK29:BN29"/>
    <mergeCell ref="BG29:BJ29"/>
    <mergeCell ref="BC29:BF29"/>
    <mergeCell ref="AY29:BB29"/>
    <mergeCell ref="AU29:AX29"/>
    <mergeCell ref="AU28:AX28"/>
    <mergeCell ref="AQ28:AT28"/>
    <mergeCell ref="AM28:AP28"/>
    <mergeCell ref="AI28:AL28"/>
    <mergeCell ref="S28:V28"/>
    <mergeCell ref="G28:J28"/>
    <mergeCell ref="AR27:AT27"/>
    <mergeCell ref="AN27:AP27"/>
    <mergeCell ref="AJ27:AL27"/>
    <mergeCell ref="T27:V27"/>
    <mergeCell ref="H27:J27"/>
    <mergeCell ref="BS28:BV28"/>
    <mergeCell ref="BK28:BN28"/>
    <mergeCell ref="BG28:BJ28"/>
    <mergeCell ref="BC28:BF28"/>
    <mergeCell ref="AY28:BB28"/>
    <mergeCell ref="BT27:BV27"/>
    <mergeCell ref="BL27:BN27"/>
    <mergeCell ref="BH27:BJ27"/>
    <mergeCell ref="BD27:BF27"/>
    <mergeCell ref="AZ27:BB27"/>
    <mergeCell ref="AV27:AX27"/>
    <mergeCell ref="AM26:AP26"/>
    <mergeCell ref="AI26:AL26"/>
    <mergeCell ref="AE26:AH26"/>
    <mergeCell ref="AA26:AD26"/>
    <mergeCell ref="S26:V26"/>
    <mergeCell ref="G26:J26"/>
    <mergeCell ref="BS26:BV26"/>
    <mergeCell ref="BK26:BN26"/>
    <mergeCell ref="BG26:BJ26"/>
    <mergeCell ref="BC26:BF26"/>
    <mergeCell ref="AY26:BB26"/>
    <mergeCell ref="AU26:AX26"/>
    <mergeCell ref="AM25:AP25"/>
    <mergeCell ref="AI25:AL25"/>
    <mergeCell ref="AE25:AH25"/>
    <mergeCell ref="AA25:AD25"/>
    <mergeCell ref="S25:V25"/>
    <mergeCell ref="G25:J25"/>
    <mergeCell ref="BS25:BV25"/>
    <mergeCell ref="BK25:BN25"/>
    <mergeCell ref="BG25:BJ25"/>
    <mergeCell ref="BC25:BF25"/>
    <mergeCell ref="AY25:BB25"/>
    <mergeCell ref="AU25:AX25"/>
    <mergeCell ref="AM24:AP24"/>
    <mergeCell ref="AI24:AL24"/>
    <mergeCell ref="AE24:AH24"/>
    <mergeCell ref="AA24:AD24"/>
    <mergeCell ref="S24:V24"/>
    <mergeCell ref="G24:J24"/>
    <mergeCell ref="BS24:BV24"/>
    <mergeCell ref="BK24:BN24"/>
    <mergeCell ref="BG24:BJ24"/>
    <mergeCell ref="BC24:BF24"/>
    <mergeCell ref="AY24:BB24"/>
    <mergeCell ref="AU24:AX24"/>
    <mergeCell ref="AN23:AP23"/>
    <mergeCell ref="AJ23:AL23"/>
    <mergeCell ref="AF23:AH23"/>
    <mergeCell ref="AB23:AD23"/>
    <mergeCell ref="T23:V23"/>
    <mergeCell ref="H23:J23"/>
    <mergeCell ref="AA22:AD22"/>
    <mergeCell ref="W22:Z22"/>
    <mergeCell ref="O22:R22"/>
    <mergeCell ref="K22:N22"/>
    <mergeCell ref="BT23:BV23"/>
    <mergeCell ref="BL23:BN23"/>
    <mergeCell ref="BH23:BJ23"/>
    <mergeCell ref="BD23:BF23"/>
    <mergeCell ref="AZ23:BB23"/>
    <mergeCell ref="AV23:AX23"/>
    <mergeCell ref="K21:N21"/>
    <mergeCell ref="BO22:BR22"/>
    <mergeCell ref="BK22:BN22"/>
    <mergeCell ref="BG22:BJ22"/>
    <mergeCell ref="BC22:BF22"/>
    <mergeCell ref="AY22:BB22"/>
    <mergeCell ref="AU22:AX22"/>
    <mergeCell ref="AQ22:AT22"/>
    <mergeCell ref="AM22:AP22"/>
    <mergeCell ref="AI22:AL22"/>
    <mergeCell ref="AQ21:AT21"/>
    <mergeCell ref="AM21:AP21"/>
    <mergeCell ref="AI21:AL21"/>
    <mergeCell ref="AA21:AD21"/>
    <mergeCell ref="W21:Z21"/>
    <mergeCell ref="O21:R21"/>
    <mergeCell ref="AA20:AD20"/>
    <mergeCell ref="W20:Z20"/>
    <mergeCell ref="O20:R20"/>
    <mergeCell ref="K20:N20"/>
    <mergeCell ref="BO21:BR21"/>
    <mergeCell ref="BK21:BN21"/>
    <mergeCell ref="BG21:BJ21"/>
    <mergeCell ref="BC21:BF21"/>
    <mergeCell ref="AY21:BB21"/>
    <mergeCell ref="AU21:AX21"/>
    <mergeCell ref="L19:N19"/>
    <mergeCell ref="BO20:BR20"/>
    <mergeCell ref="BK20:BN20"/>
    <mergeCell ref="BG20:BJ20"/>
    <mergeCell ref="BC20:BF20"/>
    <mergeCell ref="AY20:BB20"/>
    <mergeCell ref="AU20:AX20"/>
    <mergeCell ref="AQ20:AT20"/>
    <mergeCell ref="AM20:AP20"/>
    <mergeCell ref="AI20:AL20"/>
    <mergeCell ref="AR19:AT19"/>
    <mergeCell ref="AN19:AP19"/>
    <mergeCell ref="AJ19:AL19"/>
    <mergeCell ref="AB19:AD19"/>
    <mergeCell ref="X19:Z19"/>
    <mergeCell ref="P19:R19"/>
    <mergeCell ref="AA18:AD18"/>
    <mergeCell ref="W18:Z18"/>
    <mergeCell ref="S18:V18"/>
    <mergeCell ref="O18:R18"/>
    <mergeCell ref="BP19:BR19"/>
    <mergeCell ref="BL19:BN19"/>
    <mergeCell ref="BH19:BJ19"/>
    <mergeCell ref="BD19:BF19"/>
    <mergeCell ref="AZ19:BB19"/>
    <mergeCell ref="AV19:AX19"/>
    <mergeCell ref="AA17:AD17"/>
    <mergeCell ref="W17:Z17"/>
    <mergeCell ref="S17:V17"/>
    <mergeCell ref="O17:R17"/>
    <mergeCell ref="BO18:BR18"/>
    <mergeCell ref="AU18:AX18"/>
    <mergeCell ref="AQ18:AT18"/>
    <mergeCell ref="AM18:AP18"/>
    <mergeCell ref="AI18:AL18"/>
    <mergeCell ref="AE18:AH18"/>
    <mergeCell ref="AA16:AD16"/>
    <mergeCell ref="W16:Z16"/>
    <mergeCell ref="S16:V16"/>
    <mergeCell ref="O16:R16"/>
    <mergeCell ref="BO17:BR17"/>
    <mergeCell ref="AU17:AX17"/>
    <mergeCell ref="AQ17:AT17"/>
    <mergeCell ref="AM17:AP17"/>
    <mergeCell ref="AI17:AL17"/>
    <mergeCell ref="AE17:AH17"/>
    <mergeCell ref="AB15:AD15"/>
    <mergeCell ref="X15:Z15"/>
    <mergeCell ref="T15:V15"/>
    <mergeCell ref="P15:R15"/>
    <mergeCell ref="BO16:BR16"/>
    <mergeCell ref="AU16:AX16"/>
    <mergeCell ref="AQ16:AT16"/>
    <mergeCell ref="AM16:AP16"/>
    <mergeCell ref="AI16:AL16"/>
    <mergeCell ref="AE16:AH16"/>
    <mergeCell ref="BP15:BR15"/>
    <mergeCell ref="AV15:AX15"/>
    <mergeCell ref="AR15:AT15"/>
    <mergeCell ref="AN15:AP15"/>
    <mergeCell ref="AJ15:AL15"/>
    <mergeCell ref="AF15:AH15"/>
    <mergeCell ref="AU13:AX13"/>
    <mergeCell ref="AQ13:AT13"/>
    <mergeCell ref="O13:R13"/>
    <mergeCell ref="G13:J13"/>
    <mergeCell ref="AU14:AX14"/>
    <mergeCell ref="AQ14:AT14"/>
    <mergeCell ref="O14:R14"/>
    <mergeCell ref="G14:J14"/>
    <mergeCell ref="AV11:AX11"/>
    <mergeCell ref="AR11:AT11"/>
    <mergeCell ref="P11:R11"/>
    <mergeCell ref="H11:J11"/>
    <mergeCell ref="AU12:AX12"/>
    <mergeCell ref="AQ12:AT12"/>
    <mergeCell ref="O12:R12"/>
    <mergeCell ref="G12:J12"/>
    <mergeCell ref="AU10:AX10"/>
    <mergeCell ref="AQ10:AT10"/>
    <mergeCell ref="W10:Z10"/>
    <mergeCell ref="O10:R10"/>
    <mergeCell ref="K10:N10"/>
    <mergeCell ref="G10:J10"/>
    <mergeCell ref="AU9:AX9"/>
    <mergeCell ref="AQ9:AT9"/>
    <mergeCell ref="W9:Z9"/>
    <mergeCell ref="O9:R9"/>
    <mergeCell ref="K9:N9"/>
    <mergeCell ref="G9:J9"/>
    <mergeCell ref="AU8:AX8"/>
    <mergeCell ref="AQ8:AT8"/>
    <mergeCell ref="W8:Z8"/>
    <mergeCell ref="O8:R8"/>
    <mergeCell ref="K8:N8"/>
    <mergeCell ref="G8:J8"/>
    <mergeCell ref="AV7:AX7"/>
    <mergeCell ref="AR7:AT7"/>
    <mergeCell ref="X7:Z7"/>
    <mergeCell ref="P7:R7"/>
    <mergeCell ref="L7:N7"/>
    <mergeCell ref="H7:J7"/>
  </mergeCells>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66831-0D82-4A80-B97E-0B02D3F23332}">
  <sheetPr codeName="Sheet6">
    <tabColor rgb="FF0F8472"/>
  </sheetPr>
  <dimension ref="A1:AG136"/>
  <sheetViews>
    <sheetView topLeftCell="A106" zoomScale="130" zoomScaleNormal="130" workbookViewId="0">
      <selection activeCell="O112" sqref="O112"/>
    </sheetView>
  </sheetViews>
  <sheetFormatPr defaultColWidth="3.5" defaultRowHeight="21" customHeight="1" x14ac:dyDescent="0.55000000000000004"/>
  <cols>
    <col min="1" max="16384" width="3.5" style="26"/>
  </cols>
  <sheetData>
    <row r="1" spans="1:33" ht="21" customHeight="1" x14ac:dyDescent="0.55000000000000004">
      <c r="A1" s="64" t="s">
        <v>343</v>
      </c>
      <c r="F1" s="64">
        <v>5</v>
      </c>
      <c r="G1" s="64">
        <v>6</v>
      </c>
      <c r="N1" s="64">
        <v>13</v>
      </c>
      <c r="Q1" s="64">
        <v>16</v>
      </c>
    </row>
    <row r="2" spans="1:33" ht="21" customHeight="1" x14ac:dyDescent="0.55000000000000004">
      <c r="B2" s="35" t="s">
        <v>190</v>
      </c>
      <c r="C2" s="34"/>
      <c r="D2" s="34"/>
      <c r="E2" s="34"/>
      <c r="F2" s="34"/>
      <c r="G2" s="34"/>
      <c r="H2" s="34"/>
      <c r="I2" s="34"/>
      <c r="J2" s="34"/>
      <c r="K2" s="34"/>
      <c r="L2" s="34"/>
      <c r="M2" s="34"/>
      <c r="N2" s="34"/>
      <c r="O2" s="34"/>
      <c r="P2" s="34"/>
      <c r="Q2" s="34"/>
      <c r="R2" s="34"/>
      <c r="S2" s="34"/>
      <c r="T2" s="34"/>
      <c r="U2" s="34"/>
      <c r="V2" s="34"/>
      <c r="W2" s="34"/>
      <c r="X2" s="34"/>
      <c r="Y2" s="34"/>
      <c r="Z2" s="34"/>
      <c r="AA2" s="34"/>
      <c r="AB2" s="34"/>
      <c r="AC2" s="34"/>
      <c r="AD2" s="34"/>
      <c r="AE2" s="34"/>
    </row>
    <row r="4" spans="1:33" ht="21" customHeight="1" x14ac:dyDescent="0.55000000000000004">
      <c r="D4" s="35" t="s">
        <v>188</v>
      </c>
      <c r="E4" s="34"/>
      <c r="F4" s="34"/>
      <c r="G4" s="34"/>
      <c r="H4" s="34"/>
      <c r="I4" s="34"/>
      <c r="J4" s="34"/>
      <c r="K4" s="34"/>
      <c r="L4" s="34"/>
      <c r="M4" s="34"/>
      <c r="N4" s="34"/>
      <c r="O4" s="34"/>
      <c r="P4" s="34"/>
      <c r="Q4" s="34"/>
      <c r="R4" s="34"/>
      <c r="S4" s="34"/>
      <c r="T4" s="34"/>
      <c r="U4" s="34"/>
      <c r="V4" s="34"/>
      <c r="W4" s="34"/>
      <c r="X4" s="34"/>
      <c r="Y4" s="34"/>
      <c r="Z4" s="34"/>
      <c r="AA4" s="34"/>
      <c r="AB4" s="34"/>
      <c r="AC4" s="34"/>
      <c r="AD4" s="34"/>
      <c r="AE4" s="34"/>
      <c r="AF4" s="34"/>
      <c r="AG4" s="34"/>
    </row>
    <row r="12" spans="1:33" ht="21" customHeight="1" x14ac:dyDescent="0.55000000000000004">
      <c r="G12" s="26" t="s">
        <v>370</v>
      </c>
    </row>
    <row r="13" spans="1:33" ht="21" customHeight="1" x14ac:dyDescent="0.55000000000000004">
      <c r="F13" s="36" t="s">
        <v>186</v>
      </c>
      <c r="G13" s="26" t="s">
        <v>369</v>
      </c>
    </row>
    <row r="14" spans="1:33" ht="21" customHeight="1" x14ac:dyDescent="0.55000000000000004">
      <c r="F14" s="36"/>
    </row>
    <row r="15" spans="1:33" ht="21" customHeight="1" thickBot="1" x14ac:dyDescent="0.45">
      <c r="F15" s="49" t="s">
        <v>201</v>
      </c>
      <c r="Q15" s="49" t="s">
        <v>202</v>
      </c>
    </row>
    <row r="16" spans="1:33" ht="21" customHeight="1" thickTop="1" thickBot="1" x14ac:dyDescent="0.6">
      <c r="A16" s="64" t="s">
        <v>344</v>
      </c>
      <c r="F16" s="65" t="s">
        <v>250</v>
      </c>
      <c r="G16" s="66"/>
      <c r="H16" s="66"/>
      <c r="I16" s="66"/>
      <c r="J16" s="66"/>
      <c r="K16" s="66"/>
      <c r="L16" s="66"/>
      <c r="M16" s="66"/>
      <c r="N16" s="66"/>
      <c r="O16" s="67"/>
      <c r="Q16" s="65" t="s">
        <v>354</v>
      </c>
      <c r="R16" s="66"/>
      <c r="S16" s="66"/>
      <c r="T16" s="67"/>
    </row>
    <row r="17" spans="1:33" ht="21" customHeight="1" thickTop="1" x14ac:dyDescent="0.55000000000000004"/>
    <row r="19" spans="1:33" ht="21" customHeight="1" x14ac:dyDescent="0.55000000000000004">
      <c r="D19" s="35" t="s">
        <v>189</v>
      </c>
      <c r="E19" s="34"/>
      <c r="F19" s="3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c r="AF19" s="34"/>
      <c r="AG19" s="34"/>
    </row>
    <row r="26" spans="1:33" ht="21" customHeight="1" x14ac:dyDescent="0.55000000000000004">
      <c r="H26" s="26" t="s">
        <v>374</v>
      </c>
    </row>
    <row r="27" spans="1:33" ht="21" customHeight="1" x14ac:dyDescent="0.55000000000000004">
      <c r="F27" s="36"/>
      <c r="G27" s="36" t="s">
        <v>186</v>
      </c>
      <c r="H27" s="26" t="s">
        <v>375</v>
      </c>
    </row>
    <row r="28" spans="1:33" ht="21" customHeight="1" x14ac:dyDescent="0.55000000000000004">
      <c r="F28" s="36"/>
    </row>
    <row r="29" spans="1:33" ht="21" customHeight="1" x14ac:dyDescent="0.55000000000000004">
      <c r="F29" s="36"/>
      <c r="G29" s="26" t="s">
        <v>251</v>
      </c>
    </row>
    <row r="30" spans="1:33" ht="21" customHeight="1" thickBot="1" x14ac:dyDescent="0.45">
      <c r="F30" s="49" t="s">
        <v>201</v>
      </c>
      <c r="Q30" s="49" t="s">
        <v>203</v>
      </c>
    </row>
    <row r="31" spans="1:33" ht="21" customHeight="1" thickTop="1" thickBot="1" x14ac:dyDescent="0.6">
      <c r="A31" s="64" t="s">
        <v>371</v>
      </c>
      <c r="F31" s="65" t="s">
        <v>199</v>
      </c>
      <c r="G31" s="66"/>
      <c r="H31" s="66"/>
      <c r="I31" s="66"/>
      <c r="J31" s="66"/>
      <c r="K31" s="66"/>
      <c r="L31" s="66"/>
      <c r="M31" s="66"/>
      <c r="N31" s="66"/>
      <c r="O31" s="67"/>
      <c r="Q31" s="65" t="s">
        <v>341</v>
      </c>
      <c r="R31" s="67"/>
    </row>
    <row r="32" spans="1:33" ht="21" customHeight="1" thickTop="1" x14ac:dyDescent="0.55000000000000004"/>
    <row r="34" spans="4:33" ht="21" customHeight="1" x14ac:dyDescent="0.55000000000000004">
      <c r="D34" s="35" t="s">
        <v>191</v>
      </c>
      <c r="E34" s="34"/>
      <c r="F34" s="34"/>
      <c r="G34" s="34"/>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row>
    <row r="46" spans="4:33" ht="21" customHeight="1" x14ac:dyDescent="0.55000000000000004">
      <c r="F46" s="36" t="s">
        <v>186</v>
      </c>
      <c r="G46" s="26" t="s">
        <v>195</v>
      </c>
    </row>
    <row r="47" spans="4:33" ht="21" customHeight="1" x14ac:dyDescent="0.55000000000000004">
      <c r="P47" s="56" t="s">
        <v>261</v>
      </c>
      <c r="Q47" s="56"/>
      <c r="R47" s="56"/>
      <c r="S47" s="56"/>
      <c r="T47" s="26" t="s">
        <v>379</v>
      </c>
    </row>
    <row r="48" spans="4:33" ht="21" customHeight="1" x14ac:dyDescent="0.55000000000000004">
      <c r="F48" s="36"/>
      <c r="P48" s="36" t="s">
        <v>186</v>
      </c>
      <c r="Q48" s="26" t="s">
        <v>376</v>
      </c>
    </row>
    <row r="49" spans="1:33" ht="21" customHeight="1" x14ac:dyDescent="0.55000000000000004">
      <c r="F49" s="36"/>
      <c r="G49" s="26" t="s">
        <v>196</v>
      </c>
    </row>
    <row r="50" spans="1:33" ht="21" customHeight="1" x14ac:dyDescent="0.55000000000000004">
      <c r="G50" s="26" t="s">
        <v>194</v>
      </c>
    </row>
    <row r="51" spans="1:33" ht="21" customHeight="1" thickBot="1" x14ac:dyDescent="0.45">
      <c r="F51" s="46"/>
      <c r="G51" s="46"/>
      <c r="H51" s="46"/>
      <c r="I51" s="46"/>
      <c r="J51" s="46"/>
      <c r="K51" s="46"/>
      <c r="M51" s="49" t="s">
        <v>204</v>
      </c>
    </row>
    <row r="52" spans="1:33" ht="21" customHeight="1" thickTop="1" thickBot="1" x14ac:dyDescent="0.6">
      <c r="A52" s="64" t="s">
        <v>372</v>
      </c>
      <c r="F52" s="46"/>
      <c r="G52" s="23"/>
      <c r="H52" s="77" t="s">
        <v>174</v>
      </c>
      <c r="I52" s="77"/>
      <c r="J52" s="78"/>
      <c r="K52" s="46"/>
      <c r="M52" s="50" t="s">
        <v>357</v>
      </c>
      <c r="N52" s="51"/>
    </row>
    <row r="53" spans="1:33" ht="21" customHeight="1" thickTop="1" x14ac:dyDescent="0.55000000000000004">
      <c r="F53" s="46"/>
      <c r="G53" s="104" t="s">
        <v>179</v>
      </c>
      <c r="H53" s="105"/>
      <c r="I53" s="105"/>
      <c r="J53" s="106"/>
      <c r="K53" s="46"/>
    </row>
    <row r="54" spans="1:33" ht="21" customHeight="1" x14ac:dyDescent="0.55000000000000004">
      <c r="F54" s="46"/>
      <c r="G54" s="92" t="s">
        <v>180</v>
      </c>
      <c r="H54" s="93"/>
      <c r="I54" s="93"/>
      <c r="J54" s="94"/>
      <c r="K54" s="46"/>
    </row>
    <row r="55" spans="1:33" ht="21" customHeight="1" thickBot="1" x14ac:dyDescent="0.6">
      <c r="F55" s="46"/>
      <c r="G55" s="86" t="s">
        <v>181</v>
      </c>
      <c r="H55" s="87"/>
      <c r="I55" s="87"/>
      <c r="J55" s="88"/>
      <c r="K55" s="46"/>
    </row>
    <row r="56" spans="1:33" ht="21" customHeight="1" x14ac:dyDescent="0.55000000000000004">
      <c r="F56" s="46"/>
      <c r="G56" s="46"/>
      <c r="H56" s="46"/>
      <c r="I56" s="46"/>
      <c r="J56" s="46"/>
      <c r="K56" s="46"/>
    </row>
    <row r="59" spans="1:33" ht="21" customHeight="1" x14ac:dyDescent="0.55000000000000004">
      <c r="D59" s="35" t="s">
        <v>192</v>
      </c>
      <c r="E59" s="34"/>
      <c r="F59" s="34"/>
      <c r="G59" s="34"/>
      <c r="H59" s="34"/>
      <c r="I59" s="34"/>
      <c r="J59" s="34"/>
      <c r="K59" s="34"/>
      <c r="L59" s="34"/>
      <c r="M59" s="34"/>
      <c r="N59" s="34"/>
      <c r="O59" s="34"/>
      <c r="P59" s="34"/>
      <c r="Q59" s="34"/>
      <c r="R59" s="34"/>
      <c r="S59" s="34"/>
      <c r="T59" s="34"/>
      <c r="U59" s="34"/>
      <c r="V59" s="34"/>
      <c r="W59" s="34"/>
      <c r="X59" s="34"/>
      <c r="Y59" s="34"/>
      <c r="Z59" s="34"/>
      <c r="AA59" s="34"/>
      <c r="AB59" s="34"/>
      <c r="AC59" s="34"/>
      <c r="AD59" s="34"/>
      <c r="AE59" s="34"/>
      <c r="AF59" s="34"/>
      <c r="AG59" s="34"/>
    </row>
    <row r="79" spans="7:8" ht="21" customHeight="1" x14ac:dyDescent="0.55000000000000004">
      <c r="H79" s="26" t="s">
        <v>380</v>
      </c>
    </row>
    <row r="80" spans="7:8" ht="21" customHeight="1" x14ac:dyDescent="0.55000000000000004">
      <c r="G80" s="36" t="s">
        <v>186</v>
      </c>
      <c r="H80" s="26" t="s">
        <v>381</v>
      </c>
    </row>
    <row r="82" spans="1:23" ht="21" customHeight="1" x14ac:dyDescent="0.55000000000000004">
      <c r="G82" s="26" t="s">
        <v>194</v>
      </c>
    </row>
    <row r="83" spans="1:23" ht="21" customHeight="1" thickBot="1" x14ac:dyDescent="0.45">
      <c r="F83" s="47"/>
      <c r="G83" s="47"/>
      <c r="H83" s="47"/>
      <c r="I83" s="47"/>
      <c r="J83" s="47"/>
      <c r="K83" s="47"/>
      <c r="L83" s="47"/>
      <c r="M83" s="47"/>
      <c r="N83" s="47"/>
      <c r="O83" s="47"/>
      <c r="Q83" s="49" t="s">
        <v>205</v>
      </c>
      <c r="V83" s="49" t="s">
        <v>204</v>
      </c>
    </row>
    <row r="84" spans="1:23" ht="21" customHeight="1" thickTop="1" thickBot="1" x14ac:dyDescent="0.6">
      <c r="A84" s="64" t="s">
        <v>373</v>
      </c>
      <c r="F84" s="47"/>
      <c r="G84" s="26" t="s">
        <v>198</v>
      </c>
      <c r="H84" s="107" t="s">
        <v>183</v>
      </c>
      <c r="I84" s="108"/>
      <c r="J84" s="108"/>
      <c r="K84" s="109" t="s">
        <v>182</v>
      </c>
      <c r="L84" s="110"/>
      <c r="M84" s="97" t="s">
        <v>185</v>
      </c>
      <c r="N84" s="97"/>
      <c r="O84" s="47"/>
      <c r="Q84" s="65" t="s">
        <v>382</v>
      </c>
      <c r="R84" s="66"/>
      <c r="S84" s="66"/>
      <c r="T84" s="67"/>
      <c r="V84" s="65" t="s">
        <v>358</v>
      </c>
      <c r="W84" s="67"/>
    </row>
    <row r="85" spans="1:23" ht="21" customHeight="1" thickTop="1" x14ac:dyDescent="0.55000000000000004">
      <c r="F85" s="47"/>
      <c r="G85" s="26">
        <v>1</v>
      </c>
      <c r="H85" s="111">
        <v>14000</v>
      </c>
      <c r="I85" s="83"/>
      <c r="J85" s="83"/>
      <c r="K85" s="112"/>
      <c r="L85" s="113"/>
      <c r="M85" s="114"/>
      <c r="N85" s="114"/>
      <c r="O85" s="47"/>
    </row>
    <row r="86" spans="1:23" ht="21" customHeight="1" x14ac:dyDescent="0.55000000000000004">
      <c r="F86" s="47"/>
      <c r="G86" s="26">
        <v>2</v>
      </c>
      <c r="H86" s="111">
        <v>9000</v>
      </c>
      <c r="I86" s="83"/>
      <c r="J86" s="83"/>
      <c r="K86" s="115"/>
      <c r="L86" s="116"/>
      <c r="M86" s="114"/>
      <c r="N86" s="114"/>
      <c r="O86" s="47"/>
    </row>
    <row r="87" spans="1:23" ht="21" customHeight="1" x14ac:dyDescent="0.55000000000000004">
      <c r="F87" s="47"/>
      <c r="G87" s="26">
        <v>3</v>
      </c>
      <c r="H87" s="111">
        <v>8000</v>
      </c>
      <c r="I87" s="83"/>
      <c r="J87" s="83"/>
      <c r="K87" s="117"/>
      <c r="L87" s="118"/>
      <c r="M87" s="114"/>
      <c r="N87" s="114"/>
      <c r="O87" s="47"/>
    </row>
    <row r="88" spans="1:23" ht="21" customHeight="1" x14ac:dyDescent="0.55000000000000004">
      <c r="F88" s="47"/>
      <c r="G88" s="26">
        <v>4</v>
      </c>
      <c r="H88" s="119">
        <v>7000</v>
      </c>
      <c r="I88" s="120"/>
      <c r="J88" s="120"/>
      <c r="K88" s="121"/>
      <c r="L88" s="122"/>
      <c r="M88" s="123"/>
      <c r="N88" s="123"/>
      <c r="O88" s="47"/>
    </row>
    <row r="89" spans="1:23" ht="21" customHeight="1" x14ac:dyDescent="0.55000000000000004">
      <c r="F89" s="47"/>
      <c r="G89" s="26">
        <v>5</v>
      </c>
      <c r="H89" s="111">
        <v>6000</v>
      </c>
      <c r="I89" s="83"/>
      <c r="J89" s="83"/>
      <c r="K89" s="124"/>
      <c r="L89" s="125"/>
      <c r="M89" s="123"/>
      <c r="N89" s="123"/>
      <c r="O89" s="47"/>
    </row>
    <row r="90" spans="1:23" ht="21" customHeight="1" x14ac:dyDescent="0.55000000000000004">
      <c r="F90" s="47"/>
      <c r="G90" s="26">
        <v>6</v>
      </c>
      <c r="H90" s="111">
        <v>5000</v>
      </c>
      <c r="I90" s="83"/>
      <c r="J90" s="83"/>
      <c r="K90" s="126"/>
      <c r="L90" s="127"/>
      <c r="M90" s="123"/>
      <c r="N90" s="123"/>
      <c r="O90" s="47"/>
    </row>
    <row r="91" spans="1:23" ht="21" customHeight="1" x14ac:dyDescent="0.55000000000000004">
      <c r="F91" s="47"/>
      <c r="G91" s="26">
        <v>7</v>
      </c>
      <c r="H91" s="111">
        <v>4000</v>
      </c>
      <c r="I91" s="83"/>
      <c r="J91" s="83"/>
      <c r="K91" s="128"/>
      <c r="L91" s="129"/>
      <c r="M91" s="123"/>
      <c r="N91" s="123"/>
      <c r="O91" s="47"/>
    </row>
    <row r="92" spans="1:23" ht="21" customHeight="1" x14ac:dyDescent="0.55000000000000004">
      <c r="F92" s="47"/>
      <c r="G92" s="26">
        <v>8</v>
      </c>
      <c r="H92" s="111">
        <v>3000</v>
      </c>
      <c r="I92" s="83"/>
      <c r="J92" s="83"/>
      <c r="K92" s="130"/>
      <c r="L92" s="131"/>
      <c r="M92" s="123"/>
      <c r="N92" s="123"/>
      <c r="O92" s="47"/>
    </row>
    <row r="93" spans="1:23" ht="21" customHeight="1" x14ac:dyDescent="0.55000000000000004">
      <c r="F93" s="47"/>
      <c r="G93" s="26">
        <v>9</v>
      </c>
      <c r="H93" s="111">
        <v>2000</v>
      </c>
      <c r="I93" s="83"/>
      <c r="J93" s="83"/>
      <c r="K93" s="132"/>
      <c r="L93" s="133"/>
      <c r="M93" s="123"/>
      <c r="N93" s="123"/>
      <c r="O93" s="47"/>
    </row>
    <row r="94" spans="1:23" ht="21" customHeight="1" x14ac:dyDescent="0.55000000000000004">
      <c r="F94" s="47"/>
      <c r="G94" s="26">
        <v>10</v>
      </c>
      <c r="H94" s="111">
        <v>1000</v>
      </c>
      <c r="I94" s="83"/>
      <c r="J94" s="83"/>
      <c r="K94" s="134"/>
      <c r="L94" s="135"/>
      <c r="M94" s="123"/>
      <c r="N94" s="123"/>
      <c r="O94" s="47"/>
    </row>
    <row r="95" spans="1:23" ht="21" customHeight="1" thickBot="1" x14ac:dyDescent="0.6">
      <c r="F95" s="47"/>
      <c r="G95" s="26">
        <v>11</v>
      </c>
      <c r="H95" s="136">
        <v>0</v>
      </c>
      <c r="I95" s="137"/>
      <c r="J95" s="137"/>
      <c r="K95" s="138"/>
      <c r="L95" s="139"/>
      <c r="M95" s="123"/>
      <c r="N95" s="123"/>
      <c r="O95" s="47"/>
    </row>
    <row r="96" spans="1:23" ht="21" customHeight="1" x14ac:dyDescent="0.55000000000000004">
      <c r="F96" s="47"/>
      <c r="G96" s="26">
        <v>12</v>
      </c>
      <c r="H96" s="83"/>
      <c r="I96" s="83"/>
      <c r="J96" s="83"/>
      <c r="K96" s="84"/>
      <c r="L96" s="84"/>
      <c r="M96" s="85"/>
      <c r="N96" s="85"/>
      <c r="O96" s="47"/>
    </row>
    <row r="97" spans="4:33" ht="21" customHeight="1" x14ac:dyDescent="0.55000000000000004">
      <c r="F97" s="47"/>
      <c r="G97" s="26">
        <v>13</v>
      </c>
      <c r="H97" s="83"/>
      <c r="I97" s="83"/>
      <c r="J97" s="83"/>
      <c r="K97" s="84"/>
      <c r="L97" s="84"/>
      <c r="M97" s="85"/>
      <c r="N97" s="85"/>
      <c r="O97" s="47"/>
    </row>
    <row r="98" spans="4:33" ht="21" customHeight="1" x14ac:dyDescent="0.55000000000000004">
      <c r="F98" s="47"/>
      <c r="G98" s="26">
        <v>14</v>
      </c>
      <c r="H98" s="83"/>
      <c r="I98" s="83"/>
      <c r="J98" s="83"/>
      <c r="K98" s="84"/>
      <c r="L98" s="84"/>
      <c r="M98" s="85"/>
      <c r="N98" s="85"/>
      <c r="O98" s="47"/>
    </row>
    <row r="99" spans="4:33" ht="21" customHeight="1" x14ac:dyDescent="0.55000000000000004">
      <c r="F99" s="47"/>
      <c r="G99" s="26">
        <v>15</v>
      </c>
      <c r="H99" s="83"/>
      <c r="I99" s="83"/>
      <c r="J99" s="83"/>
      <c r="K99" s="84"/>
      <c r="L99" s="84"/>
      <c r="M99" s="85"/>
      <c r="N99" s="85"/>
      <c r="O99" s="47"/>
    </row>
    <row r="100" spans="4:33" ht="21" customHeight="1" x14ac:dyDescent="0.55000000000000004">
      <c r="F100" s="47"/>
      <c r="G100" s="26">
        <v>16</v>
      </c>
      <c r="H100" s="83"/>
      <c r="I100" s="83"/>
      <c r="J100" s="83"/>
      <c r="K100" s="84"/>
      <c r="L100" s="84"/>
      <c r="M100" s="85"/>
      <c r="N100" s="85"/>
      <c r="O100" s="47"/>
    </row>
    <row r="101" spans="4:33" ht="21" customHeight="1" x14ac:dyDescent="0.55000000000000004">
      <c r="F101" s="47"/>
      <c r="G101" s="26">
        <v>17</v>
      </c>
      <c r="H101" s="83"/>
      <c r="I101" s="83"/>
      <c r="J101" s="83"/>
      <c r="K101" s="84"/>
      <c r="L101" s="84"/>
      <c r="M101" s="85"/>
      <c r="N101" s="85"/>
      <c r="O101" s="47"/>
    </row>
    <row r="102" spans="4:33" ht="21" customHeight="1" x14ac:dyDescent="0.55000000000000004">
      <c r="F102" s="47"/>
      <c r="G102" s="26">
        <v>18</v>
      </c>
      <c r="H102" s="83"/>
      <c r="I102" s="83"/>
      <c r="J102" s="83"/>
      <c r="K102" s="84"/>
      <c r="L102" s="84"/>
      <c r="M102" s="85"/>
      <c r="N102" s="85"/>
      <c r="O102" s="47"/>
    </row>
    <row r="103" spans="4:33" ht="21" customHeight="1" x14ac:dyDescent="0.55000000000000004">
      <c r="F103" s="47"/>
      <c r="G103" s="26">
        <v>19</v>
      </c>
      <c r="H103" s="83"/>
      <c r="I103" s="83"/>
      <c r="J103" s="83"/>
      <c r="K103" s="84"/>
      <c r="L103" s="84"/>
      <c r="M103" s="85"/>
      <c r="N103" s="85"/>
      <c r="O103" s="47"/>
    </row>
    <row r="104" spans="4:33" ht="21" customHeight="1" x14ac:dyDescent="0.55000000000000004">
      <c r="F104" s="47"/>
      <c r="G104" s="26">
        <v>20</v>
      </c>
      <c r="H104" s="83"/>
      <c r="I104" s="83"/>
      <c r="J104" s="83"/>
      <c r="K104" s="84"/>
      <c r="L104" s="84"/>
      <c r="M104" s="85"/>
      <c r="N104" s="85"/>
      <c r="O104" s="47"/>
    </row>
    <row r="105" spans="4:33" ht="21" customHeight="1" x14ac:dyDescent="0.55000000000000004">
      <c r="F105" s="47"/>
      <c r="G105" s="47"/>
      <c r="H105" s="47"/>
      <c r="I105" s="47"/>
      <c r="J105" s="47"/>
      <c r="K105" s="47"/>
      <c r="L105" s="47"/>
      <c r="M105" s="47"/>
      <c r="N105" s="47"/>
      <c r="O105" s="47"/>
    </row>
    <row r="108" spans="4:33" ht="21" customHeight="1" x14ac:dyDescent="0.55000000000000004">
      <c r="D108" s="35" t="s">
        <v>192</v>
      </c>
      <c r="E108" s="34"/>
      <c r="F108" s="34"/>
      <c r="G108" s="34"/>
      <c r="H108" s="34"/>
      <c r="I108" s="34"/>
      <c r="J108" s="34"/>
      <c r="K108" s="34"/>
      <c r="L108" s="34"/>
      <c r="M108" s="34"/>
      <c r="N108" s="34"/>
      <c r="O108" s="34"/>
      <c r="P108" s="34"/>
      <c r="Q108" s="34"/>
      <c r="R108" s="34"/>
      <c r="S108" s="34"/>
      <c r="T108" s="34"/>
      <c r="U108" s="34"/>
      <c r="V108" s="34"/>
      <c r="W108" s="34"/>
      <c r="X108" s="34"/>
      <c r="Y108" s="34"/>
      <c r="Z108" s="34"/>
      <c r="AA108" s="34"/>
      <c r="AB108" s="34"/>
      <c r="AC108" s="34"/>
      <c r="AD108" s="34"/>
      <c r="AE108" s="34"/>
      <c r="AF108" s="34"/>
      <c r="AG108" s="34"/>
    </row>
    <row r="110" spans="4:33" ht="21" customHeight="1" thickBot="1" x14ac:dyDescent="0.6">
      <c r="F110" s="36" t="s">
        <v>186</v>
      </c>
      <c r="G110" s="26" t="s">
        <v>187</v>
      </c>
    </row>
    <row r="111" spans="4:33" ht="21" customHeight="1" x14ac:dyDescent="0.55000000000000004">
      <c r="F111" s="37"/>
      <c r="G111" s="38"/>
      <c r="H111" s="38"/>
      <c r="I111" s="38"/>
      <c r="J111" s="38"/>
      <c r="K111" s="38"/>
      <c r="L111" s="38"/>
      <c r="M111" s="38"/>
      <c r="N111" s="39"/>
    </row>
    <row r="112" spans="4:33" ht="21" customHeight="1" x14ac:dyDescent="0.55000000000000004">
      <c r="F112" s="40"/>
      <c r="N112" s="41"/>
    </row>
    <row r="113" spans="6:14" ht="21" customHeight="1" x14ac:dyDescent="0.55000000000000004">
      <c r="F113" s="40"/>
      <c r="N113" s="41"/>
    </row>
    <row r="114" spans="6:14" ht="21" customHeight="1" thickBot="1" x14ac:dyDescent="0.6">
      <c r="F114" s="42"/>
      <c r="G114" s="43"/>
      <c r="H114" s="43"/>
      <c r="I114" s="43"/>
      <c r="J114" s="43"/>
      <c r="K114" s="43"/>
      <c r="L114" s="43"/>
      <c r="M114" s="43"/>
      <c r="N114" s="44"/>
    </row>
    <row r="133" spans="1:8" ht="21" customHeight="1" x14ac:dyDescent="0.55000000000000004">
      <c r="H133" s="26" t="s">
        <v>253</v>
      </c>
    </row>
    <row r="135" spans="1:8" ht="21" customHeight="1" x14ac:dyDescent="0.55000000000000004">
      <c r="B135" s="26" t="s">
        <v>183</v>
      </c>
    </row>
    <row r="136" spans="1:8" ht="21" customHeight="1" x14ac:dyDescent="0.55000000000000004">
      <c r="A136" s="64" t="s">
        <v>342</v>
      </c>
    </row>
  </sheetData>
  <mergeCells count="73">
    <mergeCell ref="Q84:T84"/>
    <mergeCell ref="V84:W84"/>
    <mergeCell ref="H104:J104"/>
    <mergeCell ref="K104:L104"/>
    <mergeCell ref="M104:N104"/>
    <mergeCell ref="H102:J102"/>
    <mergeCell ref="K102:L102"/>
    <mergeCell ref="M102:N102"/>
    <mergeCell ref="H103:J103"/>
    <mergeCell ref="K103:L103"/>
    <mergeCell ref="M103:N103"/>
    <mergeCell ref="H100:J100"/>
    <mergeCell ref="K100:L100"/>
    <mergeCell ref="M100:N100"/>
    <mergeCell ref="H101:J101"/>
    <mergeCell ref="K101:L101"/>
    <mergeCell ref="M101:N101"/>
    <mergeCell ref="H98:J98"/>
    <mergeCell ref="K98:L98"/>
    <mergeCell ref="M98:N98"/>
    <mergeCell ref="H99:J99"/>
    <mergeCell ref="K99:L99"/>
    <mergeCell ref="M99:N99"/>
    <mergeCell ref="H96:J96"/>
    <mergeCell ref="K96:L96"/>
    <mergeCell ref="M96:N96"/>
    <mergeCell ref="H97:J97"/>
    <mergeCell ref="K97:L97"/>
    <mergeCell ref="M97:N97"/>
    <mergeCell ref="H94:J94"/>
    <mergeCell ref="K94:L94"/>
    <mergeCell ref="M94:N94"/>
    <mergeCell ref="H95:J95"/>
    <mergeCell ref="K95:L95"/>
    <mergeCell ref="M95:N95"/>
    <mergeCell ref="H92:J92"/>
    <mergeCell ref="K92:L92"/>
    <mergeCell ref="M92:N92"/>
    <mergeCell ref="H93:J93"/>
    <mergeCell ref="K93:L93"/>
    <mergeCell ref="M93:N93"/>
    <mergeCell ref="H90:J90"/>
    <mergeCell ref="K90:L90"/>
    <mergeCell ref="M90:N90"/>
    <mergeCell ref="H91:J91"/>
    <mergeCell ref="K91:L91"/>
    <mergeCell ref="M91:N91"/>
    <mergeCell ref="H88:J88"/>
    <mergeCell ref="K88:L88"/>
    <mergeCell ref="M88:N88"/>
    <mergeCell ref="H89:J89"/>
    <mergeCell ref="K89:L89"/>
    <mergeCell ref="M89:N89"/>
    <mergeCell ref="H86:J86"/>
    <mergeCell ref="K86:L86"/>
    <mergeCell ref="M86:N86"/>
    <mergeCell ref="H87:J87"/>
    <mergeCell ref="K87:L87"/>
    <mergeCell ref="M87:N87"/>
    <mergeCell ref="H84:J84"/>
    <mergeCell ref="K84:L84"/>
    <mergeCell ref="M84:N84"/>
    <mergeCell ref="H85:J85"/>
    <mergeCell ref="K85:L85"/>
    <mergeCell ref="M85:N85"/>
    <mergeCell ref="Q31:R31"/>
    <mergeCell ref="G55:J55"/>
    <mergeCell ref="F16:O16"/>
    <mergeCell ref="F31:O31"/>
    <mergeCell ref="H52:J52"/>
    <mergeCell ref="G53:J53"/>
    <mergeCell ref="G54:J54"/>
    <mergeCell ref="Q16:T16"/>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81" r:id="rId3" name="Button 1">
              <controlPr defaultSize="0" print="0" autoFill="0" autoPict="0" macro="[0]!設定_人口_ボタン1_Click">
                <anchor moveWithCells="1" sizeWithCells="1">
                  <from>
                    <xdr:col>6</xdr:col>
                    <xdr:colOff>82550</xdr:colOff>
                    <xdr:row>110</xdr:row>
                    <xdr:rowOff>184150</xdr:rowOff>
                  </from>
                  <to>
                    <xdr:col>12</xdr:col>
                    <xdr:colOff>139700</xdr:colOff>
                    <xdr:row>113</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68C8E-DEC7-4783-8591-4B15F261E880}">
  <sheetPr codeName="Sheet22"/>
  <dimension ref="A1:CD40"/>
  <sheetViews>
    <sheetView zoomScale="70" zoomScaleNormal="70" workbookViewId="0"/>
  </sheetViews>
  <sheetFormatPr defaultColWidth="3.5" defaultRowHeight="21.15" customHeight="1" x14ac:dyDescent="0.55000000000000004"/>
  <sheetData>
    <row r="1" spans="1:82" ht="21.15" customHeight="1" x14ac:dyDescent="0.55000000000000004">
      <c r="A1" s="162"/>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162"/>
      <c r="CD1" s="162"/>
    </row>
    <row r="2" spans="1:82" ht="21.15" customHeight="1" thickBot="1" x14ac:dyDescent="0.6">
      <c r="A2" s="162"/>
      <c r="B2" s="163"/>
      <c r="C2" s="163"/>
      <c r="D2" s="163"/>
      <c r="E2" s="163"/>
      <c r="F2" s="163"/>
      <c r="G2" s="163"/>
      <c r="H2" s="163"/>
      <c r="I2" s="163"/>
      <c r="J2" s="163"/>
      <c r="K2" s="163"/>
      <c r="L2" s="163"/>
      <c r="M2" s="163"/>
      <c r="N2" s="163"/>
      <c r="O2" s="163"/>
      <c r="P2" s="163"/>
      <c r="Q2" s="163"/>
      <c r="R2" s="163"/>
      <c r="S2" s="163"/>
      <c r="T2" s="163"/>
      <c r="U2" s="163"/>
      <c r="V2" s="163"/>
      <c r="W2" s="163"/>
      <c r="X2" s="163"/>
      <c r="Y2" s="163"/>
      <c r="Z2" s="163"/>
      <c r="AA2" s="163"/>
      <c r="AB2" s="163"/>
      <c r="AC2" s="163"/>
      <c r="AD2" s="163"/>
      <c r="AE2" s="163"/>
      <c r="AF2" s="163"/>
      <c r="AG2" s="163"/>
      <c r="AH2" s="163"/>
      <c r="AI2" s="163"/>
      <c r="AJ2" s="163"/>
      <c r="AK2" s="163"/>
      <c r="AL2" s="163"/>
      <c r="AM2" s="163"/>
      <c r="AN2" s="163"/>
      <c r="AO2" s="163"/>
      <c r="AP2" s="163"/>
      <c r="AQ2" s="163"/>
      <c r="AR2" s="163"/>
      <c r="AS2" s="163"/>
      <c r="AT2" s="163"/>
      <c r="AU2" s="163"/>
      <c r="AV2" s="163"/>
      <c r="AW2" s="163"/>
      <c r="AX2" s="163"/>
      <c r="AY2" s="163"/>
      <c r="AZ2" s="163"/>
      <c r="BA2" s="163"/>
      <c r="BB2" s="163"/>
      <c r="BC2" s="163"/>
      <c r="BD2" s="163"/>
      <c r="BE2" s="163"/>
      <c r="BF2" s="163"/>
      <c r="BG2" s="163"/>
      <c r="BH2" s="163"/>
      <c r="BI2" s="163"/>
      <c r="BJ2" s="163"/>
      <c r="BK2" s="163"/>
      <c r="BL2" s="163"/>
      <c r="BM2" s="163"/>
      <c r="BN2" s="163"/>
      <c r="BO2" s="163"/>
      <c r="BP2" s="163"/>
      <c r="BQ2" s="163"/>
      <c r="BR2" s="163"/>
      <c r="BS2" s="163"/>
      <c r="BT2" s="163"/>
      <c r="BU2" s="163"/>
      <c r="BV2" s="163"/>
      <c r="BW2" s="163"/>
      <c r="BX2" s="163"/>
      <c r="BY2" s="163"/>
      <c r="BZ2" s="163"/>
      <c r="CA2" s="163"/>
      <c r="CB2" s="163"/>
      <c r="CC2" s="163"/>
      <c r="CD2" s="162"/>
    </row>
    <row r="3" spans="1:82" ht="21.15" customHeight="1" x14ac:dyDescent="0.55000000000000004">
      <c r="A3" s="162"/>
      <c r="B3" s="163"/>
      <c r="C3" s="182"/>
      <c r="D3" s="166" t="s">
        <v>236</v>
      </c>
      <c r="E3" s="239"/>
      <c r="F3" s="240"/>
      <c r="G3" s="164" t="s">
        <v>225</v>
      </c>
      <c r="H3" s="163"/>
      <c r="I3" s="163"/>
      <c r="J3" s="163"/>
      <c r="K3" s="164" t="s">
        <v>224</v>
      </c>
      <c r="L3" s="163"/>
      <c r="M3" s="163"/>
      <c r="N3" s="163"/>
      <c r="O3" s="164" t="s">
        <v>223</v>
      </c>
      <c r="P3" s="163"/>
      <c r="Q3" s="163"/>
      <c r="R3" s="163"/>
      <c r="S3" s="164" t="s">
        <v>222</v>
      </c>
      <c r="T3" s="163"/>
      <c r="U3" s="163"/>
      <c r="V3" s="163"/>
      <c r="W3" s="164" t="s">
        <v>221</v>
      </c>
      <c r="X3" s="163"/>
      <c r="Y3" s="163"/>
      <c r="Z3" s="163"/>
      <c r="AA3" s="164" t="s">
        <v>220</v>
      </c>
      <c r="AB3" s="163"/>
      <c r="AC3" s="163"/>
      <c r="AD3" s="163"/>
      <c r="AE3" s="164" t="s">
        <v>219</v>
      </c>
      <c r="AF3" s="163"/>
      <c r="AG3" s="163"/>
      <c r="AH3" s="163"/>
      <c r="AI3" s="164" t="s">
        <v>218</v>
      </c>
      <c r="AJ3" s="163"/>
      <c r="AK3" s="163"/>
      <c r="AL3" s="163"/>
      <c r="AM3" s="164" t="s">
        <v>217</v>
      </c>
      <c r="AN3" s="163"/>
      <c r="AO3" s="163"/>
      <c r="AP3" s="163"/>
      <c r="AQ3" s="164" t="s">
        <v>216</v>
      </c>
      <c r="AR3" s="163"/>
      <c r="AS3" s="163"/>
      <c r="AT3" s="163"/>
      <c r="AU3" s="164" t="s">
        <v>215</v>
      </c>
      <c r="AV3" s="163"/>
      <c r="AW3" s="163"/>
      <c r="AX3" s="163"/>
      <c r="AY3" s="164" t="s">
        <v>214</v>
      </c>
      <c r="AZ3" s="163"/>
      <c r="BA3" s="163"/>
      <c r="BB3" s="163"/>
      <c r="BC3" s="164" t="s">
        <v>213</v>
      </c>
      <c r="BD3" s="163"/>
      <c r="BE3" s="163"/>
      <c r="BF3" s="163"/>
      <c r="BG3" s="164" t="s">
        <v>212</v>
      </c>
      <c r="BH3" s="163"/>
      <c r="BI3" s="163"/>
      <c r="BJ3" s="163"/>
      <c r="BK3" s="164" t="s">
        <v>211</v>
      </c>
      <c r="BL3" s="163"/>
      <c r="BM3" s="163"/>
      <c r="BN3" s="163"/>
      <c r="BO3" s="164" t="s">
        <v>210</v>
      </c>
      <c r="BP3" s="163"/>
      <c r="BQ3" s="163"/>
      <c r="BR3" s="163"/>
      <c r="BS3" s="164" t="s">
        <v>209</v>
      </c>
      <c r="BT3" s="163"/>
      <c r="BU3" s="163"/>
      <c r="BV3" s="163"/>
      <c r="BW3" s="163"/>
      <c r="BX3" s="163"/>
      <c r="BY3" s="163"/>
      <c r="BZ3" s="163"/>
      <c r="CA3" s="163"/>
      <c r="CB3" s="163"/>
      <c r="CC3" s="163"/>
      <c r="CD3" s="162"/>
    </row>
    <row r="4" spans="1:82" ht="21.15" customHeight="1" x14ac:dyDescent="0.55000000000000004">
      <c r="A4" s="162"/>
      <c r="B4" s="163"/>
      <c r="C4" s="183" t="s">
        <v>237</v>
      </c>
      <c r="D4" s="193"/>
      <c r="E4" s="193"/>
      <c r="F4" s="243"/>
      <c r="G4" s="163"/>
      <c r="H4" s="163"/>
      <c r="I4" s="163"/>
      <c r="J4" s="163"/>
      <c r="K4" s="163"/>
      <c r="L4" s="163"/>
      <c r="M4" s="163"/>
      <c r="N4" s="163"/>
      <c r="O4" s="163"/>
      <c r="P4" s="163"/>
      <c r="Q4" s="163"/>
      <c r="R4" s="163"/>
      <c r="S4" s="163"/>
      <c r="T4" s="163"/>
      <c r="U4" s="163"/>
      <c r="V4" s="163"/>
      <c r="W4" s="163"/>
      <c r="X4" s="163"/>
      <c r="Y4" s="163"/>
      <c r="Z4" s="163"/>
      <c r="AA4" s="163"/>
      <c r="AB4" s="163"/>
      <c r="AC4" s="163"/>
      <c r="AD4" s="163"/>
      <c r="AE4" s="163"/>
      <c r="AF4" s="163"/>
      <c r="AG4" s="163"/>
      <c r="AH4" s="163"/>
      <c r="AI4" s="163"/>
      <c r="AJ4" s="163"/>
      <c r="AK4" s="163"/>
      <c r="AL4" s="163"/>
      <c r="AM4" s="163"/>
      <c r="AN4" s="163"/>
      <c r="AO4" s="163"/>
      <c r="AP4" s="163"/>
      <c r="AQ4" s="163"/>
      <c r="AR4" s="163"/>
      <c r="AS4" s="163"/>
      <c r="AT4" s="163"/>
      <c r="AU4" s="163"/>
      <c r="AV4" s="163"/>
      <c r="AW4" s="163"/>
      <c r="AX4" s="163"/>
      <c r="AY4" s="163"/>
      <c r="AZ4" s="163"/>
      <c r="BA4" s="163"/>
      <c r="BB4" s="163"/>
      <c r="BC4" s="163"/>
      <c r="BD4" s="163"/>
      <c r="BE4" s="163"/>
      <c r="BF4" s="163"/>
      <c r="BG4" s="163"/>
      <c r="BH4" s="163"/>
      <c r="BI4" s="163"/>
      <c r="BJ4" s="163"/>
      <c r="BK4" s="163"/>
      <c r="BL4" s="163"/>
      <c r="BM4" s="163"/>
      <c r="BN4" s="163"/>
      <c r="BO4" s="163"/>
      <c r="BP4" s="163"/>
      <c r="BQ4" s="163"/>
      <c r="BR4" s="163"/>
      <c r="BS4" s="163"/>
      <c r="BT4" s="163"/>
      <c r="BU4" s="163"/>
      <c r="BV4" s="163"/>
      <c r="BW4" s="163"/>
      <c r="BX4" s="163"/>
      <c r="BY4" s="163"/>
      <c r="BZ4" s="163"/>
      <c r="CA4" s="163"/>
      <c r="CB4" s="163"/>
      <c r="CC4" s="163"/>
      <c r="CD4" s="162"/>
    </row>
    <row r="5" spans="1:82" ht="21.15" customHeight="1" x14ac:dyDescent="0.55000000000000004">
      <c r="A5" s="162"/>
      <c r="B5" s="163"/>
      <c r="C5" s="185" t="s">
        <v>238</v>
      </c>
      <c r="D5" s="193"/>
      <c r="E5" s="193"/>
      <c r="F5" s="243"/>
      <c r="G5" s="163"/>
      <c r="H5" s="163"/>
      <c r="I5" s="163"/>
      <c r="J5" s="163"/>
      <c r="K5" s="163"/>
      <c r="L5" s="163"/>
      <c r="M5" s="163"/>
      <c r="N5" s="163"/>
      <c r="O5" s="163"/>
      <c r="P5" s="163"/>
      <c r="Q5" s="163"/>
      <c r="R5" s="163"/>
      <c r="S5" s="163"/>
      <c r="T5" s="163"/>
      <c r="U5" s="163"/>
      <c r="V5" s="163"/>
      <c r="W5" s="163"/>
      <c r="X5" s="163"/>
      <c r="Y5" s="163"/>
      <c r="Z5" s="163"/>
      <c r="AA5" s="163"/>
      <c r="AB5" s="163"/>
      <c r="AC5" s="163"/>
      <c r="AD5" s="163"/>
      <c r="AE5" s="163"/>
      <c r="AF5" s="163"/>
      <c r="AG5" s="163"/>
      <c r="AH5" s="163"/>
      <c r="AI5" s="163"/>
      <c r="AJ5" s="163"/>
      <c r="AK5" s="163"/>
      <c r="AL5" s="163"/>
      <c r="AM5" s="163"/>
      <c r="AN5" s="163"/>
      <c r="AO5" s="163"/>
      <c r="AP5" s="163"/>
      <c r="AQ5" s="163"/>
      <c r="AR5" s="163"/>
      <c r="AS5" s="163"/>
      <c r="AT5" s="163"/>
      <c r="AU5" s="163"/>
      <c r="AV5" s="163"/>
      <c r="AW5" s="163"/>
      <c r="AX5" s="163"/>
      <c r="AY5" s="163"/>
      <c r="AZ5" s="163"/>
      <c r="BA5" s="163"/>
      <c r="BB5" s="163"/>
      <c r="BC5" s="163"/>
      <c r="BD5" s="163"/>
      <c r="BE5" s="163"/>
      <c r="BF5" s="163"/>
      <c r="BG5" s="163"/>
      <c r="BH5" s="163"/>
      <c r="BI5" s="163"/>
      <c r="BJ5" s="163"/>
      <c r="BK5" s="163"/>
      <c r="BL5" s="163"/>
      <c r="BM5" s="163"/>
      <c r="BN5" s="163"/>
      <c r="BO5" s="163"/>
      <c r="BP5" s="163"/>
      <c r="BQ5" s="163"/>
      <c r="BR5" s="163"/>
      <c r="BS5" s="163"/>
      <c r="BT5" s="163"/>
      <c r="BU5" s="163"/>
      <c r="BV5" s="163"/>
      <c r="BW5" s="163"/>
      <c r="BX5" s="163"/>
      <c r="BY5" s="163"/>
      <c r="BZ5" s="163"/>
      <c r="CA5" s="163"/>
      <c r="CB5" s="163"/>
      <c r="CC5" s="163"/>
      <c r="CD5" s="162"/>
    </row>
    <row r="6" spans="1:82" ht="21.15" customHeight="1" thickBot="1" x14ac:dyDescent="0.6">
      <c r="A6" s="162"/>
      <c r="B6" s="163"/>
      <c r="C6" s="186" t="s">
        <v>356</v>
      </c>
      <c r="D6" s="212"/>
      <c r="E6" s="212"/>
      <c r="F6" s="244"/>
      <c r="G6" s="163"/>
      <c r="H6" s="163"/>
      <c r="I6" s="163"/>
      <c r="J6" s="163"/>
      <c r="K6" s="163"/>
      <c r="L6" s="163"/>
      <c r="M6" s="163"/>
      <c r="N6" s="163"/>
      <c r="O6" s="163"/>
      <c r="P6" s="163"/>
      <c r="Q6" s="163"/>
      <c r="R6" s="163"/>
      <c r="S6" s="163"/>
      <c r="T6" s="163"/>
      <c r="U6" s="163"/>
      <c r="V6" s="163"/>
      <c r="W6" s="163"/>
      <c r="X6" s="163"/>
      <c r="Y6" s="163"/>
      <c r="Z6" s="163"/>
      <c r="AA6" s="163"/>
      <c r="AB6" s="163"/>
      <c r="AC6" s="163"/>
      <c r="AD6" s="163"/>
      <c r="AE6" s="163"/>
      <c r="AF6" s="163"/>
      <c r="AG6" s="163"/>
      <c r="AH6" s="163"/>
      <c r="AI6" s="163"/>
      <c r="AJ6" s="163"/>
      <c r="AK6" s="163"/>
      <c r="AL6" s="163"/>
      <c r="AM6" s="163"/>
      <c r="AN6" s="163"/>
      <c r="AO6" s="163"/>
      <c r="AP6" s="163"/>
      <c r="AQ6" s="163"/>
      <c r="AR6" s="163"/>
      <c r="AS6" s="163"/>
      <c r="AT6" s="163"/>
      <c r="AU6" s="163"/>
      <c r="AV6" s="163"/>
      <c r="AW6" s="163"/>
      <c r="AX6" s="163"/>
      <c r="AY6" s="163"/>
      <c r="AZ6" s="163"/>
      <c r="BA6" s="163"/>
      <c r="BB6" s="163"/>
      <c r="BC6" s="163"/>
      <c r="BD6" s="163"/>
      <c r="BE6" s="163"/>
      <c r="BF6" s="163"/>
      <c r="BG6" s="163"/>
      <c r="BH6" s="163"/>
      <c r="BI6" s="163"/>
      <c r="BJ6" s="163"/>
      <c r="BK6" s="163"/>
      <c r="BL6" s="163"/>
      <c r="BM6" s="163"/>
      <c r="BN6" s="163"/>
      <c r="BO6" s="163"/>
      <c r="BP6" s="163"/>
      <c r="BQ6" s="163"/>
      <c r="BR6" s="163"/>
      <c r="BS6" s="163"/>
      <c r="BT6" s="163"/>
      <c r="BU6" s="163"/>
      <c r="BV6" s="163"/>
      <c r="BW6" s="163"/>
      <c r="BX6" s="163"/>
      <c r="BY6" s="163"/>
      <c r="BZ6" s="163"/>
      <c r="CA6" s="163"/>
      <c r="CB6" s="163"/>
      <c r="CC6" s="163"/>
      <c r="CD6" s="162"/>
    </row>
    <row r="7" spans="1:82" ht="21.15" customHeight="1" x14ac:dyDescent="0.55000000000000004">
      <c r="A7" s="162"/>
      <c r="B7" s="163"/>
      <c r="C7" s="164" t="s">
        <v>208</v>
      </c>
      <c r="D7" s="163"/>
      <c r="E7" s="163"/>
      <c r="F7" s="170"/>
      <c r="G7" s="167">
        <v>1</v>
      </c>
      <c r="H7" s="166" t="str">
        <f>VLOOKUP(G7,市町村データ領域,MATCH(手順書_人口密度!$H$52, 市町村データヘッダー, 0),FALSE)</f>
        <v>上里町</v>
      </c>
      <c r="I7" s="102"/>
      <c r="J7" s="103"/>
      <c r="K7" s="167">
        <v>2</v>
      </c>
      <c r="L7" s="166" t="str">
        <f>VLOOKUP(K7,市町村データ領域,MATCH(手順書_人口密度!$H$52, 市町村データヘッダー, 0),FALSE)</f>
        <v>本庄市</v>
      </c>
      <c r="M7" s="102"/>
      <c r="N7" s="103"/>
      <c r="O7" s="167">
        <v>3</v>
      </c>
      <c r="P7" s="166" t="str">
        <f>VLOOKUP(O7,市町村データ領域,MATCH(手順書_人口密度!$H$52, 市町村データヘッダー, 0),FALSE)</f>
        <v>深谷市</v>
      </c>
      <c r="Q7" s="102"/>
      <c r="R7" s="102"/>
      <c r="S7" s="169"/>
      <c r="T7" s="169"/>
      <c r="U7" s="169"/>
      <c r="V7" s="168"/>
      <c r="W7" s="167">
        <v>4</v>
      </c>
      <c r="X7" s="166" t="str">
        <f>VLOOKUP(W7,市町村データ領域,MATCH(手順書_人口密度!$H$52, 市町村データヘッダー, 0),FALSE)</f>
        <v>熊谷市</v>
      </c>
      <c r="Y7" s="102"/>
      <c r="Z7" s="102"/>
      <c r="AA7" s="169"/>
      <c r="AB7" s="169"/>
      <c r="AC7" s="169"/>
      <c r="AD7" s="169"/>
      <c r="AE7" s="169"/>
      <c r="AF7" s="169"/>
      <c r="AG7" s="169"/>
      <c r="AH7" s="169"/>
      <c r="AI7" s="169"/>
      <c r="AJ7" s="169"/>
      <c r="AK7" s="169"/>
      <c r="AL7" s="169"/>
      <c r="AM7" s="169"/>
      <c r="AN7" s="169"/>
      <c r="AO7" s="169"/>
      <c r="AP7" s="168"/>
      <c r="AQ7" s="167">
        <v>5</v>
      </c>
      <c r="AR7" s="166" t="str">
        <f>VLOOKUP(AQ7,市町村データ領域,MATCH(手順書_人口密度!$H$52, 市町村データヘッダー, 0),FALSE)</f>
        <v>行田市</v>
      </c>
      <c r="AS7" s="102"/>
      <c r="AT7" s="103"/>
      <c r="AU7" s="167">
        <v>6</v>
      </c>
      <c r="AV7" s="166" t="str">
        <f>VLOOKUP(AU7,市町村データ領域,MATCH(手順書_人口密度!$H$52, 市町村データヘッダー, 0),FALSE)</f>
        <v>羽生市</v>
      </c>
      <c r="AW7" s="102"/>
      <c r="AX7" s="103"/>
      <c r="AY7" s="163"/>
      <c r="AZ7" s="163"/>
      <c r="BA7" s="163"/>
      <c r="BB7" s="163"/>
      <c r="BC7" s="163"/>
      <c r="BD7" s="163"/>
      <c r="BE7" s="163"/>
      <c r="BF7" s="163"/>
      <c r="BG7" s="163"/>
      <c r="BH7" s="163"/>
      <c r="BI7" s="163"/>
      <c r="BJ7" s="163"/>
      <c r="BK7" s="163"/>
      <c r="BL7" s="163"/>
      <c r="BM7" s="163"/>
      <c r="BN7" s="163"/>
      <c r="BO7" s="165"/>
      <c r="BP7" s="163"/>
      <c r="BQ7" s="163"/>
      <c r="BR7" s="163"/>
      <c r="BS7" s="163"/>
      <c r="BT7" s="163"/>
      <c r="BU7" s="163"/>
      <c r="BV7" s="163"/>
      <c r="BW7" s="163"/>
      <c r="BX7" s="197" t="s">
        <v>240</v>
      </c>
      <c r="BY7" s="194"/>
      <c r="BZ7" s="194"/>
      <c r="CA7" s="195" t="s">
        <v>239</v>
      </c>
      <c r="CB7" s="196"/>
      <c r="CC7" s="163"/>
      <c r="CD7" s="162"/>
    </row>
    <row r="8" spans="1:82" ht="21.15" customHeight="1" x14ac:dyDescent="0.55000000000000004">
      <c r="A8" s="162"/>
      <c r="B8" s="163"/>
      <c r="C8" s="163"/>
      <c r="D8" s="163"/>
      <c r="E8" s="163"/>
      <c r="F8" s="170"/>
      <c r="G8" s="159">
        <f>VLOOKUP(G7,市町村データ領域,MATCH(手順書_人口密度!$G$53, 市町村データヘッダー, 0),FALSE)</f>
        <v>1047</v>
      </c>
      <c r="H8" s="188"/>
      <c r="I8" s="188"/>
      <c r="J8" s="98"/>
      <c r="K8" s="157">
        <f>VLOOKUP(K7,市町村データ領域,MATCH(手順書_人口密度!$G$53, 市町村データヘッダー, 0),FALSE)</f>
        <v>862</v>
      </c>
      <c r="L8" s="188"/>
      <c r="M8" s="188"/>
      <c r="N8" s="98"/>
      <c r="O8" s="159">
        <f>VLOOKUP(O7,市町村データ領域,MATCH(手順書_人口密度!$G$53, 市町村データヘッダー, 0),FALSE)</f>
        <v>1022</v>
      </c>
      <c r="P8" s="188"/>
      <c r="Q8" s="188"/>
      <c r="R8" s="188"/>
      <c r="S8" s="163"/>
      <c r="T8" s="163"/>
      <c r="U8" s="163"/>
      <c r="V8" s="170"/>
      <c r="W8" s="159">
        <f>VLOOKUP(W7,市町村データ領域,MATCH(手順書_人口密度!$G$53, 市町村データヘッダー, 0),FALSE)</f>
        <v>1202</v>
      </c>
      <c r="X8" s="188"/>
      <c r="Y8" s="188"/>
      <c r="Z8" s="188"/>
      <c r="AA8" s="163"/>
      <c r="AB8" s="163"/>
      <c r="AC8" s="163"/>
      <c r="AD8" s="163"/>
      <c r="AE8" s="163"/>
      <c r="AF8" s="163"/>
      <c r="AG8" s="163"/>
      <c r="AH8" s="163"/>
      <c r="AI8" s="163"/>
      <c r="AJ8" s="163"/>
      <c r="AK8" s="163"/>
      <c r="AL8" s="163"/>
      <c r="AM8" s="163"/>
      <c r="AN8" s="163"/>
      <c r="AO8" s="163"/>
      <c r="AP8" s="170"/>
      <c r="AQ8" s="159">
        <f>VLOOKUP(AQ7,市町村データ領域,MATCH(手順書_人口密度!$G$53, 市町村データヘッダー, 0),FALSE)</f>
        <v>1162</v>
      </c>
      <c r="AR8" s="188"/>
      <c r="AS8" s="188"/>
      <c r="AT8" s="98"/>
      <c r="AU8" s="157">
        <f>VLOOKUP(AU7,市町村データ領域,MATCH(手順書_人口密度!$G$53, 市町村データヘッダー, 0),FALSE)</f>
        <v>918</v>
      </c>
      <c r="AV8" s="188"/>
      <c r="AW8" s="188"/>
      <c r="AX8" s="98"/>
      <c r="AY8" s="163"/>
      <c r="AZ8" s="163"/>
      <c r="BA8" s="163"/>
      <c r="BB8" s="163"/>
      <c r="BC8" s="163"/>
      <c r="BD8" s="163"/>
      <c r="BE8" s="163"/>
      <c r="BF8" s="163"/>
      <c r="BG8" s="163"/>
      <c r="BH8" s="163"/>
      <c r="BI8" s="163"/>
      <c r="BJ8" s="163"/>
      <c r="BK8" s="163"/>
      <c r="BL8" s="163"/>
      <c r="BM8" s="163"/>
      <c r="BN8" s="163"/>
      <c r="BO8" s="163"/>
      <c r="BP8" s="163"/>
      <c r="BQ8" s="163"/>
      <c r="BR8" s="163"/>
      <c r="BS8" s="163"/>
      <c r="BT8" s="163"/>
      <c r="BU8" s="163"/>
      <c r="BV8" s="163"/>
      <c r="BW8" s="171"/>
      <c r="BX8" s="201">
        <v>14000</v>
      </c>
      <c r="BY8" s="193"/>
      <c r="BZ8" s="193"/>
      <c r="CA8" s="198"/>
      <c r="CB8" s="199"/>
      <c r="CC8" s="163"/>
      <c r="CD8" s="162"/>
    </row>
    <row r="9" spans="1:82" ht="21.15" customHeight="1" x14ac:dyDescent="0.55000000000000004">
      <c r="A9" s="162"/>
      <c r="B9" s="163"/>
      <c r="C9" s="163"/>
      <c r="D9" s="163"/>
      <c r="E9" s="163"/>
      <c r="F9" s="170"/>
      <c r="G9" s="158">
        <f>VLOOKUP(G7,市町村データ領域,MATCH(手順書_人口密度!$G$54, 市町村データヘッダー, 0),FALSE)</f>
        <v>30549</v>
      </c>
      <c r="H9" s="188"/>
      <c r="I9" s="188"/>
      <c r="J9" s="98"/>
      <c r="K9" s="156">
        <f>VLOOKUP(K7,市町村データ領域,MATCH(手順書_人口密度!$G$54, 市町村データヘッダー, 0),FALSE)</f>
        <v>77285</v>
      </c>
      <c r="L9" s="188"/>
      <c r="M9" s="188"/>
      <c r="N9" s="98"/>
      <c r="O9" s="158">
        <f>VLOOKUP(O7,市町村データ領域,MATCH(手順書_人口密度!$G$54, 市町村データヘッダー, 0),FALSE)</f>
        <v>141419</v>
      </c>
      <c r="P9" s="188"/>
      <c r="Q9" s="188"/>
      <c r="R9" s="188"/>
      <c r="S9" s="163"/>
      <c r="T9" s="163"/>
      <c r="U9" s="163"/>
      <c r="V9" s="170"/>
      <c r="W9" s="158">
        <f>VLOOKUP(W7,市町村データ領域,MATCH(手順書_人口密度!$G$54, 市町村データヘッダー, 0),FALSE)</f>
        <v>192074</v>
      </c>
      <c r="X9" s="188"/>
      <c r="Y9" s="188"/>
      <c r="Z9" s="188"/>
      <c r="AA9" s="163"/>
      <c r="AB9" s="163"/>
      <c r="AC9" s="163"/>
      <c r="AD9" s="163"/>
      <c r="AE9" s="163"/>
      <c r="AF9" s="163"/>
      <c r="AG9" s="163"/>
      <c r="AH9" s="163"/>
      <c r="AI9" s="163"/>
      <c r="AJ9" s="163"/>
      <c r="AK9" s="163"/>
      <c r="AL9" s="163"/>
      <c r="AM9" s="163"/>
      <c r="AN9" s="163"/>
      <c r="AO9" s="163"/>
      <c r="AP9" s="170"/>
      <c r="AQ9" s="158">
        <f>VLOOKUP(AQ7,市町村データ領域,MATCH(手順書_人口密度!$G$54, 市町村データヘッダー, 0),FALSE)</f>
        <v>78416</v>
      </c>
      <c r="AR9" s="188"/>
      <c r="AS9" s="188"/>
      <c r="AT9" s="98"/>
      <c r="AU9" s="156">
        <f>VLOOKUP(AU7,市町村データ領域,MATCH(手順書_人口密度!$G$54, 市町村データヘッダー, 0),FALSE)</f>
        <v>53855</v>
      </c>
      <c r="AV9" s="188"/>
      <c r="AW9" s="188"/>
      <c r="AX9" s="98"/>
      <c r="AY9" s="163"/>
      <c r="AZ9" s="163"/>
      <c r="BA9" s="163"/>
      <c r="BB9" s="163"/>
      <c r="BC9" s="163"/>
      <c r="BD9" s="163"/>
      <c r="BE9" s="163"/>
      <c r="BF9" s="163"/>
      <c r="BG9" s="163"/>
      <c r="BH9" s="163"/>
      <c r="BI9" s="163"/>
      <c r="BJ9" s="163"/>
      <c r="BK9" s="163"/>
      <c r="BL9" s="163"/>
      <c r="BM9" s="163"/>
      <c r="BN9" s="163"/>
      <c r="BO9" s="163"/>
      <c r="BP9" s="163"/>
      <c r="BQ9" s="163"/>
      <c r="BR9" s="163"/>
      <c r="BS9" s="163"/>
      <c r="BT9" s="163"/>
      <c r="BU9" s="163"/>
      <c r="BV9" s="163"/>
      <c r="BW9" s="171"/>
      <c r="BX9" s="201">
        <v>9000</v>
      </c>
      <c r="BY9" s="193"/>
      <c r="BZ9" s="193"/>
      <c r="CA9" s="202"/>
      <c r="CB9" s="199"/>
      <c r="CC9" s="163"/>
      <c r="CD9" s="162"/>
    </row>
    <row r="10" spans="1:82" ht="21.15" customHeight="1" thickBot="1" x14ac:dyDescent="0.6">
      <c r="A10" s="162"/>
      <c r="B10" s="163"/>
      <c r="C10" s="163"/>
      <c r="D10" s="163"/>
      <c r="E10" s="163"/>
      <c r="F10" s="170"/>
      <c r="G10" s="214">
        <f>VLOOKUP(G7,市町村データ領域,MATCH(手順書_人口密度!$G$55, 市町村データヘッダー, 0),FALSE)</f>
        <v>29.2</v>
      </c>
      <c r="H10" s="99"/>
      <c r="I10" s="99"/>
      <c r="J10" s="100"/>
      <c r="K10" s="215">
        <f>VLOOKUP(K7,市町村データ領域,MATCH(手順書_人口密度!$G$55, 市町村データヘッダー, 0),FALSE)</f>
        <v>89.7</v>
      </c>
      <c r="L10" s="188"/>
      <c r="M10" s="188"/>
      <c r="N10" s="98"/>
      <c r="O10" s="214">
        <f>VLOOKUP(O7,市町村データ領域,MATCH(手順書_人口密度!$G$55, 市町村データヘッダー, 0),FALSE)</f>
        <v>138.4</v>
      </c>
      <c r="P10" s="99"/>
      <c r="Q10" s="99"/>
      <c r="R10" s="99"/>
      <c r="S10" s="163"/>
      <c r="T10" s="163"/>
      <c r="U10" s="163"/>
      <c r="V10" s="170"/>
      <c r="W10" s="216">
        <f>VLOOKUP(W7,市町村データ領域,MATCH(手順書_人口密度!$G$55, 市町村データヘッダー, 0),FALSE)</f>
        <v>159.80000000000001</v>
      </c>
      <c r="X10" s="188"/>
      <c r="Y10" s="188"/>
      <c r="Z10" s="188"/>
      <c r="AA10" s="163"/>
      <c r="AB10" s="163"/>
      <c r="AC10" s="163"/>
      <c r="AD10" s="163"/>
      <c r="AE10" s="163"/>
      <c r="AF10" s="163"/>
      <c r="AG10" s="163"/>
      <c r="AH10" s="163"/>
      <c r="AI10" s="163"/>
      <c r="AJ10" s="163"/>
      <c r="AK10" s="163"/>
      <c r="AL10" s="163"/>
      <c r="AM10" s="163"/>
      <c r="AN10" s="163"/>
      <c r="AO10" s="163"/>
      <c r="AP10" s="170"/>
      <c r="AQ10" s="214">
        <f>VLOOKUP(AQ7,市町村データ領域,MATCH(手順書_人口密度!$G$55, 市町村データヘッダー, 0),FALSE)</f>
        <v>67.5</v>
      </c>
      <c r="AR10" s="99"/>
      <c r="AS10" s="99"/>
      <c r="AT10" s="100"/>
      <c r="AU10" s="217">
        <f>VLOOKUP(AU7,市町村データ領域,MATCH(手順書_人口密度!$G$55, 市町村データヘッダー, 0),FALSE)</f>
        <v>58.7</v>
      </c>
      <c r="AV10" s="99"/>
      <c r="AW10" s="99"/>
      <c r="AX10" s="100"/>
      <c r="AY10" s="163"/>
      <c r="AZ10" s="163"/>
      <c r="BA10" s="163"/>
      <c r="BB10" s="163"/>
      <c r="BC10" s="163"/>
      <c r="BD10" s="163"/>
      <c r="BE10" s="163"/>
      <c r="BF10" s="163"/>
      <c r="BG10" s="163"/>
      <c r="BH10" s="163"/>
      <c r="BI10" s="163"/>
      <c r="BJ10" s="163"/>
      <c r="BK10" s="163"/>
      <c r="BL10" s="163"/>
      <c r="BM10" s="163"/>
      <c r="BN10" s="163"/>
      <c r="BO10" s="163"/>
      <c r="BP10" s="163"/>
      <c r="BQ10" s="163"/>
      <c r="BR10" s="163"/>
      <c r="BS10" s="163"/>
      <c r="BT10" s="163"/>
      <c r="BU10" s="163"/>
      <c r="BV10" s="163"/>
      <c r="BW10" s="171"/>
      <c r="BX10" s="201">
        <v>8000</v>
      </c>
      <c r="BY10" s="193"/>
      <c r="BZ10" s="193"/>
      <c r="CA10" s="203"/>
      <c r="CB10" s="199"/>
      <c r="CC10" s="163"/>
      <c r="CD10" s="162"/>
    </row>
    <row r="11" spans="1:82" ht="21.15" customHeight="1" x14ac:dyDescent="0.55000000000000004">
      <c r="A11" s="162"/>
      <c r="B11" s="163"/>
      <c r="C11" s="164" t="s">
        <v>226</v>
      </c>
      <c r="D11" s="163"/>
      <c r="E11" s="163"/>
      <c r="F11" s="170"/>
      <c r="G11" s="167">
        <v>7</v>
      </c>
      <c r="H11" s="166" t="str">
        <f>VLOOKUP(G11,市町村データ領域,MATCH(手順書_人口密度!$H$52, 市町村データヘッダー, 0),FALSE)</f>
        <v>神川町</v>
      </c>
      <c r="I11" s="102"/>
      <c r="J11" s="103"/>
      <c r="K11" s="163"/>
      <c r="L11" s="163"/>
      <c r="M11" s="163"/>
      <c r="N11" s="170"/>
      <c r="O11" s="167">
        <v>8</v>
      </c>
      <c r="P11" s="166" t="str">
        <f>VLOOKUP(O11,市町村データ領域,MATCH(手順書_人口密度!$H$52, 市町村データヘッダー, 0),FALSE)</f>
        <v>美里町</v>
      </c>
      <c r="Q11" s="102"/>
      <c r="R11" s="103"/>
      <c r="S11" s="163"/>
      <c r="T11" s="163"/>
      <c r="U11" s="163"/>
      <c r="V11" s="170"/>
      <c r="W11" s="163"/>
      <c r="X11" s="163"/>
      <c r="Y11" s="163"/>
      <c r="Z11" s="163"/>
      <c r="AA11" s="163"/>
      <c r="AB11" s="163"/>
      <c r="AC11" s="163"/>
      <c r="AD11" s="163"/>
      <c r="AE11" s="163"/>
      <c r="AF11" s="163"/>
      <c r="AG11" s="163"/>
      <c r="AH11" s="163"/>
      <c r="AI11" s="163"/>
      <c r="AJ11" s="163"/>
      <c r="AK11" s="163"/>
      <c r="AL11" s="163"/>
      <c r="AM11" s="163"/>
      <c r="AN11" s="163"/>
      <c r="AO11" s="163"/>
      <c r="AP11" s="170"/>
      <c r="AQ11" s="167">
        <v>9</v>
      </c>
      <c r="AR11" s="166" t="str">
        <f>VLOOKUP(AQ11,市町村データ領域,MATCH(手順書_人口密度!$H$52, 市町村データヘッダー, 0),FALSE)</f>
        <v>鴻巣市</v>
      </c>
      <c r="AS11" s="102"/>
      <c r="AT11" s="103"/>
      <c r="AU11" s="167">
        <v>10</v>
      </c>
      <c r="AV11" s="166" t="str">
        <f>VLOOKUP(AU11,市町村データ領域,MATCH(手順書_人口密度!$H$52, 市町村データヘッダー, 0),FALSE)</f>
        <v>加須市</v>
      </c>
      <c r="AW11" s="102"/>
      <c r="AX11" s="102"/>
      <c r="AY11" s="169"/>
      <c r="AZ11" s="169"/>
      <c r="BA11" s="169"/>
      <c r="BB11" s="169"/>
      <c r="BC11" s="169"/>
      <c r="BD11" s="169"/>
      <c r="BE11" s="169"/>
      <c r="BF11" s="169"/>
      <c r="BG11" s="169"/>
      <c r="BH11" s="169"/>
      <c r="BI11" s="169"/>
      <c r="BJ11" s="169"/>
      <c r="BK11" s="169"/>
      <c r="BL11" s="169"/>
      <c r="BM11" s="169"/>
      <c r="BN11" s="168"/>
      <c r="BO11" s="163"/>
      <c r="BP11" s="163"/>
      <c r="BQ11" s="163"/>
      <c r="BR11" s="163"/>
      <c r="BS11" s="163"/>
      <c r="BT11" s="163"/>
      <c r="BU11" s="163"/>
      <c r="BV11" s="163"/>
      <c r="BW11" s="171"/>
      <c r="BX11" s="200">
        <v>7000</v>
      </c>
      <c r="BY11" s="181"/>
      <c r="BZ11" s="181"/>
      <c r="CA11" s="204"/>
      <c r="CB11" s="248"/>
      <c r="CC11" s="163"/>
      <c r="CD11" s="162"/>
    </row>
    <row r="12" spans="1:82" ht="21.15" customHeight="1" x14ac:dyDescent="0.55000000000000004">
      <c r="A12" s="162"/>
      <c r="B12" s="163"/>
      <c r="C12" s="163"/>
      <c r="D12" s="163"/>
      <c r="E12" s="163"/>
      <c r="F12" s="170"/>
      <c r="G12" s="157">
        <f>VLOOKUP(G11,市町村データ領域,MATCH(手順書_人口密度!$G$53, 市町村データヘッダー, 0),FALSE)</f>
        <v>272</v>
      </c>
      <c r="H12" s="188"/>
      <c r="I12" s="188"/>
      <c r="J12" s="98"/>
      <c r="K12" s="163"/>
      <c r="L12" s="163"/>
      <c r="M12" s="163"/>
      <c r="N12" s="170"/>
      <c r="O12" s="157">
        <f>VLOOKUP(O11,市町村データ領域,MATCH(手順書_人口密度!$G$53, 市町村データヘッダー, 0),FALSE)</f>
        <v>324</v>
      </c>
      <c r="P12" s="188"/>
      <c r="Q12" s="188"/>
      <c r="R12" s="98"/>
      <c r="S12" s="163"/>
      <c r="T12" s="163"/>
      <c r="U12" s="163"/>
      <c r="V12" s="170"/>
      <c r="W12" s="163"/>
      <c r="X12" s="163"/>
      <c r="Y12" s="163"/>
      <c r="Z12" s="163"/>
      <c r="AA12" s="163"/>
      <c r="AB12" s="163"/>
      <c r="AC12" s="163"/>
      <c r="AD12" s="163"/>
      <c r="AE12" s="163"/>
      <c r="AF12" s="163"/>
      <c r="AG12" s="163"/>
      <c r="AH12" s="163"/>
      <c r="AI12" s="163"/>
      <c r="AJ12" s="163"/>
      <c r="AK12" s="163"/>
      <c r="AL12" s="163"/>
      <c r="AM12" s="163"/>
      <c r="AN12" s="163"/>
      <c r="AO12" s="163"/>
      <c r="AP12" s="170"/>
      <c r="AQ12" s="159">
        <f>VLOOKUP(AQ11,市町村データ領域,MATCH(手順書_人口密度!$G$53, 市町村データヘッダー, 0),FALSE)</f>
        <v>1744</v>
      </c>
      <c r="AR12" s="188"/>
      <c r="AS12" s="188"/>
      <c r="AT12" s="98"/>
      <c r="AU12" s="157">
        <f>VLOOKUP(AU11,市町村データ領域,MATCH(手順書_人口密度!$G$53, 市町村データヘッダー, 0),FALSE)</f>
        <v>841</v>
      </c>
      <c r="AV12" s="188"/>
      <c r="AW12" s="188"/>
      <c r="AX12" s="188"/>
      <c r="AY12" s="163"/>
      <c r="AZ12" s="163"/>
      <c r="BA12" s="163"/>
      <c r="BB12" s="163"/>
      <c r="BC12" s="163"/>
      <c r="BD12" s="163"/>
      <c r="BE12" s="163"/>
      <c r="BF12" s="163"/>
      <c r="BG12" s="163"/>
      <c r="BH12" s="163"/>
      <c r="BI12" s="163"/>
      <c r="BJ12" s="163"/>
      <c r="BK12" s="163"/>
      <c r="BL12" s="163"/>
      <c r="BM12" s="163"/>
      <c r="BN12" s="170"/>
      <c r="BO12" s="163"/>
      <c r="BP12" s="163"/>
      <c r="BQ12" s="163"/>
      <c r="BR12" s="163"/>
      <c r="BS12" s="163"/>
      <c r="BT12" s="163"/>
      <c r="BU12" s="163"/>
      <c r="BV12" s="163"/>
      <c r="BW12" s="171"/>
      <c r="BX12" s="201">
        <v>6000</v>
      </c>
      <c r="BY12" s="193"/>
      <c r="BZ12" s="193"/>
      <c r="CA12" s="205"/>
      <c r="CB12" s="199"/>
      <c r="CC12" s="163"/>
      <c r="CD12" s="162"/>
    </row>
    <row r="13" spans="1:82" ht="21.15" customHeight="1" x14ac:dyDescent="0.55000000000000004">
      <c r="A13" s="162"/>
      <c r="B13" s="163"/>
      <c r="C13" s="163"/>
      <c r="D13" s="163"/>
      <c r="E13" s="163"/>
      <c r="F13" s="170"/>
      <c r="G13" s="156">
        <f>VLOOKUP(G11,市町村データ領域,MATCH(手順書_人口密度!$G$54, 市町村データヘッダー, 0),FALSE)</f>
        <v>12888</v>
      </c>
      <c r="H13" s="188"/>
      <c r="I13" s="188"/>
      <c r="J13" s="98"/>
      <c r="K13" s="163"/>
      <c r="L13" s="163"/>
      <c r="M13" s="163"/>
      <c r="N13" s="170"/>
      <c r="O13" s="156">
        <f>VLOOKUP(O11,市町村データ領域,MATCH(手順書_人口密度!$G$54, 市町村データヘッダー, 0),FALSE)</f>
        <v>10819</v>
      </c>
      <c r="P13" s="188"/>
      <c r="Q13" s="188"/>
      <c r="R13" s="98"/>
      <c r="S13" s="163"/>
      <c r="T13" s="163"/>
      <c r="U13" s="163"/>
      <c r="V13" s="170"/>
      <c r="W13" s="163"/>
      <c r="X13" s="163"/>
      <c r="Y13" s="163"/>
      <c r="Z13" s="163"/>
      <c r="AA13" s="163"/>
      <c r="AB13" s="163"/>
      <c r="AC13" s="163"/>
      <c r="AD13" s="163"/>
      <c r="AE13" s="163"/>
      <c r="AF13" s="163"/>
      <c r="AG13" s="163"/>
      <c r="AH13" s="163"/>
      <c r="AI13" s="163"/>
      <c r="AJ13" s="163"/>
      <c r="AK13" s="163"/>
      <c r="AL13" s="163"/>
      <c r="AM13" s="163"/>
      <c r="AN13" s="163"/>
      <c r="AO13" s="163"/>
      <c r="AP13" s="170"/>
      <c r="AQ13" s="158">
        <f>VLOOKUP(AQ11,市町村データ領域,MATCH(手順書_人口密度!$G$54, 市町村データヘッダー, 0),FALSE)</f>
        <v>117582</v>
      </c>
      <c r="AR13" s="188"/>
      <c r="AS13" s="188"/>
      <c r="AT13" s="98"/>
      <c r="AU13" s="156">
        <f>VLOOKUP(AU11,市町村データ領域,MATCH(手順書_人口密度!$G$54, 市町村データヘッダー, 0),FALSE)</f>
        <v>112163</v>
      </c>
      <c r="AV13" s="188"/>
      <c r="AW13" s="188"/>
      <c r="AX13" s="188"/>
      <c r="AY13" s="163"/>
      <c r="AZ13" s="163"/>
      <c r="BA13" s="163"/>
      <c r="BB13" s="163"/>
      <c r="BC13" s="163"/>
      <c r="BD13" s="163"/>
      <c r="BE13" s="163"/>
      <c r="BF13" s="163"/>
      <c r="BG13" s="163"/>
      <c r="BH13" s="163"/>
      <c r="BI13" s="163"/>
      <c r="BJ13" s="163"/>
      <c r="BK13" s="163"/>
      <c r="BL13" s="163"/>
      <c r="BM13" s="163"/>
      <c r="BN13" s="170"/>
      <c r="BO13" s="163"/>
      <c r="BP13" s="163"/>
      <c r="BQ13" s="163"/>
      <c r="BR13" s="163"/>
      <c r="BS13" s="163"/>
      <c r="BT13" s="163"/>
      <c r="BU13" s="163"/>
      <c r="BV13" s="163"/>
      <c r="BW13" s="171"/>
      <c r="BX13" s="201">
        <v>5000</v>
      </c>
      <c r="BY13" s="184"/>
      <c r="BZ13" s="184"/>
      <c r="CA13" s="206"/>
      <c r="CB13" s="248"/>
      <c r="CC13" s="163"/>
      <c r="CD13" s="162"/>
    </row>
    <row r="14" spans="1:82" ht="21.15" customHeight="1" thickBot="1" x14ac:dyDescent="0.6">
      <c r="A14" s="162"/>
      <c r="B14" s="163"/>
      <c r="C14" s="163"/>
      <c r="D14" s="163"/>
      <c r="E14" s="163"/>
      <c r="F14" s="170"/>
      <c r="G14" s="215">
        <f>VLOOKUP(G11,市町村データ領域,MATCH(手順書_人口密度!$G$55, 市町村データヘッダー, 0),FALSE)</f>
        <v>47.4</v>
      </c>
      <c r="H14" s="188"/>
      <c r="I14" s="188"/>
      <c r="J14" s="98"/>
      <c r="K14" s="163"/>
      <c r="L14" s="163"/>
      <c r="M14" s="163"/>
      <c r="N14" s="170"/>
      <c r="O14" s="217">
        <f>VLOOKUP(O11,市町村データ領域,MATCH(手順書_人口密度!$G$55, 市町村データヘッダー, 0),FALSE)</f>
        <v>33.4</v>
      </c>
      <c r="P14" s="99"/>
      <c r="Q14" s="99"/>
      <c r="R14" s="100"/>
      <c r="S14" s="163"/>
      <c r="T14" s="163"/>
      <c r="U14" s="163"/>
      <c r="V14" s="170"/>
      <c r="W14" s="163"/>
      <c r="X14" s="163"/>
      <c r="Y14" s="163"/>
      <c r="Z14" s="163"/>
      <c r="AA14" s="163"/>
      <c r="AB14" s="163"/>
      <c r="AC14" s="163"/>
      <c r="AD14" s="163"/>
      <c r="AE14" s="163"/>
      <c r="AF14" s="163"/>
      <c r="AG14" s="163"/>
      <c r="AH14" s="163"/>
      <c r="AI14" s="163"/>
      <c r="AJ14" s="163"/>
      <c r="AK14" s="163"/>
      <c r="AL14" s="163"/>
      <c r="AM14" s="163"/>
      <c r="AN14" s="163"/>
      <c r="AO14" s="163"/>
      <c r="AP14" s="170"/>
      <c r="AQ14" s="214">
        <f>VLOOKUP(AQ11,市町村データ領域,MATCH(手順書_人口密度!$G$55, 市町村データヘッダー, 0),FALSE)</f>
        <v>67.400000000000006</v>
      </c>
      <c r="AR14" s="99"/>
      <c r="AS14" s="99"/>
      <c r="AT14" s="100"/>
      <c r="AU14" s="217">
        <f>VLOOKUP(AU11,市町村データ領域,MATCH(手順書_人口密度!$G$55, 市町村データヘッダー, 0),FALSE)</f>
        <v>133.4</v>
      </c>
      <c r="AV14" s="99"/>
      <c r="AW14" s="99"/>
      <c r="AX14" s="99"/>
      <c r="AY14" s="163"/>
      <c r="AZ14" s="163"/>
      <c r="BA14" s="163"/>
      <c r="BB14" s="163"/>
      <c r="BC14" s="163"/>
      <c r="BD14" s="163"/>
      <c r="BE14" s="163"/>
      <c r="BF14" s="163"/>
      <c r="BG14" s="163"/>
      <c r="BH14" s="163"/>
      <c r="BI14" s="163"/>
      <c r="BJ14" s="163"/>
      <c r="BK14" s="163"/>
      <c r="BL14" s="163"/>
      <c r="BM14" s="163"/>
      <c r="BN14" s="170"/>
      <c r="BO14" s="163"/>
      <c r="BP14" s="163"/>
      <c r="BQ14" s="163"/>
      <c r="BR14" s="163"/>
      <c r="BS14" s="163"/>
      <c r="BT14" s="163"/>
      <c r="BU14" s="163"/>
      <c r="BV14" s="163"/>
      <c r="BW14" s="171"/>
      <c r="BX14" s="201">
        <v>4000</v>
      </c>
      <c r="BY14" s="193"/>
      <c r="BZ14" s="193"/>
      <c r="CA14" s="207"/>
      <c r="CB14" s="199"/>
      <c r="CC14" s="163"/>
      <c r="CD14" s="162"/>
    </row>
    <row r="15" spans="1:82" ht="21.15" customHeight="1" x14ac:dyDescent="0.55000000000000004">
      <c r="A15" s="162"/>
      <c r="B15" s="163"/>
      <c r="C15" s="164" t="s">
        <v>355</v>
      </c>
      <c r="D15" s="163"/>
      <c r="E15" s="163"/>
      <c r="F15" s="170"/>
      <c r="G15" s="163"/>
      <c r="H15" s="163"/>
      <c r="I15" s="163"/>
      <c r="J15" s="170"/>
      <c r="K15" s="163"/>
      <c r="L15" s="163"/>
      <c r="M15" s="163"/>
      <c r="N15" s="170"/>
      <c r="O15" s="167">
        <v>11</v>
      </c>
      <c r="P15" s="166" t="str">
        <f>VLOOKUP(O15,市町村データ領域,MATCH(手順書_人口密度!$H$52, 市町村データヘッダー, 0),FALSE)</f>
        <v>長瀞町</v>
      </c>
      <c r="Q15" s="102"/>
      <c r="R15" s="103"/>
      <c r="S15" s="167">
        <v>12</v>
      </c>
      <c r="T15" s="166" t="str">
        <f>VLOOKUP(S15,市町村データ領域,MATCH(手順書_人口密度!$H$52, 市町村データヘッダー, 0),FALSE)</f>
        <v>寄居町</v>
      </c>
      <c r="U15" s="102"/>
      <c r="V15" s="103"/>
      <c r="W15" s="167">
        <v>13</v>
      </c>
      <c r="X15" s="166" t="str">
        <f>VLOOKUP(W15,市町村データ領域,MATCH(手順書_人口密度!$H$52, 市町村データヘッダー, 0),FALSE)</f>
        <v>小川町</v>
      </c>
      <c r="Y15" s="102"/>
      <c r="Z15" s="103"/>
      <c r="AA15" s="167">
        <v>14</v>
      </c>
      <c r="AB15" s="166" t="str">
        <f>VLOOKUP(AA15,市町村データ領域,MATCH(手順書_人口密度!$H$52, 市町村データヘッダー, 0),FALSE)</f>
        <v>嵐山町</v>
      </c>
      <c r="AC15" s="102"/>
      <c r="AD15" s="103"/>
      <c r="AE15" s="167">
        <v>15</v>
      </c>
      <c r="AF15" s="166" t="str">
        <f>VLOOKUP(AE15,市町村データ領域,MATCH(手順書_人口密度!$H$52, 市町村データヘッダー, 0),FALSE)</f>
        <v>滑川町</v>
      </c>
      <c r="AG15" s="102"/>
      <c r="AH15" s="103"/>
      <c r="AI15" s="167">
        <v>16</v>
      </c>
      <c r="AJ15" s="166" t="str">
        <f>VLOOKUP(AI15,市町村データ領域,MATCH(手順書_人口密度!$H$52, 市町村データヘッダー, 0),FALSE)</f>
        <v>東松山市</v>
      </c>
      <c r="AK15" s="102"/>
      <c r="AL15" s="103"/>
      <c r="AM15" s="167">
        <v>17</v>
      </c>
      <c r="AN15" s="166" t="str">
        <f>VLOOKUP(AM15,市町村データ領域,MATCH(手順書_人口密度!$H$52, 市町村データヘッダー, 0),FALSE)</f>
        <v>吉見町</v>
      </c>
      <c r="AO15" s="102"/>
      <c r="AP15" s="103"/>
      <c r="AQ15" s="167">
        <v>18</v>
      </c>
      <c r="AR15" s="166" t="str">
        <f>VLOOKUP(AQ15,市町村データ領域,MATCH(手順書_人口密度!$H$52, 市町村データヘッダー, 0),FALSE)</f>
        <v>北本市</v>
      </c>
      <c r="AS15" s="102"/>
      <c r="AT15" s="103"/>
      <c r="AU15" s="167">
        <v>19</v>
      </c>
      <c r="AV15" s="166" t="str">
        <f>VLOOKUP(AU15,市町村データ領域,MATCH(手順書_人口密度!$H$52, 市町村データヘッダー, 0),FALSE)</f>
        <v>久喜市</v>
      </c>
      <c r="AW15" s="102"/>
      <c r="AX15" s="102"/>
      <c r="AY15" s="169"/>
      <c r="AZ15" s="169"/>
      <c r="BA15" s="169"/>
      <c r="BB15" s="169"/>
      <c r="BC15" s="169"/>
      <c r="BD15" s="169"/>
      <c r="BE15" s="169"/>
      <c r="BF15" s="169"/>
      <c r="BG15" s="169"/>
      <c r="BH15" s="169"/>
      <c r="BI15" s="169"/>
      <c r="BJ15" s="169"/>
      <c r="BK15" s="169"/>
      <c r="BL15" s="169"/>
      <c r="BM15" s="169"/>
      <c r="BN15" s="168"/>
      <c r="BO15" s="167">
        <v>20</v>
      </c>
      <c r="BP15" s="166" t="str">
        <f>VLOOKUP(BO15,市町村データ領域,MATCH(手順書_人口密度!$H$52, 市町村データヘッダー, 0),FALSE)</f>
        <v>幸手市</v>
      </c>
      <c r="BQ15" s="102"/>
      <c r="BR15" s="103"/>
      <c r="BS15" s="163"/>
      <c r="BT15" s="163"/>
      <c r="BU15" s="163"/>
      <c r="BV15" s="163"/>
      <c r="BW15" s="171"/>
      <c r="BX15" s="201">
        <v>3000</v>
      </c>
      <c r="BY15" s="184"/>
      <c r="BZ15" s="184"/>
      <c r="CA15" s="208"/>
      <c r="CB15" s="248"/>
      <c r="CC15" s="163"/>
      <c r="CD15" s="162"/>
    </row>
    <row r="16" spans="1:82" ht="21.15" customHeight="1" x14ac:dyDescent="0.55000000000000004">
      <c r="A16" s="162"/>
      <c r="B16" s="163"/>
      <c r="C16" s="163"/>
      <c r="D16" s="163"/>
      <c r="E16" s="163"/>
      <c r="F16" s="170"/>
      <c r="G16" s="163"/>
      <c r="H16" s="163"/>
      <c r="I16" s="163"/>
      <c r="J16" s="170"/>
      <c r="K16" s="163"/>
      <c r="L16" s="163"/>
      <c r="M16" s="163"/>
      <c r="N16" s="170"/>
      <c r="O16" s="157">
        <f>VLOOKUP(O15,市町村データ領域,MATCH(手順書_人口密度!$G$53, 市町村データヘッダー, 0),FALSE)</f>
        <v>214</v>
      </c>
      <c r="P16" s="188"/>
      <c r="Q16" s="188"/>
      <c r="R16" s="98"/>
      <c r="S16" s="157">
        <f>VLOOKUP(S15,市町村データ領域,MATCH(手順書_人口密度!$G$53, 市町村データヘッダー, 0),FALSE)</f>
        <v>499</v>
      </c>
      <c r="T16" s="188"/>
      <c r="U16" s="188"/>
      <c r="V16" s="98"/>
      <c r="W16" s="157">
        <f>VLOOKUP(W15,市町村データ領域,MATCH(手順書_人口密度!$G$53, 市町村データヘッダー, 0),FALSE)</f>
        <v>462</v>
      </c>
      <c r="X16" s="188"/>
      <c r="Y16" s="188"/>
      <c r="Z16" s="98"/>
      <c r="AA16" s="157">
        <f>VLOOKUP(AA15,市町村データ領域,MATCH(手順書_人口密度!$G$53, 市町村データヘッダー, 0),FALSE)</f>
        <v>585</v>
      </c>
      <c r="AB16" s="188"/>
      <c r="AC16" s="188"/>
      <c r="AD16" s="98"/>
      <c r="AE16" s="157">
        <f>VLOOKUP(AE15,市町村データ領域,MATCH(手順書_人口密度!$G$53, 市町村データヘッダー, 0),FALSE)</f>
        <v>665</v>
      </c>
      <c r="AF16" s="188"/>
      <c r="AG16" s="188"/>
      <c r="AH16" s="98"/>
      <c r="AI16" s="159">
        <f>VLOOKUP(AI15,市町村データ領域,MATCH(手順書_人口密度!$G$53, 市町村データヘッダー, 0),FALSE)</f>
        <v>1394</v>
      </c>
      <c r="AJ16" s="188"/>
      <c r="AK16" s="188"/>
      <c r="AL16" s="98"/>
      <c r="AM16" s="157">
        <f>VLOOKUP(AM15,市町村データ領域,MATCH(手順書_人口密度!$G$53, 市町村データヘッダー, 0),FALSE)</f>
        <v>462</v>
      </c>
      <c r="AN16" s="188"/>
      <c r="AO16" s="188"/>
      <c r="AP16" s="98"/>
      <c r="AQ16" s="155">
        <f>VLOOKUP(AQ15,市町村データ領域,MATCH(手順書_人口密度!$G$53, 市町村データヘッダー, 0),FALSE)</f>
        <v>3300</v>
      </c>
      <c r="AR16" s="188"/>
      <c r="AS16" s="188"/>
      <c r="AT16" s="98"/>
      <c r="AU16" s="159">
        <f>VLOOKUP(AU15,市町村データ領域,MATCH(手順書_人口密度!$G$53, 市町村データヘッダー, 0),FALSE)</f>
        <v>1831</v>
      </c>
      <c r="AV16" s="188"/>
      <c r="AW16" s="188"/>
      <c r="AX16" s="188"/>
      <c r="AY16" s="163"/>
      <c r="AZ16" s="163"/>
      <c r="BA16" s="163"/>
      <c r="BB16" s="163"/>
      <c r="BC16" s="163"/>
      <c r="BD16" s="163"/>
      <c r="BE16" s="163"/>
      <c r="BF16" s="163"/>
      <c r="BG16" s="163"/>
      <c r="BH16" s="163"/>
      <c r="BI16" s="163"/>
      <c r="BJ16" s="163"/>
      <c r="BK16" s="163"/>
      <c r="BL16" s="163"/>
      <c r="BM16" s="163"/>
      <c r="BN16" s="170"/>
      <c r="BO16" s="159">
        <f>VLOOKUP(BO15,市町村データ領域,MATCH(手順書_人口密度!$G$53, 市町村データヘッダー, 0),FALSE)</f>
        <v>1446</v>
      </c>
      <c r="BP16" s="188"/>
      <c r="BQ16" s="188"/>
      <c r="BR16" s="98"/>
      <c r="BS16" s="163"/>
      <c r="BT16" s="163"/>
      <c r="BU16" s="163"/>
      <c r="BV16" s="163"/>
      <c r="BW16" s="171"/>
      <c r="BX16" s="201">
        <v>2000</v>
      </c>
      <c r="BY16" s="184"/>
      <c r="BZ16" s="184"/>
      <c r="CA16" s="209"/>
      <c r="CB16" s="248"/>
      <c r="CC16" s="163"/>
      <c r="CD16" s="162"/>
    </row>
    <row r="17" spans="1:82" ht="21.15" customHeight="1" x14ac:dyDescent="0.55000000000000004">
      <c r="A17" s="162"/>
      <c r="B17" s="163"/>
      <c r="C17" s="163"/>
      <c r="D17" s="163"/>
      <c r="E17" s="163"/>
      <c r="F17" s="170"/>
      <c r="G17" s="163"/>
      <c r="H17" s="163"/>
      <c r="I17" s="163"/>
      <c r="J17" s="170"/>
      <c r="K17" s="163"/>
      <c r="L17" s="163"/>
      <c r="M17" s="163"/>
      <c r="N17" s="170"/>
      <c r="O17" s="156">
        <f>VLOOKUP(O15,市町村データ領域,MATCH(手順書_人口密度!$G$54, 市町村データヘッダー, 0),FALSE)</f>
        <v>6516</v>
      </c>
      <c r="P17" s="188"/>
      <c r="Q17" s="188"/>
      <c r="R17" s="98"/>
      <c r="S17" s="156">
        <f>VLOOKUP(S15,市町村データ領域,MATCH(手順書_人口密度!$G$54, 市町村データヘッダー, 0),FALSE)</f>
        <v>32041</v>
      </c>
      <c r="T17" s="188"/>
      <c r="U17" s="188"/>
      <c r="V17" s="98"/>
      <c r="W17" s="156">
        <f>VLOOKUP(W15,市町村データ領域,MATCH(手順書_人口密度!$G$54, 市町村データヘッダー, 0),FALSE)</f>
        <v>27886</v>
      </c>
      <c r="X17" s="188"/>
      <c r="Y17" s="188"/>
      <c r="Z17" s="98"/>
      <c r="AA17" s="156">
        <f>VLOOKUP(AA15,市町村データ領域,MATCH(手順書_人口密度!$G$54, 市町村データヘッダー, 0),FALSE)</f>
        <v>17516</v>
      </c>
      <c r="AB17" s="188"/>
      <c r="AC17" s="188"/>
      <c r="AD17" s="98"/>
      <c r="AE17" s="156">
        <f>VLOOKUP(AE15,市町村データ領域,MATCH(手順書_人口密度!$G$54, 市町村データヘッダー, 0),FALSE)</f>
        <v>19745</v>
      </c>
      <c r="AF17" s="188"/>
      <c r="AG17" s="188"/>
      <c r="AH17" s="98"/>
      <c r="AI17" s="158">
        <f>VLOOKUP(AI15,市町村データ領域,MATCH(手順書_人口密度!$G$54, 市町村データヘッダー, 0),FALSE)</f>
        <v>91094</v>
      </c>
      <c r="AJ17" s="188"/>
      <c r="AK17" s="188"/>
      <c r="AL17" s="98"/>
      <c r="AM17" s="156">
        <f>VLOOKUP(AM15,市町村データ領域,MATCH(手順書_人口密度!$G$54, 市町村データヘッダー, 0),FALSE)</f>
        <v>17859</v>
      </c>
      <c r="AN17" s="188"/>
      <c r="AO17" s="188"/>
      <c r="AP17" s="98"/>
      <c r="AQ17" s="152">
        <f>VLOOKUP(AQ15,市町村データ領域,MATCH(手順書_人口密度!$G$54, 市町村データヘッダー, 0),FALSE)</f>
        <v>65403</v>
      </c>
      <c r="AR17" s="188"/>
      <c r="AS17" s="188"/>
      <c r="AT17" s="98"/>
      <c r="AU17" s="158">
        <f>VLOOKUP(AU15,市町村データ領域,MATCH(手順書_人口密度!$G$54, 市町村データヘッダー, 0),FALSE)</f>
        <v>150913</v>
      </c>
      <c r="AV17" s="188"/>
      <c r="AW17" s="188"/>
      <c r="AX17" s="188"/>
      <c r="AY17" s="163"/>
      <c r="AZ17" s="163"/>
      <c r="BA17" s="163"/>
      <c r="BB17" s="163"/>
      <c r="BC17" s="163"/>
      <c r="BD17" s="163"/>
      <c r="BE17" s="163"/>
      <c r="BF17" s="163"/>
      <c r="BG17" s="163"/>
      <c r="BH17" s="163"/>
      <c r="BI17" s="163"/>
      <c r="BJ17" s="163"/>
      <c r="BK17" s="163"/>
      <c r="BL17" s="163"/>
      <c r="BM17" s="163"/>
      <c r="BN17" s="170"/>
      <c r="BO17" s="158">
        <f>VLOOKUP(BO15,市町村データ領域,MATCH(手順書_人口密度!$G$54, 市町村データヘッダー, 0),FALSE)</f>
        <v>49063</v>
      </c>
      <c r="BP17" s="188"/>
      <c r="BQ17" s="188"/>
      <c r="BR17" s="98"/>
      <c r="BS17" s="163"/>
      <c r="BT17" s="163"/>
      <c r="BU17" s="163"/>
      <c r="BV17" s="163"/>
      <c r="BW17" s="163"/>
      <c r="BX17" s="201">
        <v>1000</v>
      </c>
      <c r="BY17" s="184"/>
      <c r="BZ17" s="184"/>
      <c r="CA17" s="210"/>
      <c r="CB17" s="248"/>
      <c r="CC17" s="163"/>
      <c r="CD17" s="162"/>
    </row>
    <row r="18" spans="1:82" ht="21.15" customHeight="1" thickBot="1" x14ac:dyDescent="0.6">
      <c r="A18" s="162"/>
      <c r="B18" s="163"/>
      <c r="C18" s="163"/>
      <c r="D18" s="163"/>
      <c r="E18" s="163"/>
      <c r="F18" s="170"/>
      <c r="G18" s="163"/>
      <c r="H18" s="163"/>
      <c r="I18" s="163"/>
      <c r="J18" s="170"/>
      <c r="K18" s="163"/>
      <c r="L18" s="163"/>
      <c r="M18" s="163"/>
      <c r="N18" s="170"/>
      <c r="O18" s="217">
        <f>VLOOKUP(O15,市町村データ領域,MATCH(手順書_人口密度!$G$55, 市町村データヘッダー, 0),FALSE)</f>
        <v>30.4</v>
      </c>
      <c r="P18" s="99"/>
      <c r="Q18" s="99"/>
      <c r="R18" s="100"/>
      <c r="S18" s="217">
        <f>VLOOKUP(S15,市町村データ領域,MATCH(手順書_人口密度!$G$55, 市町村データヘッダー, 0),FALSE)</f>
        <v>64.2</v>
      </c>
      <c r="T18" s="99"/>
      <c r="U18" s="99"/>
      <c r="V18" s="100"/>
      <c r="W18" s="217">
        <f>VLOOKUP(W15,市町村データ領域,MATCH(手順書_人口密度!$G$55, 市町村データヘッダー, 0),FALSE)</f>
        <v>60.4</v>
      </c>
      <c r="X18" s="99"/>
      <c r="Y18" s="99"/>
      <c r="Z18" s="100"/>
      <c r="AA18" s="217">
        <f>VLOOKUP(AA15,市町村データ領域,MATCH(手順書_人口密度!$G$55, 市町村データヘッダー, 0),FALSE)</f>
        <v>29.9</v>
      </c>
      <c r="AB18" s="99"/>
      <c r="AC18" s="99"/>
      <c r="AD18" s="100"/>
      <c r="AE18" s="217">
        <f>VLOOKUP(AE15,市町村データ領域,MATCH(手順書_人口密度!$G$55, 市町村データヘッダー, 0),FALSE)</f>
        <v>29.7</v>
      </c>
      <c r="AF18" s="99"/>
      <c r="AG18" s="99"/>
      <c r="AH18" s="100"/>
      <c r="AI18" s="214">
        <f>VLOOKUP(AI15,市町村データ領域,MATCH(手順書_人口密度!$G$55, 市町村データヘッダー, 0),FALSE)</f>
        <v>65.3</v>
      </c>
      <c r="AJ18" s="99"/>
      <c r="AK18" s="99"/>
      <c r="AL18" s="100"/>
      <c r="AM18" s="217">
        <f>VLOOKUP(AM15,市町村データ領域,MATCH(手順書_人口密度!$G$55, 市町村データヘッダー, 0),FALSE)</f>
        <v>38.700000000000003</v>
      </c>
      <c r="AN18" s="99"/>
      <c r="AO18" s="99"/>
      <c r="AP18" s="100"/>
      <c r="AQ18" s="218">
        <f>VLOOKUP(AQ15,市町村データ領域,MATCH(手順書_人口密度!$G$55, 市町村データヘッダー, 0),FALSE)</f>
        <v>19.8</v>
      </c>
      <c r="AR18" s="99"/>
      <c r="AS18" s="99"/>
      <c r="AT18" s="100"/>
      <c r="AU18" s="214">
        <f>VLOOKUP(AU15,市町村データ領域,MATCH(手順書_人口密度!$G$55, 市町村データヘッダー, 0),FALSE)</f>
        <v>82.4</v>
      </c>
      <c r="AV18" s="99"/>
      <c r="AW18" s="99"/>
      <c r="AX18" s="99"/>
      <c r="AY18" s="163"/>
      <c r="AZ18" s="163"/>
      <c r="BA18" s="163"/>
      <c r="BB18" s="163"/>
      <c r="BC18" s="163"/>
      <c r="BD18" s="163"/>
      <c r="BE18" s="163"/>
      <c r="BF18" s="163"/>
      <c r="BG18" s="163"/>
      <c r="BH18" s="163"/>
      <c r="BI18" s="163"/>
      <c r="BJ18" s="163"/>
      <c r="BK18" s="163"/>
      <c r="BL18" s="163"/>
      <c r="BM18" s="163"/>
      <c r="BN18" s="170"/>
      <c r="BO18" s="214">
        <f>VLOOKUP(BO15,市町村データ領域,MATCH(手順書_人口密度!$G$55, 市町村データヘッダー, 0),FALSE)</f>
        <v>33.9</v>
      </c>
      <c r="BP18" s="99"/>
      <c r="BQ18" s="99"/>
      <c r="BR18" s="100"/>
      <c r="BS18" s="163"/>
      <c r="BT18" s="163"/>
      <c r="BU18" s="163"/>
      <c r="BV18" s="163"/>
      <c r="BW18" s="163"/>
      <c r="BX18" s="213">
        <v>0</v>
      </c>
      <c r="BY18" s="249"/>
      <c r="BZ18" s="249"/>
      <c r="CA18" s="211"/>
      <c r="CB18" s="250"/>
      <c r="CC18" s="163"/>
      <c r="CD18" s="162"/>
    </row>
    <row r="19" spans="1:82" ht="21.15" customHeight="1" x14ac:dyDescent="0.55000000000000004">
      <c r="A19" s="162"/>
      <c r="B19" s="163"/>
      <c r="C19" s="164" t="s">
        <v>227</v>
      </c>
      <c r="D19" s="163"/>
      <c r="E19" s="163"/>
      <c r="F19" s="170"/>
      <c r="G19" s="163"/>
      <c r="H19" s="163"/>
      <c r="I19" s="163"/>
      <c r="J19" s="170"/>
      <c r="K19" s="167">
        <v>21</v>
      </c>
      <c r="L19" s="166" t="str">
        <f>VLOOKUP(K19,市町村データ領域,MATCH(手順書_人口密度!$H$52, 市町村データヘッダー, 0),FALSE)</f>
        <v>皆野町</v>
      </c>
      <c r="M19" s="102"/>
      <c r="N19" s="103"/>
      <c r="O19" s="167">
        <v>22</v>
      </c>
      <c r="P19" s="166" t="str">
        <f>VLOOKUP(O19,市町村データ領域,MATCH(手順書_人口密度!$H$52, 市町村データヘッダー, 0),FALSE)</f>
        <v>東秩父村</v>
      </c>
      <c r="Q19" s="102"/>
      <c r="R19" s="102"/>
      <c r="S19" s="169"/>
      <c r="T19" s="169"/>
      <c r="U19" s="169"/>
      <c r="V19" s="168"/>
      <c r="W19" s="167">
        <v>23</v>
      </c>
      <c r="X19" s="166" t="str">
        <f>VLOOKUP(W19,市町村データ領域,MATCH(手順書_人口密度!$H$52, 市町村データヘッダー, 0),FALSE)</f>
        <v>ときがわ町</v>
      </c>
      <c r="Y19" s="102"/>
      <c r="Z19" s="103"/>
      <c r="AA19" s="167">
        <v>24</v>
      </c>
      <c r="AB19" s="166" t="str">
        <f>VLOOKUP(AA19,市町村データ領域,MATCH(手順書_人口密度!$H$52, 市町村データヘッダー, 0),FALSE)</f>
        <v>鳩山町</v>
      </c>
      <c r="AC19" s="102"/>
      <c r="AD19" s="102"/>
      <c r="AE19" s="169"/>
      <c r="AF19" s="169"/>
      <c r="AG19" s="169"/>
      <c r="AH19" s="168"/>
      <c r="AI19" s="167">
        <v>25</v>
      </c>
      <c r="AJ19" s="166" t="str">
        <f>VLOOKUP(AI19,市町村データ領域,MATCH(手順書_人口密度!$H$52, 市町村データヘッダー, 0),FALSE)</f>
        <v>坂戸市</v>
      </c>
      <c r="AK19" s="102"/>
      <c r="AL19" s="103"/>
      <c r="AM19" s="167">
        <v>26</v>
      </c>
      <c r="AN19" s="166" t="str">
        <f>VLOOKUP(AM19,市町村データ領域,MATCH(手順書_人口密度!$H$52, 市町村データヘッダー, 0),FALSE)</f>
        <v>川島町</v>
      </c>
      <c r="AO19" s="102"/>
      <c r="AP19" s="103"/>
      <c r="AQ19" s="167">
        <v>27</v>
      </c>
      <c r="AR19" s="166" t="str">
        <f>VLOOKUP(AQ19,市町村データ領域,MATCH(手順書_人口密度!$H$52, 市町村データヘッダー, 0),FALSE)</f>
        <v>桶川市</v>
      </c>
      <c r="AS19" s="102"/>
      <c r="AT19" s="103"/>
      <c r="AU19" s="167">
        <v>28</v>
      </c>
      <c r="AV19" s="166" t="str">
        <f>VLOOKUP(AU19,市町村データ領域,MATCH(手順書_人口密度!$H$52, 市町村データヘッダー, 0),FALSE)</f>
        <v>上尾市</v>
      </c>
      <c r="AW19" s="102"/>
      <c r="AX19" s="103"/>
      <c r="AY19" s="167">
        <v>29</v>
      </c>
      <c r="AZ19" s="166" t="str">
        <f>VLOOKUP(AY19,市町村データ領域,MATCH(手順書_人口密度!$H$52, 市町村データヘッダー, 0),FALSE)</f>
        <v>伊奈町</v>
      </c>
      <c r="BA19" s="102"/>
      <c r="BB19" s="103"/>
      <c r="BC19" s="167">
        <v>30</v>
      </c>
      <c r="BD19" s="166" t="str">
        <f>VLOOKUP(BC19,市町村データ領域,MATCH(手順書_人口密度!$H$52, 市町村データヘッダー, 0),FALSE)</f>
        <v>蓮田市</v>
      </c>
      <c r="BE19" s="102"/>
      <c r="BF19" s="103"/>
      <c r="BG19" s="167">
        <v>31</v>
      </c>
      <c r="BH19" s="166" t="str">
        <f>VLOOKUP(BG19,市町村データ領域,MATCH(手順書_人口密度!$H$52, 市町村データヘッダー, 0),FALSE)</f>
        <v>白岡市</v>
      </c>
      <c r="BI19" s="102"/>
      <c r="BJ19" s="103"/>
      <c r="BK19" s="167">
        <v>32</v>
      </c>
      <c r="BL19" s="166" t="str">
        <f>VLOOKUP(BK19,市町村データ領域,MATCH(手順書_人口密度!$H$52, 市町村データヘッダー, 0),FALSE)</f>
        <v>宮代町</v>
      </c>
      <c r="BM19" s="102"/>
      <c r="BN19" s="103"/>
      <c r="BO19" s="167">
        <v>33</v>
      </c>
      <c r="BP19" s="166" t="str">
        <f>VLOOKUP(BO19,市町村データ領域,MATCH(手順書_人口密度!$H$52, 市町村データヘッダー, 0),FALSE)</f>
        <v>杉戸町</v>
      </c>
      <c r="BQ19" s="102"/>
      <c r="BR19" s="103"/>
      <c r="BS19" s="163"/>
      <c r="BT19" s="163"/>
      <c r="BU19" s="163"/>
      <c r="BV19" s="163"/>
      <c r="BW19" s="163"/>
      <c r="BX19" s="171"/>
      <c r="BY19" s="171"/>
      <c r="BZ19" s="171"/>
      <c r="CA19" s="171"/>
      <c r="CB19" s="171"/>
      <c r="CC19" s="163"/>
      <c r="CD19" s="162"/>
    </row>
    <row r="20" spans="1:82" ht="21.15" customHeight="1" x14ac:dyDescent="0.55000000000000004">
      <c r="A20" s="162"/>
      <c r="B20" s="163"/>
      <c r="C20" s="163"/>
      <c r="D20" s="163"/>
      <c r="E20" s="163"/>
      <c r="F20" s="170"/>
      <c r="G20" s="163"/>
      <c r="H20" s="163"/>
      <c r="I20" s="163"/>
      <c r="J20" s="170"/>
      <c r="K20" s="157">
        <f>VLOOKUP(K19,市町村データ領域,MATCH(手順書_人口密度!$G$53, 市町村データヘッダー, 0),FALSE)</f>
        <v>142</v>
      </c>
      <c r="L20" s="188"/>
      <c r="M20" s="188"/>
      <c r="N20" s="98"/>
      <c r="O20" s="157">
        <f>VLOOKUP(O19,市町村データ領域,MATCH(手順書_人口密度!$G$53, 市町村データヘッダー, 0),FALSE)</f>
        <v>67</v>
      </c>
      <c r="P20" s="188"/>
      <c r="Q20" s="188"/>
      <c r="R20" s="188"/>
      <c r="S20" s="163"/>
      <c r="T20" s="163"/>
      <c r="U20" s="163"/>
      <c r="V20" s="170"/>
      <c r="W20" s="157">
        <f>VLOOKUP(W19,市町村データ領域,MATCH(手順書_人口密度!$G$53, 市町村データヘッダー, 0),FALSE)</f>
        <v>186</v>
      </c>
      <c r="X20" s="188"/>
      <c r="Y20" s="188"/>
      <c r="Z20" s="98"/>
      <c r="AA20" s="157">
        <f>VLOOKUP(AA19,市町村データ領域,MATCH(手順書_人口密度!$G$53, 市町村データヘッダー, 0),FALSE)</f>
        <v>504</v>
      </c>
      <c r="AB20" s="188"/>
      <c r="AC20" s="188"/>
      <c r="AD20" s="188"/>
      <c r="AE20" s="163"/>
      <c r="AF20" s="163"/>
      <c r="AG20" s="163"/>
      <c r="AH20" s="170"/>
      <c r="AI20" s="154">
        <f>VLOOKUP(AI19,市町村データ領域,MATCH(手順書_人口密度!$G$53, 市町村データヘッダー, 0),FALSE)</f>
        <v>2426</v>
      </c>
      <c r="AJ20" s="188"/>
      <c r="AK20" s="188"/>
      <c r="AL20" s="98"/>
      <c r="AM20" s="157">
        <f>VLOOKUP(AM19,市町村データ領域,MATCH(手順書_人口密度!$G$53, 市町村データヘッダー, 0),FALSE)</f>
        <v>453</v>
      </c>
      <c r="AN20" s="188"/>
      <c r="AO20" s="188"/>
      <c r="AP20" s="98"/>
      <c r="AQ20" s="154">
        <f>VLOOKUP(AQ19,市町村データ領域,MATCH(手順書_人口密度!$G$53, 市町村データヘッダー, 0),FALSE)</f>
        <v>2937</v>
      </c>
      <c r="AR20" s="188"/>
      <c r="AS20" s="188"/>
      <c r="AT20" s="98"/>
      <c r="AU20" s="147">
        <f>VLOOKUP(AU19,市町村データ領域,MATCH(手順書_人口密度!$G$53, 市町村データヘッダー, 0),FALSE)</f>
        <v>5058</v>
      </c>
      <c r="AV20" s="188"/>
      <c r="AW20" s="188"/>
      <c r="AX20" s="98"/>
      <c r="AY20" s="155">
        <f>VLOOKUP(AY19,市町村データ領域,MATCH(手順書_人口密度!$G$53, 市町村データヘッダー, 0),FALSE)</f>
        <v>3046</v>
      </c>
      <c r="AZ20" s="188"/>
      <c r="BA20" s="188"/>
      <c r="BB20" s="98"/>
      <c r="BC20" s="154">
        <f>VLOOKUP(BC19,市町村データ領域,MATCH(手順書_人口密度!$G$53, 市町村データヘッダー, 0),FALSE)</f>
        <v>2248</v>
      </c>
      <c r="BD20" s="188"/>
      <c r="BE20" s="188"/>
      <c r="BF20" s="98"/>
      <c r="BG20" s="154">
        <f>VLOOKUP(BG19,市町村データ領域,MATCH(手順書_人口密度!$G$53, 市町村データヘッダー, 0),FALSE)</f>
        <v>2113</v>
      </c>
      <c r="BH20" s="188"/>
      <c r="BI20" s="188"/>
      <c r="BJ20" s="98"/>
      <c r="BK20" s="154">
        <f>VLOOKUP(BK19,市町村データ領域,MATCH(手順書_人口密度!$G$53, 市町村データヘッダー, 0),FALSE)</f>
        <v>2092</v>
      </c>
      <c r="BL20" s="188"/>
      <c r="BM20" s="188"/>
      <c r="BN20" s="98"/>
      <c r="BO20" s="159">
        <f>VLOOKUP(BO19,市町村データ領域,MATCH(手順書_人口密度!$G$53, 市町村データヘッダー, 0),FALSE)</f>
        <v>1466</v>
      </c>
      <c r="BP20" s="188"/>
      <c r="BQ20" s="188"/>
      <c r="BR20" s="98"/>
      <c r="BS20" s="163"/>
      <c r="BT20" s="163"/>
      <c r="BU20" s="163"/>
      <c r="BV20" s="163"/>
      <c r="BW20" s="163"/>
      <c r="BX20" s="171"/>
      <c r="BY20" s="171"/>
      <c r="BZ20" s="171"/>
      <c r="CA20" s="171"/>
      <c r="CB20" s="171"/>
      <c r="CC20" s="163"/>
      <c r="CD20" s="162"/>
    </row>
    <row r="21" spans="1:82" ht="21.15" customHeight="1" x14ac:dyDescent="0.55000000000000004">
      <c r="A21" s="162"/>
      <c r="B21" s="163"/>
      <c r="C21" s="163"/>
      <c r="D21" s="163"/>
      <c r="E21" s="163"/>
      <c r="F21" s="170"/>
      <c r="G21" s="163"/>
      <c r="H21" s="163"/>
      <c r="I21" s="163"/>
      <c r="J21" s="170"/>
      <c r="K21" s="156">
        <f>VLOOKUP(K19,市町村データ領域,MATCH(手順書_人口密度!$G$54, 市町村データヘッダー, 0),FALSE)</f>
        <v>9050</v>
      </c>
      <c r="L21" s="188"/>
      <c r="M21" s="188"/>
      <c r="N21" s="98"/>
      <c r="O21" s="156">
        <f>VLOOKUP(O19,市町村データ領域,MATCH(手順書_人口密度!$G$54, 市町村データヘッダー, 0),FALSE)</f>
        <v>2473</v>
      </c>
      <c r="P21" s="188"/>
      <c r="Q21" s="188"/>
      <c r="R21" s="188"/>
      <c r="S21" s="163"/>
      <c r="T21" s="163"/>
      <c r="U21" s="163"/>
      <c r="V21" s="170"/>
      <c r="W21" s="156">
        <f>VLOOKUP(W19,市町村データ領域,MATCH(手順書_人口密度!$G$54, 市町村データヘッダー, 0),FALSE)</f>
        <v>10414</v>
      </c>
      <c r="X21" s="188"/>
      <c r="Y21" s="188"/>
      <c r="Z21" s="98"/>
      <c r="AA21" s="156">
        <f>VLOOKUP(AA19,市町村データ領域,MATCH(手順書_人口密度!$G$54, 市町村データヘッダー, 0),FALSE)</f>
        <v>12967</v>
      </c>
      <c r="AB21" s="188"/>
      <c r="AC21" s="188"/>
      <c r="AD21" s="188"/>
      <c r="AE21" s="163"/>
      <c r="AF21" s="163"/>
      <c r="AG21" s="163"/>
      <c r="AH21" s="170"/>
      <c r="AI21" s="151">
        <f>VLOOKUP(AI19,市町村データ領域,MATCH(手順書_人口密度!$G$54, 市町村データヘッダー, 0),FALSE)</f>
        <v>99527</v>
      </c>
      <c r="AJ21" s="188"/>
      <c r="AK21" s="188"/>
      <c r="AL21" s="98"/>
      <c r="AM21" s="156">
        <f>VLOOKUP(AM19,市町村データ領域,MATCH(手順書_人口密度!$G$54, 市町村データヘッダー, 0),FALSE)</f>
        <v>18874</v>
      </c>
      <c r="AN21" s="188"/>
      <c r="AO21" s="188"/>
      <c r="AP21" s="98"/>
      <c r="AQ21" s="151">
        <f>VLOOKUP(AQ19,市町村データ領域,MATCH(手順書_人口密度!$G$54, 市町村データヘッダー, 0),FALSE)</f>
        <v>74448</v>
      </c>
      <c r="AR21" s="188"/>
      <c r="AS21" s="188"/>
      <c r="AT21" s="98"/>
      <c r="AU21" s="143">
        <f>VLOOKUP(AU19,市町村データ領域,MATCH(手順書_人口密度!$G$54, 市町村データヘッダー, 0),FALSE)</f>
        <v>230167</v>
      </c>
      <c r="AV21" s="188"/>
      <c r="AW21" s="188"/>
      <c r="AX21" s="98"/>
      <c r="AY21" s="152">
        <f>VLOOKUP(AY19,市町村データ領域,MATCH(手順書_人口密度!$G$54, 市町村データヘッダー, 0),FALSE)</f>
        <v>45045</v>
      </c>
      <c r="AZ21" s="188"/>
      <c r="BA21" s="188"/>
      <c r="BB21" s="98"/>
      <c r="BC21" s="151">
        <f>VLOOKUP(BC19,市町村データ領域,MATCH(手順書_人口密度!$G$54, 市町村データヘッダー, 0),FALSE)</f>
        <v>61337</v>
      </c>
      <c r="BD21" s="188"/>
      <c r="BE21" s="188"/>
      <c r="BF21" s="98"/>
      <c r="BG21" s="151">
        <f>VLOOKUP(BG19,市町村データ領域,MATCH(手順書_人口密度!$G$54, 市町村データヘッダー, 0),FALSE)</f>
        <v>52649</v>
      </c>
      <c r="BH21" s="188"/>
      <c r="BI21" s="188"/>
      <c r="BJ21" s="98"/>
      <c r="BK21" s="151">
        <f>VLOOKUP(BK19,市町村データ領域,MATCH(手順書_人口密度!$G$54, 市町村データヘッダー, 0),FALSE)</f>
        <v>33371</v>
      </c>
      <c r="BL21" s="188"/>
      <c r="BM21" s="188"/>
      <c r="BN21" s="98"/>
      <c r="BO21" s="158">
        <f>VLOOKUP(BO19,市町村データ領域,MATCH(手順書_人口密度!$G$54, 市町村データヘッダー, 0),FALSE)</f>
        <v>44014</v>
      </c>
      <c r="BP21" s="188"/>
      <c r="BQ21" s="188"/>
      <c r="BR21" s="98"/>
      <c r="BS21" s="163"/>
      <c r="BT21" s="163"/>
      <c r="BU21" s="163"/>
      <c r="BV21" s="163"/>
      <c r="BW21" s="163"/>
      <c r="BX21" s="171"/>
      <c r="BY21" s="171"/>
      <c r="BZ21" s="171"/>
      <c r="CA21" s="171"/>
      <c r="CB21" s="171"/>
      <c r="CC21" s="163"/>
      <c r="CD21" s="162"/>
    </row>
    <row r="22" spans="1:82" ht="21.15" customHeight="1" thickBot="1" x14ac:dyDescent="0.6">
      <c r="A22" s="162"/>
      <c r="B22" s="163"/>
      <c r="C22" s="163"/>
      <c r="D22" s="163"/>
      <c r="E22" s="163"/>
      <c r="F22" s="170"/>
      <c r="G22" s="163"/>
      <c r="H22" s="163"/>
      <c r="I22" s="163"/>
      <c r="J22" s="170"/>
      <c r="K22" s="217">
        <f>VLOOKUP(K19,市町村データ領域,MATCH(手順書_人口密度!$G$55, 市町村データヘッダー, 0),FALSE)</f>
        <v>63.7</v>
      </c>
      <c r="L22" s="99"/>
      <c r="M22" s="99"/>
      <c r="N22" s="100"/>
      <c r="O22" s="217">
        <f>VLOOKUP(O19,市町村データ領域,MATCH(手順書_人口密度!$G$55, 市町村データヘッダー, 0),FALSE)</f>
        <v>36.9</v>
      </c>
      <c r="P22" s="99"/>
      <c r="Q22" s="99"/>
      <c r="R22" s="99"/>
      <c r="S22" s="163"/>
      <c r="T22" s="163"/>
      <c r="U22" s="163"/>
      <c r="V22" s="170"/>
      <c r="W22" s="215">
        <f>VLOOKUP(W19,市町村データ領域,MATCH(手順書_人口密度!$G$55, 市町村データヘッダー, 0),FALSE)</f>
        <v>56</v>
      </c>
      <c r="X22" s="188"/>
      <c r="Y22" s="188"/>
      <c r="Z22" s="98"/>
      <c r="AA22" s="217">
        <f>VLOOKUP(AA19,市町村データ領域,MATCH(手順書_人口密度!$G$55, 市町村データヘッダー, 0),FALSE)</f>
        <v>25.7</v>
      </c>
      <c r="AB22" s="99"/>
      <c r="AC22" s="99"/>
      <c r="AD22" s="99"/>
      <c r="AE22" s="163"/>
      <c r="AF22" s="163"/>
      <c r="AG22" s="163"/>
      <c r="AH22" s="170"/>
      <c r="AI22" s="219">
        <f>VLOOKUP(AI19,市町村データ領域,MATCH(手順書_人口密度!$G$55, 市町村データヘッダー, 0),FALSE)</f>
        <v>41</v>
      </c>
      <c r="AJ22" s="99"/>
      <c r="AK22" s="99"/>
      <c r="AL22" s="100"/>
      <c r="AM22" s="217">
        <f>VLOOKUP(AM19,市町村データ領域,MATCH(手順書_人口密度!$G$55, 市町村データヘッダー, 0),FALSE)</f>
        <v>41.7</v>
      </c>
      <c r="AN22" s="99"/>
      <c r="AO22" s="99"/>
      <c r="AP22" s="100"/>
      <c r="AQ22" s="219">
        <f>VLOOKUP(AQ19,市町村データ領域,MATCH(手順書_人口密度!$G$55, 市町村データヘッダー, 0),FALSE)</f>
        <v>25.3</v>
      </c>
      <c r="AR22" s="99"/>
      <c r="AS22" s="99"/>
      <c r="AT22" s="100"/>
      <c r="AU22" s="220">
        <f>VLOOKUP(AU19,市町村データ領域,MATCH(手順書_人口密度!$G$55, 市町村データヘッダー, 0),FALSE)</f>
        <v>45.5</v>
      </c>
      <c r="AV22" s="99"/>
      <c r="AW22" s="99"/>
      <c r="AX22" s="100"/>
      <c r="AY22" s="218">
        <f>VLOOKUP(AY19,市町村データ領域,MATCH(手順書_人口密度!$G$55, 市町村データヘッダー, 0),FALSE)</f>
        <v>14.8</v>
      </c>
      <c r="AZ22" s="99"/>
      <c r="BA22" s="99"/>
      <c r="BB22" s="100"/>
      <c r="BC22" s="219">
        <f>VLOOKUP(BC19,市町村データ領域,MATCH(手順書_人口密度!$G$55, 市町村データヘッダー, 0),FALSE)</f>
        <v>27.3</v>
      </c>
      <c r="BD22" s="99"/>
      <c r="BE22" s="99"/>
      <c r="BF22" s="100"/>
      <c r="BG22" s="219">
        <f>VLOOKUP(BG19,市町村データ領域,MATCH(手順書_人口密度!$G$55, 市町村データヘッダー, 0),FALSE)</f>
        <v>24.9</v>
      </c>
      <c r="BH22" s="99"/>
      <c r="BI22" s="99"/>
      <c r="BJ22" s="100"/>
      <c r="BK22" s="219">
        <f>VLOOKUP(BK19,市町村データ領域,MATCH(手順書_人口密度!$G$55, 市町村データヘッダー, 0),FALSE)</f>
        <v>16</v>
      </c>
      <c r="BL22" s="99"/>
      <c r="BM22" s="99"/>
      <c r="BN22" s="100"/>
      <c r="BO22" s="214">
        <f>VLOOKUP(BO19,市町村データ領域,MATCH(手順書_人口密度!$G$55, 市町村データヘッダー, 0),FALSE)</f>
        <v>30</v>
      </c>
      <c r="BP22" s="99"/>
      <c r="BQ22" s="99"/>
      <c r="BR22" s="100"/>
      <c r="BS22" s="163"/>
      <c r="BT22" s="163"/>
      <c r="BU22" s="163"/>
      <c r="BV22" s="163"/>
      <c r="BW22" s="163"/>
      <c r="BX22" s="171"/>
      <c r="BY22" s="171"/>
      <c r="BZ22" s="171"/>
      <c r="CA22" s="171"/>
      <c r="CB22" s="171"/>
      <c r="CC22" s="163"/>
      <c r="CD22" s="162"/>
    </row>
    <row r="23" spans="1:82" ht="21.15" customHeight="1" x14ac:dyDescent="0.55000000000000004">
      <c r="A23" s="162"/>
      <c r="B23" s="163"/>
      <c r="C23" s="164" t="s">
        <v>228</v>
      </c>
      <c r="D23" s="163"/>
      <c r="E23" s="163"/>
      <c r="F23" s="170"/>
      <c r="G23" s="167">
        <v>34</v>
      </c>
      <c r="H23" s="166" t="str">
        <f>VLOOKUP(G23,市町村データ領域,MATCH(手順書_人口密度!$H$52, 市町村データヘッダー, 0),FALSE)</f>
        <v>秩父市</v>
      </c>
      <c r="I23" s="102"/>
      <c r="J23" s="102"/>
      <c r="K23" s="169"/>
      <c r="L23" s="169"/>
      <c r="M23" s="169"/>
      <c r="N23" s="169"/>
      <c r="O23" s="169"/>
      <c r="P23" s="169"/>
      <c r="Q23" s="169"/>
      <c r="R23" s="168"/>
      <c r="S23" s="167">
        <v>35</v>
      </c>
      <c r="T23" s="166" t="str">
        <f>VLOOKUP(S23,市町村データ領域,MATCH(手順書_人口密度!$H$52, 市町村データヘッダー, 0),FALSE)</f>
        <v>横瀬町</v>
      </c>
      <c r="U23" s="102"/>
      <c r="V23" s="103"/>
      <c r="W23" s="163"/>
      <c r="X23" s="163"/>
      <c r="Y23" s="163"/>
      <c r="Z23" s="170"/>
      <c r="AA23" s="167">
        <v>36</v>
      </c>
      <c r="AB23" s="166" t="str">
        <f>VLOOKUP(AA23,市町村データ領域,MATCH(手順書_人口密度!$H$52, 市町村データヘッダー, 0),FALSE)</f>
        <v>越生町</v>
      </c>
      <c r="AC23" s="102"/>
      <c r="AD23" s="103"/>
      <c r="AE23" s="167">
        <v>37</v>
      </c>
      <c r="AF23" s="166" t="str">
        <f>VLOOKUP(AE23,市町村データ領域,MATCH(手順書_人口密度!$H$52, 市町村データヘッダー, 0),FALSE)</f>
        <v>毛呂山町</v>
      </c>
      <c r="AG23" s="102"/>
      <c r="AH23" s="103"/>
      <c r="AI23" s="167">
        <v>38</v>
      </c>
      <c r="AJ23" s="166" t="str">
        <f>VLOOKUP(AI23,市町村データ領域,MATCH(手順書_人口密度!$H$52, 市町村データヘッダー, 0),FALSE)</f>
        <v>鶴ヶ島市</v>
      </c>
      <c r="AK23" s="102"/>
      <c r="AL23" s="103"/>
      <c r="AM23" s="167">
        <v>39</v>
      </c>
      <c r="AN23" s="166" t="str">
        <f>VLOOKUP(AM23,市町村データ領域,MATCH(手順書_人口密度!$H$52, 市町村データヘッダー, 0),FALSE)</f>
        <v>川越市</v>
      </c>
      <c r="AO23" s="102"/>
      <c r="AP23" s="102"/>
      <c r="AQ23" s="169"/>
      <c r="AR23" s="169"/>
      <c r="AS23" s="169"/>
      <c r="AT23" s="168"/>
      <c r="AU23" s="175"/>
      <c r="AV23" s="169"/>
      <c r="AW23" s="169"/>
      <c r="AX23" s="169"/>
      <c r="AY23" s="175"/>
      <c r="AZ23" s="169"/>
      <c r="BA23" s="169"/>
      <c r="BB23" s="169"/>
      <c r="BC23" s="175"/>
      <c r="BD23" s="169"/>
      <c r="BE23" s="169"/>
      <c r="BF23" s="169"/>
      <c r="BG23" s="175"/>
      <c r="BH23" s="169"/>
      <c r="BI23" s="169"/>
      <c r="BJ23" s="168"/>
      <c r="BK23" s="167">
        <v>44</v>
      </c>
      <c r="BL23" s="166" t="str">
        <f>VLOOKUP(BK23,市町村データ領域,MATCH(手順書_人口密度!$H$52, 市町村データヘッダー, 0),FALSE)</f>
        <v>春日部市</v>
      </c>
      <c r="BM23" s="102"/>
      <c r="BN23" s="102"/>
      <c r="BO23" s="169"/>
      <c r="BP23" s="169"/>
      <c r="BQ23" s="169"/>
      <c r="BR23" s="168"/>
      <c r="BS23" s="167">
        <v>45</v>
      </c>
      <c r="BT23" s="166" t="str">
        <f>VLOOKUP(BS23,市町村データ領域,MATCH(手順書_人口密度!$H$52, 市町村データヘッダー, 0),FALSE)</f>
        <v>松伏町</v>
      </c>
      <c r="BU23" s="102"/>
      <c r="BV23" s="103"/>
      <c r="BW23" s="163"/>
      <c r="BX23" s="171"/>
      <c r="BY23" s="171"/>
      <c r="BZ23" s="171"/>
      <c r="CA23" s="171"/>
      <c r="CB23" s="171"/>
      <c r="CC23" s="163"/>
      <c r="CD23" s="162"/>
    </row>
    <row r="24" spans="1:82" ht="21.15" customHeight="1" x14ac:dyDescent="0.55000000000000004">
      <c r="A24" s="162"/>
      <c r="B24" s="163"/>
      <c r="C24" s="163"/>
      <c r="D24" s="163"/>
      <c r="E24" s="163"/>
      <c r="F24" s="170"/>
      <c r="G24" s="157">
        <f>VLOOKUP(G23,市町村データ領域,MATCH(手順書_人口密度!$G$53, 市町村データヘッダー, 0),FALSE)</f>
        <v>101</v>
      </c>
      <c r="H24" s="188"/>
      <c r="I24" s="188"/>
      <c r="J24" s="188"/>
      <c r="K24" s="163"/>
      <c r="L24" s="163"/>
      <c r="M24" s="163"/>
      <c r="N24" s="163"/>
      <c r="O24" s="163"/>
      <c r="P24" s="163"/>
      <c r="Q24" s="163"/>
      <c r="R24" s="170"/>
      <c r="S24" s="157">
        <f>VLOOKUP(S23,市町村データ領域,MATCH(手順書_人口密度!$G$53, 市町村データヘッダー, 0),FALSE)</f>
        <v>157</v>
      </c>
      <c r="T24" s="188"/>
      <c r="U24" s="188"/>
      <c r="V24" s="98"/>
      <c r="W24" s="163"/>
      <c r="X24" s="163"/>
      <c r="Y24" s="163"/>
      <c r="Z24" s="170"/>
      <c r="AA24" s="157">
        <f>VLOOKUP(AA23,市町村データ領域,MATCH(手順書_人口密度!$G$53, 市町村データヘッダー, 0),FALSE)</f>
        <v>269</v>
      </c>
      <c r="AB24" s="188"/>
      <c r="AC24" s="188"/>
      <c r="AD24" s="98"/>
      <c r="AE24" s="157">
        <f>VLOOKUP(AE23,市町村データ領域,MATCH(手順書_人口密度!$G$53, 市町村データヘッダー, 0),FALSE)</f>
        <v>950</v>
      </c>
      <c r="AF24" s="188"/>
      <c r="AG24" s="188"/>
      <c r="AH24" s="98"/>
      <c r="AI24" s="155">
        <f>VLOOKUP(AI23,市町村データ領域,MATCH(手順書_人口密度!$G$53, 市町村データヘッダー, 0),FALSE)</f>
        <v>3970</v>
      </c>
      <c r="AJ24" s="188"/>
      <c r="AK24" s="188"/>
      <c r="AL24" s="98"/>
      <c r="AM24" s="155">
        <f>VLOOKUP(AM23,市町村データ領域,MATCH(手順書_人口密度!$G$53, 市町村データヘッダー, 0),FALSE)</f>
        <v>3232</v>
      </c>
      <c r="AN24" s="188"/>
      <c r="AO24" s="188"/>
      <c r="AP24" s="188"/>
      <c r="AQ24" s="163"/>
      <c r="AR24" s="163"/>
      <c r="AS24" s="163"/>
      <c r="AT24" s="170"/>
      <c r="AU24" s="176"/>
      <c r="AV24" s="163"/>
      <c r="AW24" s="163"/>
      <c r="AX24" s="163"/>
      <c r="AY24" s="176"/>
      <c r="AZ24" s="163"/>
      <c r="BA24" s="163"/>
      <c r="BB24" s="163"/>
      <c r="BC24" s="176"/>
      <c r="BD24" s="163"/>
      <c r="BE24" s="163"/>
      <c r="BF24" s="163"/>
      <c r="BG24" s="176"/>
      <c r="BH24" s="163"/>
      <c r="BI24" s="163"/>
      <c r="BJ24" s="170"/>
      <c r="BK24" s="155">
        <f>VLOOKUP(BK23,市町村データ領域,MATCH(手順書_人口密度!$G$53, 市町村データヘッダー, 0),FALSE)</f>
        <v>3495</v>
      </c>
      <c r="BL24" s="188"/>
      <c r="BM24" s="188"/>
      <c r="BN24" s="188"/>
      <c r="BO24" s="163"/>
      <c r="BP24" s="163"/>
      <c r="BQ24" s="163"/>
      <c r="BR24" s="170"/>
      <c r="BS24" s="159">
        <f>VLOOKUP(BS23,市町村データ領域,MATCH(手順書_人口密度!$G$53, 市町村データヘッダー, 0),FALSE)</f>
        <v>1737</v>
      </c>
      <c r="BT24" s="188"/>
      <c r="BU24" s="188"/>
      <c r="BV24" s="98"/>
      <c r="BW24" s="163"/>
      <c r="BX24" s="171"/>
      <c r="BY24" s="171"/>
      <c r="BZ24" s="171"/>
      <c r="CA24" s="171"/>
      <c r="CB24" s="171"/>
      <c r="CC24" s="163"/>
      <c r="CD24" s="162"/>
    </row>
    <row r="25" spans="1:82" ht="21.15" customHeight="1" x14ac:dyDescent="0.55000000000000004">
      <c r="A25" s="162"/>
      <c r="B25" s="163"/>
      <c r="C25" s="163"/>
      <c r="D25" s="163"/>
      <c r="E25" s="163"/>
      <c r="F25" s="170"/>
      <c r="G25" s="156">
        <f>VLOOKUP(G23,市町村データ領域,MATCH(手順書_人口密度!$G$54, 市町村データヘッダー, 0),FALSE)</f>
        <v>58223</v>
      </c>
      <c r="H25" s="188"/>
      <c r="I25" s="188"/>
      <c r="J25" s="188"/>
      <c r="K25" s="163"/>
      <c r="L25" s="163"/>
      <c r="M25" s="163"/>
      <c r="N25" s="163"/>
      <c r="O25" s="163"/>
      <c r="P25" s="163"/>
      <c r="Q25" s="163"/>
      <c r="R25" s="170"/>
      <c r="S25" s="156">
        <f>VLOOKUP(S23,市町村データ領域,MATCH(手順書_人口密度!$G$54, 市町村データヘッダー, 0),FALSE)</f>
        <v>7748</v>
      </c>
      <c r="T25" s="188"/>
      <c r="U25" s="188"/>
      <c r="V25" s="98"/>
      <c r="W25" s="163"/>
      <c r="X25" s="163"/>
      <c r="Y25" s="163"/>
      <c r="Z25" s="170"/>
      <c r="AA25" s="156">
        <f>VLOOKUP(AA23,市町村データ領域,MATCH(手順書_人口密度!$G$54, 市町村データヘッダー, 0),FALSE)</f>
        <v>10863</v>
      </c>
      <c r="AB25" s="188"/>
      <c r="AC25" s="188"/>
      <c r="AD25" s="98"/>
      <c r="AE25" s="156">
        <f>VLOOKUP(AE23,市町村データ領域,MATCH(手順書_人口密度!$G$54, 市町村データヘッダー, 0),FALSE)</f>
        <v>32365</v>
      </c>
      <c r="AF25" s="188"/>
      <c r="AG25" s="188"/>
      <c r="AH25" s="98"/>
      <c r="AI25" s="152">
        <f>VLOOKUP(AI23,市町村データ領域,MATCH(手順書_人口密度!$G$54, 市町村データヘッダー, 0),FALSE)</f>
        <v>70063</v>
      </c>
      <c r="AJ25" s="188"/>
      <c r="AK25" s="188"/>
      <c r="AL25" s="98"/>
      <c r="AM25" s="152">
        <f>VLOOKUP(AM23,市町村データ領域,MATCH(手順書_人口密度!$G$54, 市町村データヘッダー, 0),FALSE)</f>
        <v>352717</v>
      </c>
      <c r="AN25" s="188"/>
      <c r="AO25" s="188"/>
      <c r="AP25" s="188"/>
      <c r="AQ25" s="163"/>
      <c r="AR25" s="163"/>
      <c r="AS25" s="163"/>
      <c r="AT25" s="170"/>
      <c r="AU25" s="163"/>
      <c r="AV25" s="163"/>
      <c r="AW25" s="163"/>
      <c r="AX25" s="163"/>
      <c r="AY25" s="163"/>
      <c r="AZ25" s="163"/>
      <c r="BA25" s="163"/>
      <c r="BB25" s="163"/>
      <c r="BC25" s="163"/>
      <c r="BD25" s="163"/>
      <c r="BE25" s="163"/>
      <c r="BF25" s="163"/>
      <c r="BG25" s="163"/>
      <c r="BH25" s="163"/>
      <c r="BI25" s="163"/>
      <c r="BJ25" s="170"/>
      <c r="BK25" s="152">
        <f>VLOOKUP(BK23,市町村データ領域,MATCH(手順書_人口密度!$G$54, 市町村データヘッダー, 0),FALSE)</f>
        <v>230687</v>
      </c>
      <c r="BL25" s="188"/>
      <c r="BM25" s="188"/>
      <c r="BN25" s="188"/>
      <c r="BO25" s="163"/>
      <c r="BP25" s="163"/>
      <c r="BQ25" s="163"/>
      <c r="BR25" s="170"/>
      <c r="BS25" s="158">
        <f>VLOOKUP(BS23,市町村データ領域,MATCH(手順書_人口密度!$G$54, 市町村データヘッダー, 0),FALSE)</f>
        <v>28140</v>
      </c>
      <c r="BT25" s="188"/>
      <c r="BU25" s="188"/>
      <c r="BV25" s="98"/>
      <c r="BW25" s="163"/>
      <c r="BX25" s="171"/>
      <c r="BY25" s="171"/>
      <c r="BZ25" s="171"/>
      <c r="CA25" s="171"/>
      <c r="CB25" s="171"/>
      <c r="CC25" s="163"/>
      <c r="CD25" s="162"/>
    </row>
    <row r="26" spans="1:82" ht="21.15" customHeight="1" thickBot="1" x14ac:dyDescent="0.6">
      <c r="A26" s="162"/>
      <c r="B26" s="163"/>
      <c r="C26" s="163"/>
      <c r="D26" s="163"/>
      <c r="E26" s="163"/>
      <c r="F26" s="170"/>
      <c r="G26" s="217">
        <f>VLOOKUP(G23,市町村データ領域,MATCH(手順書_人口密度!$G$55, 市町村データヘッダー, 0),FALSE)</f>
        <v>576.5</v>
      </c>
      <c r="H26" s="99"/>
      <c r="I26" s="99"/>
      <c r="J26" s="99"/>
      <c r="K26" s="163"/>
      <c r="L26" s="163"/>
      <c r="M26" s="163"/>
      <c r="N26" s="163"/>
      <c r="O26" s="163"/>
      <c r="P26" s="163"/>
      <c r="Q26" s="163"/>
      <c r="R26" s="170"/>
      <c r="S26" s="217">
        <f>VLOOKUP(S23,市町村データ領域,MATCH(手順書_人口密度!$G$55, 市町村データヘッダー, 0),FALSE)</f>
        <v>49.4</v>
      </c>
      <c r="T26" s="99"/>
      <c r="U26" s="99"/>
      <c r="V26" s="100"/>
      <c r="W26" s="163"/>
      <c r="X26" s="163"/>
      <c r="Y26" s="163"/>
      <c r="Z26" s="170"/>
      <c r="AA26" s="217">
        <f>VLOOKUP(AA23,市町村データ領域,MATCH(手順書_人口密度!$G$55, 市町村データヘッダー, 0),FALSE)</f>
        <v>40.4</v>
      </c>
      <c r="AB26" s="99"/>
      <c r="AC26" s="99"/>
      <c r="AD26" s="100"/>
      <c r="AE26" s="217">
        <f>VLOOKUP(AE23,市町村データ領域,MATCH(手順書_人口密度!$G$55, 市町村データヘッダー, 0),FALSE)</f>
        <v>34.1</v>
      </c>
      <c r="AF26" s="99"/>
      <c r="AG26" s="99"/>
      <c r="AH26" s="100"/>
      <c r="AI26" s="218">
        <f>VLOOKUP(AI23,市町村データ領域,MATCH(手順書_人口密度!$G$55, 市町村データヘッダー, 0),FALSE)</f>
        <v>17.600000000000001</v>
      </c>
      <c r="AJ26" s="99"/>
      <c r="AK26" s="99"/>
      <c r="AL26" s="100"/>
      <c r="AM26" s="218">
        <f>VLOOKUP(AM23,市町村データ領域,MATCH(手順書_人口密度!$G$55, 市町村データヘッダー, 0),FALSE)</f>
        <v>109.1</v>
      </c>
      <c r="AN26" s="99"/>
      <c r="AO26" s="99"/>
      <c r="AP26" s="99"/>
      <c r="AQ26" s="163"/>
      <c r="AR26" s="163"/>
      <c r="AS26" s="163"/>
      <c r="AT26" s="170"/>
      <c r="AU26" s="163"/>
      <c r="AV26" s="163"/>
      <c r="AW26" s="163"/>
      <c r="AX26" s="163"/>
      <c r="AY26" s="163"/>
      <c r="AZ26" s="163"/>
      <c r="BA26" s="163"/>
      <c r="BB26" s="163"/>
      <c r="BC26" s="163"/>
      <c r="BD26" s="163"/>
      <c r="BE26" s="163"/>
      <c r="BF26" s="163"/>
      <c r="BG26" s="163"/>
      <c r="BH26" s="163"/>
      <c r="BI26" s="163"/>
      <c r="BJ26" s="170"/>
      <c r="BK26" s="218">
        <f>VLOOKUP(BK23,市町村データ領域,MATCH(手順書_人口密度!$G$55, 市町村データヘッダー, 0),FALSE)</f>
        <v>66</v>
      </c>
      <c r="BL26" s="99"/>
      <c r="BM26" s="99"/>
      <c r="BN26" s="99"/>
      <c r="BO26" s="163"/>
      <c r="BP26" s="163"/>
      <c r="BQ26" s="163"/>
      <c r="BR26" s="170"/>
      <c r="BS26" s="214">
        <f>VLOOKUP(BS23,市町村データ領域,MATCH(手順書_人口密度!$G$55, 市町村データヘッダー, 0),FALSE)</f>
        <v>16.2</v>
      </c>
      <c r="BT26" s="99"/>
      <c r="BU26" s="99"/>
      <c r="BV26" s="100"/>
      <c r="BW26" s="163"/>
      <c r="BX26" s="171"/>
      <c r="BY26" s="171"/>
      <c r="BZ26" s="171"/>
      <c r="CA26" s="171"/>
      <c r="CB26" s="171"/>
      <c r="CC26" s="163"/>
      <c r="CD26" s="162"/>
    </row>
    <row r="27" spans="1:82" ht="21.15" customHeight="1" x14ac:dyDescent="0.55000000000000004">
      <c r="A27" s="162"/>
      <c r="B27" s="163"/>
      <c r="C27" s="164" t="s">
        <v>229</v>
      </c>
      <c r="D27" s="163"/>
      <c r="E27" s="163"/>
      <c r="F27" s="170"/>
      <c r="G27" s="167">
        <v>46</v>
      </c>
      <c r="H27" s="166" t="str">
        <f>VLOOKUP(G27,市町村データ領域,MATCH(手順書_人口密度!$H$52, 市町村データヘッダー, 0),FALSE)</f>
        <v>小鹿野町</v>
      </c>
      <c r="I27" s="102"/>
      <c r="J27" s="103"/>
      <c r="K27" s="163"/>
      <c r="L27" s="163"/>
      <c r="M27" s="163"/>
      <c r="N27" s="163"/>
      <c r="O27" s="163"/>
      <c r="P27" s="163"/>
      <c r="Q27" s="163"/>
      <c r="R27" s="170"/>
      <c r="S27" s="167">
        <v>47</v>
      </c>
      <c r="T27" s="166" t="str">
        <f>VLOOKUP(S27,市町村データ領域,MATCH(手順書_人口密度!$H$52, 市町村データヘッダー, 0),FALSE)</f>
        <v>飯能市</v>
      </c>
      <c r="U27" s="102"/>
      <c r="V27" s="102"/>
      <c r="W27" s="169"/>
      <c r="X27" s="169"/>
      <c r="Y27" s="169"/>
      <c r="Z27" s="169"/>
      <c r="AA27" s="169"/>
      <c r="AB27" s="169"/>
      <c r="AC27" s="169"/>
      <c r="AD27" s="169"/>
      <c r="AE27" s="169"/>
      <c r="AF27" s="169"/>
      <c r="AG27" s="169"/>
      <c r="AH27" s="168"/>
      <c r="AI27" s="167">
        <v>48</v>
      </c>
      <c r="AJ27" s="166" t="str">
        <f>VLOOKUP(AI27,市町村データ領域,MATCH(手順書_人口密度!$H$52, 市町村データヘッダー, 0),FALSE)</f>
        <v>日高市</v>
      </c>
      <c r="AK27" s="102"/>
      <c r="AL27" s="103"/>
      <c r="AM27" s="167">
        <v>49</v>
      </c>
      <c r="AN27" s="166" t="str">
        <f>VLOOKUP(AM27,市町村データ領域,MATCH(手順書_人口密度!$H$52, 市町村データヘッダー, 0),FALSE)</f>
        <v>狭山市</v>
      </c>
      <c r="AO27" s="102"/>
      <c r="AP27" s="103"/>
      <c r="AQ27" s="167">
        <v>50</v>
      </c>
      <c r="AR27" s="166" t="str">
        <f>VLOOKUP(AQ27,市町村データ領域,MATCH(手順書_人口密度!$H$52, 市町村データヘッダー, 0),FALSE)</f>
        <v>ふじみ野市</v>
      </c>
      <c r="AS27" s="102"/>
      <c r="AT27" s="103"/>
      <c r="AU27" s="167">
        <v>51</v>
      </c>
      <c r="AV27" s="166" t="str">
        <f>VLOOKUP(AU27,市町村データ領域,MATCH(手順書_人口密度!$H$52, 市町村データヘッダー, 0),FALSE)</f>
        <v>富士見市</v>
      </c>
      <c r="AW27" s="102"/>
      <c r="AX27" s="103"/>
      <c r="AY27" s="165"/>
      <c r="AZ27" s="163"/>
      <c r="BA27" s="163"/>
      <c r="BB27" s="163"/>
      <c r="BC27" s="178" t="s">
        <v>208</v>
      </c>
      <c r="BD27" s="177" t="str">
        <f>VLOOKUP(BC27,市町村データ領域,MATCH(手順書_人口密度!$H$52, 市町村データヘッダー, 0),FALSE)</f>
        <v>さいたま市</v>
      </c>
      <c r="BE27" s="173"/>
      <c r="BF27" s="173"/>
      <c r="BG27" s="165"/>
      <c r="BH27" s="163"/>
      <c r="BI27" s="163"/>
      <c r="BJ27" s="170"/>
      <c r="BK27" s="167">
        <v>55</v>
      </c>
      <c r="BL27" s="166" t="str">
        <f>VLOOKUP(BK27,市町村データ領域,MATCH(手順書_人口密度!$H$52, 市町村データヘッダー, 0),FALSE)</f>
        <v>越谷市</v>
      </c>
      <c r="BM27" s="102"/>
      <c r="BN27" s="102"/>
      <c r="BO27" s="169"/>
      <c r="BP27" s="169"/>
      <c r="BQ27" s="169"/>
      <c r="BR27" s="168"/>
      <c r="BS27" s="167">
        <v>56</v>
      </c>
      <c r="BT27" s="166" t="str">
        <f>VLOOKUP(BS27,市町村データ領域,MATCH(手順書_人口密度!$H$52, 市町村データヘッダー, 0),FALSE)</f>
        <v>吉川市</v>
      </c>
      <c r="BU27" s="102"/>
      <c r="BV27" s="103"/>
      <c r="BW27" s="163"/>
      <c r="BX27" s="171"/>
      <c r="BY27" s="171"/>
      <c r="BZ27" s="171"/>
      <c r="CA27" s="171"/>
      <c r="CB27" s="171"/>
      <c r="CC27" s="163"/>
      <c r="CD27" s="162"/>
    </row>
    <row r="28" spans="1:82" ht="21.15" customHeight="1" x14ac:dyDescent="0.55000000000000004">
      <c r="A28" s="162"/>
      <c r="B28" s="163"/>
      <c r="C28" s="163"/>
      <c r="D28" s="163"/>
      <c r="E28" s="163"/>
      <c r="F28" s="170"/>
      <c r="G28" s="157">
        <f>VLOOKUP(G27,市町村データ領域,MATCH(手順書_人口密度!$G$53, 市町村データヘッダー, 0),FALSE)</f>
        <v>60</v>
      </c>
      <c r="H28" s="188"/>
      <c r="I28" s="188"/>
      <c r="J28" s="98"/>
      <c r="K28" s="163"/>
      <c r="L28" s="163"/>
      <c r="M28" s="163"/>
      <c r="N28" s="163"/>
      <c r="O28" s="163"/>
      <c r="P28" s="163"/>
      <c r="Q28" s="163"/>
      <c r="R28" s="170"/>
      <c r="S28" s="157">
        <f>VLOOKUP(S27,市町村データ領域,MATCH(手順書_人口密度!$G$53, 市町村データヘッダー, 0),FALSE)</f>
        <v>406</v>
      </c>
      <c r="T28" s="188"/>
      <c r="U28" s="188"/>
      <c r="V28" s="188"/>
      <c r="W28" s="163"/>
      <c r="X28" s="163"/>
      <c r="Y28" s="163"/>
      <c r="Z28" s="163"/>
      <c r="AA28" s="163"/>
      <c r="AB28" s="163"/>
      <c r="AC28" s="163"/>
      <c r="AD28" s="163"/>
      <c r="AE28" s="163"/>
      <c r="AF28" s="163"/>
      <c r="AG28" s="163"/>
      <c r="AH28" s="170"/>
      <c r="AI28" s="159">
        <f>VLOOKUP(AI27,市町村データ領域,MATCH(手順書_人口密度!$G$53, 市町村データヘッダー, 0),FALSE)</f>
        <v>1146</v>
      </c>
      <c r="AJ28" s="188"/>
      <c r="AK28" s="188"/>
      <c r="AL28" s="98"/>
      <c r="AM28" s="155">
        <f>VLOOKUP(AM27,市町村データ領域,MATCH(手順書_人口密度!$G$53, 市町村データヘッダー, 0),FALSE)</f>
        <v>3039</v>
      </c>
      <c r="AN28" s="188"/>
      <c r="AO28" s="188"/>
      <c r="AP28" s="98"/>
      <c r="AQ28" s="141">
        <f>VLOOKUP(AQ27,市町村データ領域,MATCH(手順書_人口密度!$G$53, 市町村データヘッダー, 0),FALSE)</f>
        <v>7812</v>
      </c>
      <c r="AR28" s="188"/>
      <c r="AS28" s="188"/>
      <c r="AT28" s="98"/>
      <c r="AU28" s="147">
        <f>VLOOKUP(AU27,市町村データ領域,MATCH(手順書_人口密度!$G$53, 市町村データヘッダー, 0),FALSE)</f>
        <v>5723</v>
      </c>
      <c r="AV28" s="188"/>
      <c r="AW28" s="188"/>
      <c r="AX28" s="98"/>
      <c r="AY28" s="176"/>
      <c r="AZ28" s="163"/>
      <c r="BA28" s="163"/>
      <c r="BB28" s="163"/>
      <c r="BC28" s="227">
        <f>VLOOKUP(BC27,市町村データ領域,MATCH(手順書_人口密度!$G$53, 市町村データヘッダー, 0),FALSE)</f>
        <v>6186</v>
      </c>
      <c r="BD28" s="188"/>
      <c r="BE28" s="188"/>
      <c r="BF28" s="188"/>
      <c r="BG28" s="176"/>
      <c r="BH28" s="163"/>
      <c r="BI28" s="163"/>
      <c r="BJ28" s="170"/>
      <c r="BK28" s="147">
        <f>VLOOKUP(BK27,市町村データ領域,MATCH(手順書_人口密度!$G$53, 市町村データヘッダー, 0),FALSE)</f>
        <v>5695</v>
      </c>
      <c r="BL28" s="188"/>
      <c r="BM28" s="188"/>
      <c r="BN28" s="188"/>
      <c r="BO28" s="163"/>
      <c r="BP28" s="163"/>
      <c r="BQ28" s="163"/>
      <c r="BR28" s="170"/>
      <c r="BS28" s="154">
        <f>VLOOKUP(BS27,市町村データ領域,MATCH(手順書_人口密度!$G$53, 市町村データヘッダー, 0),FALSE)</f>
        <v>2296</v>
      </c>
      <c r="BT28" s="188"/>
      <c r="BU28" s="188"/>
      <c r="BV28" s="98"/>
      <c r="BW28" s="163"/>
      <c r="BX28" s="163"/>
      <c r="BY28" s="163"/>
      <c r="BZ28" s="163"/>
      <c r="CA28" s="163"/>
      <c r="CB28" s="163"/>
      <c r="CC28" s="163"/>
      <c r="CD28" s="162"/>
    </row>
    <row r="29" spans="1:82" ht="21.15" customHeight="1" x14ac:dyDescent="0.55000000000000004">
      <c r="A29" s="162"/>
      <c r="B29" s="163"/>
      <c r="C29" s="163"/>
      <c r="D29" s="163"/>
      <c r="E29" s="163"/>
      <c r="F29" s="170"/>
      <c r="G29" s="156">
        <f>VLOOKUP(G27,市町村データ領域,MATCH(手順書_人口密度!$G$54, 市町村データヘッダー, 0),FALSE)</f>
        <v>10316</v>
      </c>
      <c r="H29" s="188"/>
      <c r="I29" s="188"/>
      <c r="J29" s="98"/>
      <c r="K29" s="163"/>
      <c r="L29" s="163"/>
      <c r="M29" s="163"/>
      <c r="N29" s="163"/>
      <c r="O29" s="163"/>
      <c r="P29" s="163"/>
      <c r="Q29" s="163"/>
      <c r="R29" s="170"/>
      <c r="S29" s="156">
        <f>VLOOKUP(S27,市町村データ領域,MATCH(手順書_人口密度!$G$54, 市町村データヘッダー, 0),FALSE)</f>
        <v>78472</v>
      </c>
      <c r="T29" s="188"/>
      <c r="U29" s="188"/>
      <c r="V29" s="188"/>
      <c r="W29" s="163"/>
      <c r="X29" s="163"/>
      <c r="Y29" s="163"/>
      <c r="Z29" s="163"/>
      <c r="AA29" s="163"/>
      <c r="AB29" s="163"/>
      <c r="AC29" s="163"/>
      <c r="AD29" s="163"/>
      <c r="AE29" s="163"/>
      <c r="AF29" s="163"/>
      <c r="AG29" s="163"/>
      <c r="AH29" s="170"/>
      <c r="AI29" s="158">
        <f>VLOOKUP(AI27,市町村データ領域,MATCH(手順書_人口密度!$G$54, 市町村データヘッダー, 0),FALSE)</f>
        <v>54396</v>
      </c>
      <c r="AJ29" s="188"/>
      <c r="AK29" s="188"/>
      <c r="AL29" s="98"/>
      <c r="AM29" s="152">
        <f>VLOOKUP(AM27,市町村データ領域,MATCH(手順書_人口密度!$G$54, 市町村データヘッダー, 0),FALSE)</f>
        <v>148872</v>
      </c>
      <c r="AN29" s="188"/>
      <c r="AO29" s="188"/>
      <c r="AP29" s="98"/>
      <c r="AQ29" s="146">
        <f>VLOOKUP(AQ27,市町村データ領域,MATCH(手順書_人口密度!$G$54, 市町村データヘッダー, 0),FALSE)</f>
        <v>114363</v>
      </c>
      <c r="AR29" s="188"/>
      <c r="AS29" s="188"/>
      <c r="AT29" s="98"/>
      <c r="AU29" s="143">
        <f>VLOOKUP(AU27,市町村データ領域,MATCH(手順書_人口密度!$G$54, 市町村データヘッダー, 0),FALSE)</f>
        <v>113145</v>
      </c>
      <c r="AV29" s="188"/>
      <c r="AW29" s="188"/>
      <c r="AX29" s="98"/>
      <c r="AY29" s="163"/>
      <c r="AZ29" s="163"/>
      <c r="BA29" s="163"/>
      <c r="BB29" s="163"/>
      <c r="BC29" s="228">
        <f>VLOOKUP(BC27,市町村データ領域,MATCH(手順書_人口密度!$G$54, 市町村データヘッダー, 0),FALSE)</f>
        <v>1345012</v>
      </c>
      <c r="BD29" s="188"/>
      <c r="BE29" s="188"/>
      <c r="BF29" s="188"/>
      <c r="BG29" s="163"/>
      <c r="BH29" s="163"/>
      <c r="BI29" s="163"/>
      <c r="BJ29" s="170"/>
      <c r="BK29" s="143">
        <f>VLOOKUP(BK27,市町村データ領域,MATCH(手順書_人口密度!$G$54, 市町村データヘッダー, 0),FALSE)</f>
        <v>343062</v>
      </c>
      <c r="BL29" s="188"/>
      <c r="BM29" s="188"/>
      <c r="BN29" s="188"/>
      <c r="BO29" s="163"/>
      <c r="BP29" s="163"/>
      <c r="BQ29" s="163"/>
      <c r="BR29" s="170"/>
      <c r="BS29" s="151">
        <f>VLOOKUP(BS27,市町村データ領域,MATCH(手順書_人口密度!$G$54, 市町村データヘッダー, 0),FALSE)</f>
        <v>72678</v>
      </c>
      <c r="BT29" s="188"/>
      <c r="BU29" s="188"/>
      <c r="BV29" s="98"/>
      <c r="BW29" s="163"/>
      <c r="BX29" s="163"/>
      <c r="BY29" s="163"/>
      <c r="BZ29" s="163"/>
      <c r="CA29" s="163"/>
      <c r="CB29" s="163"/>
      <c r="CC29" s="163"/>
      <c r="CD29" s="162"/>
    </row>
    <row r="30" spans="1:82" ht="21.15" customHeight="1" thickBot="1" x14ac:dyDescent="0.6">
      <c r="A30" s="162"/>
      <c r="B30" s="163"/>
      <c r="C30" s="163"/>
      <c r="D30" s="163"/>
      <c r="E30" s="163"/>
      <c r="F30" s="170"/>
      <c r="G30" s="217">
        <f>VLOOKUP(G27,市町村データ領域,MATCH(手順書_人口密度!$G$55, 市町村データヘッダー, 0),FALSE)</f>
        <v>171.9</v>
      </c>
      <c r="H30" s="99"/>
      <c r="I30" s="99"/>
      <c r="J30" s="100"/>
      <c r="K30" s="163"/>
      <c r="L30" s="163"/>
      <c r="M30" s="163"/>
      <c r="N30" s="163"/>
      <c r="O30" s="163"/>
      <c r="P30" s="163"/>
      <c r="Q30" s="163"/>
      <c r="R30" s="170"/>
      <c r="S30" s="215">
        <f>VLOOKUP(S27,市町村データ領域,MATCH(手順書_人口密度!$G$55, 市町村データヘッダー, 0),FALSE)</f>
        <v>193.3</v>
      </c>
      <c r="T30" s="188"/>
      <c r="U30" s="188"/>
      <c r="V30" s="188"/>
      <c r="W30" s="163"/>
      <c r="X30" s="163"/>
      <c r="Y30" s="163"/>
      <c r="Z30" s="163"/>
      <c r="AA30" s="163"/>
      <c r="AB30" s="163"/>
      <c r="AC30" s="163"/>
      <c r="AD30" s="163"/>
      <c r="AE30" s="163"/>
      <c r="AF30" s="163"/>
      <c r="AG30" s="163"/>
      <c r="AH30" s="170"/>
      <c r="AI30" s="214">
        <f>VLOOKUP(AI27,市町村データ領域,MATCH(手順書_人口密度!$G$55, 市町村データヘッダー, 0),FALSE)</f>
        <v>47.5</v>
      </c>
      <c r="AJ30" s="99"/>
      <c r="AK30" s="99"/>
      <c r="AL30" s="100"/>
      <c r="AM30" s="218">
        <f>VLOOKUP(AM27,市町村データ領域,MATCH(手順書_人口密度!$G$55, 市町村データヘッダー, 0),FALSE)</f>
        <v>49</v>
      </c>
      <c r="AN30" s="99"/>
      <c r="AO30" s="99"/>
      <c r="AP30" s="100"/>
      <c r="AQ30" s="221">
        <f>VLOOKUP(AQ27,市町村データ領域,MATCH(手順書_人口密度!$G$55, 市町村データヘッダー, 0),FALSE)</f>
        <v>14.6</v>
      </c>
      <c r="AR30" s="99"/>
      <c r="AS30" s="99"/>
      <c r="AT30" s="100"/>
      <c r="AU30" s="220">
        <f>VLOOKUP(AU27,市町村データ領域,MATCH(手順書_人口密度!$G$55, 市町村データヘッダー, 0),FALSE)</f>
        <v>19.8</v>
      </c>
      <c r="AV30" s="99"/>
      <c r="AW30" s="99"/>
      <c r="AX30" s="100"/>
      <c r="AY30" s="163"/>
      <c r="AZ30" s="163"/>
      <c r="BA30" s="163"/>
      <c r="BB30" s="163"/>
      <c r="BC30" s="229">
        <f>VLOOKUP(BC27,市町村データ領域,MATCH(手順書_人口密度!$G$55, 市町村データヘッダー, 0),FALSE)</f>
        <v>217.4</v>
      </c>
      <c r="BD30" s="188"/>
      <c r="BE30" s="188"/>
      <c r="BF30" s="188"/>
      <c r="BG30" s="163"/>
      <c r="BH30" s="163"/>
      <c r="BI30" s="163"/>
      <c r="BJ30" s="170"/>
      <c r="BK30" s="222">
        <f>VLOOKUP(BK27,市町村データ領域,MATCH(手順書_人口密度!$G$55, 市町村データヘッダー, 0),FALSE)</f>
        <v>60.2</v>
      </c>
      <c r="BL30" s="188"/>
      <c r="BM30" s="188"/>
      <c r="BN30" s="188"/>
      <c r="BO30" s="163"/>
      <c r="BP30" s="163"/>
      <c r="BQ30" s="163"/>
      <c r="BR30" s="170"/>
      <c r="BS30" s="219">
        <f>VLOOKUP(BS27,市町村データ領域,MATCH(手順書_人口密度!$G$55, 市町村データヘッダー, 0),FALSE)</f>
        <v>31.7</v>
      </c>
      <c r="BT30" s="99"/>
      <c r="BU30" s="99"/>
      <c r="BV30" s="100"/>
      <c r="BW30" s="163"/>
      <c r="BX30" s="163"/>
      <c r="BY30" s="163"/>
      <c r="BZ30" s="163"/>
      <c r="CA30" s="163"/>
      <c r="CB30" s="163"/>
      <c r="CC30" s="163"/>
      <c r="CD30" s="162"/>
    </row>
    <row r="31" spans="1:82" ht="21.15" customHeight="1" x14ac:dyDescent="0.55000000000000004">
      <c r="A31" s="162"/>
      <c r="B31" s="163"/>
      <c r="C31" s="164" t="s">
        <v>230</v>
      </c>
      <c r="D31" s="163"/>
      <c r="E31" s="163"/>
      <c r="F31" s="170"/>
      <c r="G31" s="169"/>
      <c r="H31" s="169"/>
      <c r="I31" s="169"/>
      <c r="J31" s="169"/>
      <c r="K31" s="163"/>
      <c r="L31" s="163"/>
      <c r="M31" s="163"/>
      <c r="N31" s="163"/>
      <c r="O31" s="163"/>
      <c r="P31" s="163"/>
      <c r="Q31" s="163"/>
      <c r="R31" s="170"/>
      <c r="S31" s="163"/>
      <c r="T31" s="163"/>
      <c r="U31" s="163"/>
      <c r="V31" s="163"/>
      <c r="W31" s="163"/>
      <c r="X31" s="163"/>
      <c r="Y31" s="163"/>
      <c r="Z31" s="163"/>
      <c r="AA31" s="163"/>
      <c r="AB31" s="163"/>
      <c r="AC31" s="163"/>
      <c r="AD31" s="163"/>
      <c r="AE31" s="163"/>
      <c r="AF31" s="163"/>
      <c r="AG31" s="163"/>
      <c r="AH31" s="163"/>
      <c r="AI31" s="169"/>
      <c r="AJ31" s="169"/>
      <c r="AK31" s="169"/>
      <c r="AL31" s="168"/>
      <c r="AM31" s="167">
        <v>57</v>
      </c>
      <c r="AN31" s="166" t="str">
        <f>VLOOKUP(AM31,市町村データ領域,MATCH(手順書_人口密度!$H$52, 市町村データヘッダー, 0),FALSE)</f>
        <v>入間市</v>
      </c>
      <c r="AO31" s="102"/>
      <c r="AP31" s="103"/>
      <c r="AQ31" s="167">
        <v>58</v>
      </c>
      <c r="AR31" s="166" t="str">
        <f>VLOOKUP(AQ31,市町村データ領域,MATCH(手順書_人口密度!$H$52, 市町村データヘッダー, 0),FALSE)</f>
        <v>三芳町</v>
      </c>
      <c r="AS31" s="102"/>
      <c r="AT31" s="103"/>
      <c r="AU31" s="167">
        <v>59</v>
      </c>
      <c r="AV31" s="166" t="str">
        <f>VLOOKUP(AU31,市町村データ領域,MATCH(手順書_人口密度!$H$52, 市町村データヘッダー, 0),FALSE)</f>
        <v>志木市</v>
      </c>
      <c r="AW31" s="102"/>
      <c r="AX31" s="103"/>
      <c r="AY31" s="165"/>
      <c r="AZ31" s="163"/>
      <c r="BA31" s="163"/>
      <c r="BB31" s="163"/>
      <c r="BC31" s="165"/>
      <c r="BD31" s="163"/>
      <c r="BE31" s="163"/>
      <c r="BF31" s="163"/>
      <c r="BG31" s="165"/>
      <c r="BH31" s="163"/>
      <c r="BI31" s="163"/>
      <c r="BJ31" s="170"/>
      <c r="BK31" s="163"/>
      <c r="BL31" s="163"/>
      <c r="BM31" s="163"/>
      <c r="BN31" s="163"/>
      <c r="BO31" s="163"/>
      <c r="BP31" s="163"/>
      <c r="BQ31" s="163"/>
      <c r="BR31" s="170"/>
      <c r="BS31" s="167">
        <v>63</v>
      </c>
      <c r="BT31" s="166" t="str">
        <f>VLOOKUP(BS31,市町村データ領域,MATCH(手順書_人口密度!$H$52, 市町村データヘッダー, 0),FALSE)</f>
        <v>三郷市</v>
      </c>
      <c r="BU31" s="102"/>
      <c r="BV31" s="103"/>
      <c r="BW31" s="163"/>
      <c r="BX31" s="163"/>
      <c r="BY31" s="163"/>
      <c r="BZ31" s="163"/>
      <c r="CA31" s="163"/>
      <c r="CB31" s="163"/>
      <c r="CC31" s="163"/>
      <c r="CD31" s="162"/>
    </row>
    <row r="32" spans="1:82" ht="21.15" customHeight="1" x14ac:dyDescent="0.55000000000000004">
      <c r="A32" s="162"/>
      <c r="B32" s="163"/>
      <c r="C32" s="163"/>
      <c r="D32" s="163"/>
      <c r="E32" s="163"/>
      <c r="F32" s="170"/>
      <c r="G32" s="163"/>
      <c r="H32" s="163"/>
      <c r="I32" s="163"/>
      <c r="J32" s="163"/>
      <c r="K32" s="163"/>
      <c r="L32" s="163"/>
      <c r="M32" s="163"/>
      <c r="N32" s="163"/>
      <c r="O32" s="163"/>
      <c r="P32" s="163"/>
      <c r="Q32" s="163"/>
      <c r="R32" s="170"/>
      <c r="S32" s="163"/>
      <c r="T32" s="163"/>
      <c r="U32" s="163"/>
      <c r="V32" s="163"/>
      <c r="W32" s="163"/>
      <c r="X32" s="163"/>
      <c r="Y32" s="163"/>
      <c r="Z32" s="163"/>
      <c r="AA32" s="163"/>
      <c r="AB32" s="163"/>
      <c r="AC32" s="163"/>
      <c r="AD32" s="163"/>
      <c r="AE32" s="163"/>
      <c r="AF32" s="163"/>
      <c r="AG32" s="163"/>
      <c r="AH32" s="163"/>
      <c r="AI32" s="163"/>
      <c r="AJ32" s="163"/>
      <c r="AK32" s="163"/>
      <c r="AL32" s="170"/>
      <c r="AM32" s="155">
        <f>VLOOKUP(AM31,市町村データ領域,MATCH(手順書_人口密度!$G$53, 市町村データヘッダー, 0),FALSE)</f>
        <v>3238</v>
      </c>
      <c r="AN32" s="188"/>
      <c r="AO32" s="188"/>
      <c r="AP32" s="98"/>
      <c r="AQ32" s="154">
        <f>VLOOKUP(AQ31,市町村データ領域,MATCH(手順書_人口密度!$G$53, 市町村データヘッダー, 0),FALSE)</f>
        <v>2443</v>
      </c>
      <c r="AR32" s="188"/>
      <c r="AS32" s="188"/>
      <c r="AT32" s="98"/>
      <c r="AU32" s="153">
        <f>VLOOKUP(AU31,市町村データ領域,MATCH(手順書_人口密度!$G$53, 市町村データヘッダー, 0),FALSE)</f>
        <v>8432</v>
      </c>
      <c r="AV32" s="188"/>
      <c r="AW32" s="188"/>
      <c r="AX32" s="98"/>
      <c r="AY32" s="176"/>
      <c r="AZ32" s="163"/>
      <c r="BA32" s="163"/>
      <c r="BB32" s="163"/>
      <c r="BC32" s="176"/>
      <c r="BD32" s="163"/>
      <c r="BE32" s="163"/>
      <c r="BF32" s="163"/>
      <c r="BG32" s="176"/>
      <c r="BH32" s="163"/>
      <c r="BI32" s="163"/>
      <c r="BJ32" s="170"/>
      <c r="BK32" s="163"/>
      <c r="BL32" s="163"/>
      <c r="BM32" s="163"/>
      <c r="BN32" s="163"/>
      <c r="BO32" s="163"/>
      <c r="BP32" s="163"/>
      <c r="BQ32" s="163"/>
      <c r="BR32" s="170"/>
      <c r="BS32" s="142">
        <f>VLOOKUP(BS31,市町村データ領域,MATCH(手順書_人口密度!$G$53, 市町村データヘッダー, 0),FALSE)</f>
        <v>4711</v>
      </c>
      <c r="BT32" s="188"/>
      <c r="BU32" s="188"/>
      <c r="BV32" s="98"/>
      <c r="BW32" s="163"/>
      <c r="BX32" s="163"/>
      <c r="BY32" s="163"/>
      <c r="BZ32" s="163"/>
      <c r="CA32" s="163"/>
      <c r="CB32" s="163"/>
      <c r="CC32" s="163"/>
      <c r="CD32" s="162"/>
    </row>
    <row r="33" spans="1:82" ht="21.15" customHeight="1" x14ac:dyDescent="0.55000000000000004">
      <c r="A33" s="162"/>
      <c r="B33" s="163"/>
      <c r="C33" s="163"/>
      <c r="D33" s="163"/>
      <c r="E33" s="163"/>
      <c r="F33" s="170"/>
      <c r="G33" s="163"/>
      <c r="H33" s="163"/>
      <c r="I33" s="163"/>
      <c r="J33" s="163"/>
      <c r="K33" s="163"/>
      <c r="L33" s="163"/>
      <c r="M33" s="163"/>
      <c r="N33" s="163"/>
      <c r="O33" s="163"/>
      <c r="P33" s="163"/>
      <c r="Q33" s="163"/>
      <c r="R33" s="170"/>
      <c r="S33" s="163"/>
      <c r="T33" s="163"/>
      <c r="U33" s="163"/>
      <c r="V33" s="163"/>
      <c r="W33" s="163"/>
      <c r="X33" s="163"/>
      <c r="Y33" s="163"/>
      <c r="Z33" s="163"/>
      <c r="AA33" s="163"/>
      <c r="AB33" s="163"/>
      <c r="AC33" s="163"/>
      <c r="AD33" s="163"/>
      <c r="AE33" s="163"/>
      <c r="AF33" s="163"/>
      <c r="AG33" s="163"/>
      <c r="AH33" s="163"/>
      <c r="AI33" s="176"/>
      <c r="AJ33" s="163"/>
      <c r="AK33" s="163"/>
      <c r="AL33" s="170"/>
      <c r="AM33" s="152">
        <f>VLOOKUP(AM31,市町村データ領域,MATCH(手順書_人口密度!$G$54, 市町村データヘッダー, 0),FALSE)</f>
        <v>144723</v>
      </c>
      <c r="AN33" s="188"/>
      <c r="AO33" s="188"/>
      <c r="AP33" s="98"/>
      <c r="AQ33" s="151">
        <f>VLOOKUP(AQ31,市町村データ領域,MATCH(手順書_人口密度!$G$54, 市町村データヘッダー, 0),FALSE)</f>
        <v>37453</v>
      </c>
      <c r="AR33" s="188"/>
      <c r="AS33" s="188"/>
      <c r="AT33" s="98"/>
      <c r="AU33" s="150">
        <f>VLOOKUP(AU31,市町村データ領域,MATCH(手順書_人口密度!$G$54, 市町村データヘッダー, 0),FALSE)</f>
        <v>76312</v>
      </c>
      <c r="AV33" s="188"/>
      <c r="AW33" s="188"/>
      <c r="AX33" s="98"/>
      <c r="AY33" s="163"/>
      <c r="AZ33" s="163"/>
      <c r="BA33" s="163"/>
      <c r="BB33" s="163"/>
      <c r="BC33" s="163"/>
      <c r="BD33" s="163"/>
      <c r="BE33" s="163"/>
      <c r="BF33" s="163"/>
      <c r="BG33" s="163"/>
      <c r="BH33" s="163"/>
      <c r="BI33" s="163"/>
      <c r="BJ33" s="170"/>
      <c r="BK33" s="163"/>
      <c r="BL33" s="163"/>
      <c r="BM33" s="163"/>
      <c r="BN33" s="163"/>
      <c r="BO33" s="163"/>
      <c r="BP33" s="163"/>
      <c r="BQ33" s="163"/>
      <c r="BR33" s="170"/>
      <c r="BS33" s="140">
        <f>VLOOKUP(BS31,市町村データ領域,MATCH(手順書_人口密度!$G$54, 市町村データヘッダー, 0),FALSE)</f>
        <v>141942</v>
      </c>
      <c r="BT33" s="188"/>
      <c r="BU33" s="188"/>
      <c r="BV33" s="98"/>
      <c r="BW33" s="163"/>
      <c r="BX33" s="163"/>
      <c r="BY33" s="163"/>
      <c r="BZ33" s="163"/>
      <c r="CA33" s="163"/>
      <c r="CB33" s="163"/>
      <c r="CC33" s="163"/>
      <c r="CD33" s="162"/>
    </row>
    <row r="34" spans="1:82" ht="21.15" customHeight="1" thickBot="1" x14ac:dyDescent="0.6">
      <c r="A34" s="162"/>
      <c r="B34" s="163"/>
      <c r="C34" s="163"/>
      <c r="D34" s="163"/>
      <c r="E34" s="163"/>
      <c r="F34" s="170"/>
      <c r="G34" s="163"/>
      <c r="H34" s="163"/>
      <c r="I34" s="163"/>
      <c r="J34" s="163"/>
      <c r="K34" s="163"/>
      <c r="L34" s="163"/>
      <c r="M34" s="163"/>
      <c r="N34" s="163"/>
      <c r="O34" s="163"/>
      <c r="P34" s="163"/>
      <c r="Q34" s="163"/>
      <c r="R34" s="170"/>
      <c r="S34" s="163"/>
      <c r="T34" s="163"/>
      <c r="U34" s="163"/>
      <c r="V34" s="163"/>
      <c r="W34" s="163"/>
      <c r="X34" s="163"/>
      <c r="Y34" s="163"/>
      <c r="Z34" s="163"/>
      <c r="AA34" s="163"/>
      <c r="AB34" s="163"/>
      <c r="AC34" s="163"/>
      <c r="AD34" s="163"/>
      <c r="AE34" s="163"/>
      <c r="AF34" s="163"/>
      <c r="AG34" s="163"/>
      <c r="AH34" s="163"/>
      <c r="AI34" s="163"/>
      <c r="AJ34" s="163"/>
      <c r="AK34" s="163"/>
      <c r="AL34" s="170"/>
      <c r="AM34" s="218">
        <f>VLOOKUP(AM31,市町村データ領域,MATCH(手順書_人口密度!$G$55, 市町村データヘッダー, 0),FALSE)</f>
        <v>44.7</v>
      </c>
      <c r="AN34" s="99"/>
      <c r="AO34" s="99"/>
      <c r="AP34" s="100"/>
      <c r="AQ34" s="219">
        <f>VLOOKUP(AQ31,市町村データ領域,MATCH(手順書_人口密度!$G$55, 市町村データヘッダー, 0),FALSE)</f>
        <v>15.3</v>
      </c>
      <c r="AR34" s="99"/>
      <c r="AS34" s="99"/>
      <c r="AT34" s="100"/>
      <c r="AU34" s="223">
        <f>VLOOKUP(AU31,市町村データ領域,MATCH(手順書_人口密度!$G$55, 市町村データヘッダー, 0),FALSE)</f>
        <v>9.1</v>
      </c>
      <c r="AV34" s="99"/>
      <c r="AW34" s="99"/>
      <c r="AX34" s="100"/>
      <c r="AY34" s="163"/>
      <c r="AZ34" s="163"/>
      <c r="BA34" s="163"/>
      <c r="BB34" s="163"/>
      <c r="BC34" s="163"/>
      <c r="BD34" s="163"/>
      <c r="BE34" s="163"/>
      <c r="BF34" s="163"/>
      <c r="BG34" s="163"/>
      <c r="BH34" s="163"/>
      <c r="BI34" s="163"/>
      <c r="BJ34" s="170"/>
      <c r="BK34" s="163"/>
      <c r="BL34" s="163"/>
      <c r="BM34" s="163"/>
      <c r="BN34" s="163"/>
      <c r="BO34" s="163"/>
      <c r="BP34" s="163"/>
      <c r="BQ34" s="163"/>
      <c r="BR34" s="170"/>
      <c r="BS34" s="224">
        <f>VLOOKUP(BS31,市町村データ領域,MATCH(手順書_人口密度!$G$55, 市町村データヘッダー, 0),FALSE)</f>
        <v>30.1</v>
      </c>
      <c r="BT34" s="99"/>
      <c r="BU34" s="99"/>
      <c r="BV34" s="100"/>
      <c r="BW34" s="163"/>
      <c r="BX34" s="163"/>
      <c r="BY34" s="163"/>
      <c r="BZ34" s="163"/>
      <c r="CA34" s="163"/>
      <c r="CB34" s="163"/>
      <c r="CC34" s="163"/>
      <c r="CD34" s="162"/>
    </row>
    <row r="35" spans="1:82" ht="21.15" customHeight="1" x14ac:dyDescent="0.55000000000000004">
      <c r="A35" s="162"/>
      <c r="B35" s="163"/>
      <c r="C35" s="164" t="s">
        <v>231</v>
      </c>
      <c r="D35" s="163"/>
      <c r="E35" s="163"/>
      <c r="F35" s="163"/>
      <c r="G35" s="169"/>
      <c r="H35" s="169"/>
      <c r="I35" s="169"/>
      <c r="J35" s="169"/>
      <c r="K35" s="169"/>
      <c r="L35" s="169"/>
      <c r="M35" s="169"/>
      <c r="N35" s="169"/>
      <c r="O35" s="169"/>
      <c r="P35" s="169"/>
      <c r="Q35" s="169"/>
      <c r="R35" s="169"/>
      <c r="S35" s="169"/>
      <c r="T35" s="169"/>
      <c r="U35" s="169"/>
      <c r="V35" s="169"/>
      <c r="W35" s="169"/>
      <c r="X35" s="169"/>
      <c r="Y35" s="169"/>
      <c r="Z35" s="169"/>
      <c r="AA35" s="169"/>
      <c r="AB35" s="169"/>
      <c r="AC35" s="169"/>
      <c r="AD35" s="169"/>
      <c r="AE35" s="169"/>
      <c r="AF35" s="169"/>
      <c r="AG35" s="169"/>
      <c r="AH35" s="169"/>
      <c r="AI35" s="169"/>
      <c r="AJ35" s="169"/>
      <c r="AK35" s="169"/>
      <c r="AL35" s="168"/>
      <c r="AM35" s="167">
        <v>64</v>
      </c>
      <c r="AN35" s="166" t="str">
        <f>VLOOKUP(AM35,市町村データ領域,MATCH(手順書_人口密度!$H$52, 市町村データヘッダー, 0),FALSE)</f>
        <v>所沢市</v>
      </c>
      <c r="AO35" s="102"/>
      <c r="AP35" s="103"/>
      <c r="AQ35" s="167">
        <v>65</v>
      </c>
      <c r="AR35" s="166" t="str">
        <f>VLOOKUP(AQ35,市町村データ領域,MATCH(手順書_人口密度!$H$52, 市町村データヘッダー, 0),FALSE)</f>
        <v>新座市</v>
      </c>
      <c r="AS35" s="102"/>
      <c r="AT35" s="103"/>
      <c r="AU35" s="167">
        <v>66</v>
      </c>
      <c r="AV35" s="166" t="str">
        <f>VLOOKUP(AU35,市町村データ領域,MATCH(手順書_人口密度!$H$52, 市町村データヘッダー, 0),FALSE)</f>
        <v>朝霞市</v>
      </c>
      <c r="AW35" s="102"/>
      <c r="AX35" s="103"/>
      <c r="AY35" s="167">
        <v>67</v>
      </c>
      <c r="AZ35" s="166" t="str">
        <f>VLOOKUP(AY35,市町村データ領域,MATCH(手順書_人口密度!$H$52, 市町村データヘッダー, 0),FALSE)</f>
        <v>和光市</v>
      </c>
      <c r="BA35" s="102"/>
      <c r="BB35" s="103"/>
      <c r="BC35" s="167">
        <v>68</v>
      </c>
      <c r="BD35" s="166" t="str">
        <f>VLOOKUP(BC35,市町村データ領域,MATCH(手順書_人口密度!$H$52, 市町村データヘッダー, 0),FALSE)</f>
        <v>戸田市</v>
      </c>
      <c r="BE35" s="102"/>
      <c r="BF35" s="103"/>
      <c r="BG35" s="167">
        <v>69</v>
      </c>
      <c r="BH35" s="166" t="str">
        <f>VLOOKUP(BG35,市町村データ領域,MATCH(手順書_人口密度!$H$52, 市町村データヘッダー, 0),FALSE)</f>
        <v>蕨市</v>
      </c>
      <c r="BI35" s="102"/>
      <c r="BJ35" s="103"/>
      <c r="BK35" s="167">
        <v>70</v>
      </c>
      <c r="BL35" s="166" t="str">
        <f>VLOOKUP(BK35,市町村データ領域,MATCH(手順書_人口密度!$H$52, 市町村データヘッダー, 0),FALSE)</f>
        <v>川口市</v>
      </c>
      <c r="BM35" s="102"/>
      <c r="BN35" s="103"/>
      <c r="BO35" s="167">
        <v>71</v>
      </c>
      <c r="BP35" s="166" t="str">
        <f>VLOOKUP(BO35,市町村データ領域,MATCH(手順書_人口密度!$H$52, 市町村データヘッダー, 0),FALSE)</f>
        <v>草加市</v>
      </c>
      <c r="BQ35" s="102"/>
      <c r="BR35" s="103"/>
      <c r="BS35" s="167">
        <v>72</v>
      </c>
      <c r="BT35" s="166" t="str">
        <f>VLOOKUP(BS35,市町村データ領域,MATCH(手順書_人口密度!$H$52, 市町村データヘッダー, 0),FALSE)</f>
        <v>八潮市</v>
      </c>
      <c r="BU35" s="102"/>
      <c r="BV35" s="103"/>
      <c r="BW35" s="163"/>
      <c r="BX35" s="163"/>
      <c r="BY35" s="163"/>
      <c r="BZ35" s="163"/>
      <c r="CA35" s="163"/>
      <c r="CB35" s="163"/>
      <c r="CC35" s="163"/>
      <c r="CD35" s="162"/>
    </row>
    <row r="36" spans="1:82" ht="21.15" customHeight="1" x14ac:dyDescent="0.55000000000000004">
      <c r="A36" s="162"/>
      <c r="B36" s="163"/>
      <c r="C36" s="163"/>
      <c r="D36" s="163"/>
      <c r="E36" s="163"/>
      <c r="F36" s="163"/>
      <c r="G36" s="163"/>
      <c r="H36" s="163"/>
      <c r="I36" s="163"/>
      <c r="J36" s="163"/>
      <c r="K36" s="163"/>
      <c r="L36" s="163"/>
      <c r="M36" s="163"/>
      <c r="N36" s="163"/>
      <c r="O36" s="163"/>
      <c r="P36" s="163"/>
      <c r="Q36" s="163"/>
      <c r="R36" s="163"/>
      <c r="S36" s="163"/>
      <c r="T36" s="163"/>
      <c r="U36" s="163"/>
      <c r="V36" s="163"/>
      <c r="W36" s="163"/>
      <c r="X36" s="163"/>
      <c r="Y36" s="163"/>
      <c r="Z36" s="163"/>
      <c r="AA36" s="163"/>
      <c r="AB36" s="163"/>
      <c r="AC36" s="163"/>
      <c r="AD36" s="179">
        <v>40</v>
      </c>
      <c r="AE36" s="179">
        <v>41</v>
      </c>
      <c r="AF36" s="179">
        <v>42</v>
      </c>
      <c r="AG36" s="179">
        <v>43</v>
      </c>
      <c r="AH36" s="163" t="s">
        <v>232</v>
      </c>
      <c r="AI36" s="179" t="s">
        <v>208</v>
      </c>
      <c r="AJ36" s="163"/>
      <c r="AK36" s="163"/>
      <c r="AL36" s="170"/>
      <c r="AM36" s="142">
        <f>VLOOKUP(AM35,市町村データ領域,MATCH(手順書_人口密度!$G$53, 市町村データヘッダー, 0),FALSE)</f>
        <v>4764</v>
      </c>
      <c r="AN36" s="188"/>
      <c r="AO36" s="188"/>
      <c r="AP36" s="98"/>
      <c r="AQ36" s="141">
        <f>VLOOKUP(AQ35,市町村データ領域,MATCH(手順書_人口密度!$G$53, 市町村データヘッダー, 0),FALSE)</f>
        <v>7289</v>
      </c>
      <c r="AR36" s="188"/>
      <c r="AS36" s="188"/>
      <c r="AT36" s="98"/>
      <c r="AU36" s="141">
        <f>VLOOKUP(AU35,市町村データ領域,MATCH(手順書_人口密度!$G$53, 市町村データヘッダー, 0),FALSE)</f>
        <v>7904</v>
      </c>
      <c r="AV36" s="188"/>
      <c r="AW36" s="188"/>
      <c r="AX36" s="98"/>
      <c r="AY36" s="141">
        <f>VLOOKUP(AY35,市町村データ領域,MATCH(手順書_人口密度!$G$53, 市町村データヘッダー, 0),FALSE)</f>
        <v>7675</v>
      </c>
      <c r="AZ36" s="188"/>
      <c r="BA36" s="188"/>
      <c r="BB36" s="98"/>
      <c r="BC36" s="141">
        <f>VLOOKUP(BC35,市町村データ領域,MATCH(手順書_人口密度!$G$53, 市町村データヘッダー, 0),FALSE)</f>
        <v>7815</v>
      </c>
      <c r="BD36" s="188"/>
      <c r="BE36" s="188"/>
      <c r="BF36" s="98"/>
      <c r="BG36" s="149">
        <f>VLOOKUP(BG35,市町村データ領域,MATCH(手順書_人口密度!$G$53, 市町村データヘッダー, 0),FALSE)</f>
        <v>14804</v>
      </c>
      <c r="BH36" s="188"/>
      <c r="BI36" s="188"/>
      <c r="BJ36" s="98"/>
      <c r="BK36" s="148">
        <f>VLOOKUP(BK35,市町村データ領域,MATCH(手順書_人口密度!$G$53, 市町村データヘッダー, 0),FALSE)</f>
        <v>9787</v>
      </c>
      <c r="BL36" s="188"/>
      <c r="BM36" s="188"/>
      <c r="BN36" s="98"/>
      <c r="BO36" s="148">
        <f>VLOOKUP(BO35,市町村データ領域,MATCH(手順書_人口密度!$G$53, 市町村データヘッダー, 0),FALSE)</f>
        <v>9149</v>
      </c>
      <c r="BP36" s="188"/>
      <c r="BQ36" s="188"/>
      <c r="BR36" s="98"/>
      <c r="BS36" s="147">
        <f>VLOOKUP(BS35,市町村データ領域,MATCH(手順書_人口密度!$G$53, 市町村データヘッダー, 0),FALSE)</f>
        <v>5165</v>
      </c>
      <c r="BT36" s="188"/>
      <c r="BU36" s="188"/>
      <c r="BV36" s="98"/>
      <c r="BW36" s="163"/>
      <c r="BX36" s="163"/>
      <c r="BY36" s="163"/>
      <c r="BZ36" s="163"/>
      <c r="CA36" s="163"/>
      <c r="CB36" s="163"/>
      <c r="CC36" s="163"/>
      <c r="CD36" s="162"/>
    </row>
    <row r="37" spans="1:82" ht="21.15" customHeight="1" x14ac:dyDescent="0.55000000000000004">
      <c r="A37" s="162"/>
      <c r="B37" s="163"/>
      <c r="C37" s="163"/>
      <c r="D37" s="163"/>
      <c r="E37" s="163"/>
      <c r="F37" s="163"/>
      <c r="G37" s="163" t="s">
        <v>234</v>
      </c>
      <c r="H37" s="163"/>
      <c r="I37" s="163"/>
      <c r="J37" s="163"/>
      <c r="K37" s="163"/>
      <c r="L37" s="163"/>
      <c r="M37" s="163"/>
      <c r="N37" s="163"/>
      <c r="O37" s="163"/>
      <c r="P37" s="163"/>
      <c r="Q37" s="163"/>
      <c r="R37" s="163"/>
      <c r="S37" s="163"/>
      <c r="T37" s="163"/>
      <c r="U37" s="163"/>
      <c r="V37" s="163"/>
      <c r="W37" s="163"/>
      <c r="X37" s="163"/>
      <c r="Y37" s="163"/>
      <c r="Z37" s="163"/>
      <c r="AA37" s="163"/>
      <c r="AB37" s="163"/>
      <c r="AC37" s="163"/>
      <c r="AD37" s="163"/>
      <c r="AE37" s="179">
        <v>52</v>
      </c>
      <c r="AF37" s="179">
        <v>53</v>
      </c>
      <c r="AG37" s="179">
        <v>54</v>
      </c>
      <c r="AH37" s="163"/>
      <c r="AI37" s="163" t="s">
        <v>233</v>
      </c>
      <c r="AJ37" s="163"/>
      <c r="AK37" s="163"/>
      <c r="AL37" s="170"/>
      <c r="AM37" s="140">
        <f>VLOOKUP(AM35,市町村データ領域,MATCH(手順書_人口密度!$G$54, 市町村データヘッダー, 0),FALSE)</f>
        <v>343529</v>
      </c>
      <c r="AN37" s="188"/>
      <c r="AO37" s="188"/>
      <c r="AP37" s="98"/>
      <c r="AQ37" s="146">
        <f>VLOOKUP(AQ35,市町村データ領域,MATCH(手順書_人口密度!$G$54, 市町村データヘッダー, 0),FALSE)</f>
        <v>166036</v>
      </c>
      <c r="AR37" s="188"/>
      <c r="AS37" s="188"/>
      <c r="AT37" s="98"/>
      <c r="AU37" s="146">
        <f>VLOOKUP(AU35,市町村データ領域,MATCH(手順書_人口密度!$G$54, 市町村データヘッダー, 0),FALSE)</f>
        <v>144964</v>
      </c>
      <c r="AV37" s="188"/>
      <c r="AW37" s="188"/>
      <c r="AX37" s="98"/>
      <c r="AY37" s="146">
        <f>VLOOKUP(AY35,市町村データ領域,MATCH(手順書_人口密度!$G$54, 市町村データヘッダー, 0),FALSE)</f>
        <v>84728</v>
      </c>
      <c r="AZ37" s="188"/>
      <c r="BA37" s="188"/>
      <c r="BB37" s="98"/>
      <c r="BC37" s="146">
        <f>VLOOKUP(BC35,市町村データ領域,MATCH(手順書_人口密度!$G$54, 市町村データヘッダー, 0),FALSE)</f>
        <v>142163</v>
      </c>
      <c r="BD37" s="188"/>
      <c r="BE37" s="188"/>
      <c r="BF37" s="98"/>
      <c r="BG37" s="145">
        <f>VLOOKUP(BG35,市町村データ領域,MATCH(手順書_人口密度!$G$54, 市町村データヘッダー, 0),FALSE)</f>
        <v>75646</v>
      </c>
      <c r="BH37" s="188"/>
      <c r="BI37" s="188"/>
      <c r="BJ37" s="98"/>
      <c r="BK37" s="144">
        <f>VLOOKUP(BK35,市町村データ領域,MATCH(手順書_人口密度!$G$54, 市町村データヘッダー, 0),FALSE)</f>
        <v>606315</v>
      </c>
      <c r="BL37" s="188"/>
      <c r="BM37" s="188"/>
      <c r="BN37" s="98"/>
      <c r="BO37" s="144">
        <f>VLOOKUP(BO35,市町村データ領域,MATCH(手順書_人口密度!$G$54, 市町村データヘッダー, 0),FALSE)</f>
        <v>251219</v>
      </c>
      <c r="BP37" s="188"/>
      <c r="BQ37" s="188"/>
      <c r="BR37" s="98"/>
      <c r="BS37" s="143">
        <f>VLOOKUP(BS35,市町村データ領域,MATCH(手順書_人口密度!$G$54, 市町村データヘッダー, 0),FALSE)</f>
        <v>93065</v>
      </c>
      <c r="BT37" s="188"/>
      <c r="BU37" s="188"/>
      <c r="BV37" s="98"/>
      <c r="BW37" s="163"/>
      <c r="BX37" s="163"/>
      <c r="BY37" s="163"/>
      <c r="BZ37" s="163"/>
      <c r="CA37" s="163"/>
      <c r="CB37" s="163"/>
      <c r="CC37" s="163"/>
      <c r="CD37" s="162"/>
    </row>
    <row r="38" spans="1:82" ht="21.15" customHeight="1" thickBot="1" x14ac:dyDescent="0.6">
      <c r="A38" s="162"/>
      <c r="B38" s="163"/>
      <c r="C38" s="163"/>
      <c r="D38" s="163"/>
      <c r="E38" s="163"/>
      <c r="F38" s="163"/>
      <c r="G38" s="180" t="s">
        <v>235</v>
      </c>
      <c r="H38" s="163"/>
      <c r="I38" s="163"/>
      <c r="J38" s="163"/>
      <c r="K38" s="163"/>
      <c r="L38" s="163"/>
      <c r="M38" s="163"/>
      <c r="N38" s="163"/>
      <c r="O38" s="163"/>
      <c r="P38" s="163"/>
      <c r="Q38" s="163"/>
      <c r="R38" s="163"/>
      <c r="S38" s="163"/>
      <c r="T38" s="163"/>
      <c r="U38" s="163"/>
      <c r="V38" s="163"/>
      <c r="W38" s="163"/>
      <c r="X38" s="163"/>
      <c r="Y38" s="163"/>
      <c r="Z38" s="163"/>
      <c r="AA38" s="163"/>
      <c r="AB38" s="163"/>
      <c r="AC38" s="163"/>
      <c r="AD38" s="163"/>
      <c r="AE38" s="179">
        <v>60</v>
      </c>
      <c r="AF38" s="179">
        <v>61</v>
      </c>
      <c r="AG38" s="179">
        <v>62</v>
      </c>
      <c r="AH38" s="163"/>
      <c r="AI38" s="163"/>
      <c r="AJ38" s="163"/>
      <c r="AK38" s="163"/>
      <c r="AL38" s="170"/>
      <c r="AM38" s="224">
        <f>VLOOKUP(AM35,市町村データ領域,MATCH(手順書_人口密度!$G$55, 市町村データヘッダー, 0),FALSE)</f>
        <v>72.099999999999994</v>
      </c>
      <c r="AN38" s="99"/>
      <c r="AO38" s="99"/>
      <c r="AP38" s="100"/>
      <c r="AQ38" s="221">
        <f>VLOOKUP(AQ35,市町村データ領域,MATCH(手順書_人口密度!$G$55, 市町村データヘッダー, 0),FALSE)</f>
        <v>22.8</v>
      </c>
      <c r="AR38" s="99"/>
      <c r="AS38" s="99"/>
      <c r="AT38" s="100"/>
      <c r="AU38" s="221">
        <f>VLOOKUP(AU35,市町村データ領域,MATCH(手順書_人口密度!$G$55, 市町村データヘッダー, 0),FALSE)</f>
        <v>18.3</v>
      </c>
      <c r="AV38" s="99"/>
      <c r="AW38" s="99"/>
      <c r="AX38" s="100"/>
      <c r="AY38" s="221">
        <f>VLOOKUP(AY35,市町村データ領域,MATCH(手順書_人口密度!$G$55, 市町村データヘッダー, 0),FALSE)</f>
        <v>11</v>
      </c>
      <c r="AZ38" s="99"/>
      <c r="BA38" s="99"/>
      <c r="BB38" s="100"/>
      <c r="BC38" s="221">
        <f>VLOOKUP(BC35,市町村データ領域,MATCH(手順書_人口密度!$G$55, 市町村データヘッダー, 0),FALSE)</f>
        <v>18.2</v>
      </c>
      <c r="BD38" s="99"/>
      <c r="BE38" s="99"/>
      <c r="BF38" s="100"/>
      <c r="BG38" s="225">
        <f>VLOOKUP(BG35,市町村データ領域,MATCH(手順書_人口密度!$G$55, 市町村データヘッダー, 0),FALSE)</f>
        <v>5.0999999999999996</v>
      </c>
      <c r="BH38" s="99"/>
      <c r="BI38" s="99"/>
      <c r="BJ38" s="100"/>
      <c r="BK38" s="226">
        <f>VLOOKUP(BK35,市町村データ領域,MATCH(手順書_人口密度!$G$55, 市町村データヘッダー, 0),FALSE)</f>
        <v>62</v>
      </c>
      <c r="BL38" s="99"/>
      <c r="BM38" s="99"/>
      <c r="BN38" s="100"/>
      <c r="BO38" s="226">
        <f>VLOOKUP(BO35,市町村データ領域,MATCH(手順書_人口密度!$G$55, 市町村データヘッダー, 0),FALSE)</f>
        <v>27.5</v>
      </c>
      <c r="BP38" s="99"/>
      <c r="BQ38" s="99"/>
      <c r="BR38" s="100"/>
      <c r="BS38" s="220">
        <f>VLOOKUP(BS35,市町村データ領域,MATCH(手順書_人口密度!$G$55, 市町村データヘッダー, 0),FALSE)</f>
        <v>18</v>
      </c>
      <c r="BT38" s="99"/>
      <c r="BU38" s="99"/>
      <c r="BV38" s="100"/>
      <c r="BW38" s="163"/>
      <c r="BX38" s="163"/>
      <c r="BY38" s="163"/>
      <c r="BZ38" s="163"/>
      <c r="CA38" s="163"/>
      <c r="CB38" s="163"/>
      <c r="CC38" s="163"/>
      <c r="CD38" s="162"/>
    </row>
    <row r="39" spans="1:82" ht="21.15" customHeight="1" x14ac:dyDescent="0.55000000000000004">
      <c r="A39" s="162"/>
      <c r="B39" s="163"/>
      <c r="C39" s="163"/>
      <c r="D39" s="163"/>
      <c r="E39" s="163"/>
      <c r="F39" s="163"/>
      <c r="G39" s="163"/>
      <c r="H39" s="163"/>
      <c r="I39" s="163"/>
      <c r="J39" s="163"/>
      <c r="K39" s="163"/>
      <c r="L39" s="163"/>
      <c r="M39" s="163"/>
      <c r="N39" s="163"/>
      <c r="O39" s="163"/>
      <c r="P39" s="163"/>
      <c r="Q39" s="163"/>
      <c r="R39" s="163"/>
      <c r="S39" s="163"/>
      <c r="T39" s="163"/>
      <c r="U39" s="163"/>
      <c r="V39" s="163"/>
      <c r="W39" s="163"/>
      <c r="X39" s="163"/>
      <c r="Y39" s="163"/>
      <c r="Z39" s="163"/>
      <c r="AA39" s="163"/>
      <c r="AB39" s="163"/>
      <c r="AC39" s="163"/>
      <c r="AD39" s="163"/>
      <c r="AE39" s="163"/>
      <c r="AF39" s="163"/>
      <c r="AG39" s="163"/>
      <c r="AH39" s="163"/>
      <c r="AI39" s="163"/>
      <c r="AJ39" s="163"/>
      <c r="AK39" s="163"/>
      <c r="AL39" s="163"/>
      <c r="AM39" s="169"/>
      <c r="AN39" s="169"/>
      <c r="AO39" s="169"/>
      <c r="AP39" s="169"/>
      <c r="AQ39" s="169"/>
      <c r="AR39" s="169"/>
      <c r="AS39" s="169"/>
      <c r="AT39" s="169"/>
      <c r="AU39" s="169"/>
      <c r="AV39" s="169"/>
      <c r="AW39" s="169"/>
      <c r="AX39" s="169"/>
      <c r="AY39" s="169"/>
      <c r="AZ39" s="169"/>
      <c r="BA39" s="169"/>
      <c r="BB39" s="169"/>
      <c r="BC39" s="169"/>
      <c r="BD39" s="169"/>
      <c r="BE39" s="169"/>
      <c r="BF39" s="169"/>
      <c r="BG39" s="169"/>
      <c r="BH39" s="169"/>
      <c r="BI39" s="169"/>
      <c r="BJ39" s="169"/>
      <c r="BK39" s="169"/>
      <c r="BL39" s="169"/>
      <c r="BM39" s="169"/>
      <c r="BN39" s="169"/>
      <c r="BO39" s="169"/>
      <c r="BP39" s="169"/>
      <c r="BQ39" s="169"/>
      <c r="BR39" s="169"/>
      <c r="BS39" s="169"/>
      <c r="BT39" s="169"/>
      <c r="BU39" s="169"/>
      <c r="BV39" s="169"/>
      <c r="BW39" s="163"/>
      <c r="BX39" s="163"/>
      <c r="BY39" s="163"/>
      <c r="BZ39" s="163"/>
      <c r="CA39" s="163"/>
      <c r="CB39" s="163"/>
      <c r="CC39" s="163"/>
      <c r="CD39" s="162"/>
    </row>
    <row r="40" spans="1:82" ht="21.15" customHeight="1" x14ac:dyDescent="0.55000000000000004">
      <c r="A40" s="162"/>
      <c r="B40" s="162"/>
      <c r="C40" s="162"/>
      <c r="D40" s="162"/>
      <c r="E40" s="162"/>
      <c r="F40" s="162"/>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162"/>
      <c r="AJ40" s="162"/>
      <c r="AK40" s="162"/>
      <c r="AL40" s="162"/>
      <c r="AM40" s="162"/>
      <c r="AN40" s="162"/>
      <c r="AO40" s="162"/>
      <c r="AP40" s="162"/>
      <c r="AQ40" s="162"/>
      <c r="AR40" s="162"/>
      <c r="AS40" s="162"/>
      <c r="AT40" s="162"/>
      <c r="AU40" s="162"/>
      <c r="AV40" s="162"/>
      <c r="AW40" s="162"/>
      <c r="AX40" s="162"/>
      <c r="AY40" s="162"/>
      <c r="AZ40" s="162"/>
      <c r="BA40" s="162"/>
      <c r="BB40" s="162"/>
      <c r="BC40" s="162"/>
      <c r="BD40" s="162"/>
      <c r="BE40" s="162"/>
      <c r="BF40" s="162"/>
      <c r="BG40" s="162"/>
      <c r="BH40" s="162"/>
      <c r="BI40" s="162"/>
      <c r="BJ40" s="162"/>
      <c r="BK40" s="162"/>
      <c r="BL40" s="162"/>
      <c r="BM40" s="162"/>
      <c r="BN40" s="162"/>
      <c r="BO40" s="162"/>
      <c r="BP40" s="162"/>
      <c r="BQ40" s="162"/>
      <c r="BR40" s="162"/>
      <c r="BS40" s="162"/>
      <c r="BT40" s="162"/>
      <c r="BU40" s="162"/>
      <c r="BV40" s="162"/>
      <c r="BW40" s="162"/>
      <c r="BX40" s="162"/>
      <c r="BY40" s="162"/>
      <c r="BZ40" s="162"/>
      <c r="CA40" s="162"/>
      <c r="CB40" s="162"/>
      <c r="CC40" s="162"/>
      <c r="CD40" s="162"/>
    </row>
  </sheetData>
  <mergeCells count="280">
    <mergeCell ref="CA17:CB17"/>
    <mergeCell ref="BX17:BZ17"/>
    <mergeCell ref="CA18:CB18"/>
    <mergeCell ref="BX18:BZ18"/>
    <mergeCell ref="CA14:CB14"/>
    <mergeCell ref="BX14:BZ14"/>
    <mergeCell ref="CA15:CB15"/>
    <mergeCell ref="BX15:BZ15"/>
    <mergeCell ref="CA16:CB16"/>
    <mergeCell ref="BX16:BZ16"/>
    <mergeCell ref="CA11:CB11"/>
    <mergeCell ref="BX11:BZ11"/>
    <mergeCell ref="CA12:CB12"/>
    <mergeCell ref="BX12:BZ12"/>
    <mergeCell ref="CA13:CB13"/>
    <mergeCell ref="BX13:BZ13"/>
    <mergeCell ref="CA8:CB8"/>
    <mergeCell ref="BX8:BZ8"/>
    <mergeCell ref="CA9:CB9"/>
    <mergeCell ref="BX9:BZ9"/>
    <mergeCell ref="CA10:CB10"/>
    <mergeCell ref="BX10:BZ10"/>
    <mergeCell ref="D3:F3"/>
    <mergeCell ref="C4:F4"/>
    <mergeCell ref="C5:F5"/>
    <mergeCell ref="C6:F6"/>
    <mergeCell ref="CA7:CB7"/>
    <mergeCell ref="BX7:BZ7"/>
    <mergeCell ref="AM37:AP37"/>
    <mergeCell ref="BS38:BV38"/>
    <mergeCell ref="BO38:BR38"/>
    <mergeCell ref="BK38:BN38"/>
    <mergeCell ref="BG38:BJ38"/>
    <mergeCell ref="BC38:BF38"/>
    <mergeCell ref="AY38:BB38"/>
    <mergeCell ref="AU38:AX38"/>
    <mergeCell ref="AQ38:AT38"/>
    <mergeCell ref="AM38:AP38"/>
    <mergeCell ref="AQ36:AT36"/>
    <mergeCell ref="AM36:AP36"/>
    <mergeCell ref="BS37:BV37"/>
    <mergeCell ref="BO37:BR37"/>
    <mergeCell ref="BK37:BN37"/>
    <mergeCell ref="BG37:BJ37"/>
    <mergeCell ref="BC37:BF37"/>
    <mergeCell ref="AY37:BB37"/>
    <mergeCell ref="AU37:AX37"/>
    <mergeCell ref="AQ37:AT37"/>
    <mergeCell ref="AV35:AX35"/>
    <mergeCell ref="AR35:AT35"/>
    <mergeCell ref="AN35:AP35"/>
    <mergeCell ref="BS36:BV36"/>
    <mergeCell ref="BO36:BR36"/>
    <mergeCell ref="BK36:BN36"/>
    <mergeCell ref="BG36:BJ36"/>
    <mergeCell ref="BC36:BF36"/>
    <mergeCell ref="AY36:BB36"/>
    <mergeCell ref="AU36:AX36"/>
    <mergeCell ref="BT35:BV35"/>
    <mergeCell ref="BP35:BR35"/>
    <mergeCell ref="BL35:BN35"/>
    <mergeCell ref="BH35:BJ35"/>
    <mergeCell ref="BD35:BF35"/>
    <mergeCell ref="AZ35:BB35"/>
    <mergeCell ref="BS33:BV33"/>
    <mergeCell ref="AU33:AX33"/>
    <mergeCell ref="AQ33:AT33"/>
    <mergeCell ref="AM33:AP33"/>
    <mergeCell ref="BS34:BV34"/>
    <mergeCell ref="AU34:AX34"/>
    <mergeCell ref="AQ34:AT34"/>
    <mergeCell ref="AM34:AP34"/>
    <mergeCell ref="BT31:BV31"/>
    <mergeCell ref="AV31:AX31"/>
    <mergeCell ref="AR31:AT31"/>
    <mergeCell ref="AN31:AP31"/>
    <mergeCell ref="BS32:BV32"/>
    <mergeCell ref="AU32:AX32"/>
    <mergeCell ref="AQ32:AT32"/>
    <mergeCell ref="AM32:AP32"/>
    <mergeCell ref="G29:J29"/>
    <mergeCell ref="BS30:BV30"/>
    <mergeCell ref="BK30:BN30"/>
    <mergeCell ref="BC30:BF30"/>
    <mergeCell ref="AU30:AX30"/>
    <mergeCell ref="AQ30:AT30"/>
    <mergeCell ref="AM30:AP30"/>
    <mergeCell ref="AI30:AL30"/>
    <mergeCell ref="S30:V30"/>
    <mergeCell ref="G30:J30"/>
    <mergeCell ref="S28:V28"/>
    <mergeCell ref="G28:J28"/>
    <mergeCell ref="BS29:BV29"/>
    <mergeCell ref="BK29:BN29"/>
    <mergeCell ref="BC29:BF29"/>
    <mergeCell ref="AU29:AX29"/>
    <mergeCell ref="AQ29:AT29"/>
    <mergeCell ref="AM29:AP29"/>
    <mergeCell ref="AI29:AL29"/>
    <mergeCell ref="S29:V29"/>
    <mergeCell ref="AJ27:AL27"/>
    <mergeCell ref="T27:V27"/>
    <mergeCell ref="H27:J27"/>
    <mergeCell ref="BS28:BV28"/>
    <mergeCell ref="BK28:BN28"/>
    <mergeCell ref="BC28:BF28"/>
    <mergeCell ref="AU28:AX28"/>
    <mergeCell ref="AQ28:AT28"/>
    <mergeCell ref="AM28:AP28"/>
    <mergeCell ref="AI28:AL28"/>
    <mergeCell ref="BT27:BV27"/>
    <mergeCell ref="BL27:BN27"/>
    <mergeCell ref="BD27:BF27"/>
    <mergeCell ref="AV27:AX27"/>
    <mergeCell ref="AR27:AT27"/>
    <mergeCell ref="AN27:AP27"/>
    <mergeCell ref="S25:V25"/>
    <mergeCell ref="G25:J25"/>
    <mergeCell ref="BS26:BV26"/>
    <mergeCell ref="BK26:BN26"/>
    <mergeCell ref="AM26:AP26"/>
    <mergeCell ref="AI26:AL26"/>
    <mergeCell ref="AE26:AH26"/>
    <mergeCell ref="AA26:AD26"/>
    <mergeCell ref="S26:V26"/>
    <mergeCell ref="G26:J26"/>
    <mergeCell ref="BS25:BV25"/>
    <mergeCell ref="BK25:BN25"/>
    <mergeCell ref="AM25:AP25"/>
    <mergeCell ref="AI25:AL25"/>
    <mergeCell ref="AE25:AH25"/>
    <mergeCell ref="AA25:AD25"/>
    <mergeCell ref="T23:V23"/>
    <mergeCell ref="H23:J23"/>
    <mergeCell ref="BS24:BV24"/>
    <mergeCell ref="BK24:BN24"/>
    <mergeCell ref="AM24:AP24"/>
    <mergeCell ref="AI24:AL24"/>
    <mergeCell ref="AE24:AH24"/>
    <mergeCell ref="AA24:AD24"/>
    <mergeCell ref="S24:V24"/>
    <mergeCell ref="G24:J24"/>
    <mergeCell ref="AA22:AD22"/>
    <mergeCell ref="W22:Z22"/>
    <mergeCell ref="O22:R22"/>
    <mergeCell ref="K22:N22"/>
    <mergeCell ref="BT23:BV23"/>
    <mergeCell ref="BL23:BN23"/>
    <mergeCell ref="AN23:AP23"/>
    <mergeCell ref="AJ23:AL23"/>
    <mergeCell ref="AF23:AH23"/>
    <mergeCell ref="AB23:AD23"/>
    <mergeCell ref="K21:N21"/>
    <mergeCell ref="BO22:BR22"/>
    <mergeCell ref="BK22:BN22"/>
    <mergeCell ref="BG22:BJ22"/>
    <mergeCell ref="BC22:BF22"/>
    <mergeCell ref="AY22:BB22"/>
    <mergeCell ref="AU22:AX22"/>
    <mergeCell ref="AQ22:AT22"/>
    <mergeCell ref="AM22:AP22"/>
    <mergeCell ref="AI22:AL22"/>
    <mergeCell ref="AQ21:AT21"/>
    <mergeCell ref="AM21:AP21"/>
    <mergeCell ref="AI21:AL21"/>
    <mergeCell ref="AA21:AD21"/>
    <mergeCell ref="W21:Z21"/>
    <mergeCell ref="O21:R21"/>
    <mergeCell ref="AA20:AD20"/>
    <mergeCell ref="W20:Z20"/>
    <mergeCell ref="O20:R20"/>
    <mergeCell ref="K20:N20"/>
    <mergeCell ref="BO21:BR21"/>
    <mergeCell ref="BK21:BN21"/>
    <mergeCell ref="BG21:BJ21"/>
    <mergeCell ref="BC21:BF21"/>
    <mergeCell ref="AY21:BB21"/>
    <mergeCell ref="AU21:AX21"/>
    <mergeCell ref="L19:N19"/>
    <mergeCell ref="BO20:BR20"/>
    <mergeCell ref="BK20:BN20"/>
    <mergeCell ref="BG20:BJ20"/>
    <mergeCell ref="BC20:BF20"/>
    <mergeCell ref="AY20:BB20"/>
    <mergeCell ref="AU20:AX20"/>
    <mergeCell ref="AQ20:AT20"/>
    <mergeCell ref="AM20:AP20"/>
    <mergeCell ref="AI20:AL20"/>
    <mergeCell ref="AR19:AT19"/>
    <mergeCell ref="AN19:AP19"/>
    <mergeCell ref="AJ19:AL19"/>
    <mergeCell ref="AB19:AD19"/>
    <mergeCell ref="X19:Z19"/>
    <mergeCell ref="P19:R19"/>
    <mergeCell ref="AA18:AD18"/>
    <mergeCell ref="W18:Z18"/>
    <mergeCell ref="S18:V18"/>
    <mergeCell ref="O18:R18"/>
    <mergeCell ref="BP19:BR19"/>
    <mergeCell ref="BL19:BN19"/>
    <mergeCell ref="BH19:BJ19"/>
    <mergeCell ref="BD19:BF19"/>
    <mergeCell ref="AZ19:BB19"/>
    <mergeCell ref="AV19:AX19"/>
    <mergeCell ref="AA17:AD17"/>
    <mergeCell ref="W17:Z17"/>
    <mergeCell ref="S17:V17"/>
    <mergeCell ref="O17:R17"/>
    <mergeCell ref="BO18:BR18"/>
    <mergeCell ref="AU18:AX18"/>
    <mergeCell ref="AQ18:AT18"/>
    <mergeCell ref="AM18:AP18"/>
    <mergeCell ref="AI18:AL18"/>
    <mergeCell ref="AE18:AH18"/>
    <mergeCell ref="AA16:AD16"/>
    <mergeCell ref="W16:Z16"/>
    <mergeCell ref="S16:V16"/>
    <mergeCell ref="O16:R16"/>
    <mergeCell ref="BO17:BR17"/>
    <mergeCell ref="AU17:AX17"/>
    <mergeCell ref="AQ17:AT17"/>
    <mergeCell ref="AM17:AP17"/>
    <mergeCell ref="AI17:AL17"/>
    <mergeCell ref="AE17:AH17"/>
    <mergeCell ref="AB15:AD15"/>
    <mergeCell ref="X15:Z15"/>
    <mergeCell ref="T15:V15"/>
    <mergeCell ref="P15:R15"/>
    <mergeCell ref="BO16:BR16"/>
    <mergeCell ref="AU16:AX16"/>
    <mergeCell ref="AQ16:AT16"/>
    <mergeCell ref="AM16:AP16"/>
    <mergeCell ref="AI16:AL16"/>
    <mergeCell ref="AE16:AH16"/>
    <mergeCell ref="BP15:BR15"/>
    <mergeCell ref="AV15:AX15"/>
    <mergeCell ref="AR15:AT15"/>
    <mergeCell ref="AN15:AP15"/>
    <mergeCell ref="AJ15:AL15"/>
    <mergeCell ref="AF15:AH15"/>
    <mergeCell ref="AU13:AX13"/>
    <mergeCell ref="AQ13:AT13"/>
    <mergeCell ref="O13:R13"/>
    <mergeCell ref="G13:J13"/>
    <mergeCell ref="AU14:AX14"/>
    <mergeCell ref="AQ14:AT14"/>
    <mergeCell ref="O14:R14"/>
    <mergeCell ref="G14:J14"/>
    <mergeCell ref="AV11:AX11"/>
    <mergeCell ref="AR11:AT11"/>
    <mergeCell ref="P11:R11"/>
    <mergeCell ref="H11:J11"/>
    <mergeCell ref="AU12:AX12"/>
    <mergeCell ref="AQ12:AT12"/>
    <mergeCell ref="O12:R12"/>
    <mergeCell ref="G12:J12"/>
    <mergeCell ref="AU10:AX10"/>
    <mergeCell ref="AQ10:AT10"/>
    <mergeCell ref="W10:Z10"/>
    <mergeCell ref="O10:R10"/>
    <mergeCell ref="K10:N10"/>
    <mergeCell ref="G10:J10"/>
    <mergeCell ref="AU9:AX9"/>
    <mergeCell ref="AQ9:AT9"/>
    <mergeCell ref="W9:Z9"/>
    <mergeCell ref="O9:R9"/>
    <mergeCell ref="K9:N9"/>
    <mergeCell ref="G9:J9"/>
    <mergeCell ref="AU8:AX8"/>
    <mergeCell ref="AQ8:AT8"/>
    <mergeCell ref="W8:Z8"/>
    <mergeCell ref="O8:R8"/>
    <mergeCell ref="K8:N8"/>
    <mergeCell ref="G8:J8"/>
    <mergeCell ref="AV7:AX7"/>
    <mergeCell ref="AR7:AT7"/>
    <mergeCell ref="X7:Z7"/>
    <mergeCell ref="P7:R7"/>
    <mergeCell ref="L7:N7"/>
    <mergeCell ref="H7:J7"/>
  </mergeCells>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B71BB5-C7E2-4335-969D-56E16049125F}">
  <sheetPr codeName="Sheet3">
    <tabColor rgb="FF0F8472"/>
  </sheetPr>
  <dimension ref="A1:AG136"/>
  <sheetViews>
    <sheetView topLeftCell="A106" zoomScale="130" zoomScaleNormal="130" workbookViewId="0">
      <selection activeCell="G135" sqref="G135"/>
    </sheetView>
  </sheetViews>
  <sheetFormatPr defaultColWidth="3.5" defaultRowHeight="21" customHeight="1" x14ac:dyDescent="0.55000000000000004"/>
  <cols>
    <col min="1" max="16384" width="3.5" style="26"/>
  </cols>
  <sheetData>
    <row r="1" spans="1:33" ht="21" customHeight="1" x14ac:dyDescent="0.55000000000000004">
      <c r="A1" s="64" t="s">
        <v>343</v>
      </c>
    </row>
    <row r="2" spans="1:33" ht="21" customHeight="1" x14ac:dyDescent="0.55000000000000004">
      <c r="B2" s="35" t="s">
        <v>190</v>
      </c>
      <c r="C2" s="34"/>
      <c r="D2" s="34"/>
      <c r="E2" s="34"/>
      <c r="F2" s="34"/>
      <c r="G2" s="34"/>
      <c r="H2" s="34"/>
      <c r="I2" s="34"/>
      <c r="J2" s="34"/>
      <c r="K2" s="34"/>
      <c r="L2" s="34"/>
      <c r="M2" s="34"/>
      <c r="N2" s="34"/>
      <c r="O2" s="34"/>
      <c r="P2" s="34"/>
      <c r="Q2" s="34"/>
      <c r="R2" s="34"/>
      <c r="S2" s="34"/>
      <c r="T2" s="34"/>
      <c r="U2" s="34"/>
      <c r="V2" s="34"/>
      <c r="W2" s="34"/>
      <c r="X2" s="34"/>
      <c r="Y2" s="34"/>
      <c r="Z2" s="34"/>
      <c r="AA2" s="34"/>
      <c r="AB2" s="34"/>
      <c r="AC2" s="34"/>
      <c r="AD2" s="34"/>
      <c r="AE2" s="34"/>
    </row>
    <row r="4" spans="1:33" ht="21" customHeight="1" x14ac:dyDescent="0.55000000000000004">
      <c r="D4" s="35" t="s">
        <v>188</v>
      </c>
      <c r="E4" s="34"/>
      <c r="F4" s="34"/>
      <c r="G4" s="34"/>
      <c r="H4" s="34"/>
      <c r="I4" s="34"/>
      <c r="J4" s="34"/>
      <c r="K4" s="34"/>
      <c r="L4" s="34"/>
      <c r="M4" s="34"/>
      <c r="N4" s="34"/>
      <c r="O4" s="34"/>
      <c r="P4" s="34"/>
      <c r="Q4" s="34"/>
      <c r="R4" s="34"/>
      <c r="S4" s="34"/>
      <c r="T4" s="34"/>
      <c r="U4" s="34"/>
      <c r="V4" s="34"/>
      <c r="W4" s="34"/>
      <c r="X4" s="34"/>
      <c r="Y4" s="34"/>
      <c r="Z4" s="34"/>
      <c r="AA4" s="34"/>
      <c r="AB4" s="34"/>
      <c r="AC4" s="34"/>
      <c r="AD4" s="34"/>
      <c r="AE4" s="34"/>
      <c r="AF4" s="34"/>
      <c r="AG4" s="34"/>
    </row>
    <row r="12" spans="1:33" ht="21" customHeight="1" x14ac:dyDescent="0.55000000000000004">
      <c r="G12" s="26" t="s">
        <v>370</v>
      </c>
    </row>
    <row r="13" spans="1:33" ht="21" customHeight="1" x14ac:dyDescent="0.55000000000000004">
      <c r="F13" s="36" t="s">
        <v>186</v>
      </c>
      <c r="G13" s="26" t="s">
        <v>369</v>
      </c>
    </row>
    <row r="14" spans="1:33" ht="21" customHeight="1" x14ac:dyDescent="0.55000000000000004">
      <c r="F14" s="36"/>
    </row>
    <row r="15" spans="1:33" ht="21" customHeight="1" thickBot="1" x14ac:dyDescent="0.45">
      <c r="F15" s="49" t="s">
        <v>201</v>
      </c>
      <c r="Q15" s="49" t="s">
        <v>202</v>
      </c>
    </row>
    <row r="16" spans="1:33" ht="21" customHeight="1" thickTop="1" thickBot="1" x14ac:dyDescent="0.6">
      <c r="A16" s="64" t="s">
        <v>344</v>
      </c>
      <c r="F16" s="65" t="s">
        <v>250</v>
      </c>
      <c r="G16" s="66"/>
      <c r="H16" s="66"/>
      <c r="I16" s="66"/>
      <c r="J16" s="66"/>
      <c r="K16" s="66"/>
      <c r="L16" s="66"/>
      <c r="M16" s="66"/>
      <c r="N16" s="66"/>
      <c r="O16" s="67"/>
      <c r="Q16" s="65" t="s">
        <v>354</v>
      </c>
      <c r="R16" s="66"/>
      <c r="S16" s="66"/>
      <c r="T16" s="67"/>
    </row>
    <row r="17" spans="1:33" ht="21" customHeight="1" thickTop="1" x14ac:dyDescent="0.55000000000000004"/>
    <row r="19" spans="1:33" ht="21" customHeight="1" x14ac:dyDescent="0.55000000000000004">
      <c r="D19" s="35" t="s">
        <v>189</v>
      </c>
      <c r="E19" s="34"/>
      <c r="F19" s="3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c r="AF19" s="34"/>
      <c r="AG19" s="34"/>
    </row>
    <row r="26" spans="1:33" ht="21" customHeight="1" x14ac:dyDescent="0.55000000000000004">
      <c r="H26" s="26" t="s">
        <v>374</v>
      </c>
    </row>
    <row r="27" spans="1:33" ht="21" customHeight="1" x14ac:dyDescent="0.55000000000000004">
      <c r="F27" s="36"/>
      <c r="G27" s="36" t="s">
        <v>186</v>
      </c>
      <c r="H27" s="26" t="s">
        <v>375</v>
      </c>
    </row>
    <row r="28" spans="1:33" ht="21" customHeight="1" x14ac:dyDescent="0.55000000000000004">
      <c r="F28" s="36"/>
    </row>
    <row r="29" spans="1:33" ht="21" customHeight="1" x14ac:dyDescent="0.55000000000000004">
      <c r="F29" s="36"/>
      <c r="G29" s="26" t="s">
        <v>251</v>
      </c>
    </row>
    <row r="30" spans="1:33" ht="21" customHeight="1" thickBot="1" x14ac:dyDescent="0.45">
      <c r="F30" s="49" t="s">
        <v>201</v>
      </c>
      <c r="Q30" s="49" t="s">
        <v>203</v>
      </c>
    </row>
    <row r="31" spans="1:33" ht="21" customHeight="1" thickTop="1" thickBot="1" x14ac:dyDescent="0.6">
      <c r="A31" s="64" t="s">
        <v>371</v>
      </c>
      <c r="F31" s="65" t="s">
        <v>193</v>
      </c>
      <c r="G31" s="66"/>
      <c r="H31" s="66"/>
      <c r="I31" s="66"/>
      <c r="J31" s="66"/>
      <c r="K31" s="66"/>
      <c r="L31" s="66"/>
      <c r="M31" s="66"/>
      <c r="N31" s="66"/>
      <c r="O31" s="67"/>
      <c r="Q31" s="65" t="s">
        <v>341</v>
      </c>
      <c r="R31" s="67"/>
    </row>
    <row r="32" spans="1:33" ht="21" customHeight="1" thickTop="1" x14ac:dyDescent="0.55000000000000004"/>
    <row r="34" spans="4:33" ht="21" customHeight="1" x14ac:dyDescent="0.55000000000000004">
      <c r="D34" s="35" t="s">
        <v>191</v>
      </c>
      <c r="E34" s="34"/>
      <c r="F34" s="34"/>
      <c r="G34" s="34"/>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row>
    <row r="46" spans="4:33" ht="21" customHeight="1" x14ac:dyDescent="0.55000000000000004">
      <c r="F46" s="36" t="s">
        <v>186</v>
      </c>
      <c r="G46" s="26" t="s">
        <v>195</v>
      </c>
    </row>
    <row r="47" spans="4:33" ht="21" customHeight="1" x14ac:dyDescent="0.55000000000000004">
      <c r="P47" s="56" t="s">
        <v>261</v>
      </c>
      <c r="Q47" s="56"/>
      <c r="R47" s="56"/>
      <c r="S47" s="56"/>
      <c r="T47" s="26" t="s">
        <v>379</v>
      </c>
    </row>
    <row r="48" spans="4:33" ht="21" customHeight="1" x14ac:dyDescent="0.55000000000000004">
      <c r="F48" s="36"/>
      <c r="P48" s="36" t="s">
        <v>186</v>
      </c>
      <c r="Q48" s="26" t="s">
        <v>376</v>
      </c>
    </row>
    <row r="49" spans="1:33" ht="21" customHeight="1" x14ac:dyDescent="0.55000000000000004">
      <c r="F49" s="36"/>
      <c r="G49" s="26" t="s">
        <v>196</v>
      </c>
    </row>
    <row r="50" spans="1:33" ht="21" customHeight="1" x14ac:dyDescent="0.55000000000000004">
      <c r="G50" s="26" t="s">
        <v>194</v>
      </c>
    </row>
    <row r="51" spans="1:33" ht="21" customHeight="1" thickBot="1" x14ac:dyDescent="0.45">
      <c r="F51" s="46"/>
      <c r="G51" s="46"/>
      <c r="H51" s="46"/>
      <c r="I51" s="46"/>
      <c r="J51" s="46"/>
      <c r="K51" s="46"/>
      <c r="M51" s="49" t="s">
        <v>204</v>
      </c>
    </row>
    <row r="52" spans="1:33" ht="21" customHeight="1" thickTop="1" thickBot="1" x14ac:dyDescent="0.6">
      <c r="A52" s="64" t="s">
        <v>372</v>
      </c>
      <c r="F52" s="46"/>
      <c r="G52" s="23"/>
      <c r="H52" s="77" t="s">
        <v>174</v>
      </c>
      <c r="I52" s="77"/>
      <c r="J52" s="78"/>
      <c r="K52" s="46"/>
      <c r="M52" s="50" t="s">
        <v>357</v>
      </c>
      <c r="N52" s="51"/>
    </row>
    <row r="53" spans="1:33" ht="21" customHeight="1" thickTop="1" x14ac:dyDescent="0.55000000000000004">
      <c r="F53" s="46"/>
      <c r="G53" s="92" t="s">
        <v>179</v>
      </c>
      <c r="H53" s="93"/>
      <c r="I53" s="93"/>
      <c r="J53" s="94"/>
      <c r="K53" s="46"/>
    </row>
    <row r="54" spans="1:33" ht="21" customHeight="1" x14ac:dyDescent="0.55000000000000004">
      <c r="F54" s="46"/>
      <c r="G54" s="104" t="s">
        <v>180</v>
      </c>
      <c r="H54" s="105"/>
      <c r="I54" s="105"/>
      <c r="J54" s="106"/>
      <c r="K54" s="46"/>
    </row>
    <row r="55" spans="1:33" ht="21" customHeight="1" thickBot="1" x14ac:dyDescent="0.6">
      <c r="F55" s="46"/>
      <c r="G55" s="86" t="s">
        <v>181</v>
      </c>
      <c r="H55" s="87"/>
      <c r="I55" s="87"/>
      <c r="J55" s="88"/>
      <c r="K55" s="46"/>
    </row>
    <row r="56" spans="1:33" ht="21" customHeight="1" x14ac:dyDescent="0.55000000000000004">
      <c r="F56" s="46"/>
      <c r="G56" s="46"/>
      <c r="H56" s="46"/>
      <c r="I56" s="46"/>
      <c r="J56" s="46"/>
      <c r="K56" s="46"/>
    </row>
    <row r="59" spans="1:33" ht="21" customHeight="1" x14ac:dyDescent="0.55000000000000004">
      <c r="D59" s="35" t="s">
        <v>192</v>
      </c>
      <c r="E59" s="34"/>
      <c r="F59" s="34"/>
      <c r="G59" s="34"/>
      <c r="H59" s="34"/>
      <c r="I59" s="34"/>
      <c r="J59" s="34"/>
      <c r="K59" s="34"/>
      <c r="L59" s="34"/>
      <c r="M59" s="34"/>
      <c r="N59" s="34"/>
      <c r="O59" s="34"/>
      <c r="P59" s="34"/>
      <c r="Q59" s="34"/>
      <c r="R59" s="34"/>
      <c r="S59" s="34"/>
      <c r="T59" s="34"/>
      <c r="U59" s="34"/>
      <c r="V59" s="34"/>
      <c r="W59" s="34"/>
      <c r="X59" s="34"/>
      <c r="Y59" s="34"/>
      <c r="Z59" s="34"/>
      <c r="AA59" s="34"/>
      <c r="AB59" s="34"/>
      <c r="AC59" s="34"/>
      <c r="AD59" s="34"/>
      <c r="AE59" s="34"/>
      <c r="AF59" s="34"/>
      <c r="AG59" s="34"/>
    </row>
    <row r="79" spans="7:8" ht="21" customHeight="1" x14ac:dyDescent="0.55000000000000004">
      <c r="H79" s="26" t="s">
        <v>380</v>
      </c>
    </row>
    <row r="80" spans="7:8" ht="21" customHeight="1" x14ac:dyDescent="0.55000000000000004">
      <c r="G80" s="36" t="s">
        <v>186</v>
      </c>
      <c r="H80" s="26" t="s">
        <v>381</v>
      </c>
    </row>
    <row r="82" spans="1:23" ht="21" customHeight="1" x14ac:dyDescent="0.55000000000000004">
      <c r="G82" s="26" t="s">
        <v>194</v>
      </c>
    </row>
    <row r="83" spans="1:23" ht="21" customHeight="1" thickBot="1" x14ac:dyDescent="0.45">
      <c r="F83" s="47"/>
      <c r="G83" s="47"/>
      <c r="H83" s="47"/>
      <c r="I83" s="47"/>
      <c r="J83" s="47"/>
      <c r="K83" s="47"/>
      <c r="L83" s="47"/>
      <c r="M83" s="47"/>
      <c r="N83" s="47"/>
      <c r="O83" s="47"/>
      <c r="Q83" s="49" t="s">
        <v>205</v>
      </c>
      <c r="V83" s="49" t="s">
        <v>204</v>
      </c>
    </row>
    <row r="84" spans="1:23" ht="21" customHeight="1" thickTop="1" thickBot="1" x14ac:dyDescent="0.6">
      <c r="A84" s="64" t="s">
        <v>373</v>
      </c>
      <c r="F84" s="47"/>
      <c r="G84" s="26" t="s">
        <v>198</v>
      </c>
      <c r="H84" s="107" t="s">
        <v>183</v>
      </c>
      <c r="I84" s="108"/>
      <c r="J84" s="108"/>
      <c r="K84" s="109" t="s">
        <v>182</v>
      </c>
      <c r="L84" s="110"/>
      <c r="M84" s="97" t="s">
        <v>185</v>
      </c>
      <c r="N84" s="97"/>
      <c r="O84" s="47"/>
      <c r="Q84" s="65" t="s">
        <v>382</v>
      </c>
      <c r="R84" s="66"/>
      <c r="S84" s="66"/>
      <c r="T84" s="67"/>
      <c r="V84" s="65" t="s">
        <v>358</v>
      </c>
      <c r="W84" s="67"/>
    </row>
    <row r="85" spans="1:23" ht="21" customHeight="1" thickTop="1" x14ac:dyDescent="0.55000000000000004">
      <c r="F85" s="47"/>
      <c r="G85" s="26">
        <v>1</v>
      </c>
      <c r="H85" s="111">
        <v>1000000</v>
      </c>
      <c r="I85" s="83"/>
      <c r="J85" s="83"/>
      <c r="K85" s="112"/>
      <c r="L85" s="113"/>
      <c r="M85" s="114"/>
      <c r="N85" s="114"/>
      <c r="O85" s="47"/>
    </row>
    <row r="86" spans="1:23" ht="21" customHeight="1" x14ac:dyDescent="0.55000000000000004">
      <c r="F86" s="47"/>
      <c r="G86" s="26">
        <v>2</v>
      </c>
      <c r="H86" s="111">
        <v>500000</v>
      </c>
      <c r="I86" s="83"/>
      <c r="J86" s="83"/>
      <c r="K86" s="115"/>
      <c r="L86" s="116"/>
      <c r="M86" s="114"/>
      <c r="N86" s="114"/>
      <c r="O86" s="47"/>
    </row>
    <row r="87" spans="1:23" ht="21" customHeight="1" x14ac:dyDescent="0.55000000000000004">
      <c r="F87" s="47"/>
      <c r="G87" s="26">
        <v>3</v>
      </c>
      <c r="H87" s="111">
        <v>250000</v>
      </c>
      <c r="I87" s="83"/>
      <c r="J87" s="83"/>
      <c r="K87" s="117"/>
      <c r="L87" s="118"/>
      <c r="M87" s="114"/>
      <c r="N87" s="114"/>
      <c r="O87" s="47"/>
    </row>
    <row r="88" spans="1:23" ht="21" customHeight="1" x14ac:dyDescent="0.55000000000000004">
      <c r="F88" s="47"/>
      <c r="G88" s="26">
        <v>4</v>
      </c>
      <c r="H88" s="111">
        <v>125000</v>
      </c>
      <c r="I88" s="83"/>
      <c r="J88" s="83"/>
      <c r="K88" s="121"/>
      <c r="L88" s="122"/>
      <c r="M88" s="123"/>
      <c r="N88" s="123"/>
      <c r="O88" s="47"/>
    </row>
    <row r="89" spans="1:23" ht="21" customHeight="1" x14ac:dyDescent="0.55000000000000004">
      <c r="F89" s="47"/>
      <c r="G89" s="26">
        <v>5</v>
      </c>
      <c r="H89" s="111">
        <v>62500</v>
      </c>
      <c r="I89" s="83"/>
      <c r="J89" s="83"/>
      <c r="K89" s="124"/>
      <c r="L89" s="125"/>
      <c r="M89" s="123"/>
      <c r="N89" s="123"/>
      <c r="O89" s="47"/>
    </row>
    <row r="90" spans="1:23" ht="21" customHeight="1" x14ac:dyDescent="0.55000000000000004">
      <c r="F90" s="47"/>
      <c r="G90" s="26">
        <v>6</v>
      </c>
      <c r="H90" s="111">
        <v>31250</v>
      </c>
      <c r="I90" s="83"/>
      <c r="J90" s="83"/>
      <c r="K90" s="126"/>
      <c r="L90" s="127"/>
      <c r="M90" s="123"/>
      <c r="N90" s="123"/>
      <c r="O90" s="47"/>
    </row>
    <row r="91" spans="1:23" ht="21" customHeight="1" x14ac:dyDescent="0.55000000000000004">
      <c r="F91" s="47"/>
      <c r="G91" s="26">
        <v>7</v>
      </c>
      <c r="H91" s="111">
        <v>15625</v>
      </c>
      <c r="I91" s="83"/>
      <c r="J91" s="83"/>
      <c r="K91" s="128"/>
      <c r="L91" s="129"/>
      <c r="M91" s="123"/>
      <c r="N91" s="123"/>
      <c r="O91" s="47"/>
    </row>
    <row r="92" spans="1:23" ht="21" customHeight="1" x14ac:dyDescent="0.55000000000000004">
      <c r="F92" s="47"/>
      <c r="G92" s="26">
        <v>8</v>
      </c>
      <c r="H92" s="111">
        <v>7812</v>
      </c>
      <c r="I92" s="83"/>
      <c r="J92" s="83"/>
      <c r="K92" s="130"/>
      <c r="L92" s="131"/>
      <c r="M92" s="123"/>
      <c r="N92" s="123"/>
      <c r="O92" s="47"/>
    </row>
    <row r="93" spans="1:23" ht="21" customHeight="1" x14ac:dyDescent="0.55000000000000004">
      <c r="F93" s="47"/>
      <c r="G93" s="26">
        <v>9</v>
      </c>
      <c r="H93" s="111">
        <v>3906</v>
      </c>
      <c r="I93" s="83"/>
      <c r="J93" s="83"/>
      <c r="K93" s="132"/>
      <c r="L93" s="133"/>
      <c r="M93" s="123"/>
      <c r="N93" s="123"/>
      <c r="O93" s="47"/>
    </row>
    <row r="94" spans="1:23" ht="21" customHeight="1" x14ac:dyDescent="0.55000000000000004">
      <c r="F94" s="47"/>
      <c r="G94" s="26">
        <v>10</v>
      </c>
      <c r="H94" s="111">
        <v>1953</v>
      </c>
      <c r="I94" s="83"/>
      <c r="J94" s="83"/>
      <c r="K94" s="134"/>
      <c r="L94" s="135"/>
      <c r="M94" s="123"/>
      <c r="N94" s="123"/>
      <c r="O94" s="47"/>
    </row>
    <row r="95" spans="1:23" ht="21" customHeight="1" thickBot="1" x14ac:dyDescent="0.6">
      <c r="F95" s="47"/>
      <c r="G95" s="26">
        <v>11</v>
      </c>
      <c r="H95" s="136">
        <v>0</v>
      </c>
      <c r="I95" s="137"/>
      <c r="J95" s="137"/>
      <c r="K95" s="138"/>
      <c r="L95" s="139"/>
      <c r="M95" s="123"/>
      <c r="N95" s="123"/>
      <c r="O95" s="47"/>
    </row>
    <row r="96" spans="1:23" ht="21" customHeight="1" x14ac:dyDescent="0.55000000000000004">
      <c r="F96" s="47"/>
      <c r="G96" s="26">
        <v>12</v>
      </c>
      <c r="H96" s="83"/>
      <c r="I96" s="83"/>
      <c r="J96" s="83"/>
      <c r="K96" s="84"/>
      <c r="L96" s="84"/>
      <c r="M96" s="85"/>
      <c r="N96" s="85"/>
      <c r="O96" s="47"/>
    </row>
    <row r="97" spans="4:33" ht="21" customHeight="1" x14ac:dyDescent="0.55000000000000004">
      <c r="F97" s="47"/>
      <c r="G97" s="26">
        <v>13</v>
      </c>
      <c r="H97" s="83"/>
      <c r="I97" s="83"/>
      <c r="J97" s="83"/>
      <c r="K97" s="84"/>
      <c r="L97" s="84"/>
      <c r="M97" s="85"/>
      <c r="N97" s="85"/>
      <c r="O97" s="47"/>
    </row>
    <row r="98" spans="4:33" ht="21" customHeight="1" x14ac:dyDescent="0.55000000000000004">
      <c r="F98" s="47"/>
      <c r="G98" s="26">
        <v>14</v>
      </c>
      <c r="H98" s="83"/>
      <c r="I98" s="83"/>
      <c r="J98" s="83"/>
      <c r="K98" s="84"/>
      <c r="L98" s="84"/>
      <c r="M98" s="85"/>
      <c r="N98" s="85"/>
      <c r="O98" s="47"/>
    </row>
    <row r="99" spans="4:33" ht="21" customHeight="1" x14ac:dyDescent="0.55000000000000004">
      <c r="F99" s="47"/>
      <c r="G99" s="26">
        <v>15</v>
      </c>
      <c r="H99" s="83"/>
      <c r="I99" s="83"/>
      <c r="J99" s="83"/>
      <c r="K99" s="84"/>
      <c r="L99" s="84"/>
      <c r="M99" s="85"/>
      <c r="N99" s="85"/>
      <c r="O99" s="47"/>
    </row>
    <row r="100" spans="4:33" ht="21" customHeight="1" x14ac:dyDescent="0.55000000000000004">
      <c r="F100" s="47"/>
      <c r="G100" s="26">
        <v>16</v>
      </c>
      <c r="H100" s="83"/>
      <c r="I100" s="83"/>
      <c r="J100" s="83"/>
      <c r="K100" s="84"/>
      <c r="L100" s="84"/>
      <c r="M100" s="85"/>
      <c r="N100" s="85"/>
      <c r="O100" s="47"/>
    </row>
    <row r="101" spans="4:33" ht="21" customHeight="1" x14ac:dyDescent="0.55000000000000004">
      <c r="F101" s="47"/>
      <c r="G101" s="26">
        <v>17</v>
      </c>
      <c r="H101" s="83"/>
      <c r="I101" s="83"/>
      <c r="J101" s="83"/>
      <c r="K101" s="84"/>
      <c r="L101" s="84"/>
      <c r="M101" s="85"/>
      <c r="N101" s="85"/>
      <c r="O101" s="47"/>
    </row>
    <row r="102" spans="4:33" ht="21" customHeight="1" x14ac:dyDescent="0.55000000000000004">
      <c r="F102" s="47"/>
      <c r="G102" s="26">
        <v>18</v>
      </c>
      <c r="H102" s="83"/>
      <c r="I102" s="83"/>
      <c r="J102" s="83"/>
      <c r="K102" s="84"/>
      <c r="L102" s="84"/>
      <c r="M102" s="85"/>
      <c r="N102" s="85"/>
      <c r="O102" s="47"/>
    </row>
    <row r="103" spans="4:33" ht="21" customHeight="1" x14ac:dyDescent="0.55000000000000004">
      <c r="F103" s="47"/>
      <c r="G103" s="26">
        <v>19</v>
      </c>
      <c r="H103" s="83"/>
      <c r="I103" s="83"/>
      <c r="J103" s="83"/>
      <c r="K103" s="84"/>
      <c r="L103" s="84"/>
      <c r="M103" s="85"/>
      <c r="N103" s="85"/>
      <c r="O103" s="47"/>
    </row>
    <row r="104" spans="4:33" ht="21" customHeight="1" x14ac:dyDescent="0.55000000000000004">
      <c r="F104" s="47"/>
      <c r="G104" s="26">
        <v>20</v>
      </c>
      <c r="H104" s="83"/>
      <c r="I104" s="83"/>
      <c r="J104" s="83"/>
      <c r="K104" s="84"/>
      <c r="L104" s="84"/>
      <c r="M104" s="85"/>
      <c r="N104" s="85"/>
      <c r="O104" s="47"/>
    </row>
    <row r="105" spans="4:33" ht="21" customHeight="1" x14ac:dyDescent="0.55000000000000004">
      <c r="F105" s="47"/>
      <c r="G105" s="47"/>
      <c r="H105" s="47"/>
      <c r="I105" s="47"/>
      <c r="J105" s="47"/>
      <c r="K105" s="47"/>
      <c r="L105" s="47"/>
      <c r="M105" s="47"/>
      <c r="N105" s="47"/>
      <c r="O105" s="47"/>
    </row>
    <row r="108" spans="4:33" ht="21" customHeight="1" x14ac:dyDescent="0.55000000000000004">
      <c r="D108" s="35" t="s">
        <v>192</v>
      </c>
      <c r="E108" s="34"/>
      <c r="F108" s="34"/>
      <c r="G108" s="34"/>
      <c r="H108" s="34"/>
      <c r="I108" s="34"/>
      <c r="J108" s="34"/>
      <c r="K108" s="34"/>
      <c r="L108" s="34"/>
      <c r="M108" s="34"/>
      <c r="N108" s="34"/>
      <c r="O108" s="34"/>
      <c r="P108" s="34"/>
      <c r="Q108" s="34"/>
      <c r="R108" s="34"/>
      <c r="S108" s="34"/>
      <c r="T108" s="34"/>
      <c r="U108" s="34"/>
      <c r="V108" s="34"/>
      <c r="W108" s="34"/>
      <c r="X108" s="34"/>
      <c r="Y108" s="34"/>
      <c r="Z108" s="34"/>
      <c r="AA108" s="34"/>
      <c r="AB108" s="34"/>
      <c r="AC108" s="34"/>
      <c r="AD108" s="34"/>
      <c r="AE108" s="34"/>
      <c r="AF108" s="34"/>
      <c r="AG108" s="34"/>
    </row>
    <row r="110" spans="4:33" ht="21" customHeight="1" thickBot="1" x14ac:dyDescent="0.6">
      <c r="F110" s="36" t="s">
        <v>186</v>
      </c>
      <c r="G110" s="26" t="s">
        <v>187</v>
      </c>
    </row>
    <row r="111" spans="4:33" ht="21" customHeight="1" x14ac:dyDescent="0.55000000000000004">
      <c r="F111" s="37"/>
      <c r="G111" s="38"/>
      <c r="H111" s="38"/>
      <c r="I111" s="38"/>
      <c r="J111" s="38"/>
      <c r="K111" s="38"/>
      <c r="L111" s="38"/>
      <c r="M111" s="38"/>
      <c r="N111" s="39"/>
    </row>
    <row r="112" spans="4:33" ht="21" customHeight="1" x14ac:dyDescent="0.55000000000000004">
      <c r="F112" s="40"/>
      <c r="N112" s="41"/>
    </row>
    <row r="113" spans="6:14" ht="21" customHeight="1" x14ac:dyDescent="0.55000000000000004">
      <c r="F113" s="40"/>
      <c r="N113" s="41"/>
    </row>
    <row r="114" spans="6:14" ht="21" customHeight="1" thickBot="1" x14ac:dyDescent="0.6">
      <c r="F114" s="42"/>
      <c r="G114" s="43"/>
      <c r="H114" s="43"/>
      <c r="I114" s="43"/>
      <c r="J114" s="43"/>
      <c r="K114" s="43"/>
      <c r="L114" s="43"/>
      <c r="M114" s="43"/>
      <c r="N114" s="44"/>
    </row>
    <row r="133" spans="1:8" ht="21" customHeight="1" x14ac:dyDescent="0.55000000000000004">
      <c r="H133" s="26" t="s">
        <v>253</v>
      </c>
    </row>
    <row r="135" spans="1:8" ht="21" customHeight="1" x14ac:dyDescent="0.55000000000000004">
      <c r="B135" s="26" t="s">
        <v>183</v>
      </c>
    </row>
    <row r="136" spans="1:8" ht="21" customHeight="1" x14ac:dyDescent="0.55000000000000004">
      <c r="A136" s="64" t="s">
        <v>342</v>
      </c>
    </row>
  </sheetData>
  <mergeCells count="73">
    <mergeCell ref="V84:W84"/>
    <mergeCell ref="H103:J103"/>
    <mergeCell ref="H104:J104"/>
    <mergeCell ref="K104:L104"/>
    <mergeCell ref="H84:J84"/>
    <mergeCell ref="H86:J86"/>
    <mergeCell ref="H87:J87"/>
    <mergeCell ref="H88:J88"/>
    <mergeCell ref="H89:J89"/>
    <mergeCell ref="H90:J90"/>
    <mergeCell ref="H91:J91"/>
    <mergeCell ref="H92:J92"/>
    <mergeCell ref="H93:J93"/>
    <mergeCell ref="H94:J94"/>
    <mergeCell ref="H95:J95"/>
    <mergeCell ref="H96:J96"/>
    <mergeCell ref="H97:J97"/>
    <mergeCell ref="M90:N90"/>
    <mergeCell ref="M103:N103"/>
    <mergeCell ref="M94:N94"/>
    <mergeCell ref="M95:N95"/>
    <mergeCell ref="M96:N96"/>
    <mergeCell ref="M91:N91"/>
    <mergeCell ref="M92:N92"/>
    <mergeCell ref="M93:N93"/>
    <mergeCell ref="H100:J100"/>
    <mergeCell ref="H101:J101"/>
    <mergeCell ref="H102:J102"/>
    <mergeCell ref="H98:J98"/>
    <mergeCell ref="H99:J99"/>
    <mergeCell ref="M104:N104"/>
    <mergeCell ref="K86:L86"/>
    <mergeCell ref="K87:L87"/>
    <mergeCell ref="K88:L88"/>
    <mergeCell ref="K91:L91"/>
    <mergeCell ref="K94:L94"/>
    <mergeCell ref="K90:L90"/>
    <mergeCell ref="K89:L89"/>
    <mergeCell ref="M87:N87"/>
    <mergeCell ref="M86:N86"/>
    <mergeCell ref="M100:N100"/>
    <mergeCell ref="M101:N101"/>
    <mergeCell ref="M102:N102"/>
    <mergeCell ref="M97:N97"/>
    <mergeCell ref="M98:N98"/>
    <mergeCell ref="M99:N99"/>
    <mergeCell ref="M88:N88"/>
    <mergeCell ref="M89:N89"/>
    <mergeCell ref="K100:L100"/>
    <mergeCell ref="K103:L103"/>
    <mergeCell ref="K93:L93"/>
    <mergeCell ref="K92:L92"/>
    <mergeCell ref="K102:L102"/>
    <mergeCell ref="K101:L101"/>
    <mergeCell ref="K96:L96"/>
    <mergeCell ref="K95:L95"/>
    <mergeCell ref="K99:L99"/>
    <mergeCell ref="K98:L98"/>
    <mergeCell ref="K97:L97"/>
    <mergeCell ref="Q31:R31"/>
    <mergeCell ref="H85:J85"/>
    <mergeCell ref="F16:O16"/>
    <mergeCell ref="H52:J52"/>
    <mergeCell ref="G53:J53"/>
    <mergeCell ref="G54:J54"/>
    <mergeCell ref="G55:J55"/>
    <mergeCell ref="F31:O31"/>
    <mergeCell ref="M85:N85"/>
    <mergeCell ref="M84:N84"/>
    <mergeCell ref="K84:L84"/>
    <mergeCell ref="K85:L85"/>
    <mergeCell ref="Q16:T16"/>
    <mergeCell ref="Q84:T84"/>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設定_人口_ボタン1_Click">
                <anchor moveWithCells="1" sizeWithCells="1">
                  <from>
                    <xdr:col>6</xdr:col>
                    <xdr:colOff>82550</xdr:colOff>
                    <xdr:row>110</xdr:row>
                    <xdr:rowOff>184150</xdr:rowOff>
                  </from>
                  <to>
                    <xdr:col>12</xdr:col>
                    <xdr:colOff>139700</xdr:colOff>
                    <xdr:row>113</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EE00F-8FF5-4B69-9CE9-BB2BF060ED60}">
  <sheetPr codeName="Sheet23"/>
  <dimension ref="A1:CD40"/>
  <sheetViews>
    <sheetView zoomScale="70" zoomScaleNormal="70" workbookViewId="0"/>
  </sheetViews>
  <sheetFormatPr defaultColWidth="3.5" defaultRowHeight="21.15" customHeight="1" x14ac:dyDescent="0.55000000000000004"/>
  <sheetData>
    <row r="1" spans="1:82" ht="21.15" customHeight="1" x14ac:dyDescent="0.55000000000000004">
      <c r="A1" s="162"/>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162"/>
      <c r="CD1" s="162"/>
    </row>
    <row r="2" spans="1:82" ht="21.15" customHeight="1" thickBot="1" x14ac:dyDescent="0.6">
      <c r="A2" s="162"/>
      <c r="B2" s="163"/>
      <c r="C2" s="163"/>
      <c r="D2" s="163"/>
      <c r="E2" s="163"/>
      <c r="F2" s="163"/>
      <c r="G2" s="163"/>
      <c r="H2" s="163"/>
      <c r="I2" s="163"/>
      <c r="J2" s="163"/>
      <c r="K2" s="163"/>
      <c r="L2" s="163"/>
      <c r="M2" s="163"/>
      <c r="N2" s="163"/>
      <c r="O2" s="163"/>
      <c r="P2" s="163"/>
      <c r="Q2" s="163"/>
      <c r="R2" s="163"/>
      <c r="S2" s="163"/>
      <c r="T2" s="163"/>
      <c r="U2" s="163"/>
      <c r="V2" s="163"/>
      <c r="W2" s="163"/>
      <c r="X2" s="163"/>
      <c r="Y2" s="163"/>
      <c r="Z2" s="163"/>
      <c r="AA2" s="163"/>
      <c r="AB2" s="163"/>
      <c r="AC2" s="163"/>
      <c r="AD2" s="163"/>
      <c r="AE2" s="163"/>
      <c r="AF2" s="163"/>
      <c r="AG2" s="163"/>
      <c r="AH2" s="163"/>
      <c r="AI2" s="163"/>
      <c r="AJ2" s="163"/>
      <c r="AK2" s="163"/>
      <c r="AL2" s="163"/>
      <c r="AM2" s="163"/>
      <c r="AN2" s="163"/>
      <c r="AO2" s="163"/>
      <c r="AP2" s="163"/>
      <c r="AQ2" s="163"/>
      <c r="AR2" s="163"/>
      <c r="AS2" s="163"/>
      <c r="AT2" s="163"/>
      <c r="AU2" s="163"/>
      <c r="AV2" s="163"/>
      <c r="AW2" s="163"/>
      <c r="AX2" s="163"/>
      <c r="AY2" s="163"/>
      <c r="AZ2" s="163"/>
      <c r="BA2" s="163"/>
      <c r="BB2" s="163"/>
      <c r="BC2" s="163"/>
      <c r="BD2" s="163"/>
      <c r="BE2" s="163"/>
      <c r="BF2" s="163"/>
      <c r="BG2" s="163"/>
      <c r="BH2" s="163"/>
      <c r="BI2" s="163"/>
      <c r="BJ2" s="163"/>
      <c r="BK2" s="163"/>
      <c r="BL2" s="163"/>
      <c r="BM2" s="163"/>
      <c r="BN2" s="163"/>
      <c r="BO2" s="163"/>
      <c r="BP2" s="163"/>
      <c r="BQ2" s="163"/>
      <c r="BR2" s="163"/>
      <c r="BS2" s="163"/>
      <c r="BT2" s="163"/>
      <c r="BU2" s="163"/>
      <c r="BV2" s="163"/>
      <c r="BW2" s="163"/>
      <c r="BX2" s="163"/>
      <c r="BY2" s="163"/>
      <c r="BZ2" s="163"/>
      <c r="CA2" s="163"/>
      <c r="CB2" s="163"/>
      <c r="CC2" s="163"/>
      <c r="CD2" s="162"/>
    </row>
    <row r="3" spans="1:82" ht="21.15" customHeight="1" x14ac:dyDescent="0.55000000000000004">
      <c r="A3" s="162"/>
      <c r="B3" s="163"/>
      <c r="C3" s="182"/>
      <c r="D3" s="166" t="s">
        <v>236</v>
      </c>
      <c r="E3" s="239"/>
      <c r="F3" s="240"/>
      <c r="G3" s="164" t="s">
        <v>225</v>
      </c>
      <c r="H3" s="163"/>
      <c r="I3" s="163"/>
      <c r="J3" s="163"/>
      <c r="K3" s="164" t="s">
        <v>224</v>
      </c>
      <c r="L3" s="163"/>
      <c r="M3" s="163"/>
      <c r="N3" s="163"/>
      <c r="O3" s="164" t="s">
        <v>223</v>
      </c>
      <c r="P3" s="163"/>
      <c r="Q3" s="163"/>
      <c r="R3" s="163"/>
      <c r="S3" s="164" t="s">
        <v>222</v>
      </c>
      <c r="T3" s="163"/>
      <c r="U3" s="163"/>
      <c r="V3" s="163"/>
      <c r="W3" s="164" t="s">
        <v>221</v>
      </c>
      <c r="X3" s="163"/>
      <c r="Y3" s="163"/>
      <c r="Z3" s="163"/>
      <c r="AA3" s="164" t="s">
        <v>220</v>
      </c>
      <c r="AB3" s="163"/>
      <c r="AC3" s="163"/>
      <c r="AD3" s="163"/>
      <c r="AE3" s="164" t="s">
        <v>219</v>
      </c>
      <c r="AF3" s="163"/>
      <c r="AG3" s="163"/>
      <c r="AH3" s="163"/>
      <c r="AI3" s="164" t="s">
        <v>218</v>
      </c>
      <c r="AJ3" s="163"/>
      <c r="AK3" s="163"/>
      <c r="AL3" s="163"/>
      <c r="AM3" s="164" t="s">
        <v>217</v>
      </c>
      <c r="AN3" s="163"/>
      <c r="AO3" s="163"/>
      <c r="AP3" s="163"/>
      <c r="AQ3" s="164" t="s">
        <v>216</v>
      </c>
      <c r="AR3" s="163"/>
      <c r="AS3" s="163"/>
      <c r="AT3" s="163"/>
      <c r="AU3" s="164" t="s">
        <v>215</v>
      </c>
      <c r="AV3" s="163"/>
      <c r="AW3" s="163"/>
      <c r="AX3" s="163"/>
      <c r="AY3" s="164" t="s">
        <v>214</v>
      </c>
      <c r="AZ3" s="163"/>
      <c r="BA3" s="163"/>
      <c r="BB3" s="163"/>
      <c r="BC3" s="164" t="s">
        <v>213</v>
      </c>
      <c r="BD3" s="163"/>
      <c r="BE3" s="163"/>
      <c r="BF3" s="163"/>
      <c r="BG3" s="164" t="s">
        <v>212</v>
      </c>
      <c r="BH3" s="163"/>
      <c r="BI3" s="163"/>
      <c r="BJ3" s="163"/>
      <c r="BK3" s="164" t="s">
        <v>211</v>
      </c>
      <c r="BL3" s="163"/>
      <c r="BM3" s="163"/>
      <c r="BN3" s="163"/>
      <c r="BO3" s="164" t="s">
        <v>210</v>
      </c>
      <c r="BP3" s="163"/>
      <c r="BQ3" s="163"/>
      <c r="BR3" s="163"/>
      <c r="BS3" s="164" t="s">
        <v>209</v>
      </c>
      <c r="BT3" s="163"/>
      <c r="BU3" s="163"/>
      <c r="BV3" s="163"/>
      <c r="BW3" s="163"/>
      <c r="BX3" s="163"/>
      <c r="BY3" s="163"/>
      <c r="BZ3" s="163"/>
      <c r="CA3" s="163"/>
      <c r="CB3" s="163"/>
      <c r="CC3" s="163"/>
      <c r="CD3" s="162"/>
    </row>
    <row r="4" spans="1:82" ht="21.15" customHeight="1" x14ac:dyDescent="0.55000000000000004">
      <c r="A4" s="162"/>
      <c r="B4" s="163"/>
      <c r="C4" s="185" t="s">
        <v>237</v>
      </c>
      <c r="D4" s="193"/>
      <c r="E4" s="193"/>
      <c r="F4" s="243"/>
      <c r="G4" s="163"/>
      <c r="H4" s="163"/>
      <c r="I4" s="163"/>
      <c r="J4" s="163"/>
      <c r="K4" s="163"/>
      <c r="L4" s="163"/>
      <c r="M4" s="163"/>
      <c r="N4" s="163"/>
      <c r="O4" s="163"/>
      <c r="P4" s="163"/>
      <c r="Q4" s="163"/>
      <c r="R4" s="163"/>
      <c r="S4" s="163"/>
      <c r="T4" s="163"/>
      <c r="U4" s="163"/>
      <c r="V4" s="163"/>
      <c r="W4" s="163"/>
      <c r="X4" s="163"/>
      <c r="Y4" s="163"/>
      <c r="Z4" s="163"/>
      <c r="AA4" s="163"/>
      <c r="AB4" s="163"/>
      <c r="AC4" s="163"/>
      <c r="AD4" s="163"/>
      <c r="AE4" s="163"/>
      <c r="AF4" s="163"/>
      <c r="AG4" s="163"/>
      <c r="AH4" s="163"/>
      <c r="AI4" s="163"/>
      <c r="AJ4" s="163"/>
      <c r="AK4" s="163"/>
      <c r="AL4" s="163"/>
      <c r="AM4" s="163"/>
      <c r="AN4" s="163"/>
      <c r="AO4" s="163"/>
      <c r="AP4" s="163"/>
      <c r="AQ4" s="163"/>
      <c r="AR4" s="163"/>
      <c r="AS4" s="163"/>
      <c r="AT4" s="163"/>
      <c r="AU4" s="163"/>
      <c r="AV4" s="163"/>
      <c r="AW4" s="163"/>
      <c r="AX4" s="163"/>
      <c r="AY4" s="163"/>
      <c r="AZ4" s="163"/>
      <c r="BA4" s="163"/>
      <c r="BB4" s="163"/>
      <c r="BC4" s="163"/>
      <c r="BD4" s="163"/>
      <c r="BE4" s="163"/>
      <c r="BF4" s="163"/>
      <c r="BG4" s="163"/>
      <c r="BH4" s="163"/>
      <c r="BI4" s="163"/>
      <c r="BJ4" s="163"/>
      <c r="BK4" s="163"/>
      <c r="BL4" s="163"/>
      <c r="BM4" s="163"/>
      <c r="BN4" s="163"/>
      <c r="BO4" s="163"/>
      <c r="BP4" s="163"/>
      <c r="BQ4" s="163"/>
      <c r="BR4" s="163"/>
      <c r="BS4" s="163"/>
      <c r="BT4" s="163"/>
      <c r="BU4" s="163"/>
      <c r="BV4" s="163"/>
      <c r="BW4" s="163"/>
      <c r="BX4" s="163"/>
      <c r="BY4" s="163"/>
      <c r="BZ4" s="163"/>
      <c r="CA4" s="163"/>
      <c r="CB4" s="163"/>
      <c r="CC4" s="163"/>
      <c r="CD4" s="162"/>
    </row>
    <row r="5" spans="1:82" ht="21.15" customHeight="1" x14ac:dyDescent="0.55000000000000004">
      <c r="A5" s="162"/>
      <c r="B5" s="163"/>
      <c r="C5" s="183" t="s">
        <v>238</v>
      </c>
      <c r="D5" s="193"/>
      <c r="E5" s="193"/>
      <c r="F5" s="243"/>
      <c r="G5" s="163"/>
      <c r="H5" s="163"/>
      <c r="I5" s="163"/>
      <c r="J5" s="163"/>
      <c r="K5" s="163"/>
      <c r="L5" s="163"/>
      <c r="M5" s="163"/>
      <c r="N5" s="163"/>
      <c r="O5" s="163"/>
      <c r="P5" s="163"/>
      <c r="Q5" s="163"/>
      <c r="R5" s="163"/>
      <c r="S5" s="163"/>
      <c r="T5" s="163"/>
      <c r="U5" s="163"/>
      <c r="V5" s="163"/>
      <c r="W5" s="163"/>
      <c r="X5" s="163"/>
      <c r="Y5" s="163"/>
      <c r="Z5" s="163"/>
      <c r="AA5" s="163"/>
      <c r="AB5" s="163"/>
      <c r="AC5" s="163"/>
      <c r="AD5" s="163"/>
      <c r="AE5" s="163"/>
      <c r="AF5" s="163"/>
      <c r="AG5" s="163"/>
      <c r="AH5" s="163"/>
      <c r="AI5" s="163"/>
      <c r="AJ5" s="163"/>
      <c r="AK5" s="163"/>
      <c r="AL5" s="163"/>
      <c r="AM5" s="163"/>
      <c r="AN5" s="163"/>
      <c r="AO5" s="163"/>
      <c r="AP5" s="163"/>
      <c r="AQ5" s="163"/>
      <c r="AR5" s="163"/>
      <c r="AS5" s="163"/>
      <c r="AT5" s="163"/>
      <c r="AU5" s="163"/>
      <c r="AV5" s="163"/>
      <c r="AW5" s="163"/>
      <c r="AX5" s="163"/>
      <c r="AY5" s="163"/>
      <c r="AZ5" s="163"/>
      <c r="BA5" s="163"/>
      <c r="BB5" s="163"/>
      <c r="BC5" s="163"/>
      <c r="BD5" s="163"/>
      <c r="BE5" s="163"/>
      <c r="BF5" s="163"/>
      <c r="BG5" s="163"/>
      <c r="BH5" s="163"/>
      <c r="BI5" s="163"/>
      <c r="BJ5" s="163"/>
      <c r="BK5" s="163"/>
      <c r="BL5" s="163"/>
      <c r="BM5" s="163"/>
      <c r="BN5" s="163"/>
      <c r="BO5" s="163"/>
      <c r="BP5" s="163"/>
      <c r="BQ5" s="163"/>
      <c r="BR5" s="163"/>
      <c r="BS5" s="163"/>
      <c r="BT5" s="163"/>
      <c r="BU5" s="163"/>
      <c r="BV5" s="163"/>
      <c r="BW5" s="163"/>
      <c r="BX5" s="163"/>
      <c r="BY5" s="163"/>
      <c r="BZ5" s="163"/>
      <c r="CA5" s="163"/>
      <c r="CB5" s="163"/>
      <c r="CC5" s="163"/>
      <c r="CD5" s="162"/>
    </row>
    <row r="6" spans="1:82" ht="21.15" customHeight="1" thickBot="1" x14ac:dyDescent="0.6">
      <c r="A6" s="162"/>
      <c r="B6" s="163"/>
      <c r="C6" s="186" t="s">
        <v>356</v>
      </c>
      <c r="D6" s="212"/>
      <c r="E6" s="212"/>
      <c r="F6" s="244"/>
      <c r="G6" s="163"/>
      <c r="H6" s="163"/>
      <c r="I6" s="163"/>
      <c r="J6" s="163"/>
      <c r="K6" s="163"/>
      <c r="L6" s="163"/>
      <c r="M6" s="163"/>
      <c r="N6" s="163"/>
      <c r="O6" s="163"/>
      <c r="P6" s="163"/>
      <c r="Q6" s="163"/>
      <c r="R6" s="163"/>
      <c r="S6" s="163"/>
      <c r="T6" s="163"/>
      <c r="U6" s="163"/>
      <c r="V6" s="163"/>
      <c r="W6" s="163"/>
      <c r="X6" s="163"/>
      <c r="Y6" s="163"/>
      <c r="Z6" s="163"/>
      <c r="AA6" s="163"/>
      <c r="AB6" s="163"/>
      <c r="AC6" s="163"/>
      <c r="AD6" s="163"/>
      <c r="AE6" s="163"/>
      <c r="AF6" s="163"/>
      <c r="AG6" s="163"/>
      <c r="AH6" s="163"/>
      <c r="AI6" s="163"/>
      <c r="AJ6" s="163"/>
      <c r="AK6" s="163"/>
      <c r="AL6" s="163"/>
      <c r="AM6" s="163"/>
      <c r="AN6" s="163"/>
      <c r="AO6" s="163"/>
      <c r="AP6" s="163"/>
      <c r="AQ6" s="163"/>
      <c r="AR6" s="163"/>
      <c r="AS6" s="163"/>
      <c r="AT6" s="163"/>
      <c r="AU6" s="163"/>
      <c r="AV6" s="163"/>
      <c r="AW6" s="163"/>
      <c r="AX6" s="163"/>
      <c r="AY6" s="163"/>
      <c r="AZ6" s="163"/>
      <c r="BA6" s="163"/>
      <c r="BB6" s="163"/>
      <c r="BC6" s="163"/>
      <c r="BD6" s="163"/>
      <c r="BE6" s="163"/>
      <c r="BF6" s="163"/>
      <c r="BG6" s="163"/>
      <c r="BH6" s="163"/>
      <c r="BI6" s="163"/>
      <c r="BJ6" s="163"/>
      <c r="BK6" s="163"/>
      <c r="BL6" s="163"/>
      <c r="BM6" s="163"/>
      <c r="BN6" s="163"/>
      <c r="BO6" s="163"/>
      <c r="BP6" s="163"/>
      <c r="BQ6" s="163"/>
      <c r="BR6" s="163"/>
      <c r="BS6" s="163"/>
      <c r="BT6" s="163"/>
      <c r="BU6" s="163"/>
      <c r="BV6" s="163"/>
      <c r="BW6" s="163"/>
      <c r="BX6" s="163"/>
      <c r="BY6" s="163"/>
      <c r="BZ6" s="163"/>
      <c r="CA6" s="163"/>
      <c r="CB6" s="163"/>
      <c r="CC6" s="163"/>
      <c r="CD6" s="162"/>
    </row>
    <row r="7" spans="1:82" ht="21.15" customHeight="1" x14ac:dyDescent="0.55000000000000004">
      <c r="A7" s="162"/>
      <c r="B7" s="163"/>
      <c r="C7" s="164" t="s">
        <v>208</v>
      </c>
      <c r="D7" s="163"/>
      <c r="E7" s="163"/>
      <c r="F7" s="170"/>
      <c r="G7" s="167">
        <v>1</v>
      </c>
      <c r="H7" s="166" t="str">
        <f>VLOOKUP(G7,市町村データ領域,MATCH(手順書_人口!$H$52, 市町村データヘッダー, 0),FALSE)</f>
        <v>上里町</v>
      </c>
      <c r="I7" s="102"/>
      <c r="J7" s="103"/>
      <c r="K7" s="167">
        <v>2</v>
      </c>
      <c r="L7" s="166" t="str">
        <f>VLOOKUP(K7,市町村データ領域,MATCH(手順書_人口!$H$52, 市町村データヘッダー, 0),FALSE)</f>
        <v>本庄市</v>
      </c>
      <c r="M7" s="102"/>
      <c r="N7" s="103"/>
      <c r="O7" s="167">
        <v>3</v>
      </c>
      <c r="P7" s="166" t="str">
        <f>VLOOKUP(O7,市町村データ領域,MATCH(手順書_人口!$H$52, 市町村データヘッダー, 0),FALSE)</f>
        <v>深谷市</v>
      </c>
      <c r="Q7" s="102"/>
      <c r="R7" s="102"/>
      <c r="S7" s="169"/>
      <c r="T7" s="169"/>
      <c r="U7" s="169"/>
      <c r="V7" s="168"/>
      <c r="W7" s="167">
        <v>4</v>
      </c>
      <c r="X7" s="166" t="str">
        <f>VLOOKUP(W7,市町村データ領域,MATCH(手順書_人口!$H$52, 市町村データヘッダー, 0),FALSE)</f>
        <v>熊谷市</v>
      </c>
      <c r="Y7" s="102"/>
      <c r="Z7" s="102"/>
      <c r="AA7" s="169"/>
      <c r="AB7" s="169"/>
      <c r="AC7" s="169"/>
      <c r="AD7" s="169"/>
      <c r="AE7" s="169"/>
      <c r="AF7" s="169"/>
      <c r="AG7" s="169"/>
      <c r="AH7" s="169"/>
      <c r="AI7" s="169"/>
      <c r="AJ7" s="169"/>
      <c r="AK7" s="169"/>
      <c r="AL7" s="169"/>
      <c r="AM7" s="169"/>
      <c r="AN7" s="169"/>
      <c r="AO7" s="169"/>
      <c r="AP7" s="168"/>
      <c r="AQ7" s="167">
        <v>5</v>
      </c>
      <c r="AR7" s="166" t="str">
        <f>VLOOKUP(AQ7,市町村データ領域,MATCH(手順書_人口!$H$52, 市町村データヘッダー, 0),FALSE)</f>
        <v>行田市</v>
      </c>
      <c r="AS7" s="102"/>
      <c r="AT7" s="103"/>
      <c r="AU7" s="167">
        <v>6</v>
      </c>
      <c r="AV7" s="166" t="str">
        <f>VLOOKUP(AU7,市町村データ領域,MATCH(手順書_人口!$H$52, 市町村データヘッダー, 0),FALSE)</f>
        <v>羽生市</v>
      </c>
      <c r="AW7" s="102"/>
      <c r="AX7" s="103"/>
      <c r="AY7" s="163"/>
      <c r="AZ7" s="163"/>
      <c r="BA7" s="163"/>
      <c r="BB7" s="163"/>
      <c r="BC7" s="163"/>
      <c r="BD7" s="163"/>
      <c r="BE7" s="163"/>
      <c r="BF7" s="163"/>
      <c r="BG7" s="163"/>
      <c r="BH7" s="163"/>
      <c r="BI7" s="163"/>
      <c r="BJ7" s="163"/>
      <c r="BK7" s="163"/>
      <c r="BL7" s="163"/>
      <c r="BM7" s="163"/>
      <c r="BN7" s="163"/>
      <c r="BO7" s="165"/>
      <c r="BP7" s="163"/>
      <c r="BQ7" s="163"/>
      <c r="BR7" s="163"/>
      <c r="BS7" s="163"/>
      <c r="BT7" s="163"/>
      <c r="BU7" s="163"/>
      <c r="BV7" s="163"/>
      <c r="BW7" s="163"/>
      <c r="BX7" s="197" t="s">
        <v>240</v>
      </c>
      <c r="BY7" s="194"/>
      <c r="BZ7" s="194"/>
      <c r="CA7" s="195" t="s">
        <v>239</v>
      </c>
      <c r="CB7" s="196"/>
      <c r="CC7" s="163"/>
      <c r="CD7" s="162"/>
    </row>
    <row r="8" spans="1:82" ht="21.15" customHeight="1" x14ac:dyDescent="0.55000000000000004">
      <c r="A8" s="162"/>
      <c r="B8" s="163"/>
      <c r="C8" s="163"/>
      <c r="D8" s="163"/>
      <c r="E8" s="163"/>
      <c r="F8" s="170"/>
      <c r="G8" s="140">
        <f>VLOOKUP(G7,市町村データ領域,MATCH(手順書_人口!$G$53, 市町村データヘッダー, 0),FALSE)</f>
        <v>1047</v>
      </c>
      <c r="H8" s="188"/>
      <c r="I8" s="188"/>
      <c r="J8" s="98"/>
      <c r="K8" s="161">
        <f>VLOOKUP(K7,市町村データ領域,MATCH(手順書_人口!$G$53, 市町村データヘッダー, 0),FALSE)</f>
        <v>862</v>
      </c>
      <c r="L8" s="188"/>
      <c r="M8" s="188"/>
      <c r="N8" s="98"/>
      <c r="O8" s="146">
        <f>VLOOKUP(O7,市町村データ領域,MATCH(手順書_人口!$G$53, 市町村データヘッダー, 0),FALSE)</f>
        <v>1022</v>
      </c>
      <c r="P8" s="188"/>
      <c r="Q8" s="188"/>
      <c r="R8" s="188"/>
      <c r="S8" s="163"/>
      <c r="T8" s="163"/>
      <c r="U8" s="163"/>
      <c r="V8" s="170"/>
      <c r="W8" s="146">
        <f>VLOOKUP(W7,市町村データ領域,MATCH(手順書_人口!$G$53, 市町村データヘッダー, 0),FALSE)</f>
        <v>1202</v>
      </c>
      <c r="X8" s="188"/>
      <c r="Y8" s="188"/>
      <c r="Z8" s="188"/>
      <c r="AA8" s="163"/>
      <c r="AB8" s="163"/>
      <c r="AC8" s="163"/>
      <c r="AD8" s="163"/>
      <c r="AE8" s="163"/>
      <c r="AF8" s="163"/>
      <c r="AG8" s="163"/>
      <c r="AH8" s="163"/>
      <c r="AI8" s="163"/>
      <c r="AJ8" s="163"/>
      <c r="AK8" s="163"/>
      <c r="AL8" s="163"/>
      <c r="AM8" s="163"/>
      <c r="AN8" s="163"/>
      <c r="AO8" s="163"/>
      <c r="AP8" s="170"/>
      <c r="AQ8" s="161">
        <f>VLOOKUP(AQ7,市町村データ領域,MATCH(手順書_人口!$G$53, 市町村データヘッダー, 0),FALSE)</f>
        <v>1162</v>
      </c>
      <c r="AR8" s="188"/>
      <c r="AS8" s="188"/>
      <c r="AT8" s="98"/>
      <c r="AU8" s="143">
        <f>VLOOKUP(AU7,市町村データ領域,MATCH(手順書_人口!$G$53, 市町村データヘッダー, 0),FALSE)</f>
        <v>918</v>
      </c>
      <c r="AV8" s="188"/>
      <c r="AW8" s="188"/>
      <c r="AX8" s="98"/>
      <c r="AY8" s="163"/>
      <c r="AZ8" s="163"/>
      <c r="BA8" s="163"/>
      <c r="BB8" s="163"/>
      <c r="BC8" s="163"/>
      <c r="BD8" s="163"/>
      <c r="BE8" s="163"/>
      <c r="BF8" s="163"/>
      <c r="BG8" s="163"/>
      <c r="BH8" s="163"/>
      <c r="BI8" s="163"/>
      <c r="BJ8" s="163"/>
      <c r="BK8" s="163"/>
      <c r="BL8" s="163"/>
      <c r="BM8" s="163"/>
      <c r="BN8" s="163"/>
      <c r="BO8" s="163"/>
      <c r="BP8" s="163"/>
      <c r="BQ8" s="163"/>
      <c r="BR8" s="163"/>
      <c r="BS8" s="163"/>
      <c r="BT8" s="163"/>
      <c r="BU8" s="163"/>
      <c r="BV8" s="163"/>
      <c r="BW8" s="171"/>
      <c r="BX8" s="201">
        <v>1000000</v>
      </c>
      <c r="BY8" s="193"/>
      <c r="BZ8" s="193"/>
      <c r="CA8" s="198"/>
      <c r="CB8" s="199"/>
      <c r="CC8" s="163"/>
      <c r="CD8" s="162"/>
    </row>
    <row r="9" spans="1:82" ht="21.15" customHeight="1" x14ac:dyDescent="0.55000000000000004">
      <c r="A9" s="162"/>
      <c r="B9" s="163"/>
      <c r="C9" s="163"/>
      <c r="D9" s="163"/>
      <c r="E9" s="163"/>
      <c r="F9" s="170"/>
      <c r="G9" s="142">
        <f>VLOOKUP(G7,市町村データ領域,MATCH(手順書_人口!$G$54, 市町村データヘッダー, 0),FALSE)</f>
        <v>30549</v>
      </c>
      <c r="H9" s="188"/>
      <c r="I9" s="188"/>
      <c r="J9" s="98"/>
      <c r="K9" s="160">
        <f>VLOOKUP(K7,市町村データ領域,MATCH(手順書_人口!$G$54, 市町村データヘッダー, 0),FALSE)</f>
        <v>77285</v>
      </c>
      <c r="L9" s="188"/>
      <c r="M9" s="188"/>
      <c r="N9" s="98"/>
      <c r="O9" s="141">
        <f>VLOOKUP(O7,市町村データ領域,MATCH(手順書_人口!$G$54, 市町村データヘッダー, 0),FALSE)</f>
        <v>141419</v>
      </c>
      <c r="P9" s="188"/>
      <c r="Q9" s="188"/>
      <c r="R9" s="188"/>
      <c r="S9" s="163"/>
      <c r="T9" s="163"/>
      <c r="U9" s="163"/>
      <c r="V9" s="170"/>
      <c r="W9" s="141">
        <f>VLOOKUP(W7,市町村データ領域,MATCH(手順書_人口!$G$54, 市町村データヘッダー, 0),FALSE)</f>
        <v>192074</v>
      </c>
      <c r="X9" s="188"/>
      <c r="Y9" s="188"/>
      <c r="Z9" s="188"/>
      <c r="AA9" s="163"/>
      <c r="AB9" s="163"/>
      <c r="AC9" s="163"/>
      <c r="AD9" s="163"/>
      <c r="AE9" s="163"/>
      <c r="AF9" s="163"/>
      <c r="AG9" s="163"/>
      <c r="AH9" s="163"/>
      <c r="AI9" s="163"/>
      <c r="AJ9" s="163"/>
      <c r="AK9" s="163"/>
      <c r="AL9" s="163"/>
      <c r="AM9" s="163"/>
      <c r="AN9" s="163"/>
      <c r="AO9" s="163"/>
      <c r="AP9" s="170"/>
      <c r="AQ9" s="160">
        <f>VLOOKUP(AQ7,市町村データ領域,MATCH(手順書_人口!$G$54, 市町村データヘッダー, 0),FALSE)</f>
        <v>78416</v>
      </c>
      <c r="AR9" s="188"/>
      <c r="AS9" s="188"/>
      <c r="AT9" s="98"/>
      <c r="AU9" s="147">
        <f>VLOOKUP(AU7,市町村データ領域,MATCH(手順書_人口!$G$54, 市町村データヘッダー, 0),FALSE)</f>
        <v>53855</v>
      </c>
      <c r="AV9" s="188"/>
      <c r="AW9" s="188"/>
      <c r="AX9" s="98"/>
      <c r="AY9" s="163"/>
      <c r="AZ9" s="163"/>
      <c r="BA9" s="163"/>
      <c r="BB9" s="163"/>
      <c r="BC9" s="163"/>
      <c r="BD9" s="163"/>
      <c r="BE9" s="163"/>
      <c r="BF9" s="163"/>
      <c r="BG9" s="163"/>
      <c r="BH9" s="163"/>
      <c r="BI9" s="163"/>
      <c r="BJ9" s="163"/>
      <c r="BK9" s="163"/>
      <c r="BL9" s="163"/>
      <c r="BM9" s="163"/>
      <c r="BN9" s="163"/>
      <c r="BO9" s="163"/>
      <c r="BP9" s="163"/>
      <c r="BQ9" s="163"/>
      <c r="BR9" s="163"/>
      <c r="BS9" s="163"/>
      <c r="BT9" s="163"/>
      <c r="BU9" s="163"/>
      <c r="BV9" s="163"/>
      <c r="BW9" s="171"/>
      <c r="BX9" s="201">
        <v>500000</v>
      </c>
      <c r="BY9" s="193"/>
      <c r="BZ9" s="193"/>
      <c r="CA9" s="202"/>
      <c r="CB9" s="199"/>
      <c r="CC9" s="163"/>
      <c r="CD9" s="162"/>
    </row>
    <row r="10" spans="1:82" ht="21.15" customHeight="1" thickBot="1" x14ac:dyDescent="0.6">
      <c r="A10" s="162"/>
      <c r="B10" s="163"/>
      <c r="C10" s="163"/>
      <c r="D10" s="163"/>
      <c r="E10" s="163"/>
      <c r="F10" s="170"/>
      <c r="G10" s="224">
        <f>VLOOKUP(G7,市町村データ領域,MATCH(手順書_人口!$G$55, 市町村データヘッダー, 0),FALSE)</f>
        <v>29.2</v>
      </c>
      <c r="H10" s="99"/>
      <c r="I10" s="99"/>
      <c r="J10" s="100"/>
      <c r="K10" s="230">
        <f>VLOOKUP(K7,市町村データ領域,MATCH(手順書_人口!$G$55, 市町村データヘッダー, 0),FALSE)</f>
        <v>89.7</v>
      </c>
      <c r="L10" s="188"/>
      <c r="M10" s="188"/>
      <c r="N10" s="98"/>
      <c r="O10" s="221">
        <f>VLOOKUP(O7,市町村データ領域,MATCH(手順書_人口!$G$55, 市町村データヘッダー, 0),FALSE)</f>
        <v>138.4</v>
      </c>
      <c r="P10" s="99"/>
      <c r="Q10" s="99"/>
      <c r="R10" s="99"/>
      <c r="S10" s="163"/>
      <c r="T10" s="163"/>
      <c r="U10" s="163"/>
      <c r="V10" s="170"/>
      <c r="W10" s="231">
        <f>VLOOKUP(W7,市町村データ領域,MATCH(手順書_人口!$G$55, 市町村データヘッダー, 0),FALSE)</f>
        <v>159.80000000000001</v>
      </c>
      <c r="X10" s="188"/>
      <c r="Y10" s="188"/>
      <c r="Z10" s="188"/>
      <c r="AA10" s="163"/>
      <c r="AB10" s="163"/>
      <c r="AC10" s="163"/>
      <c r="AD10" s="163"/>
      <c r="AE10" s="163"/>
      <c r="AF10" s="163"/>
      <c r="AG10" s="163"/>
      <c r="AH10" s="163"/>
      <c r="AI10" s="163"/>
      <c r="AJ10" s="163"/>
      <c r="AK10" s="163"/>
      <c r="AL10" s="163"/>
      <c r="AM10" s="163"/>
      <c r="AN10" s="163"/>
      <c r="AO10" s="163"/>
      <c r="AP10" s="170"/>
      <c r="AQ10" s="232">
        <f>VLOOKUP(AQ7,市町村データ領域,MATCH(手順書_人口!$G$55, 市町村データヘッダー, 0),FALSE)</f>
        <v>67.5</v>
      </c>
      <c r="AR10" s="99"/>
      <c r="AS10" s="99"/>
      <c r="AT10" s="100"/>
      <c r="AU10" s="220">
        <f>VLOOKUP(AU7,市町村データ領域,MATCH(手順書_人口!$G$55, 市町村データヘッダー, 0),FALSE)</f>
        <v>58.7</v>
      </c>
      <c r="AV10" s="99"/>
      <c r="AW10" s="99"/>
      <c r="AX10" s="100"/>
      <c r="AY10" s="163"/>
      <c r="AZ10" s="163"/>
      <c r="BA10" s="163"/>
      <c r="BB10" s="163"/>
      <c r="BC10" s="163"/>
      <c r="BD10" s="163"/>
      <c r="BE10" s="163"/>
      <c r="BF10" s="163"/>
      <c r="BG10" s="163"/>
      <c r="BH10" s="163"/>
      <c r="BI10" s="163"/>
      <c r="BJ10" s="163"/>
      <c r="BK10" s="163"/>
      <c r="BL10" s="163"/>
      <c r="BM10" s="163"/>
      <c r="BN10" s="163"/>
      <c r="BO10" s="163"/>
      <c r="BP10" s="163"/>
      <c r="BQ10" s="163"/>
      <c r="BR10" s="163"/>
      <c r="BS10" s="163"/>
      <c r="BT10" s="163"/>
      <c r="BU10" s="163"/>
      <c r="BV10" s="163"/>
      <c r="BW10" s="171"/>
      <c r="BX10" s="201">
        <v>250000</v>
      </c>
      <c r="BY10" s="193"/>
      <c r="BZ10" s="193"/>
      <c r="CA10" s="203"/>
      <c r="CB10" s="199"/>
      <c r="CC10" s="163"/>
      <c r="CD10" s="162"/>
    </row>
    <row r="11" spans="1:82" ht="21.15" customHeight="1" x14ac:dyDescent="0.55000000000000004">
      <c r="A11" s="162"/>
      <c r="B11" s="163"/>
      <c r="C11" s="164" t="s">
        <v>226</v>
      </c>
      <c r="D11" s="163"/>
      <c r="E11" s="163"/>
      <c r="F11" s="170"/>
      <c r="G11" s="167">
        <v>7</v>
      </c>
      <c r="H11" s="166" t="str">
        <f>VLOOKUP(G11,市町村データ領域,MATCH(手順書_人口!$H$52, 市町村データヘッダー, 0),FALSE)</f>
        <v>神川町</v>
      </c>
      <c r="I11" s="102"/>
      <c r="J11" s="103"/>
      <c r="K11" s="163"/>
      <c r="L11" s="163"/>
      <c r="M11" s="163"/>
      <c r="N11" s="170"/>
      <c r="O11" s="167">
        <v>8</v>
      </c>
      <c r="P11" s="166" t="str">
        <f>VLOOKUP(O11,市町村データ領域,MATCH(手順書_人口!$H$52, 市町村データヘッダー, 0),FALSE)</f>
        <v>美里町</v>
      </c>
      <c r="Q11" s="102"/>
      <c r="R11" s="103"/>
      <c r="S11" s="163"/>
      <c r="T11" s="163"/>
      <c r="U11" s="163"/>
      <c r="V11" s="170"/>
      <c r="W11" s="163"/>
      <c r="X11" s="163"/>
      <c r="Y11" s="163"/>
      <c r="Z11" s="163"/>
      <c r="AA11" s="163"/>
      <c r="AB11" s="163"/>
      <c r="AC11" s="163"/>
      <c r="AD11" s="163"/>
      <c r="AE11" s="163"/>
      <c r="AF11" s="163"/>
      <c r="AG11" s="163"/>
      <c r="AH11" s="163"/>
      <c r="AI11" s="163"/>
      <c r="AJ11" s="163"/>
      <c r="AK11" s="163"/>
      <c r="AL11" s="163"/>
      <c r="AM11" s="163"/>
      <c r="AN11" s="163"/>
      <c r="AO11" s="163"/>
      <c r="AP11" s="170"/>
      <c r="AQ11" s="167">
        <v>9</v>
      </c>
      <c r="AR11" s="166" t="str">
        <f>VLOOKUP(AQ11,市町村データ領域,MATCH(手順書_人口!$H$52, 市町村データヘッダー, 0),FALSE)</f>
        <v>鴻巣市</v>
      </c>
      <c r="AS11" s="102"/>
      <c r="AT11" s="103"/>
      <c r="AU11" s="167">
        <v>10</v>
      </c>
      <c r="AV11" s="166" t="str">
        <f>VLOOKUP(AU11,市町村データ領域,MATCH(手順書_人口!$H$52, 市町村データヘッダー, 0),FALSE)</f>
        <v>加須市</v>
      </c>
      <c r="AW11" s="102"/>
      <c r="AX11" s="102"/>
      <c r="AY11" s="169"/>
      <c r="AZ11" s="169"/>
      <c r="BA11" s="169"/>
      <c r="BB11" s="169"/>
      <c r="BC11" s="169"/>
      <c r="BD11" s="169"/>
      <c r="BE11" s="169"/>
      <c r="BF11" s="169"/>
      <c r="BG11" s="169"/>
      <c r="BH11" s="169"/>
      <c r="BI11" s="169"/>
      <c r="BJ11" s="169"/>
      <c r="BK11" s="169"/>
      <c r="BL11" s="169"/>
      <c r="BM11" s="169"/>
      <c r="BN11" s="168"/>
      <c r="BO11" s="163"/>
      <c r="BP11" s="163"/>
      <c r="BQ11" s="163"/>
      <c r="BR11" s="163"/>
      <c r="BS11" s="163"/>
      <c r="BT11" s="163"/>
      <c r="BU11" s="163"/>
      <c r="BV11" s="163"/>
      <c r="BW11" s="171"/>
      <c r="BX11" s="201">
        <v>125000</v>
      </c>
      <c r="BY11" s="184"/>
      <c r="BZ11" s="184"/>
      <c r="CA11" s="204"/>
      <c r="CB11" s="248"/>
      <c r="CC11" s="163"/>
      <c r="CD11" s="162"/>
    </row>
    <row r="12" spans="1:82" ht="21.15" customHeight="1" x14ac:dyDescent="0.55000000000000004">
      <c r="A12" s="162"/>
      <c r="B12" s="163"/>
      <c r="C12" s="163"/>
      <c r="D12" s="163"/>
      <c r="E12" s="163"/>
      <c r="F12" s="170"/>
      <c r="G12" s="152">
        <f>VLOOKUP(G11,市町村データ領域,MATCH(手順書_人口!$G$53, 市町村データヘッダー, 0),FALSE)</f>
        <v>272</v>
      </c>
      <c r="H12" s="188"/>
      <c r="I12" s="188"/>
      <c r="J12" s="98"/>
      <c r="K12" s="163"/>
      <c r="L12" s="163"/>
      <c r="M12" s="163"/>
      <c r="N12" s="170"/>
      <c r="O12" s="152">
        <f>VLOOKUP(O11,市町村データ領域,MATCH(手順書_人口!$G$53, 市町村データヘッダー, 0),FALSE)</f>
        <v>324</v>
      </c>
      <c r="P12" s="188"/>
      <c r="Q12" s="188"/>
      <c r="R12" s="98"/>
      <c r="S12" s="163"/>
      <c r="T12" s="163"/>
      <c r="U12" s="163"/>
      <c r="V12" s="170"/>
      <c r="W12" s="163"/>
      <c r="X12" s="163"/>
      <c r="Y12" s="163"/>
      <c r="Z12" s="163"/>
      <c r="AA12" s="163"/>
      <c r="AB12" s="163"/>
      <c r="AC12" s="163"/>
      <c r="AD12" s="163"/>
      <c r="AE12" s="163"/>
      <c r="AF12" s="163"/>
      <c r="AG12" s="163"/>
      <c r="AH12" s="163"/>
      <c r="AI12" s="163"/>
      <c r="AJ12" s="163"/>
      <c r="AK12" s="163"/>
      <c r="AL12" s="163"/>
      <c r="AM12" s="163"/>
      <c r="AN12" s="163"/>
      <c r="AO12" s="163"/>
      <c r="AP12" s="170"/>
      <c r="AQ12" s="161">
        <f>VLOOKUP(AQ11,市町村データ領域,MATCH(手順書_人口!$G$53, 市町村データヘッダー, 0),FALSE)</f>
        <v>1744</v>
      </c>
      <c r="AR12" s="188"/>
      <c r="AS12" s="188"/>
      <c r="AT12" s="98"/>
      <c r="AU12" s="161">
        <f>VLOOKUP(AU11,市町村データ領域,MATCH(手順書_人口!$G$53, 市町村データヘッダー, 0),FALSE)</f>
        <v>841</v>
      </c>
      <c r="AV12" s="188"/>
      <c r="AW12" s="188"/>
      <c r="AX12" s="188"/>
      <c r="AY12" s="163"/>
      <c r="AZ12" s="163"/>
      <c r="BA12" s="163"/>
      <c r="BB12" s="163"/>
      <c r="BC12" s="163"/>
      <c r="BD12" s="163"/>
      <c r="BE12" s="163"/>
      <c r="BF12" s="163"/>
      <c r="BG12" s="163"/>
      <c r="BH12" s="163"/>
      <c r="BI12" s="163"/>
      <c r="BJ12" s="163"/>
      <c r="BK12" s="163"/>
      <c r="BL12" s="163"/>
      <c r="BM12" s="163"/>
      <c r="BN12" s="170"/>
      <c r="BO12" s="163"/>
      <c r="BP12" s="163"/>
      <c r="BQ12" s="163"/>
      <c r="BR12" s="163"/>
      <c r="BS12" s="163"/>
      <c r="BT12" s="163"/>
      <c r="BU12" s="163"/>
      <c r="BV12" s="163"/>
      <c r="BW12" s="171"/>
      <c r="BX12" s="201">
        <v>62500</v>
      </c>
      <c r="BY12" s="193"/>
      <c r="BZ12" s="193"/>
      <c r="CA12" s="205"/>
      <c r="CB12" s="199"/>
      <c r="CC12" s="163"/>
      <c r="CD12" s="162"/>
    </row>
    <row r="13" spans="1:82" ht="21.15" customHeight="1" x14ac:dyDescent="0.55000000000000004">
      <c r="A13" s="162"/>
      <c r="B13" s="163"/>
      <c r="C13" s="163"/>
      <c r="D13" s="163"/>
      <c r="E13" s="163"/>
      <c r="F13" s="170"/>
      <c r="G13" s="155">
        <f>VLOOKUP(G11,市町村データ領域,MATCH(手順書_人口!$G$54, 市町村データヘッダー, 0),FALSE)</f>
        <v>12888</v>
      </c>
      <c r="H13" s="188"/>
      <c r="I13" s="188"/>
      <c r="J13" s="98"/>
      <c r="K13" s="163"/>
      <c r="L13" s="163"/>
      <c r="M13" s="163"/>
      <c r="N13" s="170"/>
      <c r="O13" s="155">
        <f>VLOOKUP(O11,市町村データ領域,MATCH(手順書_人口!$G$54, 市町村データヘッダー, 0),FALSE)</f>
        <v>10819</v>
      </c>
      <c r="P13" s="188"/>
      <c r="Q13" s="188"/>
      <c r="R13" s="98"/>
      <c r="S13" s="163"/>
      <c r="T13" s="163"/>
      <c r="U13" s="163"/>
      <c r="V13" s="170"/>
      <c r="W13" s="163"/>
      <c r="X13" s="163"/>
      <c r="Y13" s="163"/>
      <c r="Z13" s="163"/>
      <c r="AA13" s="163"/>
      <c r="AB13" s="163"/>
      <c r="AC13" s="163"/>
      <c r="AD13" s="163"/>
      <c r="AE13" s="163"/>
      <c r="AF13" s="163"/>
      <c r="AG13" s="163"/>
      <c r="AH13" s="163"/>
      <c r="AI13" s="163"/>
      <c r="AJ13" s="163"/>
      <c r="AK13" s="163"/>
      <c r="AL13" s="163"/>
      <c r="AM13" s="163"/>
      <c r="AN13" s="163"/>
      <c r="AO13" s="163"/>
      <c r="AP13" s="170"/>
      <c r="AQ13" s="160">
        <f>VLOOKUP(AQ11,市町村データ領域,MATCH(手順書_人口!$G$54, 市町村データヘッダー, 0),FALSE)</f>
        <v>117582</v>
      </c>
      <c r="AR13" s="188"/>
      <c r="AS13" s="188"/>
      <c r="AT13" s="98"/>
      <c r="AU13" s="160">
        <f>VLOOKUP(AU11,市町村データ領域,MATCH(手順書_人口!$G$54, 市町村データヘッダー, 0),FALSE)</f>
        <v>112163</v>
      </c>
      <c r="AV13" s="188"/>
      <c r="AW13" s="188"/>
      <c r="AX13" s="188"/>
      <c r="AY13" s="163"/>
      <c r="AZ13" s="163"/>
      <c r="BA13" s="163"/>
      <c r="BB13" s="163"/>
      <c r="BC13" s="163"/>
      <c r="BD13" s="163"/>
      <c r="BE13" s="163"/>
      <c r="BF13" s="163"/>
      <c r="BG13" s="163"/>
      <c r="BH13" s="163"/>
      <c r="BI13" s="163"/>
      <c r="BJ13" s="163"/>
      <c r="BK13" s="163"/>
      <c r="BL13" s="163"/>
      <c r="BM13" s="163"/>
      <c r="BN13" s="170"/>
      <c r="BO13" s="163"/>
      <c r="BP13" s="163"/>
      <c r="BQ13" s="163"/>
      <c r="BR13" s="163"/>
      <c r="BS13" s="163"/>
      <c r="BT13" s="163"/>
      <c r="BU13" s="163"/>
      <c r="BV13" s="163"/>
      <c r="BW13" s="171"/>
      <c r="BX13" s="201">
        <v>31250</v>
      </c>
      <c r="BY13" s="184"/>
      <c r="BZ13" s="184"/>
      <c r="CA13" s="206"/>
      <c r="CB13" s="248"/>
      <c r="CC13" s="163"/>
      <c r="CD13" s="162"/>
    </row>
    <row r="14" spans="1:82" ht="21.15" customHeight="1" thickBot="1" x14ac:dyDescent="0.6">
      <c r="A14" s="162"/>
      <c r="B14" s="163"/>
      <c r="C14" s="163"/>
      <c r="D14" s="163"/>
      <c r="E14" s="163"/>
      <c r="F14" s="170"/>
      <c r="G14" s="233">
        <f>VLOOKUP(G11,市町村データ領域,MATCH(手順書_人口!$G$55, 市町村データヘッダー, 0),FALSE)</f>
        <v>47.4</v>
      </c>
      <c r="H14" s="188"/>
      <c r="I14" s="188"/>
      <c r="J14" s="98"/>
      <c r="K14" s="163"/>
      <c r="L14" s="163"/>
      <c r="M14" s="163"/>
      <c r="N14" s="170"/>
      <c r="O14" s="218">
        <f>VLOOKUP(O11,市町村データ領域,MATCH(手順書_人口!$G$55, 市町村データヘッダー, 0),FALSE)</f>
        <v>33.4</v>
      </c>
      <c r="P14" s="99"/>
      <c r="Q14" s="99"/>
      <c r="R14" s="100"/>
      <c r="S14" s="163"/>
      <c r="T14" s="163"/>
      <c r="U14" s="163"/>
      <c r="V14" s="170"/>
      <c r="W14" s="163"/>
      <c r="X14" s="163"/>
      <c r="Y14" s="163"/>
      <c r="Z14" s="163"/>
      <c r="AA14" s="163"/>
      <c r="AB14" s="163"/>
      <c r="AC14" s="163"/>
      <c r="AD14" s="163"/>
      <c r="AE14" s="163"/>
      <c r="AF14" s="163"/>
      <c r="AG14" s="163"/>
      <c r="AH14" s="163"/>
      <c r="AI14" s="163"/>
      <c r="AJ14" s="163"/>
      <c r="AK14" s="163"/>
      <c r="AL14" s="163"/>
      <c r="AM14" s="163"/>
      <c r="AN14" s="163"/>
      <c r="AO14" s="163"/>
      <c r="AP14" s="170"/>
      <c r="AQ14" s="232">
        <f>VLOOKUP(AQ11,市町村データ領域,MATCH(手順書_人口!$G$55, 市町村データヘッダー, 0),FALSE)</f>
        <v>67.400000000000006</v>
      </c>
      <c r="AR14" s="99"/>
      <c r="AS14" s="99"/>
      <c r="AT14" s="100"/>
      <c r="AU14" s="232">
        <f>VLOOKUP(AU11,市町村データ領域,MATCH(手順書_人口!$G$55, 市町村データヘッダー, 0),FALSE)</f>
        <v>133.4</v>
      </c>
      <c r="AV14" s="99"/>
      <c r="AW14" s="99"/>
      <c r="AX14" s="99"/>
      <c r="AY14" s="163"/>
      <c r="AZ14" s="163"/>
      <c r="BA14" s="163"/>
      <c r="BB14" s="163"/>
      <c r="BC14" s="163"/>
      <c r="BD14" s="163"/>
      <c r="BE14" s="163"/>
      <c r="BF14" s="163"/>
      <c r="BG14" s="163"/>
      <c r="BH14" s="163"/>
      <c r="BI14" s="163"/>
      <c r="BJ14" s="163"/>
      <c r="BK14" s="163"/>
      <c r="BL14" s="163"/>
      <c r="BM14" s="163"/>
      <c r="BN14" s="170"/>
      <c r="BO14" s="163"/>
      <c r="BP14" s="163"/>
      <c r="BQ14" s="163"/>
      <c r="BR14" s="163"/>
      <c r="BS14" s="163"/>
      <c r="BT14" s="163"/>
      <c r="BU14" s="163"/>
      <c r="BV14" s="163"/>
      <c r="BW14" s="171"/>
      <c r="BX14" s="201">
        <v>15625</v>
      </c>
      <c r="BY14" s="193"/>
      <c r="BZ14" s="193"/>
      <c r="CA14" s="207"/>
      <c r="CB14" s="199"/>
      <c r="CC14" s="163"/>
      <c r="CD14" s="162"/>
    </row>
    <row r="15" spans="1:82" ht="21.15" customHeight="1" x14ac:dyDescent="0.55000000000000004">
      <c r="A15" s="162"/>
      <c r="B15" s="163"/>
      <c r="C15" s="164" t="s">
        <v>355</v>
      </c>
      <c r="D15" s="163"/>
      <c r="E15" s="163"/>
      <c r="F15" s="170"/>
      <c r="G15" s="163"/>
      <c r="H15" s="163"/>
      <c r="I15" s="163"/>
      <c r="J15" s="170"/>
      <c r="K15" s="163"/>
      <c r="L15" s="163"/>
      <c r="M15" s="163"/>
      <c r="N15" s="170"/>
      <c r="O15" s="167">
        <v>11</v>
      </c>
      <c r="P15" s="166" t="str">
        <f>VLOOKUP(O15,市町村データ領域,MATCH(手順書_人口!$H$52, 市町村データヘッダー, 0),FALSE)</f>
        <v>長瀞町</v>
      </c>
      <c r="Q15" s="102"/>
      <c r="R15" s="103"/>
      <c r="S15" s="167">
        <v>12</v>
      </c>
      <c r="T15" s="166" t="str">
        <f>VLOOKUP(S15,市町村データ領域,MATCH(手順書_人口!$H$52, 市町村データヘッダー, 0),FALSE)</f>
        <v>寄居町</v>
      </c>
      <c r="U15" s="102"/>
      <c r="V15" s="103"/>
      <c r="W15" s="167">
        <v>13</v>
      </c>
      <c r="X15" s="166" t="str">
        <f>VLOOKUP(W15,市町村データ領域,MATCH(手順書_人口!$H$52, 市町村データヘッダー, 0),FALSE)</f>
        <v>小川町</v>
      </c>
      <c r="Y15" s="102"/>
      <c r="Z15" s="103"/>
      <c r="AA15" s="167">
        <v>14</v>
      </c>
      <c r="AB15" s="166" t="str">
        <f>VLOOKUP(AA15,市町村データ領域,MATCH(手順書_人口!$H$52, 市町村データヘッダー, 0),FALSE)</f>
        <v>嵐山町</v>
      </c>
      <c r="AC15" s="102"/>
      <c r="AD15" s="103"/>
      <c r="AE15" s="167">
        <v>15</v>
      </c>
      <c r="AF15" s="166" t="str">
        <f>VLOOKUP(AE15,市町村データ領域,MATCH(手順書_人口!$H$52, 市町村データヘッダー, 0),FALSE)</f>
        <v>滑川町</v>
      </c>
      <c r="AG15" s="102"/>
      <c r="AH15" s="103"/>
      <c r="AI15" s="167">
        <v>16</v>
      </c>
      <c r="AJ15" s="166" t="str">
        <f>VLOOKUP(AI15,市町村データ領域,MATCH(手順書_人口!$H$52, 市町村データヘッダー, 0),FALSE)</f>
        <v>東松山市</v>
      </c>
      <c r="AK15" s="102"/>
      <c r="AL15" s="103"/>
      <c r="AM15" s="167">
        <v>17</v>
      </c>
      <c r="AN15" s="166" t="str">
        <f>VLOOKUP(AM15,市町村データ領域,MATCH(手順書_人口!$H$52, 市町村データヘッダー, 0),FALSE)</f>
        <v>吉見町</v>
      </c>
      <c r="AO15" s="102"/>
      <c r="AP15" s="103"/>
      <c r="AQ15" s="167">
        <v>18</v>
      </c>
      <c r="AR15" s="166" t="str">
        <f>VLOOKUP(AQ15,市町村データ領域,MATCH(手順書_人口!$H$52, 市町村データヘッダー, 0),FALSE)</f>
        <v>北本市</v>
      </c>
      <c r="AS15" s="102"/>
      <c r="AT15" s="103"/>
      <c r="AU15" s="167">
        <v>19</v>
      </c>
      <c r="AV15" s="166" t="str">
        <f>VLOOKUP(AU15,市町村データ領域,MATCH(手順書_人口!$H$52, 市町村データヘッダー, 0),FALSE)</f>
        <v>久喜市</v>
      </c>
      <c r="AW15" s="102"/>
      <c r="AX15" s="102"/>
      <c r="AY15" s="169"/>
      <c r="AZ15" s="169"/>
      <c r="BA15" s="169"/>
      <c r="BB15" s="169"/>
      <c r="BC15" s="169"/>
      <c r="BD15" s="169"/>
      <c r="BE15" s="169"/>
      <c r="BF15" s="169"/>
      <c r="BG15" s="169"/>
      <c r="BH15" s="169"/>
      <c r="BI15" s="169"/>
      <c r="BJ15" s="169"/>
      <c r="BK15" s="169"/>
      <c r="BL15" s="169"/>
      <c r="BM15" s="169"/>
      <c r="BN15" s="168"/>
      <c r="BO15" s="167">
        <v>20</v>
      </c>
      <c r="BP15" s="166" t="str">
        <f>VLOOKUP(BO15,市町村データ領域,MATCH(手順書_人口!$H$52, 市町村データヘッダー, 0),FALSE)</f>
        <v>幸手市</v>
      </c>
      <c r="BQ15" s="102"/>
      <c r="BR15" s="103"/>
      <c r="BS15" s="163"/>
      <c r="BT15" s="163"/>
      <c r="BU15" s="163"/>
      <c r="BV15" s="163"/>
      <c r="BW15" s="171"/>
      <c r="BX15" s="201">
        <v>7812</v>
      </c>
      <c r="BY15" s="184"/>
      <c r="BZ15" s="184"/>
      <c r="CA15" s="208"/>
      <c r="CB15" s="248"/>
      <c r="CC15" s="163"/>
      <c r="CD15" s="162"/>
    </row>
    <row r="16" spans="1:82" ht="21.15" customHeight="1" x14ac:dyDescent="0.55000000000000004">
      <c r="A16" s="162"/>
      <c r="B16" s="163"/>
      <c r="C16" s="163"/>
      <c r="D16" s="163"/>
      <c r="E16" s="163"/>
      <c r="F16" s="170"/>
      <c r="G16" s="163"/>
      <c r="H16" s="163"/>
      <c r="I16" s="163"/>
      <c r="J16" s="170"/>
      <c r="K16" s="163"/>
      <c r="L16" s="163"/>
      <c r="M16" s="163"/>
      <c r="N16" s="170"/>
      <c r="O16" s="151">
        <f>VLOOKUP(O15,市町村データ領域,MATCH(手順書_人口!$G$53, 市町村データヘッダー, 0),FALSE)</f>
        <v>214</v>
      </c>
      <c r="P16" s="188"/>
      <c r="Q16" s="188"/>
      <c r="R16" s="98"/>
      <c r="S16" s="143">
        <f>VLOOKUP(S15,市町村データ領域,MATCH(手順書_人口!$G$53, 市町村データヘッダー, 0),FALSE)</f>
        <v>499</v>
      </c>
      <c r="T16" s="188"/>
      <c r="U16" s="188"/>
      <c r="V16" s="98"/>
      <c r="W16" s="140">
        <f>VLOOKUP(W15,市町村データ領域,MATCH(手順書_人口!$G$53, 市町村データヘッダー, 0),FALSE)</f>
        <v>462</v>
      </c>
      <c r="X16" s="188"/>
      <c r="Y16" s="188"/>
      <c r="Z16" s="98"/>
      <c r="AA16" s="140">
        <f>VLOOKUP(AA15,市町村データ領域,MATCH(手順書_人口!$G$53, 市町村データヘッダー, 0),FALSE)</f>
        <v>585</v>
      </c>
      <c r="AB16" s="188"/>
      <c r="AC16" s="188"/>
      <c r="AD16" s="98"/>
      <c r="AE16" s="140">
        <f>VLOOKUP(AE15,市町村データ領域,MATCH(手順書_人口!$G$53, 市町村データヘッダー, 0),FALSE)</f>
        <v>665</v>
      </c>
      <c r="AF16" s="188"/>
      <c r="AG16" s="188"/>
      <c r="AH16" s="98"/>
      <c r="AI16" s="161">
        <f>VLOOKUP(AI15,市町村データ領域,MATCH(手順書_人口!$G$53, 市町村データヘッダー, 0),FALSE)</f>
        <v>1394</v>
      </c>
      <c r="AJ16" s="188"/>
      <c r="AK16" s="188"/>
      <c r="AL16" s="98"/>
      <c r="AM16" s="140">
        <f>VLOOKUP(AM15,市町村データ領域,MATCH(手順書_人口!$G$53, 市町村データヘッダー, 0),FALSE)</f>
        <v>462</v>
      </c>
      <c r="AN16" s="188"/>
      <c r="AO16" s="188"/>
      <c r="AP16" s="98"/>
      <c r="AQ16" s="161">
        <f>VLOOKUP(AQ15,市町村データ領域,MATCH(手順書_人口!$G$53, 市町村データヘッダー, 0),FALSE)</f>
        <v>3300</v>
      </c>
      <c r="AR16" s="188"/>
      <c r="AS16" s="188"/>
      <c r="AT16" s="98"/>
      <c r="AU16" s="146">
        <f>VLOOKUP(AU15,市町村データ領域,MATCH(手順書_人口!$G$53, 市町村データヘッダー, 0),FALSE)</f>
        <v>1831</v>
      </c>
      <c r="AV16" s="188"/>
      <c r="AW16" s="188"/>
      <c r="AX16" s="188"/>
      <c r="AY16" s="163"/>
      <c r="AZ16" s="163"/>
      <c r="BA16" s="163"/>
      <c r="BB16" s="163"/>
      <c r="BC16" s="163"/>
      <c r="BD16" s="163"/>
      <c r="BE16" s="163"/>
      <c r="BF16" s="163"/>
      <c r="BG16" s="163"/>
      <c r="BH16" s="163"/>
      <c r="BI16" s="163"/>
      <c r="BJ16" s="163"/>
      <c r="BK16" s="163"/>
      <c r="BL16" s="163"/>
      <c r="BM16" s="163"/>
      <c r="BN16" s="170"/>
      <c r="BO16" s="143">
        <f>VLOOKUP(BO15,市町村データ領域,MATCH(手順書_人口!$G$53, 市町村データヘッダー, 0),FALSE)</f>
        <v>1446</v>
      </c>
      <c r="BP16" s="188"/>
      <c r="BQ16" s="188"/>
      <c r="BR16" s="98"/>
      <c r="BS16" s="163"/>
      <c r="BT16" s="163"/>
      <c r="BU16" s="163"/>
      <c r="BV16" s="163"/>
      <c r="BW16" s="171"/>
      <c r="BX16" s="201">
        <v>3906</v>
      </c>
      <c r="BY16" s="184"/>
      <c r="BZ16" s="184"/>
      <c r="CA16" s="209"/>
      <c r="CB16" s="248"/>
      <c r="CC16" s="163"/>
      <c r="CD16" s="162"/>
    </row>
    <row r="17" spans="1:82" ht="21.15" customHeight="1" x14ac:dyDescent="0.55000000000000004">
      <c r="A17" s="162"/>
      <c r="B17" s="163"/>
      <c r="C17" s="163"/>
      <c r="D17" s="163"/>
      <c r="E17" s="163"/>
      <c r="F17" s="170"/>
      <c r="G17" s="163"/>
      <c r="H17" s="163"/>
      <c r="I17" s="163"/>
      <c r="J17" s="170"/>
      <c r="K17" s="163"/>
      <c r="L17" s="163"/>
      <c r="M17" s="163"/>
      <c r="N17" s="170"/>
      <c r="O17" s="154">
        <f>VLOOKUP(O15,市町村データ領域,MATCH(手順書_人口!$G$54, 市町村データヘッダー, 0),FALSE)</f>
        <v>6516</v>
      </c>
      <c r="P17" s="188"/>
      <c r="Q17" s="188"/>
      <c r="R17" s="98"/>
      <c r="S17" s="147">
        <f>VLOOKUP(S15,市町村データ領域,MATCH(手順書_人口!$G$54, 市町村データヘッダー, 0),FALSE)</f>
        <v>32041</v>
      </c>
      <c r="T17" s="188"/>
      <c r="U17" s="188"/>
      <c r="V17" s="98"/>
      <c r="W17" s="142">
        <f>VLOOKUP(W15,市町村データ領域,MATCH(手順書_人口!$G$54, 市町村データヘッダー, 0),FALSE)</f>
        <v>27886</v>
      </c>
      <c r="X17" s="188"/>
      <c r="Y17" s="188"/>
      <c r="Z17" s="98"/>
      <c r="AA17" s="142">
        <f>VLOOKUP(AA15,市町村データ領域,MATCH(手順書_人口!$G$54, 市町村データヘッダー, 0),FALSE)</f>
        <v>17516</v>
      </c>
      <c r="AB17" s="188"/>
      <c r="AC17" s="188"/>
      <c r="AD17" s="98"/>
      <c r="AE17" s="142">
        <f>VLOOKUP(AE15,市町村データ領域,MATCH(手順書_人口!$G$54, 市町村データヘッダー, 0),FALSE)</f>
        <v>19745</v>
      </c>
      <c r="AF17" s="188"/>
      <c r="AG17" s="188"/>
      <c r="AH17" s="98"/>
      <c r="AI17" s="160">
        <f>VLOOKUP(AI15,市町村データ領域,MATCH(手順書_人口!$G$54, 市町村データヘッダー, 0),FALSE)</f>
        <v>91094</v>
      </c>
      <c r="AJ17" s="188"/>
      <c r="AK17" s="188"/>
      <c r="AL17" s="98"/>
      <c r="AM17" s="142">
        <f>VLOOKUP(AM15,市町村データ領域,MATCH(手順書_人口!$G$54, 市町村データヘッダー, 0),FALSE)</f>
        <v>17859</v>
      </c>
      <c r="AN17" s="188"/>
      <c r="AO17" s="188"/>
      <c r="AP17" s="98"/>
      <c r="AQ17" s="160">
        <f>VLOOKUP(AQ15,市町村データ領域,MATCH(手順書_人口!$G$54, 市町村データヘッダー, 0),FALSE)</f>
        <v>65403</v>
      </c>
      <c r="AR17" s="188"/>
      <c r="AS17" s="188"/>
      <c r="AT17" s="98"/>
      <c r="AU17" s="141">
        <f>VLOOKUP(AU15,市町村データ領域,MATCH(手順書_人口!$G$54, 市町村データヘッダー, 0),FALSE)</f>
        <v>150913</v>
      </c>
      <c r="AV17" s="188"/>
      <c r="AW17" s="188"/>
      <c r="AX17" s="188"/>
      <c r="AY17" s="163"/>
      <c r="AZ17" s="163"/>
      <c r="BA17" s="163"/>
      <c r="BB17" s="163"/>
      <c r="BC17" s="163"/>
      <c r="BD17" s="163"/>
      <c r="BE17" s="163"/>
      <c r="BF17" s="163"/>
      <c r="BG17" s="163"/>
      <c r="BH17" s="163"/>
      <c r="BI17" s="163"/>
      <c r="BJ17" s="163"/>
      <c r="BK17" s="163"/>
      <c r="BL17" s="163"/>
      <c r="BM17" s="163"/>
      <c r="BN17" s="170"/>
      <c r="BO17" s="147">
        <f>VLOOKUP(BO15,市町村データ領域,MATCH(手順書_人口!$G$54, 市町村データヘッダー, 0),FALSE)</f>
        <v>49063</v>
      </c>
      <c r="BP17" s="188"/>
      <c r="BQ17" s="188"/>
      <c r="BR17" s="98"/>
      <c r="BS17" s="163"/>
      <c r="BT17" s="163"/>
      <c r="BU17" s="163"/>
      <c r="BV17" s="163"/>
      <c r="BW17" s="163"/>
      <c r="BX17" s="201">
        <v>1953</v>
      </c>
      <c r="BY17" s="184"/>
      <c r="BZ17" s="184"/>
      <c r="CA17" s="210"/>
      <c r="CB17" s="248"/>
      <c r="CC17" s="163"/>
      <c r="CD17" s="162"/>
    </row>
    <row r="18" spans="1:82" ht="21.15" customHeight="1" thickBot="1" x14ac:dyDescent="0.6">
      <c r="A18" s="162"/>
      <c r="B18" s="163"/>
      <c r="C18" s="163"/>
      <c r="D18" s="163"/>
      <c r="E18" s="163"/>
      <c r="F18" s="170"/>
      <c r="G18" s="163"/>
      <c r="H18" s="163"/>
      <c r="I18" s="163"/>
      <c r="J18" s="170"/>
      <c r="K18" s="163"/>
      <c r="L18" s="163"/>
      <c r="M18" s="163"/>
      <c r="N18" s="170"/>
      <c r="O18" s="219">
        <f>VLOOKUP(O15,市町村データ領域,MATCH(手順書_人口!$G$55, 市町村データヘッダー, 0),FALSE)</f>
        <v>30.4</v>
      </c>
      <c r="P18" s="99"/>
      <c r="Q18" s="99"/>
      <c r="R18" s="100"/>
      <c r="S18" s="220">
        <f>VLOOKUP(S15,市町村データ領域,MATCH(手順書_人口!$G$55, 市町村データヘッダー, 0),FALSE)</f>
        <v>64.2</v>
      </c>
      <c r="T18" s="99"/>
      <c r="U18" s="99"/>
      <c r="V18" s="100"/>
      <c r="W18" s="224">
        <f>VLOOKUP(W15,市町村データ領域,MATCH(手順書_人口!$G$55, 市町村データヘッダー, 0),FALSE)</f>
        <v>60.4</v>
      </c>
      <c r="X18" s="99"/>
      <c r="Y18" s="99"/>
      <c r="Z18" s="100"/>
      <c r="AA18" s="224">
        <f>VLOOKUP(AA15,市町村データ領域,MATCH(手順書_人口!$G$55, 市町村データヘッダー, 0),FALSE)</f>
        <v>29.9</v>
      </c>
      <c r="AB18" s="99"/>
      <c r="AC18" s="99"/>
      <c r="AD18" s="100"/>
      <c r="AE18" s="224">
        <f>VLOOKUP(AE15,市町村データ領域,MATCH(手順書_人口!$G$55, 市町村データヘッダー, 0),FALSE)</f>
        <v>29.7</v>
      </c>
      <c r="AF18" s="99"/>
      <c r="AG18" s="99"/>
      <c r="AH18" s="100"/>
      <c r="AI18" s="232">
        <f>VLOOKUP(AI15,市町村データ領域,MATCH(手順書_人口!$G$55, 市町村データヘッダー, 0),FALSE)</f>
        <v>65.3</v>
      </c>
      <c r="AJ18" s="99"/>
      <c r="AK18" s="99"/>
      <c r="AL18" s="100"/>
      <c r="AM18" s="224">
        <f>VLOOKUP(AM15,市町村データ領域,MATCH(手順書_人口!$G$55, 市町村データヘッダー, 0),FALSE)</f>
        <v>38.700000000000003</v>
      </c>
      <c r="AN18" s="99"/>
      <c r="AO18" s="99"/>
      <c r="AP18" s="100"/>
      <c r="AQ18" s="232">
        <f>VLOOKUP(AQ15,市町村データ領域,MATCH(手順書_人口!$G$55, 市町村データヘッダー, 0),FALSE)</f>
        <v>19.8</v>
      </c>
      <c r="AR18" s="99"/>
      <c r="AS18" s="99"/>
      <c r="AT18" s="100"/>
      <c r="AU18" s="221">
        <f>VLOOKUP(AU15,市町村データ領域,MATCH(手順書_人口!$G$55, 市町村データヘッダー, 0),FALSE)</f>
        <v>82.4</v>
      </c>
      <c r="AV18" s="99"/>
      <c r="AW18" s="99"/>
      <c r="AX18" s="99"/>
      <c r="AY18" s="163"/>
      <c r="AZ18" s="163"/>
      <c r="BA18" s="163"/>
      <c r="BB18" s="163"/>
      <c r="BC18" s="163"/>
      <c r="BD18" s="163"/>
      <c r="BE18" s="163"/>
      <c r="BF18" s="163"/>
      <c r="BG18" s="163"/>
      <c r="BH18" s="163"/>
      <c r="BI18" s="163"/>
      <c r="BJ18" s="163"/>
      <c r="BK18" s="163"/>
      <c r="BL18" s="163"/>
      <c r="BM18" s="163"/>
      <c r="BN18" s="170"/>
      <c r="BO18" s="220">
        <f>VLOOKUP(BO15,市町村データ領域,MATCH(手順書_人口!$G$55, 市町村データヘッダー, 0),FALSE)</f>
        <v>33.9</v>
      </c>
      <c r="BP18" s="99"/>
      <c r="BQ18" s="99"/>
      <c r="BR18" s="100"/>
      <c r="BS18" s="163"/>
      <c r="BT18" s="163"/>
      <c r="BU18" s="163"/>
      <c r="BV18" s="163"/>
      <c r="BW18" s="163"/>
      <c r="BX18" s="213">
        <v>0</v>
      </c>
      <c r="BY18" s="249"/>
      <c r="BZ18" s="249"/>
      <c r="CA18" s="211"/>
      <c r="CB18" s="250"/>
      <c r="CC18" s="163"/>
      <c r="CD18" s="162"/>
    </row>
    <row r="19" spans="1:82" ht="21.15" customHeight="1" x14ac:dyDescent="0.55000000000000004">
      <c r="A19" s="162"/>
      <c r="B19" s="163"/>
      <c r="C19" s="164" t="s">
        <v>227</v>
      </c>
      <c r="D19" s="163"/>
      <c r="E19" s="163"/>
      <c r="F19" s="170"/>
      <c r="G19" s="163"/>
      <c r="H19" s="163"/>
      <c r="I19" s="163"/>
      <c r="J19" s="170"/>
      <c r="K19" s="167">
        <v>21</v>
      </c>
      <c r="L19" s="166" t="str">
        <f>VLOOKUP(K19,市町村データ領域,MATCH(手順書_人口!$H$52, 市町村データヘッダー, 0),FALSE)</f>
        <v>皆野町</v>
      </c>
      <c r="M19" s="102"/>
      <c r="N19" s="103"/>
      <c r="O19" s="167">
        <v>22</v>
      </c>
      <c r="P19" s="166" t="str">
        <f>VLOOKUP(O19,市町村データ領域,MATCH(手順書_人口!$H$52, 市町村データヘッダー, 0),FALSE)</f>
        <v>東秩父村</v>
      </c>
      <c r="Q19" s="102"/>
      <c r="R19" s="102"/>
      <c r="S19" s="169"/>
      <c r="T19" s="169"/>
      <c r="U19" s="169"/>
      <c r="V19" s="168"/>
      <c r="W19" s="167">
        <v>23</v>
      </c>
      <c r="X19" s="166" t="str">
        <f>VLOOKUP(W19,市町村データ領域,MATCH(手順書_人口!$H$52, 市町村データヘッダー, 0),FALSE)</f>
        <v>ときがわ町</v>
      </c>
      <c r="Y19" s="102"/>
      <c r="Z19" s="103"/>
      <c r="AA19" s="167">
        <v>24</v>
      </c>
      <c r="AB19" s="166" t="str">
        <f>VLOOKUP(AA19,市町村データ領域,MATCH(手順書_人口!$H$52, 市町村データヘッダー, 0),FALSE)</f>
        <v>鳩山町</v>
      </c>
      <c r="AC19" s="102"/>
      <c r="AD19" s="102"/>
      <c r="AE19" s="169"/>
      <c r="AF19" s="169"/>
      <c r="AG19" s="169"/>
      <c r="AH19" s="168"/>
      <c r="AI19" s="167">
        <v>25</v>
      </c>
      <c r="AJ19" s="166" t="str">
        <f>VLOOKUP(AI19,市町村データ領域,MATCH(手順書_人口!$H$52, 市町村データヘッダー, 0),FALSE)</f>
        <v>坂戸市</v>
      </c>
      <c r="AK19" s="102"/>
      <c r="AL19" s="103"/>
      <c r="AM19" s="167">
        <v>26</v>
      </c>
      <c r="AN19" s="166" t="str">
        <f>VLOOKUP(AM19,市町村データ領域,MATCH(手順書_人口!$H$52, 市町村データヘッダー, 0),FALSE)</f>
        <v>川島町</v>
      </c>
      <c r="AO19" s="102"/>
      <c r="AP19" s="103"/>
      <c r="AQ19" s="167">
        <v>27</v>
      </c>
      <c r="AR19" s="166" t="str">
        <f>VLOOKUP(AQ19,市町村データ領域,MATCH(手順書_人口!$H$52, 市町村データヘッダー, 0),FALSE)</f>
        <v>桶川市</v>
      </c>
      <c r="AS19" s="102"/>
      <c r="AT19" s="103"/>
      <c r="AU19" s="167">
        <v>28</v>
      </c>
      <c r="AV19" s="166" t="str">
        <f>VLOOKUP(AU19,市町村データ領域,MATCH(手順書_人口!$H$52, 市町村データヘッダー, 0),FALSE)</f>
        <v>上尾市</v>
      </c>
      <c r="AW19" s="102"/>
      <c r="AX19" s="103"/>
      <c r="AY19" s="167">
        <v>29</v>
      </c>
      <c r="AZ19" s="166" t="str">
        <f>VLOOKUP(AY19,市町村データ領域,MATCH(手順書_人口!$H$52, 市町村データヘッダー, 0),FALSE)</f>
        <v>伊奈町</v>
      </c>
      <c r="BA19" s="102"/>
      <c r="BB19" s="103"/>
      <c r="BC19" s="167">
        <v>30</v>
      </c>
      <c r="BD19" s="166" t="str">
        <f>VLOOKUP(BC19,市町村データ領域,MATCH(手順書_人口!$H$52, 市町村データヘッダー, 0),FALSE)</f>
        <v>蓮田市</v>
      </c>
      <c r="BE19" s="102"/>
      <c r="BF19" s="103"/>
      <c r="BG19" s="167">
        <v>31</v>
      </c>
      <c r="BH19" s="166" t="str">
        <f>VLOOKUP(BG19,市町村データ領域,MATCH(手順書_人口!$H$52, 市町村データヘッダー, 0),FALSE)</f>
        <v>白岡市</v>
      </c>
      <c r="BI19" s="102"/>
      <c r="BJ19" s="103"/>
      <c r="BK19" s="167">
        <v>32</v>
      </c>
      <c r="BL19" s="166" t="str">
        <f>VLOOKUP(BK19,市町村データ領域,MATCH(手順書_人口!$H$52, 市町村データヘッダー, 0),FALSE)</f>
        <v>宮代町</v>
      </c>
      <c r="BM19" s="102"/>
      <c r="BN19" s="103"/>
      <c r="BO19" s="167">
        <v>33</v>
      </c>
      <c r="BP19" s="166" t="str">
        <f>VLOOKUP(BO19,市町村データ領域,MATCH(手順書_人口!$H$52, 市町村データヘッダー, 0),FALSE)</f>
        <v>杉戸町</v>
      </c>
      <c r="BQ19" s="102"/>
      <c r="BR19" s="103"/>
      <c r="BS19" s="163"/>
      <c r="BT19" s="163"/>
      <c r="BU19" s="163"/>
      <c r="BV19" s="163"/>
      <c r="BW19" s="163"/>
      <c r="BX19" s="171"/>
      <c r="BY19" s="171"/>
      <c r="BZ19" s="171"/>
      <c r="CA19" s="171"/>
      <c r="CB19" s="171"/>
      <c r="CC19" s="163"/>
      <c r="CD19" s="162"/>
    </row>
    <row r="20" spans="1:82" ht="21.15" customHeight="1" x14ac:dyDescent="0.55000000000000004">
      <c r="A20" s="162"/>
      <c r="B20" s="163"/>
      <c r="C20" s="163"/>
      <c r="D20" s="163"/>
      <c r="E20" s="163"/>
      <c r="F20" s="170"/>
      <c r="G20" s="163"/>
      <c r="H20" s="163"/>
      <c r="I20" s="163"/>
      <c r="J20" s="170"/>
      <c r="K20" s="152">
        <f>VLOOKUP(K19,市町村データ領域,MATCH(手順書_人口!$G$53, 市町村データヘッダー, 0),FALSE)</f>
        <v>142</v>
      </c>
      <c r="L20" s="188"/>
      <c r="M20" s="188"/>
      <c r="N20" s="98"/>
      <c r="O20" s="158">
        <f>VLOOKUP(O19,市町村データ領域,MATCH(手順書_人口!$G$53, 市町村データヘッダー, 0),FALSE)</f>
        <v>67</v>
      </c>
      <c r="P20" s="188"/>
      <c r="Q20" s="188"/>
      <c r="R20" s="188"/>
      <c r="S20" s="163"/>
      <c r="T20" s="163"/>
      <c r="U20" s="163"/>
      <c r="V20" s="170"/>
      <c r="W20" s="152">
        <f>VLOOKUP(W19,市町村データ領域,MATCH(手順書_人口!$G$53, 市町村データヘッダー, 0),FALSE)</f>
        <v>186</v>
      </c>
      <c r="X20" s="188"/>
      <c r="Y20" s="188"/>
      <c r="Z20" s="98"/>
      <c r="AA20" s="152">
        <f>VLOOKUP(AA19,市町村データ領域,MATCH(手順書_人口!$G$53, 市町村データヘッダー, 0),FALSE)</f>
        <v>504</v>
      </c>
      <c r="AB20" s="188"/>
      <c r="AC20" s="188"/>
      <c r="AD20" s="188"/>
      <c r="AE20" s="163"/>
      <c r="AF20" s="163"/>
      <c r="AG20" s="163"/>
      <c r="AH20" s="170"/>
      <c r="AI20" s="161">
        <f>VLOOKUP(AI19,市町村データ領域,MATCH(手順書_人口!$G$53, 市町村データヘッダー, 0),FALSE)</f>
        <v>2426</v>
      </c>
      <c r="AJ20" s="188"/>
      <c r="AK20" s="188"/>
      <c r="AL20" s="98"/>
      <c r="AM20" s="140">
        <f>VLOOKUP(AM19,市町村データ領域,MATCH(手順書_人口!$G$53, 市町村データヘッダー, 0),FALSE)</f>
        <v>453</v>
      </c>
      <c r="AN20" s="188"/>
      <c r="AO20" s="188"/>
      <c r="AP20" s="98"/>
      <c r="AQ20" s="161">
        <f>VLOOKUP(AQ19,市町村データ領域,MATCH(手順書_人口!$G$53, 市町村データヘッダー, 0),FALSE)</f>
        <v>2937</v>
      </c>
      <c r="AR20" s="188"/>
      <c r="AS20" s="188"/>
      <c r="AT20" s="98"/>
      <c r="AU20" s="146">
        <f>VLOOKUP(AU19,市町村データ領域,MATCH(手順書_人口!$G$53, 市町村データヘッダー, 0),FALSE)</f>
        <v>5058</v>
      </c>
      <c r="AV20" s="188"/>
      <c r="AW20" s="188"/>
      <c r="AX20" s="98"/>
      <c r="AY20" s="143">
        <f>VLOOKUP(AY19,市町村データ領域,MATCH(手順書_人口!$G$53, 市町村データヘッダー, 0),FALSE)</f>
        <v>3046</v>
      </c>
      <c r="AZ20" s="188"/>
      <c r="BA20" s="188"/>
      <c r="BB20" s="98"/>
      <c r="BC20" s="143">
        <f>VLOOKUP(BC19,市町村データ領域,MATCH(手順書_人口!$G$53, 市町村データヘッダー, 0),FALSE)</f>
        <v>2248</v>
      </c>
      <c r="BD20" s="188"/>
      <c r="BE20" s="188"/>
      <c r="BF20" s="98"/>
      <c r="BG20" s="143">
        <f>VLOOKUP(BG19,市町村データ領域,MATCH(手順書_人口!$G$53, 市町村データヘッダー, 0),FALSE)</f>
        <v>2113</v>
      </c>
      <c r="BH20" s="188"/>
      <c r="BI20" s="188"/>
      <c r="BJ20" s="98"/>
      <c r="BK20" s="143">
        <f>VLOOKUP(BK19,市町村データ領域,MATCH(手順書_人口!$G$53, 市町村データヘッダー, 0),FALSE)</f>
        <v>2092</v>
      </c>
      <c r="BL20" s="188"/>
      <c r="BM20" s="188"/>
      <c r="BN20" s="98"/>
      <c r="BO20" s="143">
        <f>VLOOKUP(BO19,市町村データ領域,MATCH(手順書_人口!$G$53, 市町村データヘッダー, 0),FALSE)</f>
        <v>1466</v>
      </c>
      <c r="BP20" s="188"/>
      <c r="BQ20" s="188"/>
      <c r="BR20" s="98"/>
      <c r="BS20" s="163"/>
      <c r="BT20" s="163"/>
      <c r="BU20" s="163"/>
      <c r="BV20" s="163"/>
      <c r="BW20" s="163"/>
      <c r="BX20" s="171"/>
      <c r="BY20" s="171"/>
      <c r="BZ20" s="171"/>
      <c r="CA20" s="171"/>
      <c r="CB20" s="171"/>
      <c r="CC20" s="163"/>
      <c r="CD20" s="162"/>
    </row>
    <row r="21" spans="1:82" ht="21.15" customHeight="1" x14ac:dyDescent="0.55000000000000004">
      <c r="A21" s="162"/>
      <c r="B21" s="163"/>
      <c r="C21" s="163"/>
      <c r="D21" s="163"/>
      <c r="E21" s="163"/>
      <c r="F21" s="170"/>
      <c r="G21" s="163"/>
      <c r="H21" s="163"/>
      <c r="I21" s="163"/>
      <c r="J21" s="170"/>
      <c r="K21" s="155">
        <f>VLOOKUP(K19,市町村データ領域,MATCH(手順書_人口!$G$54, 市町村データヘッダー, 0),FALSE)</f>
        <v>9050</v>
      </c>
      <c r="L21" s="188"/>
      <c r="M21" s="188"/>
      <c r="N21" s="98"/>
      <c r="O21" s="159">
        <f>VLOOKUP(O19,市町村データ領域,MATCH(手順書_人口!$G$54, 市町村データヘッダー, 0),FALSE)</f>
        <v>2473</v>
      </c>
      <c r="P21" s="188"/>
      <c r="Q21" s="188"/>
      <c r="R21" s="188"/>
      <c r="S21" s="163"/>
      <c r="T21" s="163"/>
      <c r="U21" s="163"/>
      <c r="V21" s="170"/>
      <c r="W21" s="155">
        <f>VLOOKUP(W19,市町村データ領域,MATCH(手順書_人口!$G$54, 市町村データヘッダー, 0),FALSE)</f>
        <v>10414</v>
      </c>
      <c r="X21" s="188"/>
      <c r="Y21" s="188"/>
      <c r="Z21" s="98"/>
      <c r="AA21" s="155">
        <f>VLOOKUP(AA19,市町村データ領域,MATCH(手順書_人口!$G$54, 市町村データヘッダー, 0),FALSE)</f>
        <v>12967</v>
      </c>
      <c r="AB21" s="188"/>
      <c r="AC21" s="188"/>
      <c r="AD21" s="188"/>
      <c r="AE21" s="163"/>
      <c r="AF21" s="163"/>
      <c r="AG21" s="163"/>
      <c r="AH21" s="170"/>
      <c r="AI21" s="160">
        <f>VLOOKUP(AI19,市町村データ領域,MATCH(手順書_人口!$G$54, 市町村データヘッダー, 0),FALSE)</f>
        <v>99527</v>
      </c>
      <c r="AJ21" s="188"/>
      <c r="AK21" s="188"/>
      <c r="AL21" s="98"/>
      <c r="AM21" s="142">
        <f>VLOOKUP(AM19,市町村データ領域,MATCH(手順書_人口!$G$54, 市町村データヘッダー, 0),FALSE)</f>
        <v>18874</v>
      </c>
      <c r="AN21" s="188"/>
      <c r="AO21" s="188"/>
      <c r="AP21" s="98"/>
      <c r="AQ21" s="160">
        <f>VLOOKUP(AQ19,市町村データ領域,MATCH(手順書_人口!$G$54, 市町村データヘッダー, 0),FALSE)</f>
        <v>74448</v>
      </c>
      <c r="AR21" s="188"/>
      <c r="AS21" s="188"/>
      <c r="AT21" s="98"/>
      <c r="AU21" s="141">
        <f>VLOOKUP(AU19,市町村データ領域,MATCH(手順書_人口!$G$54, 市町村データヘッダー, 0),FALSE)</f>
        <v>230167</v>
      </c>
      <c r="AV21" s="188"/>
      <c r="AW21" s="188"/>
      <c r="AX21" s="98"/>
      <c r="AY21" s="147">
        <f>VLOOKUP(AY19,市町村データ領域,MATCH(手順書_人口!$G$54, 市町村データヘッダー, 0),FALSE)</f>
        <v>45045</v>
      </c>
      <c r="AZ21" s="188"/>
      <c r="BA21" s="188"/>
      <c r="BB21" s="98"/>
      <c r="BC21" s="147">
        <f>VLOOKUP(BC19,市町村データ領域,MATCH(手順書_人口!$G$54, 市町村データヘッダー, 0),FALSE)</f>
        <v>61337</v>
      </c>
      <c r="BD21" s="188"/>
      <c r="BE21" s="188"/>
      <c r="BF21" s="98"/>
      <c r="BG21" s="147">
        <f>VLOOKUP(BG19,市町村データ領域,MATCH(手順書_人口!$G$54, 市町村データヘッダー, 0),FALSE)</f>
        <v>52649</v>
      </c>
      <c r="BH21" s="188"/>
      <c r="BI21" s="188"/>
      <c r="BJ21" s="98"/>
      <c r="BK21" s="147">
        <f>VLOOKUP(BK19,市町村データ領域,MATCH(手順書_人口!$G$54, 市町村データヘッダー, 0),FALSE)</f>
        <v>33371</v>
      </c>
      <c r="BL21" s="188"/>
      <c r="BM21" s="188"/>
      <c r="BN21" s="98"/>
      <c r="BO21" s="147">
        <f>VLOOKUP(BO19,市町村データ領域,MATCH(手順書_人口!$G$54, 市町村データヘッダー, 0),FALSE)</f>
        <v>44014</v>
      </c>
      <c r="BP21" s="188"/>
      <c r="BQ21" s="188"/>
      <c r="BR21" s="98"/>
      <c r="BS21" s="163"/>
      <c r="BT21" s="163"/>
      <c r="BU21" s="163"/>
      <c r="BV21" s="163"/>
      <c r="BW21" s="163"/>
      <c r="BX21" s="171"/>
      <c r="BY21" s="171"/>
      <c r="BZ21" s="171"/>
      <c r="CA21" s="171"/>
      <c r="CB21" s="171"/>
      <c r="CC21" s="163"/>
      <c r="CD21" s="162"/>
    </row>
    <row r="22" spans="1:82" ht="21.15" customHeight="1" thickBot="1" x14ac:dyDescent="0.6">
      <c r="A22" s="162"/>
      <c r="B22" s="163"/>
      <c r="C22" s="163"/>
      <c r="D22" s="163"/>
      <c r="E22" s="163"/>
      <c r="F22" s="170"/>
      <c r="G22" s="163"/>
      <c r="H22" s="163"/>
      <c r="I22" s="163"/>
      <c r="J22" s="170"/>
      <c r="K22" s="218">
        <f>VLOOKUP(K19,市町村データ領域,MATCH(手順書_人口!$G$55, 市町村データヘッダー, 0),FALSE)</f>
        <v>63.7</v>
      </c>
      <c r="L22" s="99"/>
      <c r="M22" s="99"/>
      <c r="N22" s="100"/>
      <c r="O22" s="214">
        <f>VLOOKUP(O19,市町村データ領域,MATCH(手順書_人口!$G$55, 市町村データヘッダー, 0),FALSE)</f>
        <v>36.9</v>
      </c>
      <c r="P22" s="99"/>
      <c r="Q22" s="99"/>
      <c r="R22" s="99"/>
      <c r="S22" s="163"/>
      <c r="T22" s="163"/>
      <c r="U22" s="163"/>
      <c r="V22" s="170"/>
      <c r="W22" s="233">
        <f>VLOOKUP(W19,市町村データ領域,MATCH(手順書_人口!$G$55, 市町村データヘッダー, 0),FALSE)</f>
        <v>56</v>
      </c>
      <c r="X22" s="188"/>
      <c r="Y22" s="188"/>
      <c r="Z22" s="98"/>
      <c r="AA22" s="218">
        <f>VLOOKUP(AA19,市町村データ領域,MATCH(手順書_人口!$G$55, 市町村データヘッダー, 0),FALSE)</f>
        <v>25.7</v>
      </c>
      <c r="AB22" s="99"/>
      <c r="AC22" s="99"/>
      <c r="AD22" s="99"/>
      <c r="AE22" s="163"/>
      <c r="AF22" s="163"/>
      <c r="AG22" s="163"/>
      <c r="AH22" s="170"/>
      <c r="AI22" s="232">
        <f>VLOOKUP(AI19,市町村データ領域,MATCH(手順書_人口!$G$55, 市町村データヘッダー, 0),FALSE)</f>
        <v>41</v>
      </c>
      <c r="AJ22" s="99"/>
      <c r="AK22" s="99"/>
      <c r="AL22" s="100"/>
      <c r="AM22" s="224">
        <f>VLOOKUP(AM19,市町村データ領域,MATCH(手順書_人口!$G$55, 市町村データヘッダー, 0),FALSE)</f>
        <v>41.7</v>
      </c>
      <c r="AN22" s="99"/>
      <c r="AO22" s="99"/>
      <c r="AP22" s="100"/>
      <c r="AQ22" s="232">
        <f>VLOOKUP(AQ19,市町村データ領域,MATCH(手順書_人口!$G$55, 市町村データヘッダー, 0),FALSE)</f>
        <v>25.3</v>
      </c>
      <c r="AR22" s="99"/>
      <c r="AS22" s="99"/>
      <c r="AT22" s="100"/>
      <c r="AU22" s="221">
        <f>VLOOKUP(AU19,市町村データ領域,MATCH(手順書_人口!$G$55, 市町村データヘッダー, 0),FALSE)</f>
        <v>45.5</v>
      </c>
      <c r="AV22" s="99"/>
      <c r="AW22" s="99"/>
      <c r="AX22" s="100"/>
      <c r="AY22" s="220">
        <f>VLOOKUP(AY19,市町村データ領域,MATCH(手順書_人口!$G$55, 市町村データヘッダー, 0),FALSE)</f>
        <v>14.8</v>
      </c>
      <c r="AZ22" s="99"/>
      <c r="BA22" s="99"/>
      <c r="BB22" s="100"/>
      <c r="BC22" s="220">
        <f>VLOOKUP(BC19,市町村データ領域,MATCH(手順書_人口!$G$55, 市町村データヘッダー, 0),FALSE)</f>
        <v>27.3</v>
      </c>
      <c r="BD22" s="99"/>
      <c r="BE22" s="99"/>
      <c r="BF22" s="100"/>
      <c r="BG22" s="220">
        <f>VLOOKUP(BG19,市町村データ領域,MATCH(手順書_人口!$G$55, 市町村データヘッダー, 0),FALSE)</f>
        <v>24.9</v>
      </c>
      <c r="BH22" s="99"/>
      <c r="BI22" s="99"/>
      <c r="BJ22" s="100"/>
      <c r="BK22" s="220">
        <f>VLOOKUP(BK19,市町村データ領域,MATCH(手順書_人口!$G$55, 市町村データヘッダー, 0),FALSE)</f>
        <v>16</v>
      </c>
      <c r="BL22" s="99"/>
      <c r="BM22" s="99"/>
      <c r="BN22" s="100"/>
      <c r="BO22" s="220">
        <f>VLOOKUP(BO19,市町村データ領域,MATCH(手順書_人口!$G$55, 市町村データヘッダー, 0),FALSE)</f>
        <v>30</v>
      </c>
      <c r="BP22" s="99"/>
      <c r="BQ22" s="99"/>
      <c r="BR22" s="100"/>
      <c r="BS22" s="163"/>
      <c r="BT22" s="163"/>
      <c r="BU22" s="163"/>
      <c r="BV22" s="163"/>
      <c r="BW22" s="163"/>
      <c r="BX22" s="171"/>
      <c r="BY22" s="171"/>
      <c r="BZ22" s="171"/>
      <c r="CA22" s="171"/>
      <c r="CB22" s="171"/>
      <c r="CC22" s="163"/>
      <c r="CD22" s="162"/>
    </row>
    <row r="23" spans="1:82" ht="21.15" customHeight="1" x14ac:dyDescent="0.55000000000000004">
      <c r="A23" s="162"/>
      <c r="B23" s="163"/>
      <c r="C23" s="164" t="s">
        <v>228</v>
      </c>
      <c r="D23" s="163"/>
      <c r="E23" s="163"/>
      <c r="F23" s="170"/>
      <c r="G23" s="167">
        <v>34</v>
      </c>
      <c r="H23" s="166" t="str">
        <f>VLOOKUP(G23,市町村データ領域,MATCH(手順書_人口!$H$52, 市町村データヘッダー, 0),FALSE)</f>
        <v>秩父市</v>
      </c>
      <c r="I23" s="102"/>
      <c r="J23" s="102"/>
      <c r="K23" s="169"/>
      <c r="L23" s="169"/>
      <c r="M23" s="169"/>
      <c r="N23" s="169"/>
      <c r="O23" s="169"/>
      <c r="P23" s="169"/>
      <c r="Q23" s="169"/>
      <c r="R23" s="168"/>
      <c r="S23" s="167">
        <v>35</v>
      </c>
      <c r="T23" s="166" t="str">
        <f>VLOOKUP(S23,市町村データ領域,MATCH(手順書_人口!$H$52, 市町村データヘッダー, 0),FALSE)</f>
        <v>横瀬町</v>
      </c>
      <c r="U23" s="102"/>
      <c r="V23" s="103"/>
      <c r="W23" s="163"/>
      <c r="X23" s="163"/>
      <c r="Y23" s="163"/>
      <c r="Z23" s="170"/>
      <c r="AA23" s="167">
        <v>36</v>
      </c>
      <c r="AB23" s="166" t="str">
        <f>VLOOKUP(AA23,市町村データ領域,MATCH(手順書_人口!$H$52, 市町村データヘッダー, 0),FALSE)</f>
        <v>越生町</v>
      </c>
      <c r="AC23" s="102"/>
      <c r="AD23" s="103"/>
      <c r="AE23" s="167">
        <v>37</v>
      </c>
      <c r="AF23" s="166" t="str">
        <f>VLOOKUP(AE23,市町村データ領域,MATCH(手順書_人口!$H$52, 市町村データヘッダー, 0),FALSE)</f>
        <v>毛呂山町</v>
      </c>
      <c r="AG23" s="102"/>
      <c r="AH23" s="103"/>
      <c r="AI23" s="167">
        <v>38</v>
      </c>
      <c r="AJ23" s="166" t="str">
        <f>VLOOKUP(AI23,市町村データ領域,MATCH(手順書_人口!$H$52, 市町村データヘッダー, 0),FALSE)</f>
        <v>鶴ヶ島市</v>
      </c>
      <c r="AK23" s="102"/>
      <c r="AL23" s="103"/>
      <c r="AM23" s="167">
        <v>39</v>
      </c>
      <c r="AN23" s="166" t="str">
        <f>VLOOKUP(AM23,市町村データ領域,MATCH(手順書_人口!$H$52, 市町村データヘッダー, 0),FALSE)</f>
        <v>川越市</v>
      </c>
      <c r="AO23" s="102"/>
      <c r="AP23" s="102"/>
      <c r="AQ23" s="169"/>
      <c r="AR23" s="169"/>
      <c r="AS23" s="169"/>
      <c r="AT23" s="168"/>
      <c r="AU23" s="175"/>
      <c r="AV23" s="169"/>
      <c r="AW23" s="169"/>
      <c r="AX23" s="169"/>
      <c r="AY23" s="175"/>
      <c r="AZ23" s="169"/>
      <c r="BA23" s="169"/>
      <c r="BB23" s="169"/>
      <c r="BC23" s="175"/>
      <c r="BD23" s="169"/>
      <c r="BE23" s="169"/>
      <c r="BF23" s="169"/>
      <c r="BG23" s="175"/>
      <c r="BH23" s="169"/>
      <c r="BI23" s="169"/>
      <c r="BJ23" s="168"/>
      <c r="BK23" s="167">
        <v>44</v>
      </c>
      <c r="BL23" s="166" t="str">
        <f>VLOOKUP(BK23,市町村データ領域,MATCH(手順書_人口!$H$52, 市町村データヘッダー, 0),FALSE)</f>
        <v>春日部市</v>
      </c>
      <c r="BM23" s="102"/>
      <c r="BN23" s="102"/>
      <c r="BO23" s="169"/>
      <c r="BP23" s="169"/>
      <c r="BQ23" s="169"/>
      <c r="BR23" s="168"/>
      <c r="BS23" s="167">
        <v>45</v>
      </c>
      <c r="BT23" s="166" t="str">
        <f>VLOOKUP(BS23,市町村データ領域,MATCH(手順書_人口!$H$52, 市町村データヘッダー, 0),FALSE)</f>
        <v>松伏町</v>
      </c>
      <c r="BU23" s="102"/>
      <c r="BV23" s="103"/>
      <c r="BW23" s="163"/>
      <c r="BX23" s="171"/>
      <c r="BY23" s="171"/>
      <c r="BZ23" s="171"/>
      <c r="CA23" s="171"/>
      <c r="CB23" s="171"/>
      <c r="CC23" s="163"/>
      <c r="CD23" s="162"/>
    </row>
    <row r="24" spans="1:82" ht="21.15" customHeight="1" x14ac:dyDescent="0.55000000000000004">
      <c r="A24" s="162"/>
      <c r="B24" s="163"/>
      <c r="C24" s="163"/>
      <c r="D24" s="163"/>
      <c r="E24" s="163"/>
      <c r="F24" s="170"/>
      <c r="G24" s="143">
        <f>VLOOKUP(G23,市町村データ領域,MATCH(手順書_人口!$G$53, 市町村データヘッダー, 0),FALSE)</f>
        <v>101</v>
      </c>
      <c r="H24" s="188"/>
      <c r="I24" s="188"/>
      <c r="J24" s="188"/>
      <c r="K24" s="163"/>
      <c r="L24" s="163"/>
      <c r="M24" s="163"/>
      <c r="N24" s="163"/>
      <c r="O24" s="163"/>
      <c r="P24" s="163"/>
      <c r="Q24" s="163"/>
      <c r="R24" s="170"/>
      <c r="S24" s="151">
        <f>VLOOKUP(S23,市町村データ領域,MATCH(手順書_人口!$G$53, 市町村データヘッダー, 0),FALSE)</f>
        <v>157</v>
      </c>
      <c r="T24" s="188"/>
      <c r="U24" s="188"/>
      <c r="V24" s="98"/>
      <c r="W24" s="163"/>
      <c r="X24" s="163"/>
      <c r="Y24" s="163"/>
      <c r="Z24" s="170"/>
      <c r="AA24" s="152">
        <f>VLOOKUP(AA23,市町村データ領域,MATCH(手順書_人口!$G$53, 市町村データヘッダー, 0),FALSE)</f>
        <v>269</v>
      </c>
      <c r="AB24" s="188"/>
      <c r="AC24" s="188"/>
      <c r="AD24" s="98"/>
      <c r="AE24" s="143">
        <f>VLOOKUP(AE23,市町村データ領域,MATCH(手順書_人口!$G$53, 市町村データヘッダー, 0),FALSE)</f>
        <v>950</v>
      </c>
      <c r="AF24" s="188"/>
      <c r="AG24" s="188"/>
      <c r="AH24" s="98"/>
      <c r="AI24" s="161">
        <f>VLOOKUP(AI23,市町村データ領域,MATCH(手順書_人口!$G$53, 市町村データヘッダー, 0),FALSE)</f>
        <v>3970</v>
      </c>
      <c r="AJ24" s="188"/>
      <c r="AK24" s="188"/>
      <c r="AL24" s="98"/>
      <c r="AM24" s="150">
        <f>VLOOKUP(AM23,市町村データ領域,MATCH(手順書_人口!$G$53, 市町村データヘッダー, 0),FALSE)</f>
        <v>3232</v>
      </c>
      <c r="AN24" s="188"/>
      <c r="AO24" s="188"/>
      <c r="AP24" s="188"/>
      <c r="AQ24" s="163"/>
      <c r="AR24" s="163"/>
      <c r="AS24" s="163"/>
      <c r="AT24" s="170"/>
      <c r="AU24" s="176"/>
      <c r="AV24" s="163"/>
      <c r="AW24" s="163"/>
      <c r="AX24" s="163"/>
      <c r="AY24" s="176"/>
      <c r="AZ24" s="163"/>
      <c r="BA24" s="163"/>
      <c r="BB24" s="163"/>
      <c r="BC24" s="176"/>
      <c r="BD24" s="163"/>
      <c r="BE24" s="163"/>
      <c r="BF24" s="163"/>
      <c r="BG24" s="176"/>
      <c r="BH24" s="163"/>
      <c r="BI24" s="163"/>
      <c r="BJ24" s="170"/>
      <c r="BK24" s="146">
        <f>VLOOKUP(BK23,市町村データ領域,MATCH(手順書_人口!$G$53, 市町村データヘッダー, 0),FALSE)</f>
        <v>3495</v>
      </c>
      <c r="BL24" s="188"/>
      <c r="BM24" s="188"/>
      <c r="BN24" s="188"/>
      <c r="BO24" s="163"/>
      <c r="BP24" s="163"/>
      <c r="BQ24" s="163"/>
      <c r="BR24" s="170"/>
      <c r="BS24" s="140">
        <f>VLOOKUP(BS23,市町村データ領域,MATCH(手順書_人口!$G$53, 市町村データヘッダー, 0),FALSE)</f>
        <v>1737</v>
      </c>
      <c r="BT24" s="188"/>
      <c r="BU24" s="188"/>
      <c r="BV24" s="98"/>
      <c r="BW24" s="163"/>
      <c r="BX24" s="171"/>
      <c r="BY24" s="171"/>
      <c r="BZ24" s="171"/>
      <c r="CA24" s="171"/>
      <c r="CB24" s="171"/>
      <c r="CC24" s="163"/>
      <c r="CD24" s="162"/>
    </row>
    <row r="25" spans="1:82" ht="21.15" customHeight="1" x14ac:dyDescent="0.55000000000000004">
      <c r="A25" s="162"/>
      <c r="B25" s="163"/>
      <c r="C25" s="163"/>
      <c r="D25" s="163"/>
      <c r="E25" s="163"/>
      <c r="F25" s="170"/>
      <c r="G25" s="147">
        <f>VLOOKUP(G23,市町村データ領域,MATCH(手順書_人口!$G$54, 市町村データヘッダー, 0),FALSE)</f>
        <v>58223</v>
      </c>
      <c r="H25" s="188"/>
      <c r="I25" s="188"/>
      <c r="J25" s="188"/>
      <c r="K25" s="163"/>
      <c r="L25" s="163"/>
      <c r="M25" s="163"/>
      <c r="N25" s="163"/>
      <c r="O25" s="163"/>
      <c r="P25" s="163"/>
      <c r="Q25" s="163"/>
      <c r="R25" s="170"/>
      <c r="S25" s="154">
        <f>VLOOKUP(S23,市町村データ領域,MATCH(手順書_人口!$G$54, 市町村データヘッダー, 0),FALSE)</f>
        <v>7748</v>
      </c>
      <c r="T25" s="188"/>
      <c r="U25" s="188"/>
      <c r="V25" s="98"/>
      <c r="W25" s="163"/>
      <c r="X25" s="163"/>
      <c r="Y25" s="163"/>
      <c r="Z25" s="170"/>
      <c r="AA25" s="155">
        <f>VLOOKUP(AA23,市町村データ領域,MATCH(手順書_人口!$G$54, 市町村データヘッダー, 0),FALSE)</f>
        <v>10863</v>
      </c>
      <c r="AB25" s="188"/>
      <c r="AC25" s="188"/>
      <c r="AD25" s="98"/>
      <c r="AE25" s="147">
        <f>VLOOKUP(AE23,市町村データ領域,MATCH(手順書_人口!$G$54, 市町村データヘッダー, 0),FALSE)</f>
        <v>32365</v>
      </c>
      <c r="AF25" s="188"/>
      <c r="AG25" s="188"/>
      <c r="AH25" s="98"/>
      <c r="AI25" s="160">
        <f>VLOOKUP(AI23,市町村データ領域,MATCH(手順書_人口!$G$54, 市町村データヘッダー, 0),FALSE)</f>
        <v>70063</v>
      </c>
      <c r="AJ25" s="188"/>
      <c r="AK25" s="188"/>
      <c r="AL25" s="98"/>
      <c r="AM25" s="153">
        <f>VLOOKUP(AM23,市町村データ領域,MATCH(手順書_人口!$G$54, 市町村データヘッダー, 0),FALSE)</f>
        <v>352717</v>
      </c>
      <c r="AN25" s="188"/>
      <c r="AO25" s="188"/>
      <c r="AP25" s="188"/>
      <c r="AQ25" s="163"/>
      <c r="AR25" s="163"/>
      <c r="AS25" s="163"/>
      <c r="AT25" s="170"/>
      <c r="AU25" s="163"/>
      <c r="AV25" s="163"/>
      <c r="AW25" s="163"/>
      <c r="AX25" s="163"/>
      <c r="AY25" s="163"/>
      <c r="AZ25" s="163"/>
      <c r="BA25" s="163"/>
      <c r="BB25" s="163"/>
      <c r="BC25" s="163"/>
      <c r="BD25" s="163"/>
      <c r="BE25" s="163"/>
      <c r="BF25" s="163"/>
      <c r="BG25" s="163"/>
      <c r="BH25" s="163"/>
      <c r="BI25" s="163"/>
      <c r="BJ25" s="170"/>
      <c r="BK25" s="141">
        <f>VLOOKUP(BK23,市町村データ領域,MATCH(手順書_人口!$G$54, 市町村データヘッダー, 0),FALSE)</f>
        <v>230687</v>
      </c>
      <c r="BL25" s="188"/>
      <c r="BM25" s="188"/>
      <c r="BN25" s="188"/>
      <c r="BO25" s="163"/>
      <c r="BP25" s="163"/>
      <c r="BQ25" s="163"/>
      <c r="BR25" s="170"/>
      <c r="BS25" s="142">
        <f>VLOOKUP(BS23,市町村データ領域,MATCH(手順書_人口!$G$54, 市町村データヘッダー, 0),FALSE)</f>
        <v>28140</v>
      </c>
      <c r="BT25" s="188"/>
      <c r="BU25" s="188"/>
      <c r="BV25" s="98"/>
      <c r="BW25" s="163"/>
      <c r="BX25" s="171"/>
      <c r="BY25" s="171"/>
      <c r="BZ25" s="171"/>
      <c r="CA25" s="171"/>
      <c r="CB25" s="171"/>
      <c r="CC25" s="163"/>
      <c r="CD25" s="162"/>
    </row>
    <row r="26" spans="1:82" ht="21.15" customHeight="1" thickBot="1" x14ac:dyDescent="0.6">
      <c r="A26" s="162"/>
      <c r="B26" s="163"/>
      <c r="C26" s="163"/>
      <c r="D26" s="163"/>
      <c r="E26" s="163"/>
      <c r="F26" s="170"/>
      <c r="G26" s="220">
        <f>VLOOKUP(G23,市町村データ領域,MATCH(手順書_人口!$G$55, 市町村データヘッダー, 0),FALSE)</f>
        <v>576.5</v>
      </c>
      <c r="H26" s="99"/>
      <c r="I26" s="99"/>
      <c r="J26" s="99"/>
      <c r="K26" s="163"/>
      <c r="L26" s="163"/>
      <c r="M26" s="163"/>
      <c r="N26" s="163"/>
      <c r="O26" s="163"/>
      <c r="P26" s="163"/>
      <c r="Q26" s="163"/>
      <c r="R26" s="170"/>
      <c r="S26" s="219">
        <f>VLOOKUP(S23,市町村データ領域,MATCH(手順書_人口!$G$55, 市町村データヘッダー, 0),FALSE)</f>
        <v>49.4</v>
      </c>
      <c r="T26" s="99"/>
      <c r="U26" s="99"/>
      <c r="V26" s="100"/>
      <c r="W26" s="163"/>
      <c r="X26" s="163"/>
      <c r="Y26" s="163"/>
      <c r="Z26" s="170"/>
      <c r="AA26" s="218">
        <f>VLOOKUP(AA23,市町村データ領域,MATCH(手順書_人口!$G$55, 市町村データヘッダー, 0),FALSE)</f>
        <v>40.4</v>
      </c>
      <c r="AB26" s="99"/>
      <c r="AC26" s="99"/>
      <c r="AD26" s="100"/>
      <c r="AE26" s="220">
        <f>VLOOKUP(AE23,市町村データ領域,MATCH(手順書_人口!$G$55, 市町村データヘッダー, 0),FALSE)</f>
        <v>34.1</v>
      </c>
      <c r="AF26" s="99"/>
      <c r="AG26" s="99"/>
      <c r="AH26" s="100"/>
      <c r="AI26" s="232">
        <f>VLOOKUP(AI23,市町村データ領域,MATCH(手順書_人口!$G$55, 市町村データヘッダー, 0),FALSE)</f>
        <v>17.600000000000001</v>
      </c>
      <c r="AJ26" s="99"/>
      <c r="AK26" s="99"/>
      <c r="AL26" s="100"/>
      <c r="AM26" s="223">
        <f>VLOOKUP(AM23,市町村データ領域,MATCH(手順書_人口!$G$55, 市町村データヘッダー, 0),FALSE)</f>
        <v>109.1</v>
      </c>
      <c r="AN26" s="99"/>
      <c r="AO26" s="99"/>
      <c r="AP26" s="99"/>
      <c r="AQ26" s="163"/>
      <c r="AR26" s="163"/>
      <c r="AS26" s="163"/>
      <c r="AT26" s="170"/>
      <c r="AU26" s="163"/>
      <c r="AV26" s="163"/>
      <c r="AW26" s="163"/>
      <c r="AX26" s="163"/>
      <c r="AY26" s="163"/>
      <c r="AZ26" s="163"/>
      <c r="BA26" s="163"/>
      <c r="BB26" s="163"/>
      <c r="BC26" s="163"/>
      <c r="BD26" s="163"/>
      <c r="BE26" s="163"/>
      <c r="BF26" s="163"/>
      <c r="BG26" s="163"/>
      <c r="BH26" s="163"/>
      <c r="BI26" s="163"/>
      <c r="BJ26" s="170"/>
      <c r="BK26" s="221">
        <f>VLOOKUP(BK23,市町村データ領域,MATCH(手順書_人口!$G$55, 市町村データヘッダー, 0),FALSE)</f>
        <v>66</v>
      </c>
      <c r="BL26" s="99"/>
      <c r="BM26" s="99"/>
      <c r="BN26" s="99"/>
      <c r="BO26" s="163"/>
      <c r="BP26" s="163"/>
      <c r="BQ26" s="163"/>
      <c r="BR26" s="170"/>
      <c r="BS26" s="224">
        <f>VLOOKUP(BS23,市町村データ領域,MATCH(手順書_人口!$G$55, 市町村データヘッダー, 0),FALSE)</f>
        <v>16.2</v>
      </c>
      <c r="BT26" s="99"/>
      <c r="BU26" s="99"/>
      <c r="BV26" s="100"/>
      <c r="BW26" s="163"/>
      <c r="BX26" s="171"/>
      <c r="BY26" s="171"/>
      <c r="BZ26" s="171"/>
      <c r="CA26" s="171"/>
      <c r="CB26" s="171"/>
      <c r="CC26" s="163"/>
      <c r="CD26" s="162"/>
    </row>
    <row r="27" spans="1:82" ht="21.15" customHeight="1" x14ac:dyDescent="0.55000000000000004">
      <c r="A27" s="162"/>
      <c r="B27" s="163"/>
      <c r="C27" s="164" t="s">
        <v>229</v>
      </c>
      <c r="D27" s="163"/>
      <c r="E27" s="163"/>
      <c r="F27" s="170"/>
      <c r="G27" s="167">
        <v>46</v>
      </c>
      <c r="H27" s="166" t="str">
        <f>VLOOKUP(G27,市町村データ領域,MATCH(手順書_人口!$H$52, 市町村データヘッダー, 0),FALSE)</f>
        <v>小鹿野町</v>
      </c>
      <c r="I27" s="102"/>
      <c r="J27" s="103"/>
      <c r="K27" s="163"/>
      <c r="L27" s="163"/>
      <c r="M27" s="163"/>
      <c r="N27" s="163"/>
      <c r="O27" s="163"/>
      <c r="P27" s="163"/>
      <c r="Q27" s="163"/>
      <c r="R27" s="170"/>
      <c r="S27" s="167">
        <v>47</v>
      </c>
      <c r="T27" s="166" t="str">
        <f>VLOOKUP(S27,市町村データ領域,MATCH(手順書_人口!$H$52, 市町村データヘッダー, 0),FALSE)</f>
        <v>飯能市</v>
      </c>
      <c r="U27" s="102"/>
      <c r="V27" s="102"/>
      <c r="W27" s="169"/>
      <c r="X27" s="169"/>
      <c r="Y27" s="169"/>
      <c r="Z27" s="169"/>
      <c r="AA27" s="169"/>
      <c r="AB27" s="169"/>
      <c r="AC27" s="169"/>
      <c r="AD27" s="169"/>
      <c r="AE27" s="169"/>
      <c r="AF27" s="169"/>
      <c r="AG27" s="169"/>
      <c r="AH27" s="168"/>
      <c r="AI27" s="167">
        <v>48</v>
      </c>
      <c r="AJ27" s="166" t="str">
        <f>VLOOKUP(AI27,市町村データ領域,MATCH(手順書_人口!$H$52, 市町村データヘッダー, 0),FALSE)</f>
        <v>日高市</v>
      </c>
      <c r="AK27" s="102"/>
      <c r="AL27" s="103"/>
      <c r="AM27" s="167">
        <v>49</v>
      </c>
      <c r="AN27" s="166" t="str">
        <f>VLOOKUP(AM27,市町村データ領域,MATCH(手順書_人口!$H$52, 市町村データヘッダー, 0),FALSE)</f>
        <v>狭山市</v>
      </c>
      <c r="AO27" s="102"/>
      <c r="AP27" s="103"/>
      <c r="AQ27" s="167">
        <v>50</v>
      </c>
      <c r="AR27" s="166" t="str">
        <f>VLOOKUP(AQ27,市町村データ領域,MATCH(手順書_人口!$H$52, 市町村データヘッダー, 0),FALSE)</f>
        <v>ふじみ野市</v>
      </c>
      <c r="AS27" s="102"/>
      <c r="AT27" s="103"/>
      <c r="AU27" s="167">
        <v>51</v>
      </c>
      <c r="AV27" s="166" t="str">
        <f>VLOOKUP(AU27,市町村データ領域,MATCH(手順書_人口!$H$52, 市町村データヘッダー, 0),FALSE)</f>
        <v>富士見市</v>
      </c>
      <c r="AW27" s="102"/>
      <c r="AX27" s="103"/>
      <c r="AY27" s="165"/>
      <c r="AZ27" s="163"/>
      <c r="BA27" s="163"/>
      <c r="BB27" s="163"/>
      <c r="BC27" s="178" t="s">
        <v>208</v>
      </c>
      <c r="BD27" s="177" t="str">
        <f>VLOOKUP(BC27,市町村データ領域,MATCH(手順書_人口!$H$52, 市町村データヘッダー, 0),FALSE)</f>
        <v>さいたま市</v>
      </c>
      <c r="BE27" s="173"/>
      <c r="BF27" s="173"/>
      <c r="BG27" s="165"/>
      <c r="BH27" s="163"/>
      <c r="BI27" s="163"/>
      <c r="BJ27" s="170"/>
      <c r="BK27" s="167">
        <v>55</v>
      </c>
      <c r="BL27" s="166" t="str">
        <f>VLOOKUP(BK27,市町村データ領域,MATCH(手順書_人口!$H$52, 市町村データヘッダー, 0),FALSE)</f>
        <v>越谷市</v>
      </c>
      <c r="BM27" s="102"/>
      <c r="BN27" s="102"/>
      <c r="BO27" s="169"/>
      <c r="BP27" s="169"/>
      <c r="BQ27" s="169"/>
      <c r="BR27" s="168"/>
      <c r="BS27" s="167">
        <v>56</v>
      </c>
      <c r="BT27" s="166" t="str">
        <f>VLOOKUP(BS27,市町村データ領域,MATCH(手順書_人口!$H$52, 市町村データヘッダー, 0),FALSE)</f>
        <v>吉川市</v>
      </c>
      <c r="BU27" s="102"/>
      <c r="BV27" s="103"/>
      <c r="BW27" s="163"/>
      <c r="BX27" s="171"/>
      <c r="BY27" s="171"/>
      <c r="BZ27" s="171"/>
      <c r="CA27" s="171"/>
      <c r="CB27" s="171"/>
      <c r="CC27" s="163"/>
      <c r="CD27" s="162"/>
    </row>
    <row r="28" spans="1:82" ht="21.15" customHeight="1" x14ac:dyDescent="0.55000000000000004">
      <c r="A28" s="162"/>
      <c r="B28" s="163"/>
      <c r="C28" s="163"/>
      <c r="D28" s="163"/>
      <c r="E28" s="163"/>
      <c r="F28" s="170"/>
      <c r="G28" s="152">
        <f>VLOOKUP(G27,市町村データ領域,MATCH(手順書_人口!$G$53, 市町村データヘッダー, 0),FALSE)</f>
        <v>60</v>
      </c>
      <c r="H28" s="188"/>
      <c r="I28" s="188"/>
      <c r="J28" s="98"/>
      <c r="K28" s="163"/>
      <c r="L28" s="163"/>
      <c r="M28" s="163"/>
      <c r="N28" s="163"/>
      <c r="O28" s="163"/>
      <c r="P28" s="163"/>
      <c r="Q28" s="163"/>
      <c r="R28" s="170"/>
      <c r="S28" s="161">
        <f>VLOOKUP(S27,市町村データ領域,MATCH(手順書_人口!$G$53, 市町村データヘッダー, 0),FALSE)</f>
        <v>406</v>
      </c>
      <c r="T28" s="188"/>
      <c r="U28" s="188"/>
      <c r="V28" s="188"/>
      <c r="W28" s="163"/>
      <c r="X28" s="163"/>
      <c r="Y28" s="163"/>
      <c r="Z28" s="163"/>
      <c r="AA28" s="163"/>
      <c r="AB28" s="163"/>
      <c r="AC28" s="163"/>
      <c r="AD28" s="163"/>
      <c r="AE28" s="163"/>
      <c r="AF28" s="163"/>
      <c r="AG28" s="163"/>
      <c r="AH28" s="170"/>
      <c r="AI28" s="143">
        <f>VLOOKUP(AI27,市町村データ領域,MATCH(手順書_人口!$G$53, 市町村データヘッダー, 0),FALSE)</f>
        <v>1146</v>
      </c>
      <c r="AJ28" s="188"/>
      <c r="AK28" s="188"/>
      <c r="AL28" s="98"/>
      <c r="AM28" s="146">
        <f>VLOOKUP(AM27,市町村データ領域,MATCH(手順書_人口!$G$53, 市町村データヘッダー, 0),FALSE)</f>
        <v>3039</v>
      </c>
      <c r="AN28" s="188"/>
      <c r="AO28" s="188"/>
      <c r="AP28" s="98"/>
      <c r="AQ28" s="161">
        <f>VLOOKUP(AQ27,市町村データ領域,MATCH(手順書_人口!$G$53, 市町村データヘッダー, 0),FALSE)</f>
        <v>7812</v>
      </c>
      <c r="AR28" s="188"/>
      <c r="AS28" s="188"/>
      <c r="AT28" s="98"/>
      <c r="AU28" s="161">
        <f>VLOOKUP(AU27,市町村データ領域,MATCH(手順書_人口!$G$53, 市町村データヘッダー, 0),FALSE)</f>
        <v>5723</v>
      </c>
      <c r="AV28" s="188"/>
      <c r="AW28" s="188"/>
      <c r="AX28" s="98"/>
      <c r="AY28" s="176"/>
      <c r="AZ28" s="163"/>
      <c r="BA28" s="163"/>
      <c r="BB28" s="163"/>
      <c r="BC28" s="235">
        <f>VLOOKUP(BC27,市町村データ領域,MATCH(手順書_人口!$G$53, 市町村データヘッダー, 0),FALSE)</f>
        <v>6186</v>
      </c>
      <c r="BD28" s="188"/>
      <c r="BE28" s="188"/>
      <c r="BF28" s="188"/>
      <c r="BG28" s="176"/>
      <c r="BH28" s="163"/>
      <c r="BI28" s="163"/>
      <c r="BJ28" s="170"/>
      <c r="BK28" s="150">
        <f>VLOOKUP(BK27,市町村データ領域,MATCH(手順書_人口!$G$53, 市町村データヘッダー, 0),FALSE)</f>
        <v>5695</v>
      </c>
      <c r="BL28" s="188"/>
      <c r="BM28" s="188"/>
      <c r="BN28" s="188"/>
      <c r="BO28" s="163"/>
      <c r="BP28" s="163"/>
      <c r="BQ28" s="163"/>
      <c r="BR28" s="170"/>
      <c r="BS28" s="161">
        <f>VLOOKUP(BS27,市町村データ領域,MATCH(手順書_人口!$G$53, 市町村データヘッダー, 0),FALSE)</f>
        <v>2296</v>
      </c>
      <c r="BT28" s="188"/>
      <c r="BU28" s="188"/>
      <c r="BV28" s="98"/>
      <c r="BW28" s="163"/>
      <c r="BX28" s="163"/>
      <c r="BY28" s="163"/>
      <c r="BZ28" s="163"/>
      <c r="CA28" s="163"/>
      <c r="CB28" s="163"/>
      <c r="CC28" s="163"/>
      <c r="CD28" s="162"/>
    </row>
    <row r="29" spans="1:82" ht="21.15" customHeight="1" x14ac:dyDescent="0.55000000000000004">
      <c r="A29" s="162"/>
      <c r="B29" s="163"/>
      <c r="C29" s="163"/>
      <c r="D29" s="163"/>
      <c r="E29" s="163"/>
      <c r="F29" s="170"/>
      <c r="G29" s="155">
        <f>VLOOKUP(G27,市町村データ領域,MATCH(手順書_人口!$G$54, 市町村データヘッダー, 0),FALSE)</f>
        <v>10316</v>
      </c>
      <c r="H29" s="188"/>
      <c r="I29" s="188"/>
      <c r="J29" s="98"/>
      <c r="K29" s="163"/>
      <c r="L29" s="163"/>
      <c r="M29" s="163"/>
      <c r="N29" s="163"/>
      <c r="O29" s="163"/>
      <c r="P29" s="163"/>
      <c r="Q29" s="163"/>
      <c r="R29" s="170"/>
      <c r="S29" s="160">
        <f>VLOOKUP(S27,市町村データ領域,MATCH(手順書_人口!$G$54, 市町村データヘッダー, 0),FALSE)</f>
        <v>78472</v>
      </c>
      <c r="T29" s="188"/>
      <c r="U29" s="188"/>
      <c r="V29" s="188"/>
      <c r="W29" s="163"/>
      <c r="X29" s="163"/>
      <c r="Y29" s="163"/>
      <c r="Z29" s="163"/>
      <c r="AA29" s="163"/>
      <c r="AB29" s="163"/>
      <c r="AC29" s="163"/>
      <c r="AD29" s="163"/>
      <c r="AE29" s="163"/>
      <c r="AF29" s="163"/>
      <c r="AG29" s="163"/>
      <c r="AH29" s="170"/>
      <c r="AI29" s="147">
        <f>VLOOKUP(AI27,市町村データ領域,MATCH(手順書_人口!$G$54, 市町村データヘッダー, 0),FALSE)</f>
        <v>54396</v>
      </c>
      <c r="AJ29" s="188"/>
      <c r="AK29" s="188"/>
      <c r="AL29" s="98"/>
      <c r="AM29" s="141">
        <f>VLOOKUP(AM27,市町村データ領域,MATCH(手順書_人口!$G$54, 市町村データヘッダー, 0),FALSE)</f>
        <v>148872</v>
      </c>
      <c r="AN29" s="188"/>
      <c r="AO29" s="188"/>
      <c r="AP29" s="98"/>
      <c r="AQ29" s="160">
        <f>VLOOKUP(AQ27,市町村データ領域,MATCH(手順書_人口!$G$54, 市町村データヘッダー, 0),FALSE)</f>
        <v>114363</v>
      </c>
      <c r="AR29" s="188"/>
      <c r="AS29" s="188"/>
      <c r="AT29" s="98"/>
      <c r="AU29" s="160">
        <f>VLOOKUP(AU27,市町村データ領域,MATCH(手順書_人口!$G$54, 市町村データヘッダー, 0),FALSE)</f>
        <v>113145</v>
      </c>
      <c r="AV29" s="188"/>
      <c r="AW29" s="188"/>
      <c r="AX29" s="98"/>
      <c r="AY29" s="163"/>
      <c r="AZ29" s="163"/>
      <c r="BA29" s="163"/>
      <c r="BB29" s="163"/>
      <c r="BC29" s="236">
        <f>VLOOKUP(BC27,市町村データ領域,MATCH(手順書_人口!$G$54, 市町村データヘッダー, 0),FALSE)</f>
        <v>1345012</v>
      </c>
      <c r="BD29" s="188"/>
      <c r="BE29" s="188"/>
      <c r="BF29" s="188"/>
      <c r="BG29" s="163"/>
      <c r="BH29" s="163"/>
      <c r="BI29" s="163"/>
      <c r="BJ29" s="170"/>
      <c r="BK29" s="153">
        <f>VLOOKUP(BK27,市町村データ領域,MATCH(手順書_人口!$G$54, 市町村データヘッダー, 0),FALSE)</f>
        <v>343062</v>
      </c>
      <c r="BL29" s="188"/>
      <c r="BM29" s="188"/>
      <c r="BN29" s="188"/>
      <c r="BO29" s="163"/>
      <c r="BP29" s="163"/>
      <c r="BQ29" s="163"/>
      <c r="BR29" s="170"/>
      <c r="BS29" s="160">
        <f>VLOOKUP(BS27,市町村データ領域,MATCH(手順書_人口!$G$54, 市町村データヘッダー, 0),FALSE)</f>
        <v>72678</v>
      </c>
      <c r="BT29" s="188"/>
      <c r="BU29" s="188"/>
      <c r="BV29" s="98"/>
      <c r="BW29" s="163"/>
      <c r="BX29" s="163"/>
      <c r="BY29" s="163"/>
      <c r="BZ29" s="163"/>
      <c r="CA29" s="163"/>
      <c r="CB29" s="163"/>
      <c r="CC29" s="163"/>
      <c r="CD29" s="162"/>
    </row>
    <row r="30" spans="1:82" ht="21.15" customHeight="1" thickBot="1" x14ac:dyDescent="0.6">
      <c r="A30" s="162"/>
      <c r="B30" s="163"/>
      <c r="C30" s="163"/>
      <c r="D30" s="163"/>
      <c r="E30" s="163"/>
      <c r="F30" s="170"/>
      <c r="G30" s="218">
        <f>VLOOKUP(G27,市町村データ領域,MATCH(手順書_人口!$G$55, 市町村データヘッダー, 0),FALSE)</f>
        <v>171.9</v>
      </c>
      <c r="H30" s="99"/>
      <c r="I30" s="99"/>
      <c r="J30" s="100"/>
      <c r="K30" s="163"/>
      <c r="L30" s="163"/>
      <c r="M30" s="163"/>
      <c r="N30" s="163"/>
      <c r="O30" s="163"/>
      <c r="P30" s="163"/>
      <c r="Q30" s="163"/>
      <c r="R30" s="170"/>
      <c r="S30" s="230">
        <f>VLOOKUP(S27,市町村データ領域,MATCH(手順書_人口!$G$55, 市町村データヘッダー, 0),FALSE)</f>
        <v>193.3</v>
      </c>
      <c r="T30" s="188"/>
      <c r="U30" s="188"/>
      <c r="V30" s="188"/>
      <c r="W30" s="163"/>
      <c r="X30" s="163"/>
      <c r="Y30" s="163"/>
      <c r="Z30" s="163"/>
      <c r="AA30" s="163"/>
      <c r="AB30" s="163"/>
      <c r="AC30" s="163"/>
      <c r="AD30" s="163"/>
      <c r="AE30" s="163"/>
      <c r="AF30" s="163"/>
      <c r="AG30" s="163"/>
      <c r="AH30" s="170"/>
      <c r="AI30" s="220">
        <f>VLOOKUP(AI27,市町村データ領域,MATCH(手順書_人口!$G$55, 市町村データヘッダー, 0),FALSE)</f>
        <v>47.5</v>
      </c>
      <c r="AJ30" s="99"/>
      <c r="AK30" s="99"/>
      <c r="AL30" s="100"/>
      <c r="AM30" s="221">
        <f>VLOOKUP(AM27,市町村データ領域,MATCH(手順書_人口!$G$55, 市町村データヘッダー, 0),FALSE)</f>
        <v>49</v>
      </c>
      <c r="AN30" s="99"/>
      <c r="AO30" s="99"/>
      <c r="AP30" s="100"/>
      <c r="AQ30" s="232">
        <f>VLOOKUP(AQ27,市町村データ領域,MATCH(手順書_人口!$G$55, 市町村データヘッダー, 0),FALSE)</f>
        <v>14.6</v>
      </c>
      <c r="AR30" s="99"/>
      <c r="AS30" s="99"/>
      <c r="AT30" s="100"/>
      <c r="AU30" s="232">
        <f>VLOOKUP(AU27,市町村データ領域,MATCH(手順書_人口!$G$55, 市町村データヘッダー, 0),FALSE)</f>
        <v>19.8</v>
      </c>
      <c r="AV30" s="99"/>
      <c r="AW30" s="99"/>
      <c r="AX30" s="100"/>
      <c r="AY30" s="163"/>
      <c r="AZ30" s="163"/>
      <c r="BA30" s="163"/>
      <c r="BB30" s="163"/>
      <c r="BC30" s="237">
        <f>VLOOKUP(BC27,市町村データ領域,MATCH(手順書_人口!$G$55, 市町村データヘッダー, 0),FALSE)</f>
        <v>217.4</v>
      </c>
      <c r="BD30" s="188"/>
      <c r="BE30" s="188"/>
      <c r="BF30" s="188"/>
      <c r="BG30" s="163"/>
      <c r="BH30" s="163"/>
      <c r="BI30" s="163"/>
      <c r="BJ30" s="170"/>
      <c r="BK30" s="234">
        <f>VLOOKUP(BK27,市町村データ領域,MATCH(手順書_人口!$G$55, 市町村データヘッダー, 0),FALSE)</f>
        <v>60.2</v>
      </c>
      <c r="BL30" s="188"/>
      <c r="BM30" s="188"/>
      <c r="BN30" s="188"/>
      <c r="BO30" s="163"/>
      <c r="BP30" s="163"/>
      <c r="BQ30" s="163"/>
      <c r="BR30" s="170"/>
      <c r="BS30" s="232">
        <f>VLOOKUP(BS27,市町村データ領域,MATCH(手順書_人口!$G$55, 市町村データヘッダー, 0),FALSE)</f>
        <v>31.7</v>
      </c>
      <c r="BT30" s="99"/>
      <c r="BU30" s="99"/>
      <c r="BV30" s="100"/>
      <c r="BW30" s="163"/>
      <c r="BX30" s="163"/>
      <c r="BY30" s="163"/>
      <c r="BZ30" s="163"/>
      <c r="CA30" s="163"/>
      <c r="CB30" s="163"/>
      <c r="CC30" s="163"/>
      <c r="CD30" s="162"/>
    </row>
    <row r="31" spans="1:82" ht="21.15" customHeight="1" x14ac:dyDescent="0.55000000000000004">
      <c r="A31" s="162"/>
      <c r="B31" s="163"/>
      <c r="C31" s="164" t="s">
        <v>230</v>
      </c>
      <c r="D31" s="163"/>
      <c r="E31" s="163"/>
      <c r="F31" s="170"/>
      <c r="G31" s="169"/>
      <c r="H31" s="169"/>
      <c r="I31" s="169"/>
      <c r="J31" s="169"/>
      <c r="K31" s="163"/>
      <c r="L31" s="163"/>
      <c r="M31" s="163"/>
      <c r="N31" s="163"/>
      <c r="O31" s="163"/>
      <c r="P31" s="163"/>
      <c r="Q31" s="163"/>
      <c r="R31" s="170"/>
      <c r="S31" s="163"/>
      <c r="T31" s="163"/>
      <c r="U31" s="163"/>
      <c r="V31" s="163"/>
      <c r="W31" s="163"/>
      <c r="X31" s="163"/>
      <c r="Y31" s="163"/>
      <c r="Z31" s="163"/>
      <c r="AA31" s="163"/>
      <c r="AB31" s="163"/>
      <c r="AC31" s="163"/>
      <c r="AD31" s="163"/>
      <c r="AE31" s="163"/>
      <c r="AF31" s="163"/>
      <c r="AG31" s="163"/>
      <c r="AH31" s="163"/>
      <c r="AI31" s="169"/>
      <c r="AJ31" s="169"/>
      <c r="AK31" s="169"/>
      <c r="AL31" s="168"/>
      <c r="AM31" s="167">
        <v>57</v>
      </c>
      <c r="AN31" s="166" t="str">
        <f>VLOOKUP(AM31,市町村データ領域,MATCH(手順書_人口!$H$52, 市町村データヘッダー, 0),FALSE)</f>
        <v>入間市</v>
      </c>
      <c r="AO31" s="102"/>
      <c r="AP31" s="103"/>
      <c r="AQ31" s="167">
        <v>58</v>
      </c>
      <c r="AR31" s="166" t="str">
        <f>VLOOKUP(AQ31,市町村データ領域,MATCH(手順書_人口!$H$52, 市町村データヘッダー, 0),FALSE)</f>
        <v>三芳町</v>
      </c>
      <c r="AS31" s="102"/>
      <c r="AT31" s="103"/>
      <c r="AU31" s="167">
        <v>59</v>
      </c>
      <c r="AV31" s="166" t="str">
        <f>VLOOKUP(AU31,市町村データ領域,MATCH(手順書_人口!$H$52, 市町村データヘッダー, 0),FALSE)</f>
        <v>志木市</v>
      </c>
      <c r="AW31" s="102"/>
      <c r="AX31" s="103"/>
      <c r="AY31" s="165"/>
      <c r="AZ31" s="163"/>
      <c r="BA31" s="163"/>
      <c r="BB31" s="163"/>
      <c r="BC31" s="165"/>
      <c r="BD31" s="163"/>
      <c r="BE31" s="163"/>
      <c r="BF31" s="163"/>
      <c r="BG31" s="165"/>
      <c r="BH31" s="163"/>
      <c r="BI31" s="163"/>
      <c r="BJ31" s="170"/>
      <c r="BK31" s="163"/>
      <c r="BL31" s="163"/>
      <c r="BM31" s="163"/>
      <c r="BN31" s="163"/>
      <c r="BO31" s="163"/>
      <c r="BP31" s="163"/>
      <c r="BQ31" s="163"/>
      <c r="BR31" s="170"/>
      <c r="BS31" s="167">
        <v>63</v>
      </c>
      <c r="BT31" s="166" t="str">
        <f>VLOOKUP(BS31,市町村データ領域,MATCH(手順書_人口!$H$52, 市町村データヘッダー, 0),FALSE)</f>
        <v>三郷市</v>
      </c>
      <c r="BU31" s="102"/>
      <c r="BV31" s="103"/>
      <c r="BW31" s="163"/>
      <c r="BX31" s="163"/>
      <c r="BY31" s="163"/>
      <c r="BZ31" s="163"/>
      <c r="CA31" s="163"/>
      <c r="CB31" s="163"/>
      <c r="CC31" s="163"/>
      <c r="CD31" s="162"/>
    </row>
    <row r="32" spans="1:82" ht="21.15" customHeight="1" x14ac:dyDescent="0.55000000000000004">
      <c r="A32" s="162"/>
      <c r="B32" s="163"/>
      <c r="C32" s="163"/>
      <c r="D32" s="163"/>
      <c r="E32" s="163"/>
      <c r="F32" s="170"/>
      <c r="G32" s="163"/>
      <c r="H32" s="163"/>
      <c r="I32" s="163"/>
      <c r="J32" s="163"/>
      <c r="K32" s="163"/>
      <c r="L32" s="163"/>
      <c r="M32" s="163"/>
      <c r="N32" s="163"/>
      <c r="O32" s="163"/>
      <c r="P32" s="163"/>
      <c r="Q32" s="163"/>
      <c r="R32" s="170"/>
      <c r="S32" s="163"/>
      <c r="T32" s="163"/>
      <c r="U32" s="163"/>
      <c r="V32" s="163"/>
      <c r="W32" s="163"/>
      <c r="X32" s="163"/>
      <c r="Y32" s="163"/>
      <c r="Z32" s="163"/>
      <c r="AA32" s="163"/>
      <c r="AB32" s="163"/>
      <c r="AC32" s="163"/>
      <c r="AD32" s="163"/>
      <c r="AE32" s="163"/>
      <c r="AF32" s="163"/>
      <c r="AG32" s="163"/>
      <c r="AH32" s="163"/>
      <c r="AI32" s="163"/>
      <c r="AJ32" s="163"/>
      <c r="AK32" s="163"/>
      <c r="AL32" s="170"/>
      <c r="AM32" s="146">
        <f>VLOOKUP(AM31,市町村データ領域,MATCH(手順書_人口!$G$53, 市町村データヘッダー, 0),FALSE)</f>
        <v>3238</v>
      </c>
      <c r="AN32" s="188"/>
      <c r="AO32" s="188"/>
      <c r="AP32" s="98"/>
      <c r="AQ32" s="143">
        <f>VLOOKUP(AQ31,市町村データ領域,MATCH(手順書_人口!$G$53, 市町村データヘッダー, 0),FALSE)</f>
        <v>2443</v>
      </c>
      <c r="AR32" s="188"/>
      <c r="AS32" s="188"/>
      <c r="AT32" s="98"/>
      <c r="AU32" s="161">
        <f>VLOOKUP(AU31,市町村データ領域,MATCH(手順書_人口!$G$53, 市町村データヘッダー, 0),FALSE)</f>
        <v>8432</v>
      </c>
      <c r="AV32" s="188"/>
      <c r="AW32" s="188"/>
      <c r="AX32" s="98"/>
      <c r="AY32" s="176"/>
      <c r="AZ32" s="163"/>
      <c r="BA32" s="163"/>
      <c r="BB32" s="163"/>
      <c r="BC32" s="176"/>
      <c r="BD32" s="163"/>
      <c r="BE32" s="163"/>
      <c r="BF32" s="163"/>
      <c r="BG32" s="176"/>
      <c r="BH32" s="163"/>
      <c r="BI32" s="163"/>
      <c r="BJ32" s="170"/>
      <c r="BK32" s="163"/>
      <c r="BL32" s="163"/>
      <c r="BM32" s="163"/>
      <c r="BN32" s="163"/>
      <c r="BO32" s="163"/>
      <c r="BP32" s="163"/>
      <c r="BQ32" s="163"/>
      <c r="BR32" s="170"/>
      <c r="BS32" s="146">
        <f>VLOOKUP(BS31,市町村データ領域,MATCH(手順書_人口!$G$53, 市町村データヘッダー, 0),FALSE)</f>
        <v>4711</v>
      </c>
      <c r="BT32" s="188"/>
      <c r="BU32" s="188"/>
      <c r="BV32" s="98"/>
      <c r="BW32" s="163"/>
      <c r="BX32" s="163"/>
      <c r="BY32" s="163"/>
      <c r="BZ32" s="163"/>
      <c r="CA32" s="163"/>
      <c r="CB32" s="163"/>
      <c r="CC32" s="163"/>
      <c r="CD32" s="162"/>
    </row>
    <row r="33" spans="1:82" ht="21.15" customHeight="1" x14ac:dyDescent="0.55000000000000004">
      <c r="A33" s="162"/>
      <c r="B33" s="163"/>
      <c r="C33" s="163"/>
      <c r="D33" s="163"/>
      <c r="E33" s="163"/>
      <c r="F33" s="170"/>
      <c r="G33" s="163"/>
      <c r="H33" s="163"/>
      <c r="I33" s="163"/>
      <c r="J33" s="163"/>
      <c r="K33" s="163"/>
      <c r="L33" s="163"/>
      <c r="M33" s="163"/>
      <c r="N33" s="163"/>
      <c r="O33" s="163"/>
      <c r="P33" s="163"/>
      <c r="Q33" s="163"/>
      <c r="R33" s="170"/>
      <c r="S33" s="163"/>
      <c r="T33" s="163"/>
      <c r="U33" s="163"/>
      <c r="V33" s="163"/>
      <c r="W33" s="163"/>
      <c r="X33" s="163"/>
      <c r="Y33" s="163"/>
      <c r="Z33" s="163"/>
      <c r="AA33" s="163"/>
      <c r="AB33" s="163"/>
      <c r="AC33" s="163"/>
      <c r="AD33" s="163"/>
      <c r="AE33" s="163"/>
      <c r="AF33" s="163"/>
      <c r="AG33" s="163"/>
      <c r="AH33" s="163"/>
      <c r="AI33" s="176"/>
      <c r="AJ33" s="163"/>
      <c r="AK33" s="163"/>
      <c r="AL33" s="170"/>
      <c r="AM33" s="141">
        <f>VLOOKUP(AM31,市町村データ領域,MATCH(手順書_人口!$G$54, 市町村データヘッダー, 0),FALSE)</f>
        <v>144723</v>
      </c>
      <c r="AN33" s="188"/>
      <c r="AO33" s="188"/>
      <c r="AP33" s="98"/>
      <c r="AQ33" s="147">
        <f>VLOOKUP(AQ31,市町村データ領域,MATCH(手順書_人口!$G$54, 市町村データヘッダー, 0),FALSE)</f>
        <v>37453</v>
      </c>
      <c r="AR33" s="188"/>
      <c r="AS33" s="188"/>
      <c r="AT33" s="98"/>
      <c r="AU33" s="160">
        <f>VLOOKUP(AU31,市町村データ領域,MATCH(手順書_人口!$G$54, 市町村データヘッダー, 0),FALSE)</f>
        <v>76312</v>
      </c>
      <c r="AV33" s="188"/>
      <c r="AW33" s="188"/>
      <c r="AX33" s="98"/>
      <c r="AY33" s="163"/>
      <c r="AZ33" s="163"/>
      <c r="BA33" s="163"/>
      <c r="BB33" s="163"/>
      <c r="BC33" s="163"/>
      <c r="BD33" s="163"/>
      <c r="BE33" s="163"/>
      <c r="BF33" s="163"/>
      <c r="BG33" s="163"/>
      <c r="BH33" s="163"/>
      <c r="BI33" s="163"/>
      <c r="BJ33" s="170"/>
      <c r="BK33" s="163"/>
      <c r="BL33" s="163"/>
      <c r="BM33" s="163"/>
      <c r="BN33" s="163"/>
      <c r="BO33" s="163"/>
      <c r="BP33" s="163"/>
      <c r="BQ33" s="163"/>
      <c r="BR33" s="170"/>
      <c r="BS33" s="141">
        <f>VLOOKUP(BS31,市町村データ領域,MATCH(手順書_人口!$G$54, 市町村データヘッダー, 0),FALSE)</f>
        <v>141942</v>
      </c>
      <c r="BT33" s="188"/>
      <c r="BU33" s="188"/>
      <c r="BV33" s="98"/>
      <c r="BW33" s="163"/>
      <c r="BX33" s="163"/>
      <c r="BY33" s="163"/>
      <c r="BZ33" s="163"/>
      <c r="CA33" s="163"/>
      <c r="CB33" s="163"/>
      <c r="CC33" s="163"/>
      <c r="CD33" s="162"/>
    </row>
    <row r="34" spans="1:82" ht="21.15" customHeight="1" thickBot="1" x14ac:dyDescent="0.6">
      <c r="A34" s="162"/>
      <c r="B34" s="163"/>
      <c r="C34" s="163"/>
      <c r="D34" s="163"/>
      <c r="E34" s="163"/>
      <c r="F34" s="170"/>
      <c r="G34" s="163"/>
      <c r="H34" s="163"/>
      <c r="I34" s="163"/>
      <c r="J34" s="163"/>
      <c r="K34" s="163"/>
      <c r="L34" s="163"/>
      <c r="M34" s="163"/>
      <c r="N34" s="163"/>
      <c r="O34" s="163"/>
      <c r="P34" s="163"/>
      <c r="Q34" s="163"/>
      <c r="R34" s="170"/>
      <c r="S34" s="163"/>
      <c r="T34" s="163"/>
      <c r="U34" s="163"/>
      <c r="V34" s="163"/>
      <c r="W34" s="163"/>
      <c r="X34" s="163"/>
      <c r="Y34" s="163"/>
      <c r="Z34" s="163"/>
      <c r="AA34" s="163"/>
      <c r="AB34" s="163"/>
      <c r="AC34" s="163"/>
      <c r="AD34" s="163"/>
      <c r="AE34" s="163"/>
      <c r="AF34" s="163"/>
      <c r="AG34" s="163"/>
      <c r="AH34" s="163"/>
      <c r="AI34" s="163"/>
      <c r="AJ34" s="163"/>
      <c r="AK34" s="163"/>
      <c r="AL34" s="170"/>
      <c r="AM34" s="221">
        <f>VLOOKUP(AM31,市町村データ領域,MATCH(手順書_人口!$G$55, 市町村データヘッダー, 0),FALSE)</f>
        <v>44.7</v>
      </c>
      <c r="AN34" s="99"/>
      <c r="AO34" s="99"/>
      <c r="AP34" s="100"/>
      <c r="AQ34" s="220">
        <f>VLOOKUP(AQ31,市町村データ領域,MATCH(手順書_人口!$G$55, 市町村データヘッダー, 0),FALSE)</f>
        <v>15.3</v>
      </c>
      <c r="AR34" s="99"/>
      <c r="AS34" s="99"/>
      <c r="AT34" s="100"/>
      <c r="AU34" s="232">
        <f>VLOOKUP(AU31,市町村データ領域,MATCH(手順書_人口!$G$55, 市町村データヘッダー, 0),FALSE)</f>
        <v>9.1</v>
      </c>
      <c r="AV34" s="99"/>
      <c r="AW34" s="99"/>
      <c r="AX34" s="100"/>
      <c r="AY34" s="163"/>
      <c r="AZ34" s="163"/>
      <c r="BA34" s="163"/>
      <c r="BB34" s="163"/>
      <c r="BC34" s="163"/>
      <c r="BD34" s="163"/>
      <c r="BE34" s="163"/>
      <c r="BF34" s="163"/>
      <c r="BG34" s="163"/>
      <c r="BH34" s="163"/>
      <c r="BI34" s="163"/>
      <c r="BJ34" s="170"/>
      <c r="BK34" s="163"/>
      <c r="BL34" s="163"/>
      <c r="BM34" s="163"/>
      <c r="BN34" s="163"/>
      <c r="BO34" s="163"/>
      <c r="BP34" s="163"/>
      <c r="BQ34" s="163"/>
      <c r="BR34" s="170"/>
      <c r="BS34" s="221">
        <f>VLOOKUP(BS31,市町村データ領域,MATCH(手順書_人口!$G$55, 市町村データヘッダー, 0),FALSE)</f>
        <v>30.1</v>
      </c>
      <c r="BT34" s="99"/>
      <c r="BU34" s="99"/>
      <c r="BV34" s="100"/>
      <c r="BW34" s="163"/>
      <c r="BX34" s="163"/>
      <c r="BY34" s="163"/>
      <c r="BZ34" s="163"/>
      <c r="CA34" s="163"/>
      <c r="CB34" s="163"/>
      <c r="CC34" s="163"/>
      <c r="CD34" s="162"/>
    </row>
    <row r="35" spans="1:82" ht="21.15" customHeight="1" x14ac:dyDescent="0.55000000000000004">
      <c r="A35" s="162"/>
      <c r="B35" s="163"/>
      <c r="C35" s="164" t="s">
        <v>231</v>
      </c>
      <c r="D35" s="163"/>
      <c r="E35" s="163"/>
      <c r="F35" s="163"/>
      <c r="G35" s="169"/>
      <c r="H35" s="169"/>
      <c r="I35" s="169"/>
      <c r="J35" s="169"/>
      <c r="K35" s="169"/>
      <c r="L35" s="169"/>
      <c r="M35" s="169"/>
      <c r="N35" s="169"/>
      <c r="O35" s="169"/>
      <c r="P35" s="169"/>
      <c r="Q35" s="169"/>
      <c r="R35" s="169"/>
      <c r="S35" s="169"/>
      <c r="T35" s="169"/>
      <c r="U35" s="169"/>
      <c r="V35" s="169"/>
      <c r="W35" s="169"/>
      <c r="X35" s="169"/>
      <c r="Y35" s="169"/>
      <c r="Z35" s="169"/>
      <c r="AA35" s="169"/>
      <c r="AB35" s="169"/>
      <c r="AC35" s="169"/>
      <c r="AD35" s="169"/>
      <c r="AE35" s="169"/>
      <c r="AF35" s="169"/>
      <c r="AG35" s="169"/>
      <c r="AH35" s="169"/>
      <c r="AI35" s="169"/>
      <c r="AJ35" s="169"/>
      <c r="AK35" s="169"/>
      <c r="AL35" s="168"/>
      <c r="AM35" s="167">
        <v>64</v>
      </c>
      <c r="AN35" s="166" t="str">
        <f>VLOOKUP(AM35,市町村データ領域,MATCH(手順書_人口!$H$52, 市町村データヘッダー, 0),FALSE)</f>
        <v>所沢市</v>
      </c>
      <c r="AO35" s="102"/>
      <c r="AP35" s="103"/>
      <c r="AQ35" s="167">
        <v>65</v>
      </c>
      <c r="AR35" s="166" t="str">
        <f>VLOOKUP(AQ35,市町村データ領域,MATCH(手順書_人口!$H$52, 市町村データヘッダー, 0),FALSE)</f>
        <v>新座市</v>
      </c>
      <c r="AS35" s="102"/>
      <c r="AT35" s="103"/>
      <c r="AU35" s="167">
        <v>66</v>
      </c>
      <c r="AV35" s="166" t="str">
        <f>VLOOKUP(AU35,市町村データ領域,MATCH(手順書_人口!$H$52, 市町村データヘッダー, 0),FALSE)</f>
        <v>朝霞市</v>
      </c>
      <c r="AW35" s="102"/>
      <c r="AX35" s="103"/>
      <c r="AY35" s="167">
        <v>67</v>
      </c>
      <c r="AZ35" s="166" t="str">
        <f>VLOOKUP(AY35,市町村データ領域,MATCH(手順書_人口!$H$52, 市町村データヘッダー, 0),FALSE)</f>
        <v>和光市</v>
      </c>
      <c r="BA35" s="102"/>
      <c r="BB35" s="103"/>
      <c r="BC35" s="167">
        <v>68</v>
      </c>
      <c r="BD35" s="166" t="str">
        <f>VLOOKUP(BC35,市町村データ領域,MATCH(手順書_人口!$H$52, 市町村データヘッダー, 0),FALSE)</f>
        <v>戸田市</v>
      </c>
      <c r="BE35" s="102"/>
      <c r="BF35" s="103"/>
      <c r="BG35" s="167">
        <v>69</v>
      </c>
      <c r="BH35" s="166" t="str">
        <f>VLOOKUP(BG35,市町村データ領域,MATCH(手順書_人口!$H$52, 市町村データヘッダー, 0),FALSE)</f>
        <v>蕨市</v>
      </c>
      <c r="BI35" s="102"/>
      <c r="BJ35" s="103"/>
      <c r="BK35" s="167">
        <v>70</v>
      </c>
      <c r="BL35" s="166" t="str">
        <f>VLOOKUP(BK35,市町村データ領域,MATCH(手順書_人口!$H$52, 市町村データヘッダー, 0),FALSE)</f>
        <v>川口市</v>
      </c>
      <c r="BM35" s="102"/>
      <c r="BN35" s="103"/>
      <c r="BO35" s="167">
        <v>71</v>
      </c>
      <c r="BP35" s="166" t="str">
        <f>VLOOKUP(BO35,市町村データ領域,MATCH(手順書_人口!$H$52, 市町村データヘッダー, 0),FALSE)</f>
        <v>草加市</v>
      </c>
      <c r="BQ35" s="102"/>
      <c r="BR35" s="103"/>
      <c r="BS35" s="167">
        <v>72</v>
      </c>
      <c r="BT35" s="166" t="str">
        <f>VLOOKUP(BS35,市町村データ領域,MATCH(手順書_人口!$H$52, 市町村データヘッダー, 0),FALSE)</f>
        <v>八潮市</v>
      </c>
      <c r="BU35" s="102"/>
      <c r="BV35" s="103"/>
      <c r="BW35" s="163"/>
      <c r="BX35" s="163"/>
      <c r="BY35" s="163"/>
      <c r="BZ35" s="163"/>
      <c r="CA35" s="163"/>
      <c r="CB35" s="163"/>
      <c r="CC35" s="163"/>
      <c r="CD35" s="162"/>
    </row>
    <row r="36" spans="1:82" ht="21.15" customHeight="1" x14ac:dyDescent="0.55000000000000004">
      <c r="A36" s="162"/>
      <c r="B36" s="163"/>
      <c r="C36" s="163"/>
      <c r="D36" s="163"/>
      <c r="E36" s="163"/>
      <c r="F36" s="163"/>
      <c r="G36" s="163"/>
      <c r="H36" s="163"/>
      <c r="I36" s="163"/>
      <c r="J36" s="163"/>
      <c r="K36" s="163"/>
      <c r="L36" s="163"/>
      <c r="M36" s="163"/>
      <c r="N36" s="163"/>
      <c r="O36" s="163"/>
      <c r="P36" s="163"/>
      <c r="Q36" s="163"/>
      <c r="R36" s="163"/>
      <c r="S36" s="163"/>
      <c r="T36" s="163"/>
      <c r="U36" s="163"/>
      <c r="V36" s="163"/>
      <c r="W36" s="163"/>
      <c r="X36" s="163"/>
      <c r="Y36" s="163"/>
      <c r="Z36" s="163"/>
      <c r="AA36" s="163"/>
      <c r="AB36" s="163"/>
      <c r="AC36" s="163"/>
      <c r="AD36" s="179">
        <v>40</v>
      </c>
      <c r="AE36" s="179">
        <v>41</v>
      </c>
      <c r="AF36" s="179">
        <v>42</v>
      </c>
      <c r="AG36" s="179">
        <v>43</v>
      </c>
      <c r="AH36" s="163" t="s">
        <v>232</v>
      </c>
      <c r="AI36" s="179" t="s">
        <v>208</v>
      </c>
      <c r="AJ36" s="163"/>
      <c r="AK36" s="163"/>
      <c r="AL36" s="170"/>
      <c r="AM36" s="150">
        <f>VLOOKUP(AM35,市町村データ領域,MATCH(手順書_人口!$G$53, 市町村データヘッダー, 0),FALSE)</f>
        <v>4764</v>
      </c>
      <c r="AN36" s="188"/>
      <c r="AO36" s="188"/>
      <c r="AP36" s="98"/>
      <c r="AQ36" s="146">
        <f>VLOOKUP(AQ35,市町村データ領域,MATCH(手順書_人口!$G$53, 市町村データヘッダー, 0),FALSE)</f>
        <v>7289</v>
      </c>
      <c r="AR36" s="188"/>
      <c r="AS36" s="188"/>
      <c r="AT36" s="98"/>
      <c r="AU36" s="146">
        <f>VLOOKUP(AU35,市町村データ領域,MATCH(手順書_人口!$G$53, 市町村データヘッダー, 0),FALSE)</f>
        <v>7904</v>
      </c>
      <c r="AV36" s="188"/>
      <c r="AW36" s="188"/>
      <c r="AX36" s="98"/>
      <c r="AY36" s="161">
        <f>VLOOKUP(AY35,市町村データ領域,MATCH(手順書_人口!$G$53, 市町村データヘッダー, 0),FALSE)</f>
        <v>7675</v>
      </c>
      <c r="AZ36" s="188"/>
      <c r="BA36" s="188"/>
      <c r="BB36" s="98"/>
      <c r="BC36" s="146">
        <f>VLOOKUP(BC35,市町村データ領域,MATCH(手順書_人口!$G$53, 市町村データヘッダー, 0),FALSE)</f>
        <v>7815</v>
      </c>
      <c r="BD36" s="188"/>
      <c r="BE36" s="188"/>
      <c r="BF36" s="98"/>
      <c r="BG36" s="161">
        <f>VLOOKUP(BG35,市町村データ領域,MATCH(手順書_人口!$G$53, 市町村データヘッダー, 0),FALSE)</f>
        <v>14804</v>
      </c>
      <c r="BH36" s="188"/>
      <c r="BI36" s="188"/>
      <c r="BJ36" s="98"/>
      <c r="BK36" s="144">
        <f>VLOOKUP(BK35,市町村データ領域,MATCH(手順書_人口!$G$53, 市町村データヘッダー, 0),FALSE)</f>
        <v>9787</v>
      </c>
      <c r="BL36" s="188"/>
      <c r="BM36" s="188"/>
      <c r="BN36" s="98"/>
      <c r="BO36" s="150">
        <f>VLOOKUP(BO35,市町村データ領域,MATCH(手順書_人口!$G$53, 市町村データヘッダー, 0),FALSE)</f>
        <v>9149</v>
      </c>
      <c r="BP36" s="188"/>
      <c r="BQ36" s="188"/>
      <c r="BR36" s="98"/>
      <c r="BS36" s="161">
        <f>VLOOKUP(BS35,市町村データ領域,MATCH(手順書_人口!$G$53, 市町村データヘッダー, 0),FALSE)</f>
        <v>5165</v>
      </c>
      <c r="BT36" s="188"/>
      <c r="BU36" s="188"/>
      <c r="BV36" s="98"/>
      <c r="BW36" s="163"/>
      <c r="BX36" s="163"/>
      <c r="BY36" s="163"/>
      <c r="BZ36" s="163"/>
      <c r="CA36" s="163"/>
      <c r="CB36" s="163"/>
      <c r="CC36" s="163"/>
      <c r="CD36" s="162"/>
    </row>
    <row r="37" spans="1:82" ht="21.15" customHeight="1" x14ac:dyDescent="0.55000000000000004">
      <c r="A37" s="162"/>
      <c r="B37" s="163"/>
      <c r="C37" s="163"/>
      <c r="D37" s="163"/>
      <c r="E37" s="163"/>
      <c r="F37" s="163"/>
      <c r="G37" s="163" t="s">
        <v>234</v>
      </c>
      <c r="H37" s="163"/>
      <c r="I37" s="163"/>
      <c r="J37" s="163"/>
      <c r="K37" s="163"/>
      <c r="L37" s="163"/>
      <c r="M37" s="163"/>
      <c r="N37" s="163"/>
      <c r="O37" s="163"/>
      <c r="P37" s="163"/>
      <c r="Q37" s="163"/>
      <c r="R37" s="163"/>
      <c r="S37" s="163"/>
      <c r="T37" s="163"/>
      <c r="U37" s="163"/>
      <c r="V37" s="163"/>
      <c r="W37" s="163"/>
      <c r="X37" s="163"/>
      <c r="Y37" s="163"/>
      <c r="Z37" s="163"/>
      <c r="AA37" s="163"/>
      <c r="AB37" s="163"/>
      <c r="AC37" s="163"/>
      <c r="AD37" s="163"/>
      <c r="AE37" s="179">
        <v>52</v>
      </c>
      <c r="AF37" s="179">
        <v>53</v>
      </c>
      <c r="AG37" s="179">
        <v>54</v>
      </c>
      <c r="AH37" s="163"/>
      <c r="AI37" s="163" t="s">
        <v>233</v>
      </c>
      <c r="AJ37" s="163"/>
      <c r="AK37" s="163"/>
      <c r="AL37" s="170"/>
      <c r="AM37" s="153">
        <f>VLOOKUP(AM35,市町村データ領域,MATCH(手順書_人口!$G$54, 市町村データヘッダー, 0),FALSE)</f>
        <v>343529</v>
      </c>
      <c r="AN37" s="188"/>
      <c r="AO37" s="188"/>
      <c r="AP37" s="98"/>
      <c r="AQ37" s="141">
        <f>VLOOKUP(AQ35,市町村データ領域,MATCH(手順書_人口!$G$54, 市町村データヘッダー, 0),FALSE)</f>
        <v>166036</v>
      </c>
      <c r="AR37" s="188"/>
      <c r="AS37" s="188"/>
      <c r="AT37" s="98"/>
      <c r="AU37" s="141">
        <f>VLOOKUP(AU35,市町村データ領域,MATCH(手順書_人口!$G$54, 市町村データヘッダー, 0),FALSE)</f>
        <v>144964</v>
      </c>
      <c r="AV37" s="188"/>
      <c r="AW37" s="188"/>
      <c r="AX37" s="98"/>
      <c r="AY37" s="160">
        <f>VLOOKUP(AY35,市町村データ領域,MATCH(手順書_人口!$G$54, 市町村データヘッダー, 0),FALSE)</f>
        <v>84728</v>
      </c>
      <c r="AZ37" s="188"/>
      <c r="BA37" s="188"/>
      <c r="BB37" s="98"/>
      <c r="BC37" s="141">
        <f>VLOOKUP(BC35,市町村データ領域,MATCH(手順書_人口!$G$54, 市町村データヘッダー, 0),FALSE)</f>
        <v>142163</v>
      </c>
      <c r="BD37" s="188"/>
      <c r="BE37" s="188"/>
      <c r="BF37" s="98"/>
      <c r="BG37" s="160">
        <f>VLOOKUP(BG35,市町村データ領域,MATCH(手順書_人口!$G$54, 市町村データヘッダー, 0),FALSE)</f>
        <v>75646</v>
      </c>
      <c r="BH37" s="188"/>
      <c r="BI37" s="188"/>
      <c r="BJ37" s="98"/>
      <c r="BK37" s="148">
        <f>VLOOKUP(BK35,市町村データ領域,MATCH(手順書_人口!$G$54, 市町村データヘッダー, 0),FALSE)</f>
        <v>606315</v>
      </c>
      <c r="BL37" s="188"/>
      <c r="BM37" s="188"/>
      <c r="BN37" s="98"/>
      <c r="BO37" s="153">
        <f>VLOOKUP(BO35,市町村データ領域,MATCH(手順書_人口!$G$54, 市町村データヘッダー, 0),FALSE)</f>
        <v>251219</v>
      </c>
      <c r="BP37" s="188"/>
      <c r="BQ37" s="188"/>
      <c r="BR37" s="98"/>
      <c r="BS37" s="160">
        <f>VLOOKUP(BS35,市町村データ領域,MATCH(手順書_人口!$G$54, 市町村データヘッダー, 0),FALSE)</f>
        <v>93065</v>
      </c>
      <c r="BT37" s="188"/>
      <c r="BU37" s="188"/>
      <c r="BV37" s="98"/>
      <c r="BW37" s="163"/>
      <c r="BX37" s="163"/>
      <c r="BY37" s="163"/>
      <c r="BZ37" s="163"/>
      <c r="CA37" s="163"/>
      <c r="CB37" s="163"/>
      <c r="CC37" s="163"/>
      <c r="CD37" s="162"/>
    </row>
    <row r="38" spans="1:82" ht="21.15" customHeight="1" thickBot="1" x14ac:dyDescent="0.6">
      <c r="A38" s="162"/>
      <c r="B38" s="163"/>
      <c r="C38" s="163"/>
      <c r="D38" s="163"/>
      <c r="E38" s="163"/>
      <c r="F38" s="163"/>
      <c r="G38" s="180" t="s">
        <v>235</v>
      </c>
      <c r="H38" s="163"/>
      <c r="I38" s="163"/>
      <c r="J38" s="163"/>
      <c r="K38" s="163"/>
      <c r="L38" s="163"/>
      <c r="M38" s="163"/>
      <c r="N38" s="163"/>
      <c r="O38" s="163"/>
      <c r="P38" s="163"/>
      <c r="Q38" s="163"/>
      <c r="R38" s="163"/>
      <c r="S38" s="163"/>
      <c r="T38" s="163"/>
      <c r="U38" s="163"/>
      <c r="V38" s="163"/>
      <c r="W38" s="163"/>
      <c r="X38" s="163"/>
      <c r="Y38" s="163"/>
      <c r="Z38" s="163"/>
      <c r="AA38" s="163"/>
      <c r="AB38" s="163"/>
      <c r="AC38" s="163"/>
      <c r="AD38" s="163"/>
      <c r="AE38" s="179">
        <v>60</v>
      </c>
      <c r="AF38" s="179">
        <v>61</v>
      </c>
      <c r="AG38" s="179">
        <v>62</v>
      </c>
      <c r="AH38" s="163"/>
      <c r="AI38" s="163"/>
      <c r="AJ38" s="163"/>
      <c r="AK38" s="163"/>
      <c r="AL38" s="170"/>
      <c r="AM38" s="223">
        <f>VLOOKUP(AM35,市町村データ領域,MATCH(手順書_人口!$G$55, 市町村データヘッダー, 0),FALSE)</f>
        <v>72.099999999999994</v>
      </c>
      <c r="AN38" s="99"/>
      <c r="AO38" s="99"/>
      <c r="AP38" s="100"/>
      <c r="AQ38" s="221">
        <f>VLOOKUP(AQ35,市町村データ領域,MATCH(手順書_人口!$G$55, 市町村データヘッダー, 0),FALSE)</f>
        <v>22.8</v>
      </c>
      <c r="AR38" s="99"/>
      <c r="AS38" s="99"/>
      <c r="AT38" s="100"/>
      <c r="AU38" s="221">
        <f>VLOOKUP(AU35,市町村データ領域,MATCH(手順書_人口!$G$55, 市町村データヘッダー, 0),FALSE)</f>
        <v>18.3</v>
      </c>
      <c r="AV38" s="99"/>
      <c r="AW38" s="99"/>
      <c r="AX38" s="100"/>
      <c r="AY38" s="232">
        <f>VLOOKUP(AY35,市町村データ領域,MATCH(手順書_人口!$G$55, 市町村データヘッダー, 0),FALSE)</f>
        <v>11</v>
      </c>
      <c r="AZ38" s="99"/>
      <c r="BA38" s="99"/>
      <c r="BB38" s="100"/>
      <c r="BC38" s="221">
        <f>VLOOKUP(BC35,市町村データ領域,MATCH(手順書_人口!$G$55, 市町村データヘッダー, 0),FALSE)</f>
        <v>18.2</v>
      </c>
      <c r="BD38" s="99"/>
      <c r="BE38" s="99"/>
      <c r="BF38" s="100"/>
      <c r="BG38" s="232">
        <f>VLOOKUP(BG35,市町村データ領域,MATCH(手順書_人口!$G$55, 市町村データヘッダー, 0),FALSE)</f>
        <v>5.0999999999999996</v>
      </c>
      <c r="BH38" s="99"/>
      <c r="BI38" s="99"/>
      <c r="BJ38" s="100"/>
      <c r="BK38" s="226">
        <f>VLOOKUP(BK35,市町村データ領域,MATCH(手順書_人口!$G$55, 市町村データヘッダー, 0),FALSE)</f>
        <v>62</v>
      </c>
      <c r="BL38" s="99"/>
      <c r="BM38" s="99"/>
      <c r="BN38" s="100"/>
      <c r="BO38" s="223">
        <f>VLOOKUP(BO35,市町村データ領域,MATCH(手順書_人口!$G$55, 市町村データヘッダー, 0),FALSE)</f>
        <v>27.5</v>
      </c>
      <c r="BP38" s="99"/>
      <c r="BQ38" s="99"/>
      <c r="BR38" s="100"/>
      <c r="BS38" s="232">
        <f>VLOOKUP(BS35,市町村データ領域,MATCH(手順書_人口!$G$55, 市町村データヘッダー, 0),FALSE)</f>
        <v>18</v>
      </c>
      <c r="BT38" s="99"/>
      <c r="BU38" s="99"/>
      <c r="BV38" s="100"/>
      <c r="BW38" s="163"/>
      <c r="BX38" s="163"/>
      <c r="BY38" s="163"/>
      <c r="BZ38" s="163"/>
      <c r="CA38" s="163"/>
      <c r="CB38" s="163"/>
      <c r="CC38" s="163"/>
      <c r="CD38" s="162"/>
    </row>
    <row r="39" spans="1:82" ht="21.15" customHeight="1" x14ac:dyDescent="0.55000000000000004">
      <c r="A39" s="162"/>
      <c r="B39" s="163"/>
      <c r="C39" s="163"/>
      <c r="D39" s="163"/>
      <c r="E39" s="163"/>
      <c r="F39" s="163"/>
      <c r="G39" s="163"/>
      <c r="H39" s="163"/>
      <c r="I39" s="163"/>
      <c r="J39" s="163"/>
      <c r="K39" s="163"/>
      <c r="L39" s="163"/>
      <c r="M39" s="163"/>
      <c r="N39" s="163"/>
      <c r="O39" s="163"/>
      <c r="P39" s="163"/>
      <c r="Q39" s="163"/>
      <c r="R39" s="163"/>
      <c r="S39" s="163"/>
      <c r="T39" s="163"/>
      <c r="U39" s="163"/>
      <c r="V39" s="163"/>
      <c r="W39" s="163"/>
      <c r="X39" s="163"/>
      <c r="Y39" s="163"/>
      <c r="Z39" s="163"/>
      <c r="AA39" s="163"/>
      <c r="AB39" s="163"/>
      <c r="AC39" s="163"/>
      <c r="AD39" s="163"/>
      <c r="AE39" s="163"/>
      <c r="AF39" s="163"/>
      <c r="AG39" s="163"/>
      <c r="AH39" s="163"/>
      <c r="AI39" s="163"/>
      <c r="AJ39" s="163"/>
      <c r="AK39" s="163"/>
      <c r="AL39" s="163"/>
      <c r="AM39" s="169"/>
      <c r="AN39" s="169"/>
      <c r="AO39" s="169"/>
      <c r="AP39" s="169"/>
      <c r="AQ39" s="169"/>
      <c r="AR39" s="169"/>
      <c r="AS39" s="169"/>
      <c r="AT39" s="169"/>
      <c r="AU39" s="169"/>
      <c r="AV39" s="169"/>
      <c r="AW39" s="169"/>
      <c r="AX39" s="169"/>
      <c r="AY39" s="169"/>
      <c r="AZ39" s="169"/>
      <c r="BA39" s="169"/>
      <c r="BB39" s="169"/>
      <c r="BC39" s="169"/>
      <c r="BD39" s="169"/>
      <c r="BE39" s="169"/>
      <c r="BF39" s="169"/>
      <c r="BG39" s="169"/>
      <c r="BH39" s="169"/>
      <c r="BI39" s="169"/>
      <c r="BJ39" s="169"/>
      <c r="BK39" s="169"/>
      <c r="BL39" s="169"/>
      <c r="BM39" s="169"/>
      <c r="BN39" s="169"/>
      <c r="BO39" s="169"/>
      <c r="BP39" s="169"/>
      <c r="BQ39" s="169"/>
      <c r="BR39" s="169"/>
      <c r="BS39" s="169"/>
      <c r="BT39" s="169"/>
      <c r="BU39" s="169"/>
      <c r="BV39" s="169"/>
      <c r="BW39" s="163"/>
      <c r="BX39" s="163"/>
      <c r="BY39" s="163"/>
      <c r="BZ39" s="163"/>
      <c r="CA39" s="163"/>
      <c r="CB39" s="163"/>
      <c r="CC39" s="163"/>
      <c r="CD39" s="162"/>
    </row>
    <row r="40" spans="1:82" ht="21.15" customHeight="1" x14ac:dyDescent="0.55000000000000004">
      <c r="A40" s="162"/>
      <c r="B40" s="162"/>
      <c r="C40" s="162"/>
      <c r="D40" s="162"/>
      <c r="E40" s="162"/>
      <c r="F40" s="162"/>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162"/>
      <c r="AJ40" s="162"/>
      <c r="AK40" s="162"/>
      <c r="AL40" s="162"/>
      <c r="AM40" s="162"/>
      <c r="AN40" s="162"/>
      <c r="AO40" s="162"/>
      <c r="AP40" s="162"/>
      <c r="AQ40" s="162"/>
      <c r="AR40" s="162"/>
      <c r="AS40" s="162"/>
      <c r="AT40" s="162"/>
      <c r="AU40" s="162"/>
      <c r="AV40" s="162"/>
      <c r="AW40" s="162"/>
      <c r="AX40" s="162"/>
      <c r="AY40" s="162"/>
      <c r="AZ40" s="162"/>
      <c r="BA40" s="162"/>
      <c r="BB40" s="162"/>
      <c r="BC40" s="162"/>
      <c r="BD40" s="162"/>
      <c r="BE40" s="162"/>
      <c r="BF40" s="162"/>
      <c r="BG40" s="162"/>
      <c r="BH40" s="162"/>
      <c r="BI40" s="162"/>
      <c r="BJ40" s="162"/>
      <c r="BK40" s="162"/>
      <c r="BL40" s="162"/>
      <c r="BM40" s="162"/>
      <c r="BN40" s="162"/>
      <c r="BO40" s="162"/>
      <c r="BP40" s="162"/>
      <c r="BQ40" s="162"/>
      <c r="BR40" s="162"/>
      <c r="BS40" s="162"/>
      <c r="BT40" s="162"/>
      <c r="BU40" s="162"/>
      <c r="BV40" s="162"/>
      <c r="BW40" s="162"/>
      <c r="BX40" s="162"/>
      <c r="BY40" s="162"/>
      <c r="BZ40" s="162"/>
      <c r="CA40" s="162"/>
      <c r="CB40" s="162"/>
      <c r="CC40" s="162"/>
      <c r="CD40" s="162"/>
    </row>
  </sheetData>
  <mergeCells count="280">
    <mergeCell ref="CA17:CB17"/>
    <mergeCell ref="BX17:BZ17"/>
    <mergeCell ref="CA18:CB18"/>
    <mergeCell ref="BX18:BZ18"/>
    <mergeCell ref="CA14:CB14"/>
    <mergeCell ref="BX14:BZ14"/>
    <mergeCell ref="CA15:CB15"/>
    <mergeCell ref="BX15:BZ15"/>
    <mergeCell ref="CA16:CB16"/>
    <mergeCell ref="BX16:BZ16"/>
    <mergeCell ref="CA11:CB11"/>
    <mergeCell ref="BX11:BZ11"/>
    <mergeCell ref="CA12:CB12"/>
    <mergeCell ref="BX12:BZ12"/>
    <mergeCell ref="CA13:CB13"/>
    <mergeCell ref="BX13:BZ13"/>
    <mergeCell ref="CA8:CB8"/>
    <mergeCell ref="BX8:BZ8"/>
    <mergeCell ref="CA9:CB9"/>
    <mergeCell ref="BX9:BZ9"/>
    <mergeCell ref="CA10:CB10"/>
    <mergeCell ref="BX10:BZ10"/>
    <mergeCell ref="D3:F3"/>
    <mergeCell ref="C4:F4"/>
    <mergeCell ref="C5:F5"/>
    <mergeCell ref="C6:F6"/>
    <mergeCell ref="CA7:CB7"/>
    <mergeCell ref="BX7:BZ7"/>
    <mergeCell ref="AM37:AP37"/>
    <mergeCell ref="BS38:BV38"/>
    <mergeCell ref="BO38:BR38"/>
    <mergeCell ref="BK38:BN38"/>
    <mergeCell ref="BG38:BJ38"/>
    <mergeCell ref="BC38:BF38"/>
    <mergeCell ref="AY38:BB38"/>
    <mergeCell ref="AU38:AX38"/>
    <mergeCell ref="AQ38:AT38"/>
    <mergeCell ref="AM38:AP38"/>
    <mergeCell ref="AQ36:AT36"/>
    <mergeCell ref="AM36:AP36"/>
    <mergeCell ref="BS37:BV37"/>
    <mergeCell ref="BO37:BR37"/>
    <mergeCell ref="BK37:BN37"/>
    <mergeCell ref="BG37:BJ37"/>
    <mergeCell ref="BC37:BF37"/>
    <mergeCell ref="AY37:BB37"/>
    <mergeCell ref="AU37:AX37"/>
    <mergeCell ref="AQ37:AT37"/>
    <mergeCell ref="AV35:AX35"/>
    <mergeCell ref="AR35:AT35"/>
    <mergeCell ref="AN35:AP35"/>
    <mergeCell ref="BS36:BV36"/>
    <mergeCell ref="BO36:BR36"/>
    <mergeCell ref="BK36:BN36"/>
    <mergeCell ref="BG36:BJ36"/>
    <mergeCell ref="BC36:BF36"/>
    <mergeCell ref="AY36:BB36"/>
    <mergeCell ref="AU36:AX36"/>
    <mergeCell ref="BT35:BV35"/>
    <mergeCell ref="BP35:BR35"/>
    <mergeCell ref="BL35:BN35"/>
    <mergeCell ref="BH35:BJ35"/>
    <mergeCell ref="BD35:BF35"/>
    <mergeCell ref="AZ35:BB35"/>
    <mergeCell ref="BS33:BV33"/>
    <mergeCell ref="AU33:AX33"/>
    <mergeCell ref="AQ33:AT33"/>
    <mergeCell ref="AM33:AP33"/>
    <mergeCell ref="BS34:BV34"/>
    <mergeCell ref="AU34:AX34"/>
    <mergeCell ref="AQ34:AT34"/>
    <mergeCell ref="AM34:AP34"/>
    <mergeCell ref="BT31:BV31"/>
    <mergeCell ref="AV31:AX31"/>
    <mergeCell ref="AR31:AT31"/>
    <mergeCell ref="AN31:AP31"/>
    <mergeCell ref="BS32:BV32"/>
    <mergeCell ref="AU32:AX32"/>
    <mergeCell ref="AQ32:AT32"/>
    <mergeCell ref="AM32:AP32"/>
    <mergeCell ref="G29:J29"/>
    <mergeCell ref="BS30:BV30"/>
    <mergeCell ref="BK30:BN30"/>
    <mergeCell ref="BC30:BF30"/>
    <mergeCell ref="AU30:AX30"/>
    <mergeCell ref="AQ30:AT30"/>
    <mergeCell ref="AM30:AP30"/>
    <mergeCell ref="AI30:AL30"/>
    <mergeCell ref="S30:V30"/>
    <mergeCell ref="G30:J30"/>
    <mergeCell ref="S28:V28"/>
    <mergeCell ref="G28:J28"/>
    <mergeCell ref="BS29:BV29"/>
    <mergeCell ref="BK29:BN29"/>
    <mergeCell ref="BC29:BF29"/>
    <mergeCell ref="AU29:AX29"/>
    <mergeCell ref="AQ29:AT29"/>
    <mergeCell ref="AM29:AP29"/>
    <mergeCell ref="AI29:AL29"/>
    <mergeCell ref="S29:V29"/>
    <mergeCell ref="AJ27:AL27"/>
    <mergeCell ref="T27:V27"/>
    <mergeCell ref="H27:J27"/>
    <mergeCell ref="BS28:BV28"/>
    <mergeCell ref="BK28:BN28"/>
    <mergeCell ref="BC28:BF28"/>
    <mergeCell ref="AU28:AX28"/>
    <mergeCell ref="AQ28:AT28"/>
    <mergeCell ref="AM28:AP28"/>
    <mergeCell ref="AI28:AL28"/>
    <mergeCell ref="BT27:BV27"/>
    <mergeCell ref="BL27:BN27"/>
    <mergeCell ref="BD27:BF27"/>
    <mergeCell ref="AV27:AX27"/>
    <mergeCell ref="AR27:AT27"/>
    <mergeCell ref="AN27:AP27"/>
    <mergeCell ref="S25:V25"/>
    <mergeCell ref="G25:J25"/>
    <mergeCell ref="BS26:BV26"/>
    <mergeCell ref="BK26:BN26"/>
    <mergeCell ref="AM26:AP26"/>
    <mergeCell ref="AI26:AL26"/>
    <mergeCell ref="AE26:AH26"/>
    <mergeCell ref="AA26:AD26"/>
    <mergeCell ref="S26:V26"/>
    <mergeCell ref="G26:J26"/>
    <mergeCell ref="BS25:BV25"/>
    <mergeCell ref="BK25:BN25"/>
    <mergeCell ref="AM25:AP25"/>
    <mergeCell ref="AI25:AL25"/>
    <mergeCell ref="AE25:AH25"/>
    <mergeCell ref="AA25:AD25"/>
    <mergeCell ref="T23:V23"/>
    <mergeCell ref="H23:J23"/>
    <mergeCell ref="BS24:BV24"/>
    <mergeCell ref="BK24:BN24"/>
    <mergeCell ref="AM24:AP24"/>
    <mergeCell ref="AI24:AL24"/>
    <mergeCell ref="AE24:AH24"/>
    <mergeCell ref="AA24:AD24"/>
    <mergeCell ref="S24:V24"/>
    <mergeCell ref="G24:J24"/>
    <mergeCell ref="AA22:AD22"/>
    <mergeCell ref="W22:Z22"/>
    <mergeCell ref="O22:R22"/>
    <mergeCell ref="K22:N22"/>
    <mergeCell ref="BT23:BV23"/>
    <mergeCell ref="BL23:BN23"/>
    <mergeCell ref="AN23:AP23"/>
    <mergeCell ref="AJ23:AL23"/>
    <mergeCell ref="AF23:AH23"/>
    <mergeCell ref="AB23:AD23"/>
    <mergeCell ref="K21:N21"/>
    <mergeCell ref="BO22:BR22"/>
    <mergeCell ref="BK22:BN22"/>
    <mergeCell ref="BG22:BJ22"/>
    <mergeCell ref="BC22:BF22"/>
    <mergeCell ref="AY22:BB22"/>
    <mergeCell ref="AU22:AX22"/>
    <mergeCell ref="AQ22:AT22"/>
    <mergeCell ref="AM22:AP22"/>
    <mergeCell ref="AI22:AL22"/>
    <mergeCell ref="AQ21:AT21"/>
    <mergeCell ref="AM21:AP21"/>
    <mergeCell ref="AI21:AL21"/>
    <mergeCell ref="AA21:AD21"/>
    <mergeCell ref="W21:Z21"/>
    <mergeCell ref="O21:R21"/>
    <mergeCell ref="AA20:AD20"/>
    <mergeCell ref="W20:Z20"/>
    <mergeCell ref="O20:R20"/>
    <mergeCell ref="K20:N20"/>
    <mergeCell ref="BO21:BR21"/>
    <mergeCell ref="BK21:BN21"/>
    <mergeCell ref="BG21:BJ21"/>
    <mergeCell ref="BC21:BF21"/>
    <mergeCell ref="AY21:BB21"/>
    <mergeCell ref="AU21:AX21"/>
    <mergeCell ref="L19:N19"/>
    <mergeCell ref="BO20:BR20"/>
    <mergeCell ref="BK20:BN20"/>
    <mergeCell ref="BG20:BJ20"/>
    <mergeCell ref="BC20:BF20"/>
    <mergeCell ref="AY20:BB20"/>
    <mergeCell ref="AU20:AX20"/>
    <mergeCell ref="AQ20:AT20"/>
    <mergeCell ref="AM20:AP20"/>
    <mergeCell ref="AI20:AL20"/>
    <mergeCell ref="AR19:AT19"/>
    <mergeCell ref="AN19:AP19"/>
    <mergeCell ref="AJ19:AL19"/>
    <mergeCell ref="AB19:AD19"/>
    <mergeCell ref="X19:Z19"/>
    <mergeCell ref="P19:R19"/>
    <mergeCell ref="AA18:AD18"/>
    <mergeCell ref="W18:Z18"/>
    <mergeCell ref="S18:V18"/>
    <mergeCell ref="O18:R18"/>
    <mergeCell ref="BP19:BR19"/>
    <mergeCell ref="BL19:BN19"/>
    <mergeCell ref="BH19:BJ19"/>
    <mergeCell ref="BD19:BF19"/>
    <mergeCell ref="AZ19:BB19"/>
    <mergeCell ref="AV19:AX19"/>
    <mergeCell ref="AA17:AD17"/>
    <mergeCell ref="W17:Z17"/>
    <mergeCell ref="S17:V17"/>
    <mergeCell ref="O17:R17"/>
    <mergeCell ref="BO18:BR18"/>
    <mergeCell ref="AU18:AX18"/>
    <mergeCell ref="AQ18:AT18"/>
    <mergeCell ref="AM18:AP18"/>
    <mergeCell ref="AI18:AL18"/>
    <mergeCell ref="AE18:AH18"/>
    <mergeCell ref="AA16:AD16"/>
    <mergeCell ref="W16:Z16"/>
    <mergeCell ref="S16:V16"/>
    <mergeCell ref="O16:R16"/>
    <mergeCell ref="BO17:BR17"/>
    <mergeCell ref="AU17:AX17"/>
    <mergeCell ref="AQ17:AT17"/>
    <mergeCell ref="AM17:AP17"/>
    <mergeCell ref="AI17:AL17"/>
    <mergeCell ref="AE17:AH17"/>
    <mergeCell ref="AB15:AD15"/>
    <mergeCell ref="X15:Z15"/>
    <mergeCell ref="T15:V15"/>
    <mergeCell ref="P15:R15"/>
    <mergeCell ref="BO16:BR16"/>
    <mergeCell ref="AU16:AX16"/>
    <mergeCell ref="AQ16:AT16"/>
    <mergeCell ref="AM16:AP16"/>
    <mergeCell ref="AI16:AL16"/>
    <mergeCell ref="AE16:AH16"/>
    <mergeCell ref="BP15:BR15"/>
    <mergeCell ref="AV15:AX15"/>
    <mergeCell ref="AR15:AT15"/>
    <mergeCell ref="AN15:AP15"/>
    <mergeCell ref="AJ15:AL15"/>
    <mergeCell ref="AF15:AH15"/>
    <mergeCell ref="AU13:AX13"/>
    <mergeCell ref="AQ13:AT13"/>
    <mergeCell ref="O13:R13"/>
    <mergeCell ref="G13:J13"/>
    <mergeCell ref="AU14:AX14"/>
    <mergeCell ref="AQ14:AT14"/>
    <mergeCell ref="O14:R14"/>
    <mergeCell ref="G14:J14"/>
    <mergeCell ref="AV11:AX11"/>
    <mergeCell ref="AR11:AT11"/>
    <mergeCell ref="P11:R11"/>
    <mergeCell ref="H11:J11"/>
    <mergeCell ref="AU12:AX12"/>
    <mergeCell ref="AQ12:AT12"/>
    <mergeCell ref="O12:R12"/>
    <mergeCell ref="G12:J12"/>
    <mergeCell ref="AU10:AX10"/>
    <mergeCell ref="AQ10:AT10"/>
    <mergeCell ref="W10:Z10"/>
    <mergeCell ref="O10:R10"/>
    <mergeCell ref="K10:N10"/>
    <mergeCell ref="G10:J10"/>
    <mergeCell ref="AU9:AX9"/>
    <mergeCell ref="AQ9:AT9"/>
    <mergeCell ref="W9:Z9"/>
    <mergeCell ref="O9:R9"/>
    <mergeCell ref="K9:N9"/>
    <mergeCell ref="G9:J9"/>
    <mergeCell ref="AU8:AX8"/>
    <mergeCell ref="AQ8:AT8"/>
    <mergeCell ref="W8:Z8"/>
    <mergeCell ref="O8:R8"/>
    <mergeCell ref="K8:N8"/>
    <mergeCell ref="G8:J8"/>
    <mergeCell ref="AV7:AX7"/>
    <mergeCell ref="AR7:AT7"/>
    <mergeCell ref="X7:Z7"/>
    <mergeCell ref="P7:R7"/>
    <mergeCell ref="L7:N7"/>
    <mergeCell ref="H7:J7"/>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2</vt:i4>
      </vt:variant>
    </vt:vector>
  </HeadingPairs>
  <TitlesOfParts>
    <vt:vector size="13" baseType="lpstr">
      <vt:lpstr>手順書_はじめに</vt:lpstr>
      <vt:lpstr>自動生成_地図データ</vt:lpstr>
      <vt:lpstr>地図テンプレート_1</vt:lpstr>
      <vt:lpstr>地図テンプレート_2</vt:lpstr>
      <vt:lpstr>市町村データ</vt:lpstr>
      <vt:lpstr>手順書_市町村なまえ</vt:lpstr>
      <vt:lpstr>自動生成_市町村なまえ</vt:lpstr>
      <vt:lpstr>手順書_人口密度</vt:lpstr>
      <vt:lpstr>自動生成_人口密度</vt:lpstr>
      <vt:lpstr>手順書_人口</vt:lpstr>
      <vt:lpstr>自動生成_人口</vt:lpstr>
      <vt:lpstr>市町村データヘッダー</vt:lpstr>
      <vt:lpstr>市町村データ領域</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智史 高橋</dc:creator>
  <cp:lastModifiedBy>智史 高橋</cp:lastModifiedBy>
  <dcterms:created xsi:type="dcterms:W3CDTF">2025-06-05T11:33:49Z</dcterms:created>
  <dcterms:modified xsi:type="dcterms:W3CDTF">2025-06-08T20:35:43Z</dcterms:modified>
</cp:coreProperties>
</file>