
<file path=[Content_Types].xml><?xml version="1.0" encoding="utf-8"?>
<Types xmlns="http://schemas.openxmlformats.org/package/2006/content-types">
  <Default Extension="bin" ContentType="application/vnd.ms-office.vbaProject"/>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drawings/drawing7.xml" ContentType="application/vnd.openxmlformats-officedocument.drawing+xml"/>
  <Override PartName="/xl/ctrlProps/ctrlProp6.xml" ContentType="application/vnd.ms-excel.controlproperties+xml"/>
  <Override PartName="/xl/drawings/drawing8.xml" ContentType="application/vnd.openxmlformats-officedocument.drawing+xml"/>
  <Override PartName="/xl/ctrlProps/ctrlProp7.xml" ContentType="application/vnd.ms-excel.controlproperties+xml"/>
  <Override PartName="/xl/drawings/drawing9.xml" ContentType="application/vnd.openxmlformats-officedocument.drawing+xml"/>
  <Override PartName="/xl/ctrlProps/ctrlProp8.xml" ContentType="application/vnd.ms-excel.controlproperties+xml"/>
  <Override PartName="/xl/drawings/drawing10.xml" ContentType="application/vnd.openxmlformats-officedocument.drawing+xml"/>
  <Override PartName="/xl/ctrlProps/ctrlProp9.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66925"/>
  <mc:AlternateContent xmlns:mc="http://schemas.openxmlformats.org/markup-compatibility/2006">
    <mc:Choice Requires="x15">
      <x15ac:absPath xmlns:x15ac="http://schemas.microsoft.com/office/spreadsheetml/2010/11/ac" url="C:\Users\muzud\OneDrive\ドキュメント\Team Mirai\"/>
    </mc:Choice>
  </mc:AlternateContent>
  <xr:revisionPtr revIDLastSave="0" documentId="13_ncr:1_{7CC7212B-2AB4-4D8D-ACA6-2E56F0D229B4}" xr6:coauthVersionLast="47" xr6:coauthVersionMax="47" xr10:uidLastSave="{00000000-0000-0000-0000-000000000000}"/>
  <bookViews>
    <workbookView xWindow="500" yWindow="1760" windowWidth="34760" windowHeight="17470" tabRatio="674" xr2:uid="{F917344C-C780-48F4-9CB5-33E5B2D23EE5}"/>
  </bookViews>
  <sheets>
    <sheet name="手順書_はじめに" sheetId="179" r:id="rId1"/>
    <sheet name="自動生成_地図データ" sheetId="312" r:id="rId2"/>
    <sheet name="CHANGELOG" sheetId="276" r:id="rId3"/>
    <sheet name="地図テンプレート_丁目" sheetId="9" r:id="rId4"/>
    <sheet name="地図テンプレート_大字" sheetId="311" r:id="rId5"/>
    <sheet name="市町村データ" sheetId="5" r:id="rId6"/>
    <sheet name="手順書_大字_市町村なまえ" sheetId="116" r:id="rId7"/>
    <sheet name="自動生成_大字_市町村なまえ" sheetId="356" r:id="rId8"/>
    <sheet name="手順書_丁目_交通" sheetId="325" r:id="rId9"/>
    <sheet name="自動生成_大字_交通" sheetId="357" r:id="rId10"/>
    <sheet name="手順書_丁目_人口密度" sheetId="114" r:id="rId11"/>
    <sheet name="自動生成_丁目_人口密度" sheetId="358" r:id="rId12"/>
    <sheet name="手順書_丁目_人口" sheetId="13" r:id="rId13"/>
    <sheet name="自動生成_丁目_人口" sheetId="359" r:id="rId14"/>
    <sheet name="手順書_丁目_世帯数" sheetId="336" r:id="rId15"/>
    <sheet name="自動生成_丁目_世帯数" sheetId="362" r:id="rId16"/>
    <sheet name="手順書_大字_世帯数" sheetId="345" r:id="rId17"/>
    <sheet name="自動生成_大字_世帯数" sheetId="348" r:id="rId18"/>
    <sheet name="手順書_丁目_世帯密度" sheetId="333" r:id="rId19"/>
    <sheet name="自動生成_丁目_世帯密度" sheetId="360" r:id="rId20"/>
    <sheet name="手順書_大字_世帯密度" sheetId="342" r:id="rId21"/>
    <sheet name="自動生成_大字_世帯密度" sheetId="361" r:id="rId22"/>
  </sheets>
  <functionGroups builtInGroupCount="19"/>
  <definedNames>
    <definedName name="_xlnm._FilterDatabase" localSheetId="5" hidden="1">市町村データ!$A$1:$G$106</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A26" i="362" l="1"/>
  <c r="AA25" i="362"/>
  <c r="AA24" i="362"/>
  <c r="AB23" i="362"/>
  <c r="AE26" i="362"/>
  <c r="AE25" i="362"/>
  <c r="AE24" i="362"/>
  <c r="AF23" i="362"/>
  <c r="AE30" i="362"/>
  <c r="AE29" i="362"/>
  <c r="AE28" i="362"/>
  <c r="AF27" i="362"/>
  <c r="AI30" i="362"/>
  <c r="AI29" i="362"/>
  <c r="AI28" i="362"/>
  <c r="AJ27" i="362"/>
  <c r="AI26" i="362"/>
  <c r="AI25" i="362"/>
  <c r="AI24" i="362"/>
  <c r="AJ23" i="362"/>
  <c r="AE14" i="362"/>
  <c r="AE13" i="362"/>
  <c r="AE12" i="362"/>
  <c r="AF11" i="362"/>
  <c r="AI14" i="362"/>
  <c r="AI13" i="362"/>
  <c r="AI12" i="362"/>
  <c r="AJ11" i="362"/>
  <c r="AM14" i="362"/>
  <c r="AM13" i="362"/>
  <c r="AM12" i="362"/>
  <c r="AN11" i="362"/>
  <c r="AM30" i="362"/>
  <c r="AM29" i="362"/>
  <c r="AM28" i="362"/>
  <c r="AN27" i="362"/>
  <c r="AQ30" i="362"/>
  <c r="AQ29" i="362"/>
  <c r="AQ28" i="362"/>
  <c r="AR27" i="362"/>
  <c r="AQ26" i="362"/>
  <c r="AQ25" i="362"/>
  <c r="AQ24" i="362"/>
  <c r="AR23" i="362"/>
  <c r="AM26" i="362"/>
  <c r="AM25" i="362"/>
  <c r="AM24" i="362"/>
  <c r="AN23" i="362"/>
  <c r="AM18" i="362"/>
  <c r="AM17" i="362"/>
  <c r="AM16" i="362"/>
  <c r="AN15" i="362"/>
  <c r="AQ22" i="362"/>
  <c r="AQ21" i="362"/>
  <c r="AQ20" i="362"/>
  <c r="AR19" i="362"/>
  <c r="AM22" i="362"/>
  <c r="AM21" i="362"/>
  <c r="AM20" i="362"/>
  <c r="AN19" i="362"/>
  <c r="AI18" i="362"/>
  <c r="AI17" i="362"/>
  <c r="AI16" i="362"/>
  <c r="AJ15" i="362"/>
  <c r="AE18" i="362"/>
  <c r="AE17" i="362"/>
  <c r="AE16" i="362"/>
  <c r="AF15" i="362"/>
  <c r="AA18" i="362"/>
  <c r="AA17" i="362"/>
  <c r="AA16" i="362"/>
  <c r="AB15" i="362"/>
  <c r="W18" i="362"/>
  <c r="W17" i="362"/>
  <c r="W16" i="362"/>
  <c r="X15" i="362"/>
  <c r="W22" i="362"/>
  <c r="W21" i="362"/>
  <c r="W20" i="362"/>
  <c r="X19" i="362"/>
  <c r="AA22" i="362"/>
  <c r="AA21" i="362"/>
  <c r="AA20" i="362"/>
  <c r="AB19" i="362"/>
  <c r="AE22" i="362"/>
  <c r="AE21" i="362"/>
  <c r="AE20" i="362"/>
  <c r="AF19" i="362"/>
  <c r="AI22" i="362"/>
  <c r="AI21" i="362"/>
  <c r="AI20" i="362"/>
  <c r="AJ19" i="362"/>
  <c r="BO42" i="362"/>
  <c r="BO41" i="362"/>
  <c r="BO40" i="362"/>
  <c r="BP39" i="362"/>
  <c r="BK42" i="362"/>
  <c r="BK41" i="362"/>
  <c r="BK40" i="362"/>
  <c r="BL39" i="362"/>
  <c r="BG42" i="362"/>
  <c r="BG41" i="362"/>
  <c r="BG40" i="362"/>
  <c r="BH39" i="362"/>
  <c r="BC42" i="362"/>
  <c r="BC41" i="362"/>
  <c r="BC40" i="362"/>
  <c r="BD39" i="362"/>
  <c r="AY42" i="362"/>
  <c r="AY41" i="362"/>
  <c r="AY40" i="362"/>
  <c r="AZ39" i="362"/>
  <c r="S34" i="362"/>
  <c r="S33" i="362"/>
  <c r="S32" i="362"/>
  <c r="T31" i="362"/>
  <c r="S30" i="362"/>
  <c r="S29" i="362"/>
  <c r="S28" i="362"/>
  <c r="T27" i="362"/>
  <c r="W30" i="362"/>
  <c r="W29" i="362"/>
  <c r="W28" i="362"/>
  <c r="X27" i="362"/>
  <c r="AY26" i="362"/>
  <c r="AY25" i="362"/>
  <c r="AY24" i="362"/>
  <c r="AZ23" i="362"/>
  <c r="AU26" i="362"/>
  <c r="AU25" i="362"/>
  <c r="AU24" i="362"/>
  <c r="AV23" i="362"/>
  <c r="K10" i="362"/>
  <c r="K9" i="362"/>
  <c r="K8" i="362"/>
  <c r="L7" i="362"/>
  <c r="O10" i="362"/>
  <c r="O9" i="362"/>
  <c r="O8" i="362"/>
  <c r="P7" i="362"/>
  <c r="S10" i="362"/>
  <c r="S9" i="362"/>
  <c r="S8" i="362"/>
  <c r="T7" i="362"/>
  <c r="G14" i="362"/>
  <c r="G13" i="362"/>
  <c r="G12" i="362"/>
  <c r="H11" i="362"/>
  <c r="G18" i="362"/>
  <c r="G17" i="362"/>
  <c r="G16" i="362"/>
  <c r="H15" i="362"/>
  <c r="AE10" i="362"/>
  <c r="AE9" i="362"/>
  <c r="AE8" i="362"/>
  <c r="AF7" i="362"/>
  <c r="AA10" i="362"/>
  <c r="AA9" i="362"/>
  <c r="AA8" i="362"/>
  <c r="AB7" i="362"/>
  <c r="AI34" i="362"/>
  <c r="AI33" i="362"/>
  <c r="AI32" i="362"/>
  <c r="AJ31" i="362"/>
  <c r="AM34" i="362"/>
  <c r="AM33" i="362"/>
  <c r="AM32" i="362"/>
  <c r="AN31" i="362"/>
  <c r="O22" i="362"/>
  <c r="O21" i="362"/>
  <c r="O20" i="362"/>
  <c r="P19" i="362"/>
  <c r="S22" i="362"/>
  <c r="S21" i="362"/>
  <c r="S20" i="362"/>
  <c r="T19" i="362"/>
  <c r="G34" i="362"/>
  <c r="G33" i="362"/>
  <c r="G32" i="362"/>
  <c r="H31" i="362"/>
  <c r="K34" i="362"/>
  <c r="K33" i="362"/>
  <c r="K32" i="362"/>
  <c r="L31" i="362"/>
  <c r="O34" i="362"/>
  <c r="O33" i="362"/>
  <c r="O32" i="362"/>
  <c r="P31" i="362"/>
  <c r="BK30" i="362"/>
  <c r="BK29" i="362"/>
  <c r="BK28" i="362"/>
  <c r="BL27" i="362"/>
  <c r="BG30" i="362"/>
  <c r="BG29" i="362"/>
  <c r="BG28" i="362"/>
  <c r="BH27" i="362"/>
  <c r="BC30" i="362"/>
  <c r="BC29" i="362"/>
  <c r="BC28" i="362"/>
  <c r="BD27" i="362"/>
  <c r="AY30" i="362"/>
  <c r="AY29" i="362"/>
  <c r="AY28" i="362"/>
  <c r="AZ27" i="362"/>
  <c r="AU30" i="362"/>
  <c r="AU29" i="362"/>
  <c r="AU28" i="362"/>
  <c r="AV27" i="362"/>
  <c r="AY50" i="362"/>
  <c r="AY49" i="362"/>
  <c r="AY48" i="362"/>
  <c r="AZ47" i="362"/>
  <c r="BC50" i="362"/>
  <c r="BC49" i="362"/>
  <c r="BC48" i="362"/>
  <c r="BD47" i="362"/>
  <c r="BG50" i="362"/>
  <c r="BG49" i="362"/>
  <c r="BG48" i="362"/>
  <c r="BH47" i="362"/>
  <c r="BG46" i="362"/>
  <c r="BG45" i="362"/>
  <c r="BG44" i="362"/>
  <c r="BH43" i="362"/>
  <c r="BC46" i="362"/>
  <c r="BC45" i="362"/>
  <c r="BC44" i="362"/>
  <c r="BD43" i="362"/>
  <c r="AY46" i="362"/>
  <c r="AY45" i="362"/>
  <c r="AY44" i="362"/>
  <c r="AZ43" i="362"/>
  <c r="W10" i="362"/>
  <c r="W9" i="362"/>
  <c r="W8" i="362"/>
  <c r="X7" i="362"/>
  <c r="W14" i="362"/>
  <c r="W13" i="362"/>
  <c r="W12" i="362"/>
  <c r="X11" i="362"/>
  <c r="AA14" i="362"/>
  <c r="AA13" i="362"/>
  <c r="AA12" i="362"/>
  <c r="AB11" i="362"/>
  <c r="BK38" i="362"/>
  <c r="BK37" i="362"/>
  <c r="BK36" i="362"/>
  <c r="BL35" i="362"/>
  <c r="BG38" i="362"/>
  <c r="BG37" i="362"/>
  <c r="BG36" i="362"/>
  <c r="BH35" i="362"/>
  <c r="BC38" i="362"/>
  <c r="BC37" i="362"/>
  <c r="BC36" i="362"/>
  <c r="BD35" i="362"/>
  <c r="S14" i="362"/>
  <c r="S13" i="362"/>
  <c r="S12" i="362"/>
  <c r="T11" i="362"/>
  <c r="K14" i="362"/>
  <c r="K13" i="362"/>
  <c r="K12" i="362"/>
  <c r="L11" i="362"/>
  <c r="K18" i="362"/>
  <c r="K17" i="362"/>
  <c r="K16" i="362"/>
  <c r="L15" i="362"/>
  <c r="O18" i="362"/>
  <c r="O17" i="362"/>
  <c r="O16" i="362"/>
  <c r="P15" i="362"/>
  <c r="S18" i="362"/>
  <c r="S17" i="362"/>
  <c r="S16" i="362"/>
  <c r="T15" i="362"/>
  <c r="AA30" i="362"/>
  <c r="AA29" i="362"/>
  <c r="AA28" i="362"/>
  <c r="AB27" i="362"/>
  <c r="AA34" i="362"/>
  <c r="AA33" i="362"/>
  <c r="AA32" i="362"/>
  <c r="AB31" i="362"/>
  <c r="AA38" i="362"/>
  <c r="AA37" i="362"/>
  <c r="AA36" i="362"/>
  <c r="AB35" i="362"/>
  <c r="AE38" i="362"/>
  <c r="AE37" i="362"/>
  <c r="AE36" i="362"/>
  <c r="AF35" i="362"/>
  <c r="AE34" i="362"/>
  <c r="AE33" i="362"/>
  <c r="AE32" i="362"/>
  <c r="AF31" i="362"/>
  <c r="BK34" i="362"/>
  <c r="BK33" i="362"/>
  <c r="BK32" i="362"/>
  <c r="BL31" i="362"/>
  <c r="BG34" i="362"/>
  <c r="BG33" i="362"/>
  <c r="BG32" i="362"/>
  <c r="BH31" i="362"/>
  <c r="BC34" i="362"/>
  <c r="BC33" i="362"/>
  <c r="BC32" i="362"/>
  <c r="BD31" i="362"/>
  <c r="AY34" i="362"/>
  <c r="AY33" i="362"/>
  <c r="AY32" i="362"/>
  <c r="AZ31" i="362"/>
  <c r="AU34" i="362"/>
  <c r="AU33" i="362"/>
  <c r="AU32" i="362"/>
  <c r="AV31" i="362"/>
  <c r="O26" i="362"/>
  <c r="O25" i="362"/>
  <c r="O24" i="362"/>
  <c r="P23" i="362"/>
  <c r="S26" i="362"/>
  <c r="S25" i="362"/>
  <c r="S24" i="362"/>
  <c r="T23" i="362"/>
  <c r="W26" i="362"/>
  <c r="W25" i="362"/>
  <c r="W24" i="362"/>
  <c r="X23" i="362"/>
  <c r="AA26" i="361"/>
  <c r="AA25" i="361"/>
  <c r="AA24" i="361"/>
  <c r="AB23" i="361"/>
  <c r="AI26" i="361"/>
  <c r="AI25" i="361"/>
  <c r="AI24" i="361"/>
  <c r="AJ23" i="361"/>
  <c r="AE14" i="361"/>
  <c r="AE13" i="361"/>
  <c r="AE12" i="361"/>
  <c r="AF11" i="361"/>
  <c r="AM26" i="361"/>
  <c r="AM25" i="361"/>
  <c r="AM24" i="361"/>
  <c r="AN23" i="361"/>
  <c r="AM18" i="361"/>
  <c r="AM17" i="361"/>
  <c r="AM16" i="361"/>
  <c r="AN15" i="361"/>
  <c r="W18" i="361"/>
  <c r="W17" i="361"/>
  <c r="W16" i="361"/>
  <c r="X15" i="361"/>
  <c r="AY42" i="361"/>
  <c r="AY41" i="361"/>
  <c r="AY40" i="361"/>
  <c r="AZ39" i="361"/>
  <c r="S30" i="361"/>
  <c r="S29" i="361"/>
  <c r="S28" i="361"/>
  <c r="T27" i="361"/>
  <c r="AU26" i="361"/>
  <c r="AU25" i="361"/>
  <c r="AU24" i="361"/>
  <c r="AV23" i="361"/>
  <c r="K10" i="361"/>
  <c r="K9" i="361"/>
  <c r="K8" i="361"/>
  <c r="L7" i="361"/>
  <c r="G14" i="361"/>
  <c r="G13" i="361"/>
  <c r="G12" i="361"/>
  <c r="H11" i="361"/>
  <c r="AA10" i="361"/>
  <c r="AA9" i="361"/>
  <c r="AA8" i="361"/>
  <c r="AB7" i="361"/>
  <c r="AI34" i="361"/>
  <c r="AI33" i="361"/>
  <c r="AI32" i="361"/>
  <c r="AJ31" i="361"/>
  <c r="O22" i="361"/>
  <c r="O21" i="361"/>
  <c r="O20" i="361"/>
  <c r="P19" i="361"/>
  <c r="G34" i="361"/>
  <c r="G33" i="361"/>
  <c r="G32" i="361"/>
  <c r="H31" i="361"/>
  <c r="AU30" i="361"/>
  <c r="AU29" i="361"/>
  <c r="AU28" i="361"/>
  <c r="AV27" i="361"/>
  <c r="AY46" i="361"/>
  <c r="AY45" i="361"/>
  <c r="AY44" i="361"/>
  <c r="AZ43" i="361"/>
  <c r="W10" i="361"/>
  <c r="W9" i="361"/>
  <c r="W8" i="361"/>
  <c r="X7" i="361"/>
  <c r="BC38" i="361"/>
  <c r="BC37" i="361"/>
  <c r="BC36" i="361"/>
  <c r="BD35" i="361"/>
  <c r="K14" i="361"/>
  <c r="K13" i="361"/>
  <c r="K12" i="361"/>
  <c r="L11" i="361"/>
  <c r="AA30" i="361"/>
  <c r="AA29" i="361"/>
  <c r="AA28" i="361"/>
  <c r="AB27" i="361"/>
  <c r="AU34" i="361"/>
  <c r="AU33" i="361"/>
  <c r="AU32" i="361"/>
  <c r="AV31" i="361"/>
  <c r="O26" i="361"/>
  <c r="O25" i="361"/>
  <c r="O24" i="361"/>
  <c r="P23" i="361"/>
  <c r="AA26" i="360"/>
  <c r="AA25" i="360"/>
  <c r="AA24" i="360"/>
  <c r="AB23" i="360"/>
  <c r="AE26" i="360"/>
  <c r="AE25" i="360"/>
  <c r="AE24" i="360"/>
  <c r="AF23" i="360"/>
  <c r="AE30" i="360"/>
  <c r="AE29" i="360"/>
  <c r="AE28" i="360"/>
  <c r="AF27" i="360"/>
  <c r="AI30" i="360"/>
  <c r="AI29" i="360"/>
  <c r="AI28" i="360"/>
  <c r="AJ27" i="360"/>
  <c r="AI26" i="360"/>
  <c r="AI25" i="360"/>
  <c r="AI24" i="360"/>
  <c r="AJ23" i="360"/>
  <c r="AE14" i="360"/>
  <c r="AE13" i="360"/>
  <c r="AE12" i="360"/>
  <c r="AF11" i="360"/>
  <c r="AI14" i="360"/>
  <c r="AI13" i="360"/>
  <c r="AI12" i="360"/>
  <c r="AJ11" i="360"/>
  <c r="AM14" i="360"/>
  <c r="AM13" i="360"/>
  <c r="AM12" i="360"/>
  <c r="AN11" i="360"/>
  <c r="AM30" i="360"/>
  <c r="AM29" i="360"/>
  <c r="AM28" i="360"/>
  <c r="AN27" i="360"/>
  <c r="AQ30" i="360"/>
  <c r="AQ29" i="360"/>
  <c r="AQ28" i="360"/>
  <c r="AR27" i="360"/>
  <c r="AQ26" i="360"/>
  <c r="AQ25" i="360"/>
  <c r="AQ24" i="360"/>
  <c r="AR23" i="360"/>
  <c r="AM26" i="360"/>
  <c r="AM25" i="360"/>
  <c r="AM24" i="360"/>
  <c r="AN23" i="360"/>
  <c r="AM18" i="360"/>
  <c r="AM17" i="360"/>
  <c r="AM16" i="360"/>
  <c r="AN15" i="360"/>
  <c r="AQ22" i="360"/>
  <c r="AQ21" i="360"/>
  <c r="AQ20" i="360"/>
  <c r="AR19" i="360"/>
  <c r="AM22" i="360"/>
  <c r="AM21" i="360"/>
  <c r="AM20" i="360"/>
  <c r="AN19" i="360"/>
  <c r="AI18" i="360"/>
  <c r="AI17" i="360"/>
  <c r="AI16" i="360"/>
  <c r="AJ15" i="360"/>
  <c r="AE18" i="360"/>
  <c r="AE17" i="360"/>
  <c r="AE16" i="360"/>
  <c r="AF15" i="360"/>
  <c r="AA18" i="360"/>
  <c r="AA17" i="360"/>
  <c r="AA16" i="360"/>
  <c r="AB15" i="360"/>
  <c r="W18" i="360"/>
  <c r="W17" i="360"/>
  <c r="W16" i="360"/>
  <c r="X15" i="360"/>
  <c r="W22" i="360"/>
  <c r="W21" i="360"/>
  <c r="W20" i="360"/>
  <c r="X19" i="360"/>
  <c r="AA22" i="360"/>
  <c r="AA21" i="360"/>
  <c r="AA20" i="360"/>
  <c r="AB19" i="360"/>
  <c r="AE22" i="360"/>
  <c r="AE21" i="360"/>
  <c r="AE20" i="360"/>
  <c r="AF19" i="360"/>
  <c r="AI22" i="360"/>
  <c r="AI21" i="360"/>
  <c r="AI20" i="360"/>
  <c r="AJ19" i="360"/>
  <c r="BO42" i="360"/>
  <c r="BO41" i="360"/>
  <c r="BO40" i="360"/>
  <c r="BP39" i="360"/>
  <c r="BK42" i="360"/>
  <c r="BK41" i="360"/>
  <c r="BK40" i="360"/>
  <c r="BL39" i="360"/>
  <c r="BG42" i="360"/>
  <c r="BG41" i="360"/>
  <c r="BG40" i="360"/>
  <c r="BH39" i="360"/>
  <c r="BC42" i="360"/>
  <c r="BC41" i="360"/>
  <c r="BC40" i="360"/>
  <c r="BD39" i="360"/>
  <c r="AY42" i="360"/>
  <c r="AY41" i="360"/>
  <c r="AY40" i="360"/>
  <c r="AZ39" i="360"/>
  <c r="S34" i="360"/>
  <c r="S33" i="360"/>
  <c r="S32" i="360"/>
  <c r="T31" i="360"/>
  <c r="S30" i="360"/>
  <c r="S29" i="360"/>
  <c r="S28" i="360"/>
  <c r="T27" i="360"/>
  <c r="W30" i="360"/>
  <c r="W29" i="360"/>
  <c r="W28" i="360"/>
  <c r="X27" i="360"/>
  <c r="AY26" i="360"/>
  <c r="AY25" i="360"/>
  <c r="AY24" i="360"/>
  <c r="AZ23" i="360"/>
  <c r="AU26" i="360"/>
  <c r="AU25" i="360"/>
  <c r="AU24" i="360"/>
  <c r="AV23" i="360"/>
  <c r="K10" i="360"/>
  <c r="K9" i="360"/>
  <c r="K8" i="360"/>
  <c r="L7" i="360"/>
  <c r="O10" i="360"/>
  <c r="O9" i="360"/>
  <c r="O8" i="360"/>
  <c r="P7" i="360"/>
  <c r="S10" i="360"/>
  <c r="S9" i="360"/>
  <c r="S8" i="360"/>
  <c r="T7" i="360"/>
  <c r="G14" i="360"/>
  <c r="G13" i="360"/>
  <c r="G12" i="360"/>
  <c r="H11" i="360"/>
  <c r="G18" i="360"/>
  <c r="G17" i="360"/>
  <c r="G16" i="360"/>
  <c r="H15" i="360"/>
  <c r="AE10" i="360"/>
  <c r="AE9" i="360"/>
  <c r="AE8" i="360"/>
  <c r="AF7" i="360"/>
  <c r="AA10" i="360"/>
  <c r="AA9" i="360"/>
  <c r="AA8" i="360"/>
  <c r="AB7" i="360"/>
  <c r="AI34" i="360"/>
  <c r="AI33" i="360"/>
  <c r="AI32" i="360"/>
  <c r="AJ31" i="360"/>
  <c r="AM34" i="360"/>
  <c r="AM33" i="360"/>
  <c r="AM32" i="360"/>
  <c r="AN31" i="360"/>
  <c r="O22" i="360"/>
  <c r="O21" i="360"/>
  <c r="O20" i="360"/>
  <c r="P19" i="360"/>
  <c r="S22" i="360"/>
  <c r="S21" i="360"/>
  <c r="S20" i="360"/>
  <c r="T19" i="360"/>
  <c r="G34" i="360"/>
  <c r="G33" i="360"/>
  <c r="G32" i="360"/>
  <c r="H31" i="360"/>
  <c r="K34" i="360"/>
  <c r="K33" i="360"/>
  <c r="K32" i="360"/>
  <c r="L31" i="360"/>
  <c r="O34" i="360"/>
  <c r="O33" i="360"/>
  <c r="O32" i="360"/>
  <c r="P31" i="360"/>
  <c r="BK30" i="360"/>
  <c r="BK29" i="360"/>
  <c r="BK28" i="360"/>
  <c r="BL27" i="360"/>
  <c r="BG30" i="360"/>
  <c r="BG29" i="360"/>
  <c r="BG28" i="360"/>
  <c r="BH27" i="360"/>
  <c r="BC30" i="360"/>
  <c r="BC29" i="360"/>
  <c r="BC28" i="360"/>
  <c r="BD27" i="360"/>
  <c r="AY30" i="360"/>
  <c r="AY29" i="360"/>
  <c r="AY28" i="360"/>
  <c r="AZ27" i="360"/>
  <c r="AU30" i="360"/>
  <c r="AU29" i="360"/>
  <c r="AU28" i="360"/>
  <c r="AV27" i="360"/>
  <c r="AY50" i="360"/>
  <c r="AY49" i="360"/>
  <c r="AY48" i="360"/>
  <c r="AZ47" i="360"/>
  <c r="BC50" i="360"/>
  <c r="BC49" i="360"/>
  <c r="BC48" i="360"/>
  <c r="BD47" i="360"/>
  <c r="BG50" i="360"/>
  <c r="BG49" i="360"/>
  <c r="BG48" i="360"/>
  <c r="BH47" i="360"/>
  <c r="BG46" i="360"/>
  <c r="BG45" i="360"/>
  <c r="BG44" i="360"/>
  <c r="BH43" i="360"/>
  <c r="BC46" i="360"/>
  <c r="BC45" i="360"/>
  <c r="BC44" i="360"/>
  <c r="BD43" i="360"/>
  <c r="AY46" i="360"/>
  <c r="AY45" i="360"/>
  <c r="AY44" i="360"/>
  <c r="AZ43" i="360"/>
  <c r="W10" i="360"/>
  <c r="W9" i="360"/>
  <c r="W8" i="360"/>
  <c r="X7" i="360"/>
  <c r="W14" i="360"/>
  <c r="W13" i="360"/>
  <c r="W12" i="360"/>
  <c r="X11" i="360"/>
  <c r="AA14" i="360"/>
  <c r="AA13" i="360"/>
  <c r="AA12" i="360"/>
  <c r="AB11" i="360"/>
  <c r="BK38" i="360"/>
  <c r="BK37" i="360"/>
  <c r="BK36" i="360"/>
  <c r="BL35" i="360"/>
  <c r="BG38" i="360"/>
  <c r="BG37" i="360"/>
  <c r="BG36" i="360"/>
  <c r="BH35" i="360"/>
  <c r="BC38" i="360"/>
  <c r="BC37" i="360"/>
  <c r="BC36" i="360"/>
  <c r="BD35" i="360"/>
  <c r="S14" i="360"/>
  <c r="S13" i="360"/>
  <c r="S12" i="360"/>
  <c r="T11" i="360"/>
  <c r="K14" i="360"/>
  <c r="K13" i="360"/>
  <c r="K12" i="360"/>
  <c r="L11" i="360"/>
  <c r="K18" i="360"/>
  <c r="K17" i="360"/>
  <c r="K16" i="360"/>
  <c r="L15" i="360"/>
  <c r="O18" i="360"/>
  <c r="O17" i="360"/>
  <c r="O16" i="360"/>
  <c r="P15" i="360"/>
  <c r="S18" i="360"/>
  <c r="S17" i="360"/>
  <c r="S16" i="360"/>
  <c r="T15" i="360"/>
  <c r="AA30" i="360"/>
  <c r="AA29" i="360"/>
  <c r="AA28" i="360"/>
  <c r="AB27" i="360"/>
  <c r="AA34" i="360"/>
  <c r="AA33" i="360"/>
  <c r="AA32" i="360"/>
  <c r="AB31" i="360"/>
  <c r="AA38" i="360"/>
  <c r="AA37" i="360"/>
  <c r="AA36" i="360"/>
  <c r="AB35" i="360"/>
  <c r="AE38" i="360"/>
  <c r="AE37" i="360"/>
  <c r="AE36" i="360"/>
  <c r="AF35" i="360"/>
  <c r="AE34" i="360"/>
  <c r="AE33" i="360"/>
  <c r="AE32" i="360"/>
  <c r="AF31" i="360"/>
  <c r="BK34" i="360"/>
  <c r="BK33" i="360"/>
  <c r="BK32" i="360"/>
  <c r="BL31" i="360"/>
  <c r="BG34" i="360"/>
  <c r="BG33" i="360"/>
  <c r="BG32" i="360"/>
  <c r="BH31" i="360"/>
  <c r="BC34" i="360"/>
  <c r="BC33" i="360"/>
  <c r="BC32" i="360"/>
  <c r="BD31" i="360"/>
  <c r="AY34" i="360"/>
  <c r="AY33" i="360"/>
  <c r="AY32" i="360"/>
  <c r="AZ31" i="360"/>
  <c r="AU34" i="360"/>
  <c r="AU33" i="360"/>
  <c r="AU32" i="360"/>
  <c r="AV31" i="360"/>
  <c r="O26" i="360"/>
  <c r="O25" i="360"/>
  <c r="O24" i="360"/>
  <c r="P23" i="360"/>
  <c r="S26" i="360"/>
  <c r="S25" i="360"/>
  <c r="S24" i="360"/>
  <c r="T23" i="360"/>
  <c r="W26" i="360"/>
  <c r="W25" i="360"/>
  <c r="W24" i="360"/>
  <c r="X23" i="360"/>
  <c r="AA26" i="359"/>
  <c r="AA25" i="359"/>
  <c r="AA24" i="359"/>
  <c r="AB23" i="359"/>
  <c r="AE26" i="359"/>
  <c r="AE25" i="359"/>
  <c r="AE24" i="359"/>
  <c r="AF23" i="359"/>
  <c r="AE30" i="359"/>
  <c r="AE29" i="359"/>
  <c r="AE28" i="359"/>
  <c r="AF27" i="359"/>
  <c r="AI30" i="359"/>
  <c r="AI29" i="359"/>
  <c r="AI28" i="359"/>
  <c r="AJ27" i="359"/>
  <c r="AI26" i="359"/>
  <c r="AI25" i="359"/>
  <c r="AI24" i="359"/>
  <c r="AJ23" i="359"/>
  <c r="AE14" i="359"/>
  <c r="AE13" i="359"/>
  <c r="AE12" i="359"/>
  <c r="AF11" i="359"/>
  <c r="AI14" i="359"/>
  <c r="AI13" i="359"/>
  <c r="AI12" i="359"/>
  <c r="AJ11" i="359"/>
  <c r="AM14" i="359"/>
  <c r="AM13" i="359"/>
  <c r="AM12" i="359"/>
  <c r="AN11" i="359"/>
  <c r="AM30" i="359"/>
  <c r="AM29" i="359"/>
  <c r="AM28" i="359"/>
  <c r="AN27" i="359"/>
  <c r="AQ30" i="359"/>
  <c r="AQ29" i="359"/>
  <c r="AQ28" i="359"/>
  <c r="AR27" i="359"/>
  <c r="AQ26" i="359"/>
  <c r="AQ25" i="359"/>
  <c r="AQ24" i="359"/>
  <c r="AR23" i="359"/>
  <c r="AM26" i="359"/>
  <c r="AM25" i="359"/>
  <c r="AM24" i="359"/>
  <c r="AN23" i="359"/>
  <c r="AM18" i="359"/>
  <c r="AM17" i="359"/>
  <c r="AM16" i="359"/>
  <c r="AN15" i="359"/>
  <c r="AQ22" i="359"/>
  <c r="AQ21" i="359"/>
  <c r="AQ20" i="359"/>
  <c r="AR19" i="359"/>
  <c r="AM22" i="359"/>
  <c r="AM21" i="359"/>
  <c r="AM20" i="359"/>
  <c r="AN19" i="359"/>
  <c r="AI18" i="359"/>
  <c r="AI17" i="359"/>
  <c r="AI16" i="359"/>
  <c r="AJ15" i="359"/>
  <c r="AE18" i="359"/>
  <c r="AE17" i="359"/>
  <c r="AE16" i="359"/>
  <c r="AF15" i="359"/>
  <c r="AA18" i="359"/>
  <c r="AA17" i="359"/>
  <c r="AA16" i="359"/>
  <c r="AB15" i="359"/>
  <c r="W18" i="359"/>
  <c r="W17" i="359"/>
  <c r="W16" i="359"/>
  <c r="X15" i="359"/>
  <c r="W22" i="359"/>
  <c r="W21" i="359"/>
  <c r="W20" i="359"/>
  <c r="X19" i="359"/>
  <c r="AA22" i="359"/>
  <c r="AA21" i="359"/>
  <c r="AA20" i="359"/>
  <c r="AB19" i="359"/>
  <c r="AE22" i="359"/>
  <c r="AE21" i="359"/>
  <c r="AE20" i="359"/>
  <c r="AF19" i="359"/>
  <c r="AI22" i="359"/>
  <c r="AI21" i="359"/>
  <c r="AI20" i="359"/>
  <c r="AJ19" i="359"/>
  <c r="BO42" i="359"/>
  <c r="BO41" i="359"/>
  <c r="BO40" i="359"/>
  <c r="BP39" i="359"/>
  <c r="BK42" i="359"/>
  <c r="BK41" i="359"/>
  <c r="BK40" i="359"/>
  <c r="BL39" i="359"/>
  <c r="BG42" i="359"/>
  <c r="BG41" i="359"/>
  <c r="BG40" i="359"/>
  <c r="BH39" i="359"/>
  <c r="BC42" i="359"/>
  <c r="BC41" i="359"/>
  <c r="BC40" i="359"/>
  <c r="BD39" i="359"/>
  <c r="AY42" i="359"/>
  <c r="AY41" i="359"/>
  <c r="AY40" i="359"/>
  <c r="AZ39" i="359"/>
  <c r="S34" i="359"/>
  <c r="S33" i="359"/>
  <c r="S32" i="359"/>
  <c r="T31" i="359"/>
  <c r="S30" i="359"/>
  <c r="S29" i="359"/>
  <c r="S28" i="359"/>
  <c r="T27" i="359"/>
  <c r="W30" i="359"/>
  <c r="W29" i="359"/>
  <c r="W28" i="359"/>
  <c r="X27" i="359"/>
  <c r="AY26" i="359"/>
  <c r="AY25" i="359"/>
  <c r="AY24" i="359"/>
  <c r="AZ23" i="359"/>
  <c r="AU26" i="359"/>
  <c r="AU25" i="359"/>
  <c r="AU24" i="359"/>
  <c r="AV23" i="359"/>
  <c r="K10" i="359"/>
  <c r="K9" i="359"/>
  <c r="K8" i="359"/>
  <c r="L7" i="359"/>
  <c r="O10" i="359"/>
  <c r="O9" i="359"/>
  <c r="O8" i="359"/>
  <c r="P7" i="359"/>
  <c r="S10" i="359"/>
  <c r="S9" i="359"/>
  <c r="S8" i="359"/>
  <c r="T7" i="359"/>
  <c r="G14" i="359"/>
  <c r="G13" i="359"/>
  <c r="G12" i="359"/>
  <c r="H11" i="359"/>
  <c r="G18" i="359"/>
  <c r="G17" i="359"/>
  <c r="G16" i="359"/>
  <c r="H15" i="359"/>
  <c r="AE10" i="359"/>
  <c r="AE9" i="359"/>
  <c r="AE8" i="359"/>
  <c r="AF7" i="359"/>
  <c r="AA10" i="359"/>
  <c r="AA9" i="359"/>
  <c r="AA8" i="359"/>
  <c r="AB7" i="359"/>
  <c r="AI34" i="359"/>
  <c r="AI33" i="359"/>
  <c r="AI32" i="359"/>
  <c r="AJ31" i="359"/>
  <c r="AM34" i="359"/>
  <c r="AM33" i="359"/>
  <c r="AM32" i="359"/>
  <c r="AN31" i="359"/>
  <c r="O22" i="359"/>
  <c r="O21" i="359"/>
  <c r="O20" i="359"/>
  <c r="P19" i="359"/>
  <c r="S22" i="359"/>
  <c r="S21" i="359"/>
  <c r="S20" i="359"/>
  <c r="T19" i="359"/>
  <c r="G34" i="359"/>
  <c r="G33" i="359"/>
  <c r="G32" i="359"/>
  <c r="H31" i="359"/>
  <c r="K34" i="359"/>
  <c r="K33" i="359"/>
  <c r="K32" i="359"/>
  <c r="L31" i="359"/>
  <c r="O34" i="359"/>
  <c r="O33" i="359"/>
  <c r="O32" i="359"/>
  <c r="P31" i="359"/>
  <c r="BK30" i="359"/>
  <c r="BK29" i="359"/>
  <c r="BK28" i="359"/>
  <c r="BL27" i="359"/>
  <c r="BG30" i="359"/>
  <c r="BG29" i="359"/>
  <c r="BG28" i="359"/>
  <c r="BH27" i="359"/>
  <c r="BC30" i="359"/>
  <c r="BC29" i="359"/>
  <c r="BC28" i="359"/>
  <c r="BD27" i="359"/>
  <c r="AY30" i="359"/>
  <c r="AY29" i="359"/>
  <c r="AY28" i="359"/>
  <c r="AZ27" i="359"/>
  <c r="AU30" i="359"/>
  <c r="AU29" i="359"/>
  <c r="AU28" i="359"/>
  <c r="AV27" i="359"/>
  <c r="AY50" i="359"/>
  <c r="AY49" i="359"/>
  <c r="AY48" i="359"/>
  <c r="AZ47" i="359"/>
  <c r="BC50" i="359"/>
  <c r="BC49" i="359"/>
  <c r="BC48" i="359"/>
  <c r="BD47" i="359"/>
  <c r="BG50" i="359"/>
  <c r="BG49" i="359"/>
  <c r="BG48" i="359"/>
  <c r="BH47" i="359"/>
  <c r="BG46" i="359"/>
  <c r="BG45" i="359"/>
  <c r="BG44" i="359"/>
  <c r="BH43" i="359"/>
  <c r="BC46" i="359"/>
  <c r="BC45" i="359"/>
  <c r="BC44" i="359"/>
  <c r="BD43" i="359"/>
  <c r="AY46" i="359"/>
  <c r="AY45" i="359"/>
  <c r="AY44" i="359"/>
  <c r="AZ43" i="359"/>
  <c r="W10" i="359"/>
  <c r="W9" i="359"/>
  <c r="W8" i="359"/>
  <c r="X7" i="359"/>
  <c r="W14" i="359"/>
  <c r="W13" i="359"/>
  <c r="W12" i="359"/>
  <c r="X11" i="359"/>
  <c r="AA14" i="359"/>
  <c r="AA13" i="359"/>
  <c r="AA12" i="359"/>
  <c r="AB11" i="359"/>
  <c r="BK38" i="359"/>
  <c r="BK37" i="359"/>
  <c r="BK36" i="359"/>
  <c r="BL35" i="359"/>
  <c r="BG38" i="359"/>
  <c r="BG37" i="359"/>
  <c r="BG36" i="359"/>
  <c r="BH35" i="359"/>
  <c r="BC38" i="359"/>
  <c r="BC37" i="359"/>
  <c r="BC36" i="359"/>
  <c r="BD35" i="359"/>
  <c r="S14" i="359"/>
  <c r="S13" i="359"/>
  <c r="S12" i="359"/>
  <c r="T11" i="359"/>
  <c r="K14" i="359"/>
  <c r="K13" i="359"/>
  <c r="K12" i="359"/>
  <c r="L11" i="359"/>
  <c r="K18" i="359"/>
  <c r="K17" i="359"/>
  <c r="K16" i="359"/>
  <c r="L15" i="359"/>
  <c r="O18" i="359"/>
  <c r="O17" i="359"/>
  <c r="O16" i="359"/>
  <c r="P15" i="359"/>
  <c r="S18" i="359"/>
  <c r="S17" i="359"/>
  <c r="S16" i="359"/>
  <c r="T15" i="359"/>
  <c r="AA30" i="359"/>
  <c r="AA29" i="359"/>
  <c r="AA28" i="359"/>
  <c r="AB27" i="359"/>
  <c r="AA34" i="359"/>
  <c r="AA33" i="359"/>
  <c r="AA32" i="359"/>
  <c r="AB31" i="359"/>
  <c r="AA38" i="359"/>
  <c r="AA37" i="359"/>
  <c r="AA36" i="359"/>
  <c r="AB35" i="359"/>
  <c r="AE38" i="359"/>
  <c r="AE37" i="359"/>
  <c r="AE36" i="359"/>
  <c r="AF35" i="359"/>
  <c r="AE34" i="359"/>
  <c r="AE33" i="359"/>
  <c r="AE32" i="359"/>
  <c r="AF31" i="359"/>
  <c r="BK34" i="359"/>
  <c r="BK33" i="359"/>
  <c r="BK32" i="359"/>
  <c r="BL31" i="359"/>
  <c r="BG34" i="359"/>
  <c r="BG33" i="359"/>
  <c r="BG32" i="359"/>
  <c r="BH31" i="359"/>
  <c r="BC34" i="359"/>
  <c r="BC33" i="359"/>
  <c r="BC32" i="359"/>
  <c r="BD31" i="359"/>
  <c r="AY34" i="359"/>
  <c r="AY33" i="359"/>
  <c r="AY32" i="359"/>
  <c r="AZ31" i="359"/>
  <c r="AU34" i="359"/>
  <c r="AU33" i="359"/>
  <c r="AU32" i="359"/>
  <c r="AV31" i="359"/>
  <c r="O26" i="359"/>
  <c r="O25" i="359"/>
  <c r="O24" i="359"/>
  <c r="P23" i="359"/>
  <c r="S26" i="359"/>
  <c r="S25" i="359"/>
  <c r="S24" i="359"/>
  <c r="T23" i="359"/>
  <c r="W26" i="359"/>
  <c r="W25" i="359"/>
  <c r="W24" i="359"/>
  <c r="X23" i="359"/>
  <c r="AA26" i="358"/>
  <c r="AA25" i="358"/>
  <c r="AA24" i="358"/>
  <c r="AB23" i="358"/>
  <c r="AE26" i="358"/>
  <c r="AE25" i="358"/>
  <c r="AE24" i="358"/>
  <c r="AF23" i="358"/>
  <c r="AE30" i="358"/>
  <c r="AE29" i="358"/>
  <c r="AE28" i="358"/>
  <c r="AF27" i="358"/>
  <c r="AI30" i="358"/>
  <c r="AI29" i="358"/>
  <c r="AI28" i="358"/>
  <c r="AJ27" i="358"/>
  <c r="AI26" i="358"/>
  <c r="AI25" i="358"/>
  <c r="AI24" i="358"/>
  <c r="AJ23" i="358"/>
  <c r="AE14" i="358"/>
  <c r="AE13" i="358"/>
  <c r="AE12" i="358"/>
  <c r="AF11" i="358"/>
  <c r="AI14" i="358"/>
  <c r="AI13" i="358"/>
  <c r="AI12" i="358"/>
  <c r="AJ11" i="358"/>
  <c r="AM14" i="358"/>
  <c r="AM13" i="358"/>
  <c r="AM12" i="358"/>
  <c r="AN11" i="358"/>
  <c r="AM30" i="358"/>
  <c r="AM29" i="358"/>
  <c r="AM28" i="358"/>
  <c r="AN27" i="358"/>
  <c r="AQ30" i="358"/>
  <c r="AQ29" i="358"/>
  <c r="AQ28" i="358"/>
  <c r="AR27" i="358"/>
  <c r="AQ26" i="358"/>
  <c r="AQ25" i="358"/>
  <c r="AQ24" i="358"/>
  <c r="AR23" i="358"/>
  <c r="AM26" i="358"/>
  <c r="AM25" i="358"/>
  <c r="AM24" i="358"/>
  <c r="AN23" i="358"/>
  <c r="AM18" i="358"/>
  <c r="AM17" i="358"/>
  <c r="AM16" i="358"/>
  <c r="AN15" i="358"/>
  <c r="AQ22" i="358"/>
  <c r="AQ21" i="358"/>
  <c r="AQ20" i="358"/>
  <c r="AR19" i="358"/>
  <c r="AM22" i="358"/>
  <c r="AM21" i="358"/>
  <c r="AM20" i="358"/>
  <c r="AN19" i="358"/>
  <c r="AI18" i="358"/>
  <c r="AI17" i="358"/>
  <c r="AI16" i="358"/>
  <c r="AJ15" i="358"/>
  <c r="AE18" i="358"/>
  <c r="AE17" i="358"/>
  <c r="AE16" i="358"/>
  <c r="AF15" i="358"/>
  <c r="AA18" i="358"/>
  <c r="AA17" i="358"/>
  <c r="AA16" i="358"/>
  <c r="AB15" i="358"/>
  <c r="W18" i="358"/>
  <c r="W17" i="358"/>
  <c r="W16" i="358"/>
  <c r="X15" i="358"/>
  <c r="W22" i="358"/>
  <c r="W21" i="358"/>
  <c r="W20" i="358"/>
  <c r="X19" i="358"/>
  <c r="AA22" i="358"/>
  <c r="AA21" i="358"/>
  <c r="AA20" i="358"/>
  <c r="AB19" i="358"/>
  <c r="AE22" i="358"/>
  <c r="AE21" i="358"/>
  <c r="AE20" i="358"/>
  <c r="AF19" i="358"/>
  <c r="AI22" i="358"/>
  <c r="AI21" i="358"/>
  <c r="AI20" i="358"/>
  <c r="AJ19" i="358"/>
  <c r="BO42" i="358"/>
  <c r="BO41" i="358"/>
  <c r="BO40" i="358"/>
  <c r="BP39" i="358"/>
  <c r="BK42" i="358"/>
  <c r="BK41" i="358"/>
  <c r="BK40" i="358"/>
  <c r="BL39" i="358"/>
  <c r="BG42" i="358"/>
  <c r="BG41" i="358"/>
  <c r="BG40" i="358"/>
  <c r="BH39" i="358"/>
  <c r="BC42" i="358"/>
  <c r="BC41" i="358"/>
  <c r="BC40" i="358"/>
  <c r="BD39" i="358"/>
  <c r="AY42" i="358"/>
  <c r="AY41" i="358"/>
  <c r="AY40" i="358"/>
  <c r="AZ39" i="358"/>
  <c r="S34" i="358"/>
  <c r="S33" i="358"/>
  <c r="S32" i="358"/>
  <c r="T31" i="358"/>
  <c r="S30" i="358"/>
  <c r="S29" i="358"/>
  <c r="S28" i="358"/>
  <c r="T27" i="358"/>
  <c r="W30" i="358"/>
  <c r="W29" i="358"/>
  <c r="W28" i="358"/>
  <c r="X27" i="358"/>
  <c r="AY26" i="358"/>
  <c r="AY25" i="358"/>
  <c r="AY24" i="358"/>
  <c r="AZ23" i="358"/>
  <c r="AU26" i="358"/>
  <c r="AU25" i="358"/>
  <c r="AU24" i="358"/>
  <c r="AV23" i="358"/>
  <c r="K10" i="358"/>
  <c r="K9" i="358"/>
  <c r="K8" i="358"/>
  <c r="L7" i="358"/>
  <c r="O10" i="358"/>
  <c r="O9" i="358"/>
  <c r="O8" i="358"/>
  <c r="P7" i="358"/>
  <c r="S10" i="358"/>
  <c r="S9" i="358"/>
  <c r="S8" i="358"/>
  <c r="T7" i="358"/>
  <c r="G14" i="358"/>
  <c r="G13" i="358"/>
  <c r="G12" i="358"/>
  <c r="H11" i="358"/>
  <c r="G18" i="358"/>
  <c r="G17" i="358"/>
  <c r="G16" i="358"/>
  <c r="H15" i="358"/>
  <c r="AE10" i="358"/>
  <c r="AE9" i="358"/>
  <c r="AE8" i="358"/>
  <c r="AF7" i="358"/>
  <c r="AA10" i="358"/>
  <c r="AA9" i="358"/>
  <c r="AA8" i="358"/>
  <c r="AB7" i="358"/>
  <c r="AI34" i="358"/>
  <c r="AI33" i="358"/>
  <c r="AI32" i="358"/>
  <c r="AJ31" i="358"/>
  <c r="AM34" i="358"/>
  <c r="AM33" i="358"/>
  <c r="AM32" i="358"/>
  <c r="AN31" i="358"/>
  <c r="O22" i="358"/>
  <c r="O21" i="358"/>
  <c r="O20" i="358"/>
  <c r="P19" i="358"/>
  <c r="S22" i="358"/>
  <c r="S21" i="358"/>
  <c r="S20" i="358"/>
  <c r="T19" i="358"/>
  <c r="G34" i="358"/>
  <c r="G33" i="358"/>
  <c r="G32" i="358"/>
  <c r="H31" i="358"/>
  <c r="K34" i="358"/>
  <c r="K33" i="358"/>
  <c r="K32" i="358"/>
  <c r="L31" i="358"/>
  <c r="O34" i="358"/>
  <c r="O33" i="358"/>
  <c r="O32" i="358"/>
  <c r="P31" i="358"/>
  <c r="BK30" i="358"/>
  <c r="BK29" i="358"/>
  <c r="BK28" i="358"/>
  <c r="BL27" i="358"/>
  <c r="BG30" i="358"/>
  <c r="BG29" i="358"/>
  <c r="BG28" i="358"/>
  <c r="BH27" i="358"/>
  <c r="BC30" i="358"/>
  <c r="BC29" i="358"/>
  <c r="BC28" i="358"/>
  <c r="BD27" i="358"/>
  <c r="AY30" i="358"/>
  <c r="AY29" i="358"/>
  <c r="AY28" i="358"/>
  <c r="AZ27" i="358"/>
  <c r="AU30" i="358"/>
  <c r="AU29" i="358"/>
  <c r="AU28" i="358"/>
  <c r="AV27" i="358"/>
  <c r="AY50" i="358"/>
  <c r="AY49" i="358"/>
  <c r="AY48" i="358"/>
  <c r="AZ47" i="358"/>
  <c r="BC50" i="358"/>
  <c r="BC49" i="358"/>
  <c r="BC48" i="358"/>
  <c r="BD47" i="358"/>
  <c r="BG50" i="358"/>
  <c r="BG49" i="358"/>
  <c r="BG48" i="358"/>
  <c r="BH47" i="358"/>
  <c r="BG46" i="358"/>
  <c r="BG45" i="358"/>
  <c r="BG44" i="358"/>
  <c r="BH43" i="358"/>
  <c r="BC46" i="358"/>
  <c r="BC45" i="358"/>
  <c r="BC44" i="358"/>
  <c r="BD43" i="358"/>
  <c r="AY46" i="358"/>
  <c r="AY45" i="358"/>
  <c r="AY44" i="358"/>
  <c r="AZ43" i="358"/>
  <c r="W10" i="358"/>
  <c r="W9" i="358"/>
  <c r="W8" i="358"/>
  <c r="X7" i="358"/>
  <c r="W14" i="358"/>
  <c r="W13" i="358"/>
  <c r="W12" i="358"/>
  <c r="X11" i="358"/>
  <c r="AA14" i="358"/>
  <c r="AA13" i="358"/>
  <c r="AA12" i="358"/>
  <c r="AB11" i="358"/>
  <c r="BK38" i="358"/>
  <c r="BK37" i="358"/>
  <c r="BK36" i="358"/>
  <c r="BL35" i="358"/>
  <c r="BG38" i="358"/>
  <c r="BG37" i="358"/>
  <c r="BG36" i="358"/>
  <c r="BH35" i="358"/>
  <c r="BC38" i="358"/>
  <c r="BC37" i="358"/>
  <c r="BC36" i="358"/>
  <c r="BD35" i="358"/>
  <c r="S14" i="358"/>
  <c r="S13" i="358"/>
  <c r="S12" i="358"/>
  <c r="T11" i="358"/>
  <c r="K14" i="358"/>
  <c r="K13" i="358"/>
  <c r="K12" i="358"/>
  <c r="L11" i="358"/>
  <c r="K18" i="358"/>
  <c r="K17" i="358"/>
  <c r="K16" i="358"/>
  <c r="L15" i="358"/>
  <c r="O18" i="358"/>
  <c r="O17" i="358"/>
  <c r="O16" i="358"/>
  <c r="P15" i="358"/>
  <c r="S18" i="358"/>
  <c r="S17" i="358"/>
  <c r="S16" i="358"/>
  <c r="T15" i="358"/>
  <c r="AA30" i="358"/>
  <c r="AA29" i="358"/>
  <c r="AA28" i="358"/>
  <c r="AB27" i="358"/>
  <c r="AA34" i="358"/>
  <c r="AA33" i="358"/>
  <c r="AA32" i="358"/>
  <c r="AB31" i="358"/>
  <c r="AA38" i="358"/>
  <c r="AA37" i="358"/>
  <c r="AA36" i="358"/>
  <c r="AB35" i="358"/>
  <c r="AE38" i="358"/>
  <c r="AE37" i="358"/>
  <c r="AE36" i="358"/>
  <c r="AF35" i="358"/>
  <c r="AE34" i="358"/>
  <c r="AE33" i="358"/>
  <c r="AE32" i="358"/>
  <c r="AF31" i="358"/>
  <c r="BK34" i="358"/>
  <c r="BK33" i="358"/>
  <c r="BK32" i="358"/>
  <c r="BL31" i="358"/>
  <c r="BG34" i="358"/>
  <c r="BG33" i="358"/>
  <c r="BG32" i="358"/>
  <c r="BH31" i="358"/>
  <c r="BC34" i="358"/>
  <c r="BC33" i="358"/>
  <c r="BC32" i="358"/>
  <c r="BD31" i="358"/>
  <c r="AY34" i="358"/>
  <c r="AY33" i="358"/>
  <c r="AY32" i="358"/>
  <c r="AZ31" i="358"/>
  <c r="AU34" i="358"/>
  <c r="AU33" i="358"/>
  <c r="AU32" i="358"/>
  <c r="AV31" i="358"/>
  <c r="O26" i="358"/>
  <c r="O25" i="358"/>
  <c r="O24" i="358"/>
  <c r="P23" i="358"/>
  <c r="S26" i="358"/>
  <c r="S25" i="358"/>
  <c r="S24" i="358"/>
  <c r="T23" i="358"/>
  <c r="W26" i="358"/>
  <c r="W25" i="358"/>
  <c r="W24" i="358"/>
  <c r="X23" i="358"/>
  <c r="AA26" i="357"/>
  <c r="AA25" i="357"/>
  <c r="AA24" i="357"/>
  <c r="AB23" i="357"/>
  <c r="AE26" i="357"/>
  <c r="AE25" i="357"/>
  <c r="AE24" i="357"/>
  <c r="AF23" i="357"/>
  <c r="AE30" i="357"/>
  <c r="AE29" i="357"/>
  <c r="AE28" i="357"/>
  <c r="AF27" i="357"/>
  <c r="AI30" i="357"/>
  <c r="AI29" i="357"/>
  <c r="AI28" i="357"/>
  <c r="AJ27" i="357"/>
  <c r="AI26" i="357"/>
  <c r="AI25" i="357"/>
  <c r="AI24" i="357"/>
  <c r="AJ23" i="357"/>
  <c r="AE14" i="357"/>
  <c r="AE13" i="357"/>
  <c r="AE12" i="357"/>
  <c r="AF11" i="357"/>
  <c r="AI14" i="357"/>
  <c r="AI13" i="357"/>
  <c r="AI12" i="357"/>
  <c r="AJ11" i="357"/>
  <c r="AM14" i="357"/>
  <c r="AM13" i="357"/>
  <c r="AM12" i="357"/>
  <c r="AN11" i="357"/>
  <c r="AM30" i="357"/>
  <c r="AM29" i="357"/>
  <c r="AM28" i="357"/>
  <c r="AN27" i="357"/>
  <c r="AQ30" i="357"/>
  <c r="AQ29" i="357"/>
  <c r="AQ28" i="357"/>
  <c r="AR27" i="357"/>
  <c r="AQ26" i="357"/>
  <c r="AQ25" i="357"/>
  <c r="AQ24" i="357"/>
  <c r="AR23" i="357"/>
  <c r="AM26" i="357"/>
  <c r="AM25" i="357"/>
  <c r="AM24" i="357"/>
  <c r="AN23" i="357"/>
  <c r="AM18" i="357"/>
  <c r="AM17" i="357"/>
  <c r="AM16" i="357"/>
  <c r="AN15" i="357"/>
  <c r="AQ22" i="357"/>
  <c r="AQ21" i="357"/>
  <c r="AQ20" i="357"/>
  <c r="AR19" i="357"/>
  <c r="AM22" i="357"/>
  <c r="AM21" i="357"/>
  <c r="AM20" i="357"/>
  <c r="AN19" i="357"/>
  <c r="AI18" i="357"/>
  <c r="AI17" i="357"/>
  <c r="AI16" i="357"/>
  <c r="AJ15" i="357"/>
  <c r="AE18" i="357"/>
  <c r="AE17" i="357"/>
  <c r="AE16" i="357"/>
  <c r="AF15" i="357"/>
  <c r="AA18" i="357"/>
  <c r="AA17" i="357"/>
  <c r="AA16" i="357"/>
  <c r="AB15" i="357"/>
  <c r="W18" i="357"/>
  <c r="W17" i="357"/>
  <c r="W16" i="357"/>
  <c r="X15" i="357"/>
  <c r="W22" i="357"/>
  <c r="W21" i="357"/>
  <c r="W20" i="357"/>
  <c r="X19" i="357"/>
  <c r="AA22" i="357"/>
  <c r="AA21" i="357"/>
  <c r="AA20" i="357"/>
  <c r="AB19" i="357"/>
  <c r="AE22" i="357"/>
  <c r="AE21" i="357"/>
  <c r="AE20" i="357"/>
  <c r="AF19" i="357"/>
  <c r="AI22" i="357"/>
  <c r="AI21" i="357"/>
  <c r="AI20" i="357"/>
  <c r="AJ19" i="357"/>
  <c r="BO42" i="357"/>
  <c r="BO41" i="357"/>
  <c r="BO40" i="357"/>
  <c r="BP39" i="357"/>
  <c r="BK42" i="357"/>
  <c r="BK41" i="357"/>
  <c r="BK40" i="357"/>
  <c r="BL39" i="357"/>
  <c r="BG42" i="357"/>
  <c r="BG41" i="357"/>
  <c r="BG40" i="357"/>
  <c r="BH39" i="357"/>
  <c r="BC42" i="357"/>
  <c r="BC41" i="357"/>
  <c r="BC40" i="357"/>
  <c r="BD39" i="357"/>
  <c r="AY42" i="357"/>
  <c r="AY41" i="357"/>
  <c r="AY40" i="357"/>
  <c r="AZ39" i="357"/>
  <c r="S34" i="357"/>
  <c r="S33" i="357"/>
  <c r="S32" i="357"/>
  <c r="T31" i="357"/>
  <c r="S30" i="357"/>
  <c r="S29" i="357"/>
  <c r="S28" i="357"/>
  <c r="T27" i="357"/>
  <c r="W30" i="357"/>
  <c r="W29" i="357"/>
  <c r="W28" i="357"/>
  <c r="X27" i="357"/>
  <c r="AY26" i="357"/>
  <c r="AY25" i="357"/>
  <c r="AY24" i="357"/>
  <c r="AZ23" i="357"/>
  <c r="AU26" i="357"/>
  <c r="AU25" i="357"/>
  <c r="AU24" i="357"/>
  <c r="AV23" i="357"/>
  <c r="K10" i="357"/>
  <c r="K9" i="357"/>
  <c r="K8" i="357"/>
  <c r="L7" i="357"/>
  <c r="O10" i="357"/>
  <c r="O9" i="357"/>
  <c r="O8" i="357"/>
  <c r="P7" i="357"/>
  <c r="S10" i="357"/>
  <c r="S9" i="357"/>
  <c r="S8" i="357"/>
  <c r="T7" i="357"/>
  <c r="G14" i="357"/>
  <c r="G13" i="357"/>
  <c r="G12" i="357"/>
  <c r="H11" i="357"/>
  <c r="G18" i="357"/>
  <c r="G17" i="357"/>
  <c r="G16" i="357"/>
  <c r="H15" i="357"/>
  <c r="AE10" i="357"/>
  <c r="AE9" i="357"/>
  <c r="AE8" i="357"/>
  <c r="AF7" i="357"/>
  <c r="AA10" i="357"/>
  <c r="AA9" i="357"/>
  <c r="AA8" i="357"/>
  <c r="AB7" i="357"/>
  <c r="AI34" i="357"/>
  <c r="AI33" i="357"/>
  <c r="AI32" i="357"/>
  <c r="AJ31" i="357"/>
  <c r="AM34" i="357"/>
  <c r="AM33" i="357"/>
  <c r="AM32" i="357"/>
  <c r="AN31" i="357"/>
  <c r="O22" i="357"/>
  <c r="O21" i="357"/>
  <c r="O20" i="357"/>
  <c r="P19" i="357"/>
  <c r="S22" i="357"/>
  <c r="S21" i="357"/>
  <c r="S20" i="357"/>
  <c r="T19" i="357"/>
  <c r="G34" i="357"/>
  <c r="G33" i="357"/>
  <c r="G32" i="357"/>
  <c r="H31" i="357"/>
  <c r="K34" i="357"/>
  <c r="K33" i="357"/>
  <c r="K32" i="357"/>
  <c r="L31" i="357"/>
  <c r="O34" i="357"/>
  <c r="O33" i="357"/>
  <c r="O32" i="357"/>
  <c r="P31" i="357"/>
  <c r="BK30" i="357"/>
  <c r="BK29" i="357"/>
  <c r="BK28" i="357"/>
  <c r="BL27" i="357"/>
  <c r="BG30" i="357"/>
  <c r="BG29" i="357"/>
  <c r="BG28" i="357"/>
  <c r="BH27" i="357"/>
  <c r="BC30" i="357"/>
  <c r="BC29" i="357"/>
  <c r="BC28" i="357"/>
  <c r="BD27" i="357"/>
  <c r="AY30" i="357"/>
  <c r="AY29" i="357"/>
  <c r="AY28" i="357"/>
  <c r="AZ27" i="357"/>
  <c r="AU30" i="357"/>
  <c r="AU29" i="357"/>
  <c r="AU28" i="357"/>
  <c r="AV27" i="357"/>
  <c r="AY50" i="357"/>
  <c r="AY49" i="357"/>
  <c r="AY48" i="357"/>
  <c r="AZ47" i="357"/>
  <c r="BC50" i="357"/>
  <c r="BC49" i="357"/>
  <c r="BC48" i="357"/>
  <c r="BD47" i="357"/>
  <c r="BG50" i="357"/>
  <c r="BG49" i="357"/>
  <c r="BG48" i="357"/>
  <c r="BH47" i="357"/>
  <c r="BG46" i="357"/>
  <c r="BG45" i="357"/>
  <c r="BG44" i="357"/>
  <c r="BH43" i="357"/>
  <c r="BC46" i="357"/>
  <c r="BC45" i="357"/>
  <c r="BC44" i="357"/>
  <c r="BD43" i="357"/>
  <c r="AY46" i="357"/>
  <c r="AY45" i="357"/>
  <c r="AY44" i="357"/>
  <c r="AZ43" i="357"/>
  <c r="W10" i="357"/>
  <c r="W9" i="357"/>
  <c r="W8" i="357"/>
  <c r="X7" i="357"/>
  <c r="W14" i="357"/>
  <c r="W13" i="357"/>
  <c r="W12" i="357"/>
  <c r="X11" i="357"/>
  <c r="AA14" i="357"/>
  <c r="AA13" i="357"/>
  <c r="AA12" i="357"/>
  <c r="AB11" i="357"/>
  <c r="BK38" i="357"/>
  <c r="BK37" i="357"/>
  <c r="BK36" i="357"/>
  <c r="BL35" i="357"/>
  <c r="BG38" i="357"/>
  <c r="BG37" i="357"/>
  <c r="BG36" i="357"/>
  <c r="BH35" i="357"/>
  <c r="BC38" i="357"/>
  <c r="BC37" i="357"/>
  <c r="BC36" i="357"/>
  <c r="BD35" i="357"/>
  <c r="S14" i="357"/>
  <c r="S13" i="357"/>
  <c r="S12" i="357"/>
  <c r="T11" i="357"/>
  <c r="K14" i="357"/>
  <c r="K13" i="357"/>
  <c r="K12" i="357"/>
  <c r="L11" i="357"/>
  <c r="K18" i="357"/>
  <c r="K17" i="357"/>
  <c r="K16" i="357"/>
  <c r="L15" i="357"/>
  <c r="O18" i="357"/>
  <c r="O17" i="357"/>
  <c r="O16" i="357"/>
  <c r="P15" i="357"/>
  <c r="S18" i="357"/>
  <c r="S17" i="357"/>
  <c r="S16" i="357"/>
  <c r="T15" i="357"/>
  <c r="AA30" i="357"/>
  <c r="AA29" i="357"/>
  <c r="AA28" i="357"/>
  <c r="AB27" i="357"/>
  <c r="AA34" i="357"/>
  <c r="AA33" i="357"/>
  <c r="AA32" i="357"/>
  <c r="AB31" i="357"/>
  <c r="AA38" i="357"/>
  <c r="AA37" i="357"/>
  <c r="AA36" i="357"/>
  <c r="AB35" i="357"/>
  <c r="AE38" i="357"/>
  <c r="AE37" i="357"/>
  <c r="AE36" i="357"/>
  <c r="AF35" i="357"/>
  <c r="AE34" i="357"/>
  <c r="AE33" i="357"/>
  <c r="AE32" i="357"/>
  <c r="AF31" i="357"/>
  <c r="BK34" i="357"/>
  <c r="BK33" i="357"/>
  <c r="BK32" i="357"/>
  <c r="BL31" i="357"/>
  <c r="BG34" i="357"/>
  <c r="BG33" i="357"/>
  <c r="BG32" i="357"/>
  <c r="BH31" i="357"/>
  <c r="BC34" i="357"/>
  <c r="BC33" i="357"/>
  <c r="BC32" i="357"/>
  <c r="BD31" i="357"/>
  <c r="AY34" i="357"/>
  <c r="AY33" i="357"/>
  <c r="AY32" i="357"/>
  <c r="AZ31" i="357"/>
  <c r="AU34" i="357"/>
  <c r="AU33" i="357"/>
  <c r="AU32" i="357"/>
  <c r="AV31" i="357"/>
  <c r="O26" i="357"/>
  <c r="O25" i="357"/>
  <c r="O24" i="357"/>
  <c r="P23" i="357"/>
  <c r="S26" i="357"/>
  <c r="S25" i="357"/>
  <c r="S24" i="357"/>
  <c r="T23" i="357"/>
  <c r="W26" i="357"/>
  <c r="W25" i="357"/>
  <c r="W24" i="357"/>
  <c r="X23" i="357"/>
  <c r="AA25" i="356"/>
  <c r="AA24" i="356"/>
  <c r="AB23" i="356"/>
  <c r="AI25" i="356"/>
  <c r="AI24" i="356"/>
  <c r="AJ23" i="356"/>
  <c r="AE13" i="356"/>
  <c r="AE12" i="356"/>
  <c r="AF11" i="356"/>
  <c r="AM25" i="356"/>
  <c r="AM24" i="356"/>
  <c r="AN23" i="356"/>
  <c r="AM17" i="356"/>
  <c r="AM16" i="356"/>
  <c r="AN15" i="356"/>
  <c r="W17" i="356"/>
  <c r="W16" i="356"/>
  <c r="X15" i="356"/>
  <c r="AY41" i="356"/>
  <c r="AY40" i="356"/>
  <c r="AZ39" i="356"/>
  <c r="S29" i="356"/>
  <c r="S28" i="356"/>
  <c r="T27" i="356"/>
  <c r="AU25" i="356"/>
  <c r="AU24" i="356"/>
  <c r="AV23" i="356"/>
  <c r="K9" i="356"/>
  <c r="K8" i="356"/>
  <c r="L7" i="356"/>
  <c r="G13" i="356"/>
  <c r="G12" i="356"/>
  <c r="H11" i="356"/>
  <c r="AA9" i="356"/>
  <c r="AA8" i="356"/>
  <c r="AB7" i="356"/>
  <c r="AI33" i="356"/>
  <c r="AI32" i="356"/>
  <c r="AJ31" i="356"/>
  <c r="O21" i="356"/>
  <c r="O20" i="356"/>
  <c r="P19" i="356"/>
  <c r="G33" i="356"/>
  <c r="G32" i="356"/>
  <c r="H31" i="356"/>
  <c r="AU29" i="356"/>
  <c r="AU28" i="356"/>
  <c r="AV27" i="356"/>
  <c r="AY45" i="356"/>
  <c r="AY44" i="356"/>
  <c r="AZ43" i="356"/>
  <c r="W9" i="356"/>
  <c r="W8" i="356"/>
  <c r="X7" i="356"/>
  <c r="BC37" i="356"/>
  <c r="BC36" i="356"/>
  <c r="BD35" i="356"/>
  <c r="K13" i="356"/>
  <c r="K12" i="356"/>
  <c r="L11" i="356"/>
  <c r="AA29" i="356"/>
  <c r="AA28" i="356"/>
  <c r="AB27" i="356"/>
  <c r="AU33" i="356"/>
  <c r="AU32" i="356"/>
  <c r="AV31" i="356"/>
  <c r="O25" i="356"/>
  <c r="O24" i="356"/>
  <c r="P23" i="356"/>
  <c r="AA26" i="348"/>
  <c r="AA25" i="348"/>
  <c r="AA24" i="348"/>
  <c r="AB23" i="348"/>
  <c r="AI26" i="348"/>
  <c r="AI25" i="348"/>
  <c r="AI24" i="348"/>
  <c r="AJ23" i="348"/>
  <c r="AE14" i="348"/>
  <c r="AE13" i="348"/>
  <c r="AE12" i="348"/>
  <c r="AF11" i="348"/>
  <c r="AM26" i="348"/>
  <c r="AM25" i="348"/>
  <c r="AM24" i="348"/>
  <c r="AN23" i="348"/>
  <c r="AM18" i="348"/>
  <c r="AM17" i="348"/>
  <c r="AM16" i="348"/>
  <c r="AN15" i="348"/>
  <c r="W18" i="348"/>
  <c r="W17" i="348"/>
  <c r="W16" i="348"/>
  <c r="X15" i="348"/>
  <c r="AY42" i="348"/>
  <c r="AY41" i="348"/>
  <c r="AY40" i="348"/>
  <c r="AZ39" i="348"/>
  <c r="S30" i="348"/>
  <c r="S29" i="348"/>
  <c r="S28" i="348"/>
  <c r="T27" i="348"/>
  <c r="AU26" i="348"/>
  <c r="AU25" i="348"/>
  <c r="AU24" i="348"/>
  <c r="AV23" i="348"/>
  <c r="K10" i="348"/>
  <c r="K9" i="348"/>
  <c r="K8" i="348"/>
  <c r="L7" i="348"/>
  <c r="G14" i="348"/>
  <c r="G13" i="348"/>
  <c r="G12" i="348"/>
  <c r="H11" i="348"/>
  <c r="AA10" i="348"/>
  <c r="AA9" i="348"/>
  <c r="AA8" i="348"/>
  <c r="AB7" i="348"/>
  <c r="AI34" i="348"/>
  <c r="AI33" i="348"/>
  <c r="AI32" i="348"/>
  <c r="AJ31" i="348"/>
  <c r="O22" i="348"/>
  <c r="O21" i="348"/>
  <c r="O20" i="348"/>
  <c r="P19" i="348"/>
  <c r="G34" i="348"/>
  <c r="G33" i="348"/>
  <c r="G32" i="348"/>
  <c r="H31" i="348"/>
  <c r="AU30" i="348"/>
  <c r="AU29" i="348"/>
  <c r="AU28" i="348"/>
  <c r="AV27" i="348"/>
  <c r="AY46" i="348"/>
  <c r="AY45" i="348"/>
  <c r="AY44" i="348"/>
  <c r="AZ43" i="348"/>
  <c r="W10" i="348"/>
  <c r="W9" i="348"/>
  <c r="W8" i="348"/>
  <c r="X7" i="348"/>
  <c r="BC38" i="348"/>
  <c r="BC37" i="348"/>
  <c r="BC36" i="348"/>
  <c r="BD35" i="348"/>
  <c r="K14" i="348"/>
  <c r="K13" i="348"/>
  <c r="K12" i="348"/>
  <c r="L11" i="348"/>
  <c r="AA30" i="348"/>
  <c r="AA29" i="348"/>
  <c r="AA28" i="348"/>
  <c r="AB27" i="348"/>
  <c r="AU34" i="348"/>
  <c r="AU33" i="348"/>
  <c r="AU32" i="348"/>
  <c r="AV31" i="348"/>
  <c r="O26" i="348"/>
  <c r="O25" i="348"/>
  <c r="O24" i="348"/>
  <c r="P23" i="348"/>
  <c r="J3" i="5"/>
  <c r="J4" i="5"/>
  <c r="J5" i="5"/>
  <c r="J6" i="5"/>
  <c r="J7" i="5"/>
  <c r="J8" i="5"/>
  <c r="J9" i="5"/>
  <c r="J10" i="5"/>
  <c r="J11" i="5"/>
  <c r="J12" i="5"/>
  <c r="J13" i="5"/>
  <c r="J14" i="5"/>
  <c r="J15" i="5"/>
  <c r="J16" i="5"/>
  <c r="J17" i="5"/>
  <c r="J18" i="5"/>
  <c r="J19" i="5"/>
  <c r="J20" i="5"/>
  <c r="J21" i="5"/>
  <c r="J22" i="5"/>
  <c r="J23" i="5"/>
  <c r="J24" i="5"/>
  <c r="J25" i="5"/>
  <c r="J26" i="5"/>
  <c r="J27" i="5"/>
  <c r="J28" i="5"/>
  <c r="J29" i="5"/>
  <c r="J30" i="5"/>
  <c r="J31" i="5"/>
  <c r="J32" i="5"/>
  <c r="J33" i="5"/>
  <c r="J34" i="5"/>
  <c r="J35" i="5"/>
  <c r="J36" i="5"/>
  <c r="J37" i="5"/>
  <c r="J38" i="5"/>
  <c r="J39" i="5"/>
  <c r="J40" i="5"/>
  <c r="J41" i="5"/>
  <c r="J42" i="5"/>
  <c r="J43" i="5"/>
  <c r="J44" i="5"/>
  <c r="J45" i="5"/>
  <c r="J46" i="5"/>
  <c r="J47" i="5"/>
  <c r="J48" i="5"/>
  <c r="J49" i="5"/>
  <c r="J50" i="5"/>
  <c r="J51" i="5"/>
  <c r="J52" i="5"/>
  <c r="J53" i="5"/>
  <c r="J54" i="5"/>
  <c r="J55" i="5"/>
  <c r="J56" i="5"/>
  <c r="J57" i="5"/>
  <c r="J58" i="5"/>
  <c r="J59" i="5"/>
  <c r="J60" i="5"/>
  <c r="J61" i="5"/>
  <c r="J62" i="5"/>
  <c r="J63" i="5"/>
  <c r="J64" i="5"/>
  <c r="J65" i="5"/>
  <c r="J66" i="5"/>
  <c r="J67" i="5"/>
  <c r="J68" i="5"/>
  <c r="J69" i="5"/>
  <c r="J70" i="5"/>
  <c r="J71" i="5"/>
  <c r="J72" i="5"/>
  <c r="J73" i="5"/>
  <c r="J74" i="5"/>
  <c r="J75" i="5"/>
  <c r="J76" i="5"/>
  <c r="J77" i="5"/>
  <c r="J78" i="5"/>
  <c r="J79" i="5"/>
  <c r="J80" i="5"/>
  <c r="J81" i="5"/>
  <c r="J82" i="5"/>
  <c r="J83" i="5"/>
  <c r="J84" i="5"/>
  <c r="J85" i="5"/>
  <c r="J86" i="5"/>
  <c r="J87" i="5"/>
  <c r="J88" i="5"/>
  <c r="J89" i="5"/>
  <c r="J90" i="5"/>
  <c r="J91" i="5"/>
  <c r="J92" i="5"/>
  <c r="J93" i="5"/>
  <c r="J94" i="5"/>
  <c r="J95" i="5"/>
  <c r="J96" i="5"/>
  <c r="J97" i="5"/>
  <c r="J98" i="5"/>
  <c r="J99" i="5"/>
  <c r="J100" i="5"/>
  <c r="J101" i="5"/>
  <c r="J102" i="5"/>
  <c r="J103" i="5"/>
  <c r="J104" i="5"/>
  <c r="J105" i="5"/>
  <c r="J106" i="5"/>
  <c r="J2" i="5"/>
  <c r="I3" i="5"/>
  <c r="I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2" i="5"/>
</calcChain>
</file>

<file path=xl/sharedStrings.xml><?xml version="1.0" encoding="utf-8"?>
<sst xmlns="http://schemas.openxmlformats.org/spreadsheetml/2006/main" count="2335" uniqueCount="782">
  <si>
    <t>あ</t>
    <phoneticPr fontId="1"/>
  </si>
  <si>
    <t>い</t>
    <phoneticPr fontId="1"/>
  </si>
  <si>
    <t>う</t>
    <phoneticPr fontId="1"/>
  </si>
  <si>
    <t>え</t>
    <phoneticPr fontId="1"/>
  </si>
  <si>
    <t>お</t>
    <phoneticPr fontId="1"/>
  </si>
  <si>
    <t>か</t>
    <phoneticPr fontId="1"/>
  </si>
  <si>
    <t>き</t>
    <phoneticPr fontId="1"/>
  </si>
  <si>
    <t>く</t>
    <phoneticPr fontId="1"/>
  </si>
  <si>
    <t>け</t>
    <phoneticPr fontId="1"/>
  </si>
  <si>
    <t>こ</t>
    <phoneticPr fontId="1"/>
  </si>
  <si>
    <t>さ</t>
    <phoneticPr fontId="1"/>
  </si>
  <si>
    <t>し</t>
    <phoneticPr fontId="1"/>
  </si>
  <si>
    <t>す</t>
    <phoneticPr fontId="1"/>
  </si>
  <si>
    <t>せ</t>
    <phoneticPr fontId="1"/>
  </si>
  <si>
    <t>そ</t>
    <phoneticPr fontId="1"/>
  </si>
  <si>
    <t>た</t>
    <phoneticPr fontId="1"/>
  </si>
  <si>
    <t>A</t>
    <phoneticPr fontId="1"/>
  </si>
  <si>
    <t>B</t>
    <phoneticPr fontId="1"/>
  </si>
  <si>
    <t>C</t>
    <phoneticPr fontId="1"/>
  </si>
  <si>
    <t>D</t>
    <phoneticPr fontId="1"/>
  </si>
  <si>
    <t>E</t>
    <phoneticPr fontId="1"/>
  </si>
  <si>
    <t>F</t>
    <phoneticPr fontId="1"/>
  </si>
  <si>
    <t>G</t>
    <phoneticPr fontId="1"/>
  </si>
  <si>
    <t>H</t>
    <phoneticPr fontId="1"/>
  </si>
  <si>
    <t>名前</t>
    <rPh sb="0" eb="2">
      <t>ナマエ</t>
    </rPh>
    <phoneticPr fontId="1"/>
  </si>
  <si>
    <t>なまえ</t>
    <phoneticPr fontId="1"/>
  </si>
  <si>
    <t>人口（人）</t>
    <phoneticPr fontId="1"/>
  </si>
  <si>
    <t>背景色</t>
    <rPh sb="0" eb="3">
      <t>ハイケイショク</t>
    </rPh>
    <phoneticPr fontId="1"/>
  </si>
  <si>
    <t>以上</t>
    <rPh sb="0" eb="2">
      <t>イジョウ</t>
    </rPh>
    <phoneticPr fontId="1"/>
  </si>
  <si>
    <t>前景色</t>
    <rPh sb="0" eb="3">
      <t>ゼンケイショク</t>
    </rPh>
    <phoneticPr fontId="1"/>
  </si>
  <si>
    <t>👇</t>
    <phoneticPr fontId="1"/>
  </si>
  <si>
    <t>以下のボタンを押してください。</t>
    <rPh sb="0" eb="2">
      <t>イカ</t>
    </rPh>
    <rPh sb="7" eb="8">
      <t>オ</t>
    </rPh>
    <phoneticPr fontId="1"/>
  </si>
  <si>
    <t>手順１</t>
    <rPh sb="0" eb="2">
      <t>テジュン</t>
    </rPh>
    <phoneticPr fontId="1"/>
  </si>
  <si>
    <t>手順２</t>
    <rPh sb="0" eb="2">
      <t>テジュン</t>
    </rPh>
    <phoneticPr fontId="1"/>
  </si>
  <si>
    <t>手順３</t>
    <rPh sb="0" eb="2">
      <t>テジュン</t>
    </rPh>
    <phoneticPr fontId="1"/>
  </si>
  <si>
    <t>手順４</t>
    <rPh sb="0" eb="2">
      <t>テジュン</t>
    </rPh>
    <phoneticPr fontId="1"/>
  </si>
  <si>
    <t>以下は市町村１つ分の凡例です。</t>
    <rPh sb="0" eb="2">
      <t>イカ</t>
    </rPh>
    <rPh sb="3" eb="6">
      <t>シチョウソン</t>
    </rPh>
    <rPh sb="8" eb="9">
      <t>ブン</t>
    </rPh>
    <rPh sb="10" eb="12">
      <t>ハンレイ</t>
    </rPh>
    <phoneticPr fontId="1"/>
  </si>
  <si>
    <t>ヒートマップにするデータを１つ選んで太字にスタイル設定してください。</t>
    <phoneticPr fontId="1"/>
  </si>
  <si>
    <t>以下はヒートマップの色の凡例です。</t>
    <rPh sb="0" eb="2">
      <t>イカ</t>
    </rPh>
    <rPh sb="10" eb="11">
      <t>イロ</t>
    </rPh>
    <rPh sb="12" eb="14">
      <t>ハンレイ</t>
    </rPh>
    <phoneticPr fontId="1"/>
  </si>
  <si>
    <t>No</t>
    <phoneticPr fontId="1"/>
  </si>
  <si>
    <t>ワークシート名</t>
    <rPh sb="6" eb="7">
      <t>メイ</t>
    </rPh>
    <phoneticPr fontId="1"/>
  </si>
  <si>
    <t>範囲</t>
    <rPh sb="0" eb="2">
      <t>ハンイ</t>
    </rPh>
    <phoneticPr fontId="1"/>
  </si>
  <si>
    <t>左上隅セル</t>
    <rPh sb="0" eb="2">
      <t>ヒダリウエ</t>
    </rPh>
    <rPh sb="2" eb="3">
      <t>スミ</t>
    </rPh>
    <phoneticPr fontId="1"/>
  </si>
  <si>
    <t>転写先セル</t>
    <rPh sb="0" eb="2">
      <t>テンシャ</t>
    </rPh>
    <rPh sb="2" eb="3">
      <t>サキ</t>
    </rPh>
    <phoneticPr fontId="1"/>
  </si>
  <si>
    <t>転写元の範囲</t>
    <rPh sb="0" eb="2">
      <t>テンシャ</t>
    </rPh>
    <rPh sb="2" eb="3">
      <t>モト</t>
    </rPh>
    <rPh sb="4" eb="6">
      <t>ハンイ</t>
    </rPh>
    <phoneticPr fontId="1"/>
  </si>
  <si>
    <t>セル</t>
  </si>
  <si>
    <t>A</t>
  </si>
  <si>
    <t>た</t>
  </si>
  <si>
    <t>そ</t>
  </si>
  <si>
    <t>せ</t>
  </si>
  <si>
    <t>す</t>
  </si>
  <si>
    <t>し</t>
  </si>
  <si>
    <t>さ</t>
  </si>
  <si>
    <t>こ</t>
  </si>
  <si>
    <t>け</t>
  </si>
  <si>
    <t>く</t>
  </si>
  <si>
    <t>き</t>
  </si>
  <si>
    <t>か</t>
  </si>
  <si>
    <t>お</t>
  </si>
  <si>
    <t>え</t>
  </si>
  <si>
    <t>う</t>
  </si>
  <si>
    <t>い</t>
  </si>
  <si>
    <t>あ</t>
  </si>
  <si>
    <t>B</t>
  </si>
  <si>
    <t>D</t>
  </si>
  <si>
    <t>E</t>
  </si>
  <si>
    <t>F</t>
  </si>
  <si>
    <t>G</t>
  </si>
  <si>
    <t>H</t>
  </si>
  <si>
    <t>名前</t>
  </si>
  <si>
    <t>背景色</t>
  </si>
  <si>
    <t>以上</t>
  </si>
  <si>
    <t>既存のワークシートを参考にしてください。</t>
    <rPh sb="0" eb="2">
      <t>キゾン</t>
    </rPh>
    <rPh sb="10" eb="12">
      <t>サンコウ</t>
    </rPh>
    <phoneticPr fontId="1"/>
  </si>
  <si>
    <t>内容は、既存のワークシートを参考にしてください。</t>
    <rPh sb="0" eb="2">
      <t>ナイヨウ</t>
    </rPh>
    <rPh sb="4" eb="6">
      <t>キゾン</t>
    </rPh>
    <rPh sb="14" eb="16">
      <t>サンコウ</t>
    </rPh>
    <phoneticPr fontId="1"/>
  </si>
  <si>
    <t>１０件まで対応します。</t>
    <rPh sb="2" eb="3">
      <t>ケン</t>
    </rPh>
    <rPh sb="5" eb="7">
      <t>タイオウ</t>
    </rPh>
    <phoneticPr fontId="1"/>
  </si>
  <si>
    <t>TIPS</t>
    <phoneticPr fontId="1"/>
  </si>
  <si>
    <t>引き続き、</t>
    <rPh sb="0" eb="1">
      <t>ヒ</t>
    </rPh>
    <rPh sb="2" eb="3">
      <t>ツヅ</t>
    </rPh>
    <phoneticPr fontId="1"/>
  </si>
  <si>
    <t>■</t>
    <phoneticPr fontId="1"/>
  </si>
  <si>
    <t>を読んでください。</t>
    <rPh sb="1" eb="2">
      <t>ヨ</t>
    </rPh>
    <phoneticPr fontId="1"/>
  </si>
  <si>
    <t>ワークシート名を間違えて上書きすると、このワークブックの機能を破損させてしまいかねますので慎重に確認してください。</t>
    <rPh sb="12" eb="14">
      <t>ウワガ</t>
    </rPh>
    <rPh sb="28" eb="30">
      <t>キノウ</t>
    </rPh>
    <rPh sb="45" eb="47">
      <t>シンチョウ</t>
    </rPh>
    <rPh sb="48" eb="50">
      <t>カクニン</t>
    </rPh>
    <phoneticPr fontId="1"/>
  </si>
  <si>
    <t>よくわからないときは、このままにしてください。</t>
    <phoneticPr fontId="1"/>
  </si>
  <si>
    <t>ワークシートが生成できたら完了です。</t>
    <rPh sb="7" eb="9">
      <t>セイセイ</t>
    </rPh>
    <rPh sb="13" eb="15">
      <t>カンリョウ</t>
    </rPh>
    <phoneticPr fontId="1"/>
  </si>
  <si>
    <t>作った</t>
    <rPh sb="0" eb="1">
      <t>ツク</t>
    </rPh>
    <phoneticPr fontId="1"/>
  </si>
  <si>
    <t>ワークシートのシート名を入力してください。</t>
    <phoneticPr fontId="1"/>
  </si>
  <si>
    <t>［自動生成_地図データ］</t>
    <rPh sb="1" eb="5">
      <t>ジドウセイセイ</t>
    </rPh>
    <rPh sb="6" eb="8">
      <t>チズ</t>
    </rPh>
    <phoneticPr fontId="1"/>
  </si>
  <si>
    <t>［市町村データ］</t>
    <rPh sb="1" eb="4">
      <t>シチョウソン</t>
    </rPh>
    <phoneticPr fontId="1"/>
  </si>
  <si>
    <t>［手順書_市町村なまえ］</t>
    <rPh sb="1" eb="4">
      <t>テジュンショ</t>
    </rPh>
    <rPh sb="5" eb="8">
      <t>シチョウソン</t>
    </rPh>
    <phoneticPr fontId="1"/>
  </si>
  <si>
    <t>ワークシート</t>
    <phoneticPr fontId="1"/>
  </si>
  <si>
    <t>［手順書_人口密度］</t>
    <rPh sb="1" eb="4">
      <t>テジュンショ</t>
    </rPh>
    <rPh sb="5" eb="9">
      <t>ジンコウミツド</t>
    </rPh>
    <phoneticPr fontId="1"/>
  </si>
  <si>
    <t>［手順書_人口］</t>
    <rPh sb="1" eb="4">
      <t>テジュンショ</t>
    </rPh>
    <rPh sb="5" eb="7">
      <t>ジンコウ</t>
    </rPh>
    <phoneticPr fontId="1"/>
  </si>
  <si>
    <t>黄色いラインは転写範囲の外側です。</t>
    <rPh sb="0" eb="2">
      <t>キイロ</t>
    </rPh>
    <rPh sb="7" eb="11">
      <t>テンシャハンイ</t>
    </rPh>
    <rPh sb="12" eb="14">
      <t>ソトガワ</t>
    </rPh>
    <phoneticPr fontId="1"/>
  </si>
  <si>
    <t>G11</t>
  </si>
  <si>
    <t>O15</t>
  </si>
  <si>
    <t>S15</t>
  </si>
  <si>
    <t>W15</t>
  </si>
  <si>
    <t>AA15</t>
  </si>
  <si>
    <t>AE15</t>
  </si>
  <si>
    <t>AI15</t>
  </si>
  <si>
    <t>AM15</t>
  </si>
  <si>
    <t>O19</t>
  </si>
  <si>
    <t>W19</t>
  </si>
  <si>
    <t>AA19</t>
  </si>
  <si>
    <t>AI19</t>
  </si>
  <si>
    <t>AM19</t>
  </si>
  <si>
    <t>AQ19</t>
  </si>
  <si>
    <t>S23</t>
  </si>
  <si>
    <t>AA23</t>
  </si>
  <si>
    <t>AE23</t>
  </si>
  <si>
    <t>AI23</t>
  </si>
  <si>
    <t>AM23</t>
  </si>
  <si>
    <t>AU23</t>
  </si>
  <si>
    <t>AY23</t>
  </si>
  <si>
    <t>S27</t>
  </si>
  <si>
    <t>AI27</t>
  </si>
  <si>
    <t>AM27</t>
  </si>
  <si>
    <t>AQ27</t>
  </si>
  <si>
    <t>AU27</t>
  </si>
  <si>
    <t>AY27</t>
  </si>
  <si>
    <t>BC27</t>
  </si>
  <si>
    <t>BG27</t>
  </si>
  <si>
    <t>BK27</t>
  </si>
  <si>
    <t>AM31</t>
  </si>
  <si>
    <t>AU31</t>
  </si>
  <si>
    <t>AY31</t>
  </si>
  <si>
    <t>BC31</t>
  </si>
  <si>
    <t>BG31</t>
  </si>
  <si>
    <t>BC35</t>
  </si>
  <si>
    <t>BG35</t>
  </si>
  <si>
    <t>BK35</t>
  </si>
  <si>
    <t>K7</t>
  </si>
  <si>
    <t>O7</t>
  </si>
  <si>
    <t>W7</t>
  </si>
  <si>
    <t>A1</t>
    <phoneticPr fontId="1"/>
  </si>
  <si>
    <t>EOF</t>
    <phoneticPr fontId="1"/>
  </si>
  <si>
    <t>C</t>
  </si>
  <si>
    <t>このワークブックは？</t>
    <phoneticPr fontId="1"/>
  </si>
  <si>
    <t>👆</t>
    <phoneticPr fontId="1"/>
  </si>
  <si>
    <t>ワークシートを編集して地図をお絵描きしてください。</t>
    <rPh sb="7" eb="9">
      <t>ヘンシュウ</t>
    </rPh>
    <rPh sb="11" eb="13">
      <t>チズ</t>
    </rPh>
    <rPh sb="15" eb="17">
      <t>エカ</t>
    </rPh>
    <phoneticPr fontId="1"/>
  </si>
  <si>
    <t>このとき、</t>
    <phoneticPr fontId="1"/>
  </si>
  <si>
    <t>ワークシートの _1 の部分を変えて最大１０シートまで対応することができます。</t>
    <rPh sb="12" eb="14">
      <t>ブブン</t>
    </rPh>
    <rPh sb="15" eb="16">
      <t>カ</t>
    </rPh>
    <rPh sb="18" eb="20">
      <t>サイダイ</t>
    </rPh>
    <rPh sb="27" eb="29">
      <t>タイオウ</t>
    </rPh>
    <phoneticPr fontId="1"/>
  </si>
  <si>
    <t>以下に入力してください。</t>
    <rPh sb="0" eb="2">
      <t>イカ</t>
    </rPh>
    <rPh sb="3" eb="5">
      <t>ニュウリョク</t>
    </rPh>
    <phoneticPr fontId="1"/>
  </si>
  <si>
    <t>転写元になる［地図テンプレート］のワークシート名等を、</t>
    <rPh sb="0" eb="3">
      <t>テンシャモト</t>
    </rPh>
    <rPh sb="7" eb="9">
      <t>チズ</t>
    </rPh>
    <rPh sb="23" eb="24">
      <t>メイ</t>
    </rPh>
    <rPh sb="24" eb="25">
      <t>トウ</t>
    </rPh>
    <phoneticPr fontId="1"/>
  </si>
  <si>
    <t>地図の転写先を、</t>
    <rPh sb="0" eb="2">
      <t>チズ</t>
    </rPh>
    <rPh sb="3" eb="5">
      <t>テンシャ</t>
    </rPh>
    <rPh sb="5" eb="6">
      <t>サキ</t>
    </rPh>
    <phoneticPr fontId="1"/>
  </si>
  <si>
    <t>入力してください。</t>
    <phoneticPr fontId="1"/>
  </si>
  <si>
    <t>以下の凡例に入れてください。</t>
    <rPh sb="0" eb="2">
      <t>イカ</t>
    </rPh>
    <phoneticPr fontId="1"/>
  </si>
  <si>
    <t>ワークシートの列名を、</t>
    <phoneticPr fontId="1"/>
  </si>
  <si>
    <t>ヒートマップの色の凡例です。</t>
    <rPh sb="7" eb="8">
      <t>イロ</t>
    </rPh>
    <rPh sb="9" eb="11">
      <t>ハンレイ</t>
    </rPh>
    <phoneticPr fontId="1"/>
  </si>
  <si>
    <t>R1.1.0</t>
    <phoneticPr fontId="1"/>
  </si>
  <si>
    <t>R1.2.0</t>
    <phoneticPr fontId="1"/>
  </si>
  <si>
    <t>R1.3.0</t>
    <phoneticPr fontId="1"/>
  </si>
  <si>
    <t>R1.4.0</t>
    <phoneticPr fontId="1"/>
  </si>
  <si>
    <t>R1.5.0</t>
    <phoneticPr fontId="1"/>
  </si>
  <si>
    <t>R1.6.0</t>
    <phoneticPr fontId="1"/>
  </si>
  <si>
    <t>R1.7.0</t>
    <phoneticPr fontId="1"/>
  </si>
  <si>
    <t>R1.8.0</t>
    <phoneticPr fontId="1"/>
  </si>
  <si>
    <t>R1.9.0</t>
    <phoneticPr fontId="1"/>
  </si>
  <si>
    <t>R1.10.0</t>
    <phoneticPr fontId="1"/>
  </si>
  <si>
    <t>R4.1.0</t>
    <phoneticPr fontId="1"/>
  </si>
  <si>
    <t>R3.1.0</t>
    <phoneticPr fontId="1"/>
  </si>
  <si>
    <t>R2.1.0</t>
    <phoneticPr fontId="1"/>
  </si>
  <si>
    <t>転写先の左上隅セル</t>
    <rPh sb="0" eb="2">
      <t>テンシャ</t>
    </rPh>
    <rPh sb="2" eb="3">
      <t>サキ</t>
    </rPh>
    <rPh sb="4" eb="6">
      <t>ヒダリウエ</t>
    </rPh>
    <rPh sb="6" eb="7">
      <t>スミ</t>
    </rPh>
    <phoneticPr fontId="1"/>
  </si>
  <si>
    <t>https://www.e-stat.go.jp/stat-search/files?page=1&amp;layout=datalist&amp;toukei=00200521&amp;tstat=000001049104&amp;cycle=0&amp;tclass1=000001049105&amp;tclass2val=0</t>
  </si>
  <si>
    <t>［国勢調査］＞［令和２年国勢調査（総務省統計局）　都道府県・市区町村別の主な結果］</t>
  </si>
  <si>
    <t>InformalCityId</t>
    <phoneticPr fontId="1"/>
  </si>
  <si>
    <t>［国勢調査］＞［令和２年国勢調査（総務省統計局）　都道府県・市区町村別の主な結果］</t>
    <phoneticPr fontId="1"/>
  </si>
  <si>
    <t>ワークシートを頑張って入力してください。コピー貼り付けと手調整の能力が試されます。</t>
    <rPh sb="7" eb="9">
      <t>ガンバ</t>
    </rPh>
    <rPh sb="23" eb="24">
      <t>ハ</t>
    </rPh>
    <rPh sb="25" eb="26">
      <t>ツ</t>
    </rPh>
    <rPh sb="28" eb="31">
      <t>テチョウセイ</t>
    </rPh>
    <rPh sb="32" eb="34">
      <t>ノウリョク</t>
    </rPh>
    <rPh sb="35" eb="36">
      <t>タメ</t>
    </rPh>
    <phoneticPr fontId="1"/>
  </si>
  <si>
    <t>この表は［なまえ］列で昇順ソートすると、［InformalCityId］を逆引きするのに便利です。</t>
    <rPh sb="2" eb="3">
      <t>ヒョウ</t>
    </rPh>
    <rPh sb="9" eb="10">
      <t>レツ</t>
    </rPh>
    <rPh sb="11" eb="13">
      <t>ショウジュン</t>
    </rPh>
    <rPh sb="37" eb="39">
      <t>ギャクビ</t>
    </rPh>
    <rPh sb="44" eb="46">
      <t>ベンリ</t>
    </rPh>
    <phoneticPr fontId="1"/>
  </si>
  <si>
    <t>をコピー貼り付けして、非公式市区町村番号（InformalCityId）を任意に付けて置いていってください。背景色、文字色で認識します。</t>
    <rPh sb="4" eb="5">
      <t>ハ</t>
    </rPh>
    <rPh sb="6" eb="7">
      <t>ツ</t>
    </rPh>
    <rPh sb="11" eb="14">
      <t>ヒコウシキ</t>
    </rPh>
    <rPh sb="14" eb="18">
      <t>シクチョウソン</t>
    </rPh>
    <rPh sb="18" eb="20">
      <t>バンゴウ</t>
    </rPh>
    <rPh sb="37" eb="39">
      <t>ニンイ</t>
    </rPh>
    <rPh sb="40" eb="41">
      <t>ツ</t>
    </rPh>
    <rPh sb="43" eb="44">
      <t>オ</t>
    </rPh>
    <rPh sb="54" eb="57">
      <t>ハイケイショク</t>
    </rPh>
    <rPh sb="58" eb="61">
      <t>モジショク</t>
    </rPh>
    <rPh sb="62" eb="64">
      <t>ニンシキ</t>
    </rPh>
    <phoneticPr fontId="1"/>
  </si>
  <si>
    <t>InformalCityId</t>
  </si>
  <si>
    <t>ワークシートが自動生成されます。これは後でヒートマップを自動生成するときに使われます。</t>
    <rPh sb="19" eb="20">
      <t>アト</t>
    </rPh>
    <rPh sb="28" eb="32">
      <t>ジドウセイセイ</t>
    </rPh>
    <rPh sb="37" eb="38">
      <t>ツカ</t>
    </rPh>
    <phoneticPr fontId="1"/>
  </si>
  <si>
    <t>EOL</t>
    <phoneticPr fontId="1"/>
  </si>
  <si>
    <t>C1.0</t>
    <phoneticPr fontId="1"/>
  </si>
  <si>
    <t>C2.0</t>
    <phoneticPr fontId="1"/>
  </si>
  <si>
    <t>B1:F12</t>
    <phoneticPr fontId="1"/>
  </si>
  <si>
    <t>B1:F1</t>
    <phoneticPr fontId="1"/>
  </si>
  <si>
    <t>強くデフォルメした地図を用意できることで、現場での暗記力、判断速度を補うことを狙うものです。</t>
    <rPh sb="0" eb="1">
      <t>ツヨ</t>
    </rPh>
    <rPh sb="9" eb="11">
      <t>チズ</t>
    </rPh>
    <rPh sb="12" eb="14">
      <t>ヨウイ</t>
    </rPh>
    <rPh sb="21" eb="23">
      <t>ゲンバ</t>
    </rPh>
    <rPh sb="25" eb="28">
      <t>アンキリョク</t>
    </rPh>
    <rPh sb="29" eb="31">
      <t>ハンダン</t>
    </rPh>
    <rPh sb="31" eb="33">
      <t>ソクド</t>
    </rPh>
    <rPh sb="34" eb="35">
      <t>オギナ</t>
    </rPh>
    <rPh sb="39" eb="40">
      <t>ネラ</t>
    </rPh>
    <phoneticPr fontId="1"/>
  </si>
  <si>
    <t>いわゆるヒートマップですが、その地図の部分を編集できるようにしたツールです。</t>
    <rPh sb="16" eb="18">
      <t>チズ</t>
    </rPh>
    <rPh sb="19" eb="21">
      <t>ブブン</t>
    </rPh>
    <rPh sb="22" eb="24">
      <t>ヘンシュウ</t>
    </rPh>
    <phoneticPr fontId="1"/>
  </si>
  <si>
    <t>日付</t>
    <rPh sb="0" eb="2">
      <t>ヒヅケ</t>
    </rPh>
    <phoneticPr fontId="1"/>
  </si>
  <si>
    <t>操作</t>
    <rPh sb="0" eb="2">
      <t>ソウサ</t>
    </rPh>
    <phoneticPr fontId="1"/>
  </si>
  <si>
    <t>Changed</t>
    <phoneticPr fontId="1"/>
  </si>
  <si>
    <t>概要</t>
    <rPh sb="0" eb="2">
      <t>ガイヨウ</t>
    </rPh>
    <phoneticPr fontId="1"/>
  </si>
  <si>
    <t>バージョン</t>
    <phoneticPr fontId="1"/>
  </si>
  <si>
    <t>3.0.1</t>
    <phoneticPr fontId="1"/>
  </si>
  <si>
    <t>3.0.0 から［市町村データ］ワークシートの最終行を読み込まなくなっていた不具合を修正。
［地図テンプレート］には市町村名も振るように運用を変更。</t>
    <rPh sb="9" eb="12">
      <t>シチョウソン</t>
    </rPh>
    <rPh sb="23" eb="26">
      <t>サイシュウギョウ</t>
    </rPh>
    <rPh sb="27" eb="28">
      <t>ヨ</t>
    </rPh>
    <rPh sb="29" eb="30">
      <t>コ</t>
    </rPh>
    <rPh sb="38" eb="41">
      <t>フグアイ</t>
    </rPh>
    <rPh sb="42" eb="44">
      <t>シュウセイ</t>
    </rPh>
    <rPh sb="47" eb="49">
      <t>チズ</t>
    </rPh>
    <rPh sb="58" eb="62">
      <t>シチョウソンメイ</t>
    </rPh>
    <rPh sb="63" eb="64">
      <t>フ</t>
    </rPh>
    <rPh sb="68" eb="70">
      <t>ウンヨウ</t>
    </rPh>
    <rPh sb="71" eb="73">
      <t>ヘンコウ</t>
    </rPh>
    <phoneticPr fontId="1"/>
  </si>
  <si>
    <t>以下の黄色い枠内に、［以上］列の数値と、［背景色］を設定してください。</t>
    <rPh sb="0" eb="2">
      <t>イカ</t>
    </rPh>
    <rPh sb="3" eb="5">
      <t>キイロ</t>
    </rPh>
    <rPh sb="6" eb="8">
      <t>ワクナイ</t>
    </rPh>
    <rPh sb="11" eb="13">
      <t>イジョウ</t>
    </rPh>
    <rPh sb="14" eb="15">
      <t>レツ</t>
    </rPh>
    <rPh sb="16" eb="18">
      <t>スウチ</t>
    </rPh>
    <rPh sb="21" eb="24">
      <t>ハイケイショク</t>
    </rPh>
    <phoneticPr fontId="1"/>
  </si>
  <si>
    <t>R4.0.9.0</t>
    <phoneticPr fontId="1"/>
  </si>
  <si>
    <t>使っていないのでこのまま。</t>
    <rPh sb="0" eb="1">
      <t>ツカ</t>
    </rPh>
    <phoneticPr fontId="1"/>
  </si>
  <si>
    <t>上の黄色い枠に書かれている番地を使ってください。</t>
    <rPh sb="0" eb="1">
      <t>ウエ</t>
    </rPh>
    <rPh sb="2" eb="4">
      <t>キイロ</t>
    </rPh>
    <rPh sb="5" eb="6">
      <t>ワク</t>
    </rPh>
    <rPh sb="7" eb="8">
      <t>カ</t>
    </rPh>
    <rPh sb="13" eb="15">
      <t>バンチ</t>
    </rPh>
    <rPh sb="16" eb="17">
      <t>ツカ</t>
    </rPh>
    <phoneticPr fontId="1"/>
  </si>
  <si>
    <t>R4.4.0</t>
    <phoneticPr fontId="1"/>
  </si>
  <si>
    <t>今回は使っていないので、このままにして、次の手順へ進んでください。</t>
    <rPh sb="0" eb="2">
      <t>コンカイ</t>
    </rPh>
    <rPh sb="3" eb="4">
      <t>ツカ</t>
    </rPh>
    <rPh sb="20" eb="21">
      <t>ツギ</t>
    </rPh>
    <rPh sb="22" eb="24">
      <t>テジュン</t>
    </rPh>
    <rPh sb="25" eb="26">
      <t>スス</t>
    </rPh>
    <phoneticPr fontId="1"/>
  </si>
  <si>
    <t>R4.3.5.0</t>
    <phoneticPr fontId="1"/>
  </si>
  <si>
    <t>凡例の元データのテーブルの右下隅のセル</t>
    <rPh sb="0" eb="2">
      <t>ハンレイ</t>
    </rPh>
    <rPh sb="3" eb="4">
      <t>モト</t>
    </rPh>
    <rPh sb="13" eb="15">
      <t>ミギシタ</t>
    </rPh>
    <rPh sb="15" eb="16">
      <t>スミ</t>
    </rPh>
    <phoneticPr fontId="1"/>
  </si>
  <si>
    <t>H12</t>
    <phoneticPr fontId="1"/>
  </si>
  <si>
    <t>H2</t>
    <phoneticPr fontId="1"/>
  </si>
  <si>
    <t>R3.0.5.0</t>
    <phoneticPr fontId="1"/>
  </si>
  <si>
    <t>D4</t>
    <phoneticPr fontId="1"/>
  </si>
  <si>
    <t>R3.3.0</t>
    <phoneticPr fontId="1"/>
  </si>
  <si>
    <t>ここに入力できます。</t>
    <rPh sb="3" eb="5">
      <t>ニュウリョク</t>
    </rPh>
    <phoneticPr fontId="1"/>
  </si>
  <si>
    <t>4.0.0</t>
    <phoneticPr fontId="1"/>
  </si>
  <si>
    <t>手順書には画像を挿入するなど、テキストボックス等コントロールの番地がよく変わることから、これによりコントロールが使えなくなることがないよう、
固定セル番地にするのではなく、１行目とA列目にラベルを置くようにし、コントロールの位置にタグ付けする運用に変更するよう作り直した。
また、黄色い枠にはサブ番地を置き、サブ番地による範囲指定を行うように仕様変更した。</t>
    <rPh sb="0" eb="3">
      <t>テジュンショ</t>
    </rPh>
    <rPh sb="5" eb="7">
      <t>ガゾウ</t>
    </rPh>
    <rPh sb="8" eb="10">
      <t>ソウニュウ</t>
    </rPh>
    <rPh sb="23" eb="24">
      <t>トウ</t>
    </rPh>
    <rPh sb="31" eb="33">
      <t>バンチ</t>
    </rPh>
    <rPh sb="36" eb="37">
      <t>カ</t>
    </rPh>
    <rPh sb="56" eb="57">
      <t>ツカ</t>
    </rPh>
    <rPh sb="71" eb="73">
      <t>コテイ</t>
    </rPh>
    <rPh sb="75" eb="77">
      <t>バンチ</t>
    </rPh>
    <rPh sb="87" eb="89">
      <t>ギョウメ</t>
    </rPh>
    <rPh sb="91" eb="93">
      <t>レツメ</t>
    </rPh>
    <rPh sb="98" eb="99">
      <t>オ</t>
    </rPh>
    <rPh sb="112" eb="114">
      <t>イチ</t>
    </rPh>
    <rPh sb="117" eb="118">
      <t>ツ</t>
    </rPh>
    <rPh sb="121" eb="123">
      <t>ウンヨウ</t>
    </rPh>
    <rPh sb="124" eb="126">
      <t>ヘンコウ</t>
    </rPh>
    <rPh sb="130" eb="131">
      <t>ツク</t>
    </rPh>
    <rPh sb="132" eb="133">
      <t>ナオ</t>
    </rPh>
    <rPh sb="140" eb="142">
      <t>キイロ</t>
    </rPh>
    <rPh sb="143" eb="144">
      <t>ワク</t>
    </rPh>
    <rPh sb="148" eb="150">
      <t>バンチ</t>
    </rPh>
    <rPh sb="151" eb="152">
      <t>オ</t>
    </rPh>
    <rPh sb="156" eb="158">
      <t>バンチ</t>
    </rPh>
    <rPh sb="161" eb="165">
      <t>ハンイシテイ</t>
    </rPh>
    <rPh sb="166" eb="167">
      <t>オコナ</t>
    </rPh>
    <rPh sb="171" eb="175">
      <t>シヨウヘンコウ</t>
    </rPh>
    <phoneticPr fontId="1"/>
  </si>
  <si>
    <t>世帯数</t>
    <rPh sb="0" eb="3">
      <t>セタイスウ</t>
    </rPh>
    <phoneticPr fontId="1"/>
  </si>
  <si>
    <t>元データSort</t>
    <rPh sb="0" eb="1">
      <t>モト</t>
    </rPh>
    <phoneticPr fontId="1"/>
  </si>
  <si>
    <t>あたご1</t>
    <phoneticPr fontId="1"/>
  </si>
  <si>
    <t>あたご2</t>
  </si>
  <si>
    <t>あたご2</t>
    <phoneticPr fontId="1"/>
  </si>
  <si>
    <t>あたご3</t>
  </si>
  <si>
    <t>あたご3</t>
    <phoneticPr fontId="1"/>
  </si>
  <si>
    <t>石神</t>
    <phoneticPr fontId="1"/>
  </si>
  <si>
    <t>大和田</t>
    <phoneticPr fontId="1"/>
  </si>
  <si>
    <t>片山</t>
    <phoneticPr fontId="1"/>
  </si>
  <si>
    <t>北野</t>
    <phoneticPr fontId="1"/>
  </si>
  <si>
    <t>栗原</t>
    <phoneticPr fontId="1"/>
  </si>
  <si>
    <t>栄</t>
    <phoneticPr fontId="1"/>
  </si>
  <si>
    <t>菅沢</t>
    <phoneticPr fontId="1"/>
  </si>
  <si>
    <t>東北</t>
    <phoneticPr fontId="1"/>
  </si>
  <si>
    <t>道場</t>
    <phoneticPr fontId="1"/>
  </si>
  <si>
    <t>新座</t>
    <phoneticPr fontId="1"/>
  </si>
  <si>
    <t>西堀</t>
    <phoneticPr fontId="1"/>
  </si>
  <si>
    <t>野寺</t>
    <phoneticPr fontId="1"/>
  </si>
  <si>
    <t>野火止</t>
    <phoneticPr fontId="1"/>
  </si>
  <si>
    <t>馬場</t>
    <phoneticPr fontId="1"/>
  </si>
  <si>
    <t>東</t>
    <phoneticPr fontId="1"/>
  </si>
  <si>
    <t>堀ノ内</t>
    <phoneticPr fontId="1"/>
  </si>
  <si>
    <t>本多</t>
    <phoneticPr fontId="1"/>
  </si>
  <si>
    <t>新塚</t>
    <phoneticPr fontId="1"/>
  </si>
  <si>
    <t>新塚他の地域</t>
    <rPh sb="2" eb="3">
      <t>ホカ</t>
    </rPh>
    <rPh sb="4" eb="6">
      <t>チイキ</t>
    </rPh>
    <phoneticPr fontId="1"/>
  </si>
  <si>
    <t>中野1</t>
  </si>
  <si>
    <t>中野1</t>
    <rPh sb="0" eb="2">
      <t>ナカノ</t>
    </rPh>
    <phoneticPr fontId="1"/>
  </si>
  <si>
    <t>中野2</t>
  </si>
  <si>
    <t>中野2</t>
    <rPh sb="0" eb="2">
      <t>ナカノ</t>
    </rPh>
    <phoneticPr fontId="1"/>
  </si>
  <si>
    <t>新座3</t>
  </si>
  <si>
    <t>新座3</t>
    <rPh sb="0" eb="2">
      <t>ニイザ</t>
    </rPh>
    <phoneticPr fontId="1"/>
  </si>
  <si>
    <t>新座2</t>
  </si>
  <si>
    <t>新座2</t>
    <rPh sb="0" eb="2">
      <t>ニイザ</t>
    </rPh>
    <phoneticPr fontId="1"/>
  </si>
  <si>
    <t>新座1</t>
  </si>
  <si>
    <t>新座1</t>
    <rPh sb="0" eb="2">
      <t>ニイザ</t>
    </rPh>
    <phoneticPr fontId="1"/>
  </si>
  <si>
    <t>大和田4</t>
  </si>
  <si>
    <t>大和田4</t>
    <rPh sb="0" eb="3">
      <t>オオワダ</t>
    </rPh>
    <phoneticPr fontId="1"/>
  </si>
  <si>
    <t>大和田5</t>
  </si>
  <si>
    <t>大和田5</t>
    <rPh sb="0" eb="3">
      <t>オオワダ</t>
    </rPh>
    <phoneticPr fontId="1"/>
  </si>
  <si>
    <t>大和田3</t>
  </si>
  <si>
    <t>大和田3</t>
    <rPh sb="0" eb="3">
      <t>オオワダ</t>
    </rPh>
    <phoneticPr fontId="1"/>
  </si>
  <si>
    <t>大和田2</t>
  </si>
  <si>
    <t>大和田2</t>
    <rPh sb="0" eb="3">
      <t>オオワダ</t>
    </rPh>
    <phoneticPr fontId="1"/>
  </si>
  <si>
    <t>大和田1</t>
  </si>
  <si>
    <t>大和田1</t>
    <rPh sb="0" eb="3">
      <t>オオワダ</t>
    </rPh>
    <phoneticPr fontId="1"/>
  </si>
  <si>
    <t>北野2</t>
  </si>
  <si>
    <t>北野2</t>
    <rPh sb="0" eb="2">
      <t>キタノ</t>
    </rPh>
    <phoneticPr fontId="1"/>
  </si>
  <si>
    <t>北野1</t>
  </si>
  <si>
    <t>北野1</t>
    <rPh sb="0" eb="2">
      <t>キタノ</t>
    </rPh>
    <phoneticPr fontId="1"/>
  </si>
  <si>
    <t>北野3</t>
  </si>
  <si>
    <t>北野3</t>
    <rPh sb="0" eb="2">
      <t>キタノ</t>
    </rPh>
    <phoneticPr fontId="1"/>
  </si>
  <si>
    <t>東北1</t>
  </si>
  <si>
    <t>東北1</t>
    <rPh sb="0" eb="2">
      <t>トウホク</t>
    </rPh>
    <phoneticPr fontId="1"/>
  </si>
  <si>
    <t>東北2</t>
  </si>
  <si>
    <t>東北2</t>
    <rPh sb="0" eb="2">
      <t>トウホク</t>
    </rPh>
    <phoneticPr fontId="1"/>
  </si>
  <si>
    <t>東3</t>
  </si>
  <si>
    <t>東3</t>
    <rPh sb="0" eb="1">
      <t>ヒガシ</t>
    </rPh>
    <phoneticPr fontId="1"/>
  </si>
  <si>
    <t>東2</t>
  </si>
  <si>
    <t>東2</t>
    <rPh sb="0" eb="1">
      <t>ヒガシ</t>
    </rPh>
    <phoneticPr fontId="1"/>
  </si>
  <si>
    <t>東1</t>
  </si>
  <si>
    <t>東1</t>
    <rPh sb="0" eb="1">
      <t>ヒガシ</t>
    </rPh>
    <phoneticPr fontId="1"/>
  </si>
  <si>
    <t>野火止5</t>
  </si>
  <si>
    <t>野火止5</t>
    <rPh sb="0" eb="3">
      <t>ノビドメ</t>
    </rPh>
    <phoneticPr fontId="1"/>
  </si>
  <si>
    <t>野火止6</t>
  </si>
  <si>
    <t>野火止6</t>
    <rPh sb="0" eb="3">
      <t>ノビドメ</t>
    </rPh>
    <phoneticPr fontId="1"/>
  </si>
  <si>
    <t>野火止7</t>
  </si>
  <si>
    <t>野火止7</t>
    <rPh sb="0" eb="3">
      <t>ノビドメ</t>
    </rPh>
    <phoneticPr fontId="1"/>
  </si>
  <si>
    <t>野火止8</t>
  </si>
  <si>
    <t>野火止8</t>
    <rPh sb="0" eb="3">
      <t>ノビドメ</t>
    </rPh>
    <phoneticPr fontId="1"/>
  </si>
  <si>
    <t>野火止4</t>
  </si>
  <si>
    <t>野火止4</t>
    <rPh sb="0" eb="3">
      <t>ノビドメ</t>
    </rPh>
    <phoneticPr fontId="1"/>
  </si>
  <si>
    <t>野火止3</t>
  </si>
  <si>
    <t>野火止3</t>
    <rPh sb="0" eb="3">
      <t>ノビドメ</t>
    </rPh>
    <phoneticPr fontId="1"/>
  </si>
  <si>
    <t>野火止2</t>
  </si>
  <si>
    <t>野火止2</t>
    <rPh sb="0" eb="3">
      <t>ノビドメ</t>
    </rPh>
    <phoneticPr fontId="1"/>
  </si>
  <si>
    <t>野火止1</t>
  </si>
  <si>
    <t>野火止1</t>
    <rPh sb="0" eb="3">
      <t>ノビドメ</t>
    </rPh>
    <phoneticPr fontId="1"/>
  </si>
  <si>
    <t>菅沢1</t>
  </si>
  <si>
    <t>菅沢1</t>
    <rPh sb="0" eb="2">
      <t>スガサワ</t>
    </rPh>
    <phoneticPr fontId="1"/>
  </si>
  <si>
    <t>菅沢2</t>
  </si>
  <si>
    <t>菅沢2</t>
    <rPh sb="0" eb="2">
      <t>スガサワ</t>
    </rPh>
    <phoneticPr fontId="1"/>
  </si>
  <si>
    <t>あたご3</t>
    <phoneticPr fontId="1"/>
  </si>
  <si>
    <t>あたご2</t>
    <phoneticPr fontId="1"/>
  </si>
  <si>
    <t>あたご1</t>
    <phoneticPr fontId="1"/>
  </si>
  <si>
    <t>本多2</t>
  </si>
  <si>
    <t>本多2</t>
    <rPh sb="0" eb="2">
      <t>ホンダ</t>
    </rPh>
    <phoneticPr fontId="1"/>
  </si>
  <si>
    <t>本多1</t>
  </si>
  <si>
    <t>本多1</t>
    <rPh sb="0" eb="2">
      <t>ホンダ</t>
    </rPh>
    <phoneticPr fontId="1"/>
  </si>
  <si>
    <t>西堀1</t>
  </si>
  <si>
    <t>西堀1</t>
    <rPh sb="0" eb="2">
      <t>ニシホリ</t>
    </rPh>
    <phoneticPr fontId="1"/>
  </si>
  <si>
    <t>西堀3</t>
  </si>
  <si>
    <t>西堀3</t>
    <rPh sb="0" eb="2">
      <t>ニシホリ</t>
    </rPh>
    <phoneticPr fontId="1"/>
  </si>
  <si>
    <t>西堀2</t>
  </si>
  <si>
    <t>西堀2</t>
    <rPh sb="0" eb="2">
      <t>ニシホリ</t>
    </rPh>
    <phoneticPr fontId="1"/>
  </si>
  <si>
    <t>新堀1</t>
  </si>
  <si>
    <t>新堀1</t>
    <rPh sb="0" eb="1">
      <t>シン</t>
    </rPh>
    <phoneticPr fontId="1"/>
  </si>
  <si>
    <t>新堀2</t>
  </si>
  <si>
    <t>新堀2</t>
    <rPh sb="0" eb="1">
      <t>シン</t>
    </rPh>
    <phoneticPr fontId="1"/>
  </si>
  <si>
    <t>新堀3</t>
  </si>
  <si>
    <t>新堀3</t>
    <rPh sb="0" eb="1">
      <t>シン</t>
    </rPh>
    <phoneticPr fontId="1"/>
  </si>
  <si>
    <t>畑中3</t>
  </si>
  <si>
    <t>畑中3</t>
    <rPh sb="0" eb="2">
      <t>ハタナカ</t>
    </rPh>
    <phoneticPr fontId="1"/>
  </si>
  <si>
    <t>畑中1</t>
  </si>
  <si>
    <t>畑中1</t>
    <rPh sb="0" eb="2">
      <t>ハタナカ</t>
    </rPh>
    <phoneticPr fontId="1"/>
  </si>
  <si>
    <t>畑中2</t>
  </si>
  <si>
    <t>畑中2</t>
    <rPh sb="0" eb="2">
      <t>ハタナカ</t>
    </rPh>
    <phoneticPr fontId="1"/>
  </si>
  <si>
    <t>馬場1</t>
  </si>
  <si>
    <t>馬場1</t>
    <rPh sb="0" eb="2">
      <t>ババ</t>
    </rPh>
    <phoneticPr fontId="1"/>
  </si>
  <si>
    <t>馬場2</t>
  </si>
  <si>
    <t>馬場2</t>
    <rPh sb="0" eb="2">
      <t>ババ</t>
    </rPh>
    <phoneticPr fontId="1"/>
  </si>
  <si>
    <t>馬場3</t>
  </si>
  <si>
    <t>馬場3</t>
    <rPh sb="0" eb="2">
      <t>ババ</t>
    </rPh>
    <phoneticPr fontId="1"/>
  </si>
  <si>
    <t>馬場4</t>
  </si>
  <si>
    <t>馬場4</t>
    <rPh sb="0" eb="2">
      <t>ババ</t>
    </rPh>
    <phoneticPr fontId="1"/>
  </si>
  <si>
    <t>堀ノ内1</t>
  </si>
  <si>
    <t>堀ノ内1</t>
    <rPh sb="0" eb="1">
      <t>ホリ</t>
    </rPh>
    <rPh sb="2" eb="3">
      <t>ウチ</t>
    </rPh>
    <phoneticPr fontId="1"/>
  </si>
  <si>
    <t>堀ノ内3</t>
  </si>
  <si>
    <t>堀ノ内3</t>
    <rPh sb="0" eb="1">
      <t>ホリ</t>
    </rPh>
    <rPh sb="2" eb="3">
      <t>ウチ</t>
    </rPh>
    <phoneticPr fontId="1"/>
  </si>
  <si>
    <t>堀ノ内2</t>
  </si>
  <si>
    <t>堀ノ内2</t>
    <rPh sb="0" eb="1">
      <t>ホリ</t>
    </rPh>
    <rPh sb="2" eb="3">
      <t>ウチ</t>
    </rPh>
    <phoneticPr fontId="1"/>
  </si>
  <si>
    <t>新塚1</t>
  </si>
  <si>
    <t>新塚1</t>
    <rPh sb="0" eb="2">
      <t>ニイヅカ</t>
    </rPh>
    <phoneticPr fontId="1"/>
  </si>
  <si>
    <t>新塚その他</t>
    <rPh sb="0" eb="2">
      <t>ニイヅカ</t>
    </rPh>
    <rPh sb="4" eb="5">
      <t>タ</t>
    </rPh>
    <phoneticPr fontId="1"/>
  </si>
  <si>
    <t>栄1</t>
  </si>
  <si>
    <t>栄1</t>
    <rPh sb="0" eb="1">
      <t>サカエ</t>
    </rPh>
    <phoneticPr fontId="1"/>
  </si>
  <si>
    <t>栄2</t>
  </si>
  <si>
    <t>栄2</t>
    <rPh sb="0" eb="1">
      <t>サカエ</t>
    </rPh>
    <phoneticPr fontId="1"/>
  </si>
  <si>
    <t>栄3</t>
  </si>
  <si>
    <t>栄3</t>
    <rPh sb="0" eb="1">
      <t>サカエ</t>
    </rPh>
    <phoneticPr fontId="1"/>
  </si>
  <si>
    <t>栄4</t>
  </si>
  <si>
    <t>栄4</t>
    <rPh sb="0" eb="1">
      <t>サカエ</t>
    </rPh>
    <phoneticPr fontId="1"/>
  </si>
  <si>
    <t>栄5</t>
  </si>
  <si>
    <t>栄5</t>
    <rPh sb="0" eb="1">
      <t>サカエ</t>
    </rPh>
    <phoneticPr fontId="1"/>
  </si>
  <si>
    <t>池田1</t>
    <rPh sb="0" eb="2">
      <t>イケダ</t>
    </rPh>
    <phoneticPr fontId="1"/>
  </si>
  <si>
    <t>池田2</t>
  </si>
  <si>
    <t>池田2</t>
    <phoneticPr fontId="1"/>
  </si>
  <si>
    <t>池田3</t>
  </si>
  <si>
    <t>池田3</t>
    <phoneticPr fontId="1"/>
  </si>
  <si>
    <t>池田4</t>
  </si>
  <si>
    <t>池田4</t>
    <phoneticPr fontId="1"/>
  </si>
  <si>
    <t>池田5</t>
  </si>
  <si>
    <t>池田5</t>
    <phoneticPr fontId="1"/>
  </si>
  <si>
    <t>道場2</t>
  </si>
  <si>
    <t>道場2</t>
    <rPh sb="0" eb="2">
      <t>ドウジョウ</t>
    </rPh>
    <phoneticPr fontId="1"/>
  </si>
  <si>
    <t>道場1</t>
  </si>
  <si>
    <t>道場1</t>
    <rPh sb="0" eb="2">
      <t>ドウジョウ</t>
    </rPh>
    <phoneticPr fontId="1"/>
  </si>
  <si>
    <t>片山1</t>
  </si>
  <si>
    <t>片山1</t>
    <rPh sb="0" eb="2">
      <t>カタヤマ</t>
    </rPh>
    <phoneticPr fontId="1"/>
  </si>
  <si>
    <t>片山2</t>
  </si>
  <si>
    <t>片山2</t>
    <rPh sb="0" eb="2">
      <t>カタヤマ</t>
    </rPh>
    <phoneticPr fontId="1"/>
  </si>
  <si>
    <t>片山3</t>
  </si>
  <si>
    <t>片山3</t>
    <rPh sb="0" eb="2">
      <t>カタヤマ</t>
    </rPh>
    <phoneticPr fontId="1"/>
  </si>
  <si>
    <t>野寺1</t>
  </si>
  <si>
    <t>野寺1</t>
    <rPh sb="0" eb="2">
      <t>ノデラ</t>
    </rPh>
    <phoneticPr fontId="1"/>
  </si>
  <si>
    <t>野寺2</t>
  </si>
  <si>
    <t>野寺2</t>
    <rPh sb="0" eb="2">
      <t>ノデラ</t>
    </rPh>
    <phoneticPr fontId="1"/>
  </si>
  <si>
    <t>野寺3</t>
  </si>
  <si>
    <t>野寺3</t>
    <phoneticPr fontId="1"/>
  </si>
  <si>
    <t>野寺4</t>
  </si>
  <si>
    <t>野寺4</t>
    <phoneticPr fontId="1"/>
  </si>
  <si>
    <t>野寺5</t>
  </si>
  <si>
    <t>野寺5</t>
    <phoneticPr fontId="1"/>
  </si>
  <si>
    <t>栗原1</t>
  </si>
  <si>
    <t>栗原1</t>
    <rPh sb="0" eb="2">
      <t>クリハラ</t>
    </rPh>
    <phoneticPr fontId="1"/>
  </si>
  <si>
    <t>栗原2</t>
  </si>
  <si>
    <t>栗原2</t>
    <rPh sb="0" eb="2">
      <t>クリハラ</t>
    </rPh>
    <phoneticPr fontId="1"/>
  </si>
  <si>
    <t>栗原3</t>
  </si>
  <si>
    <t>栗原3</t>
    <rPh sb="0" eb="2">
      <t>クリハラ</t>
    </rPh>
    <phoneticPr fontId="1"/>
  </si>
  <si>
    <t>栗原4</t>
  </si>
  <si>
    <t>栗原4</t>
    <rPh sb="0" eb="2">
      <t>クリハラ</t>
    </rPh>
    <phoneticPr fontId="1"/>
  </si>
  <si>
    <t>栗原5</t>
  </si>
  <si>
    <t>栗原5</t>
    <rPh sb="0" eb="2">
      <t>クリハラ</t>
    </rPh>
    <phoneticPr fontId="1"/>
  </si>
  <si>
    <t>栗原6</t>
  </si>
  <si>
    <t>栗原6</t>
    <rPh sb="0" eb="2">
      <t>クリハラ</t>
    </rPh>
    <phoneticPr fontId="1"/>
  </si>
  <si>
    <t>石神1</t>
  </si>
  <si>
    <t>石神1</t>
    <rPh sb="0" eb="2">
      <t>イシガミ</t>
    </rPh>
    <phoneticPr fontId="1"/>
  </si>
  <si>
    <t>石神2</t>
  </si>
  <si>
    <t>石神2</t>
    <rPh sb="0" eb="2">
      <t>イシガミ</t>
    </rPh>
    <phoneticPr fontId="1"/>
  </si>
  <si>
    <t>石神3</t>
  </si>
  <si>
    <t>石神3</t>
    <rPh sb="0" eb="2">
      <t>イシガミ</t>
    </rPh>
    <phoneticPr fontId="1"/>
  </si>
  <si>
    <t>石神4</t>
  </si>
  <si>
    <t>石神4</t>
    <rPh sb="0" eb="2">
      <t>イシガミ</t>
    </rPh>
    <phoneticPr fontId="1"/>
  </si>
  <si>
    <t>石神5</t>
  </si>
  <si>
    <t>石神5</t>
    <rPh sb="0" eb="2">
      <t>イシガミ</t>
    </rPh>
    <phoneticPr fontId="1"/>
  </si>
  <si>
    <t>郵便番号</t>
    <rPh sb="0" eb="4">
      <t>ユウビンバンゴウ</t>
    </rPh>
    <phoneticPr fontId="1"/>
  </si>
  <si>
    <t>352-0021</t>
    <phoneticPr fontId="1"/>
  </si>
  <si>
    <t>あたご</t>
    <phoneticPr fontId="1"/>
  </si>
  <si>
    <t>池田1</t>
    <phoneticPr fontId="1"/>
  </si>
  <si>
    <t>池田</t>
    <phoneticPr fontId="1"/>
  </si>
  <si>
    <t>352-0015</t>
    <phoneticPr fontId="1"/>
  </si>
  <si>
    <t>いけだ1</t>
    <phoneticPr fontId="1"/>
  </si>
  <si>
    <t>いけだ2</t>
    <phoneticPr fontId="1"/>
  </si>
  <si>
    <t>いけだ5</t>
  </si>
  <si>
    <t>いけだ3</t>
  </si>
  <si>
    <t>いけだ4</t>
  </si>
  <si>
    <t>いけだ</t>
    <phoneticPr fontId="1"/>
  </si>
  <si>
    <t>352-0033</t>
    <phoneticPr fontId="1"/>
  </si>
  <si>
    <t>いしがみ1</t>
    <phoneticPr fontId="1"/>
  </si>
  <si>
    <t>いしがみ2</t>
    <phoneticPr fontId="1"/>
  </si>
  <si>
    <t>いしがみ3</t>
  </si>
  <si>
    <t>いしがみ4</t>
  </si>
  <si>
    <t>いしがみ5</t>
  </si>
  <si>
    <t>いしがみ</t>
    <phoneticPr fontId="1"/>
  </si>
  <si>
    <t>352-0004</t>
    <phoneticPr fontId="1"/>
  </si>
  <si>
    <t>おおわだ1</t>
    <phoneticPr fontId="1"/>
  </si>
  <si>
    <t>おおわだ2</t>
    <phoneticPr fontId="1"/>
  </si>
  <si>
    <t>おおわだ3</t>
  </si>
  <si>
    <t>おおわだ4</t>
  </si>
  <si>
    <t>おおわだ5</t>
  </si>
  <si>
    <t>おおわだ</t>
    <phoneticPr fontId="1"/>
  </si>
  <si>
    <t>352-0025</t>
    <phoneticPr fontId="1"/>
  </si>
  <si>
    <t>かたやま1</t>
    <phoneticPr fontId="1"/>
  </si>
  <si>
    <t>かたやま2</t>
    <phoneticPr fontId="1"/>
  </si>
  <si>
    <t>かたやま3</t>
  </si>
  <si>
    <t>かたやま</t>
    <phoneticPr fontId="1"/>
  </si>
  <si>
    <t>352-0003</t>
    <phoneticPr fontId="1"/>
  </si>
  <si>
    <t>きたの1</t>
    <phoneticPr fontId="1"/>
  </si>
  <si>
    <t>きたの2</t>
    <phoneticPr fontId="1"/>
  </si>
  <si>
    <t>きたの3</t>
  </si>
  <si>
    <t>きたの</t>
    <phoneticPr fontId="1"/>
  </si>
  <si>
    <t>352-0035</t>
    <phoneticPr fontId="1"/>
  </si>
  <si>
    <t>くりはら1</t>
    <phoneticPr fontId="1"/>
  </si>
  <si>
    <t>くりはら2</t>
    <phoneticPr fontId="1"/>
  </si>
  <si>
    <t>くりはら3</t>
  </si>
  <si>
    <t>くりはら4</t>
  </si>
  <si>
    <t>くりはら5</t>
  </si>
  <si>
    <t>くりはら6</t>
  </si>
  <si>
    <t>くりはら</t>
    <phoneticPr fontId="1"/>
  </si>
  <si>
    <t>352-0014</t>
    <phoneticPr fontId="1"/>
  </si>
  <si>
    <t>さかえ1</t>
    <phoneticPr fontId="1"/>
  </si>
  <si>
    <t>さかえ2</t>
    <phoneticPr fontId="1"/>
  </si>
  <si>
    <t>さかえ3</t>
  </si>
  <si>
    <t>さかえ4</t>
  </si>
  <si>
    <t>さかえ5</t>
  </si>
  <si>
    <t>さかえ</t>
    <phoneticPr fontId="1"/>
  </si>
  <si>
    <t>しんぼり1</t>
    <phoneticPr fontId="1"/>
  </si>
  <si>
    <t>しんぼり2</t>
    <phoneticPr fontId="1"/>
  </si>
  <si>
    <t>しんぼり3</t>
  </si>
  <si>
    <t>しんぼり</t>
    <phoneticPr fontId="1"/>
  </si>
  <si>
    <t>352-0032</t>
    <phoneticPr fontId="1"/>
  </si>
  <si>
    <t>新堀</t>
    <phoneticPr fontId="1"/>
  </si>
  <si>
    <t>352-0017</t>
    <phoneticPr fontId="1"/>
  </si>
  <si>
    <t>すがさわ1</t>
    <phoneticPr fontId="1"/>
  </si>
  <si>
    <t>すがさわ2</t>
    <phoneticPr fontId="1"/>
  </si>
  <si>
    <t>すがさわ</t>
    <phoneticPr fontId="1"/>
  </si>
  <si>
    <t>352-0001</t>
    <phoneticPr fontId="1"/>
  </si>
  <si>
    <t>とおほく</t>
    <phoneticPr fontId="1"/>
  </si>
  <si>
    <t>とおほく1</t>
    <phoneticPr fontId="1"/>
  </si>
  <si>
    <t>とおほく2</t>
    <phoneticPr fontId="1"/>
  </si>
  <si>
    <t>352-0024</t>
    <phoneticPr fontId="1"/>
  </si>
  <si>
    <t>どうじょう1</t>
    <phoneticPr fontId="1"/>
  </si>
  <si>
    <t>どうじょう2</t>
    <phoneticPr fontId="1"/>
  </si>
  <si>
    <t>どうじょう</t>
    <phoneticPr fontId="1"/>
  </si>
  <si>
    <t>352-0005</t>
    <phoneticPr fontId="1"/>
  </si>
  <si>
    <t>なかの1</t>
    <phoneticPr fontId="1"/>
  </si>
  <si>
    <t>なかの2</t>
    <phoneticPr fontId="1"/>
  </si>
  <si>
    <t>なかの</t>
    <phoneticPr fontId="1"/>
  </si>
  <si>
    <t>中野</t>
    <phoneticPr fontId="1"/>
  </si>
  <si>
    <t>畑中</t>
    <phoneticPr fontId="1"/>
  </si>
  <si>
    <t>352-0006</t>
    <phoneticPr fontId="1"/>
  </si>
  <si>
    <t>にいざ1</t>
    <phoneticPr fontId="1"/>
  </si>
  <si>
    <t>にいざ2</t>
    <phoneticPr fontId="1"/>
  </si>
  <si>
    <t>にいざ3</t>
  </si>
  <si>
    <t>にいざ</t>
    <phoneticPr fontId="1"/>
  </si>
  <si>
    <t>352-0013</t>
    <phoneticPr fontId="1"/>
  </si>
  <si>
    <t>にいづか1</t>
    <phoneticPr fontId="1"/>
  </si>
  <si>
    <t>にいづかほかのちいき</t>
    <phoneticPr fontId="1"/>
  </si>
  <si>
    <t>にいづか</t>
    <phoneticPr fontId="1"/>
  </si>
  <si>
    <t>352-0031</t>
    <phoneticPr fontId="1"/>
  </si>
  <si>
    <t>にしぼり1</t>
    <phoneticPr fontId="1"/>
  </si>
  <si>
    <t>にしぼり2</t>
    <phoneticPr fontId="1"/>
  </si>
  <si>
    <t>にしぼり3</t>
  </si>
  <si>
    <t>にしぼり</t>
    <phoneticPr fontId="1"/>
  </si>
  <si>
    <t>352-0034</t>
    <phoneticPr fontId="1"/>
  </si>
  <si>
    <t>のでら1</t>
    <phoneticPr fontId="1"/>
  </si>
  <si>
    <t>のでら2</t>
    <phoneticPr fontId="1"/>
  </si>
  <si>
    <t>のでら3</t>
  </si>
  <si>
    <t>のでら4</t>
  </si>
  <si>
    <t>のでら5</t>
  </si>
  <si>
    <t>のでら</t>
    <phoneticPr fontId="1"/>
  </si>
  <si>
    <t>352-0011</t>
    <phoneticPr fontId="1"/>
  </si>
  <si>
    <t>のびとめ1</t>
    <phoneticPr fontId="1"/>
  </si>
  <si>
    <t>のびとめ2</t>
    <phoneticPr fontId="1"/>
  </si>
  <si>
    <t>のびとめ3</t>
  </si>
  <si>
    <t>のびとめ7</t>
  </si>
  <si>
    <t>のびとめ4</t>
  </si>
  <si>
    <t>のびとめ5</t>
  </si>
  <si>
    <t>のびとめ6</t>
  </si>
  <si>
    <t>のびとめ8</t>
  </si>
  <si>
    <t>のびとめ</t>
    <phoneticPr fontId="1"/>
  </si>
  <si>
    <t>352-0012</t>
    <phoneticPr fontId="1"/>
  </si>
  <si>
    <t>はたなか1</t>
    <phoneticPr fontId="1"/>
  </si>
  <si>
    <t>はたなか2</t>
    <phoneticPr fontId="1"/>
  </si>
  <si>
    <t>はたなか3</t>
  </si>
  <si>
    <t>はたなか</t>
    <phoneticPr fontId="1"/>
  </si>
  <si>
    <t>352-0016</t>
    <phoneticPr fontId="1"/>
  </si>
  <si>
    <t>ばば1</t>
    <phoneticPr fontId="1"/>
  </si>
  <si>
    <t>ばば2</t>
    <phoneticPr fontId="1"/>
  </si>
  <si>
    <t>ばば3</t>
  </si>
  <si>
    <t>ばば4</t>
  </si>
  <si>
    <t>ばば</t>
    <phoneticPr fontId="1"/>
  </si>
  <si>
    <t>352-0002</t>
    <phoneticPr fontId="1"/>
  </si>
  <si>
    <t>ひがし</t>
    <phoneticPr fontId="1"/>
  </si>
  <si>
    <t>ひがし1</t>
    <phoneticPr fontId="1"/>
  </si>
  <si>
    <t>ひがし2</t>
    <phoneticPr fontId="1"/>
  </si>
  <si>
    <t>ひがし3</t>
    <phoneticPr fontId="1"/>
  </si>
  <si>
    <t>352-0023</t>
    <phoneticPr fontId="1"/>
  </si>
  <si>
    <t>ほりのうち</t>
    <phoneticPr fontId="1"/>
  </si>
  <si>
    <t>ほりのうち1</t>
    <phoneticPr fontId="1"/>
  </si>
  <si>
    <t>ほりのうち2</t>
    <phoneticPr fontId="1"/>
  </si>
  <si>
    <t>ほりのうち3</t>
    <phoneticPr fontId="1"/>
  </si>
  <si>
    <t>352-0022</t>
    <phoneticPr fontId="1"/>
  </si>
  <si>
    <t>ほんだ</t>
    <phoneticPr fontId="1"/>
  </si>
  <si>
    <t>ほんだ1</t>
    <phoneticPr fontId="1"/>
  </si>
  <si>
    <t>ほんだ2</t>
    <phoneticPr fontId="1"/>
  </si>
  <si>
    <t>I</t>
  </si>
  <si>
    <t>I</t>
    <phoneticPr fontId="1"/>
  </si>
  <si>
    <t>J</t>
  </si>
  <si>
    <t>J</t>
    <phoneticPr fontId="1"/>
  </si>
  <si>
    <t>K</t>
  </si>
  <si>
    <t>K</t>
    <phoneticPr fontId="1"/>
  </si>
  <si>
    <t>新座</t>
    <rPh sb="0" eb="2">
      <t>ニイザ</t>
    </rPh>
    <phoneticPr fontId="1"/>
  </si>
  <si>
    <t>北野</t>
    <rPh sb="0" eb="2">
      <t>キタノ</t>
    </rPh>
    <phoneticPr fontId="1"/>
  </si>
  <si>
    <t>東北</t>
    <rPh sb="0" eb="2">
      <t>トウホク</t>
    </rPh>
    <phoneticPr fontId="1"/>
  </si>
  <si>
    <t>中野</t>
    <rPh sb="0" eb="2">
      <t>ナカノ</t>
    </rPh>
    <phoneticPr fontId="1"/>
  </si>
  <si>
    <t>大和田</t>
    <rPh sb="0" eb="3">
      <t>オオワダ</t>
    </rPh>
    <phoneticPr fontId="1"/>
  </si>
  <si>
    <t>東</t>
    <rPh sb="0" eb="1">
      <t>ヒガシ</t>
    </rPh>
    <phoneticPr fontId="1"/>
  </si>
  <si>
    <t>野火止</t>
    <rPh sb="0" eb="3">
      <t>ノビドメ</t>
    </rPh>
    <phoneticPr fontId="1"/>
  </si>
  <si>
    <t>畑中</t>
    <rPh sb="0" eb="2">
      <t>ハタナカ</t>
    </rPh>
    <phoneticPr fontId="1"/>
  </si>
  <si>
    <t>菅沢</t>
    <rPh sb="0" eb="2">
      <t>スガサワ</t>
    </rPh>
    <phoneticPr fontId="1"/>
  </si>
  <si>
    <t>あたご</t>
    <phoneticPr fontId="1"/>
  </si>
  <si>
    <t>本多</t>
    <rPh sb="0" eb="2">
      <t>ホンダ</t>
    </rPh>
    <phoneticPr fontId="1"/>
  </si>
  <si>
    <t>L</t>
  </si>
  <si>
    <t>L</t>
    <phoneticPr fontId="1"/>
  </si>
  <si>
    <t>堀ノ内</t>
    <rPh sb="0" eb="1">
      <t>ホリ</t>
    </rPh>
    <rPh sb="2" eb="3">
      <t>ウチ</t>
    </rPh>
    <phoneticPr fontId="1"/>
  </si>
  <si>
    <t>M</t>
  </si>
  <si>
    <t>M</t>
    <phoneticPr fontId="1"/>
  </si>
  <si>
    <t>馬場</t>
    <rPh sb="0" eb="2">
      <t>ババ</t>
    </rPh>
    <phoneticPr fontId="1"/>
  </si>
  <si>
    <t>N</t>
  </si>
  <si>
    <t>N</t>
    <phoneticPr fontId="1"/>
  </si>
  <si>
    <t>新塚</t>
    <rPh sb="0" eb="2">
      <t>ニイヅカ</t>
    </rPh>
    <phoneticPr fontId="1"/>
  </si>
  <si>
    <t>O</t>
  </si>
  <si>
    <t>O</t>
    <phoneticPr fontId="1"/>
  </si>
  <si>
    <t>P</t>
  </si>
  <si>
    <t>P</t>
    <phoneticPr fontId="1"/>
  </si>
  <si>
    <t>Q</t>
  </si>
  <si>
    <t>Q</t>
    <phoneticPr fontId="1"/>
  </si>
  <si>
    <t>R</t>
  </si>
  <si>
    <t>R</t>
    <phoneticPr fontId="1"/>
  </si>
  <si>
    <t>S</t>
  </si>
  <si>
    <t>S</t>
    <phoneticPr fontId="1"/>
  </si>
  <si>
    <t>T</t>
  </si>
  <si>
    <t>T</t>
    <phoneticPr fontId="1"/>
  </si>
  <si>
    <t>U</t>
  </si>
  <si>
    <t>U</t>
    <phoneticPr fontId="1"/>
  </si>
  <si>
    <t>V</t>
  </si>
  <si>
    <t>V</t>
    <phoneticPr fontId="1"/>
  </si>
  <si>
    <t>W</t>
  </si>
  <si>
    <t>W</t>
    <phoneticPr fontId="1"/>
  </si>
  <si>
    <t>J</t>
    <phoneticPr fontId="1"/>
  </si>
  <si>
    <t>T</t>
    <phoneticPr fontId="1"/>
  </si>
  <si>
    <t>P</t>
    <phoneticPr fontId="1"/>
  </si>
  <si>
    <t>E</t>
    <phoneticPr fontId="1"/>
  </si>
  <si>
    <t>U</t>
    <phoneticPr fontId="1"/>
  </si>
  <si>
    <t>B</t>
    <phoneticPr fontId="1"/>
  </si>
  <si>
    <t>W</t>
    <phoneticPr fontId="1"/>
  </si>
  <si>
    <t>Q</t>
    <phoneticPr fontId="1"/>
  </si>
  <si>
    <t>R</t>
    <phoneticPr fontId="1"/>
  </si>
  <si>
    <t>I</t>
    <phoneticPr fontId="1"/>
  </si>
  <si>
    <t>S</t>
    <phoneticPr fontId="1"/>
  </si>
  <si>
    <t>C</t>
    <phoneticPr fontId="1"/>
  </si>
  <si>
    <t>D</t>
    <phoneticPr fontId="1"/>
  </si>
  <si>
    <t>A</t>
    <phoneticPr fontId="1"/>
  </si>
  <si>
    <t>N</t>
    <phoneticPr fontId="1"/>
  </si>
  <si>
    <t>O</t>
    <phoneticPr fontId="1"/>
  </si>
  <si>
    <t>V</t>
    <phoneticPr fontId="1"/>
  </si>
  <si>
    <t>G</t>
    <phoneticPr fontId="1"/>
  </si>
  <si>
    <t>H</t>
    <phoneticPr fontId="1"/>
  </si>
  <si>
    <t>M</t>
    <phoneticPr fontId="1"/>
  </si>
  <si>
    <t>F</t>
    <phoneticPr fontId="1"/>
  </si>
  <si>
    <t>L</t>
    <phoneticPr fontId="1"/>
  </si>
  <si>
    <t>K</t>
    <phoneticPr fontId="1"/>
  </si>
  <si>
    <t>A1:BT53</t>
    <phoneticPr fontId="1"/>
  </si>
  <si>
    <t>S7</t>
  </si>
  <si>
    <t>AA7</t>
  </si>
  <si>
    <t>AE7</t>
  </si>
  <si>
    <t>K11</t>
  </si>
  <si>
    <t>S11</t>
  </si>
  <si>
    <t>W11</t>
  </si>
  <si>
    <t>AA11</t>
  </si>
  <si>
    <t>AE11</t>
  </si>
  <si>
    <t>AI11</t>
  </si>
  <si>
    <t>AM11</t>
  </si>
  <si>
    <t>G15</t>
  </si>
  <si>
    <t>K15</t>
  </si>
  <si>
    <t>S19</t>
  </si>
  <si>
    <t>AE19</t>
  </si>
  <si>
    <t>O23</t>
  </si>
  <si>
    <t>W23</t>
  </si>
  <si>
    <t>AQ23</t>
  </si>
  <si>
    <t>W27</t>
  </si>
  <si>
    <t>AA27</t>
  </si>
  <si>
    <t>AE27</t>
  </si>
  <si>
    <t>G31</t>
  </si>
  <si>
    <t>K31</t>
  </si>
  <si>
    <t>O31</t>
  </si>
  <si>
    <t>S31</t>
  </si>
  <si>
    <t>AA31</t>
  </si>
  <si>
    <t>AE31</t>
  </si>
  <si>
    <t>AI31</t>
  </si>
  <si>
    <t>BK31</t>
  </si>
  <si>
    <t>AA35</t>
  </si>
  <si>
    <t>AE35</t>
  </si>
  <si>
    <t>AY39</t>
  </si>
  <si>
    <t>BC39</t>
  </si>
  <si>
    <t>BG39</t>
  </si>
  <si>
    <t>BK39</t>
  </si>
  <si>
    <t>BO39</t>
  </si>
  <si>
    <t>AY43</t>
  </si>
  <si>
    <t>BC43</t>
  </si>
  <si>
    <t>BG43</t>
  </si>
  <si>
    <t>AY47</t>
  </si>
  <si>
    <t>BC47</t>
  </si>
  <si>
    <t>BG47</t>
  </si>
  <si>
    <t>面積（ha）</t>
  </si>
  <si>
    <t>面積（ha）</t>
    <rPh sb="0" eb="2">
      <t>メンセキ</t>
    </rPh>
    <phoneticPr fontId="1"/>
  </si>
  <si>
    <t>人口密度（人/ha）</t>
    <rPh sb="0" eb="4">
      <t>ジンコウミツド</t>
    </rPh>
    <rPh sb="5" eb="6">
      <t>ヒト</t>
    </rPh>
    <phoneticPr fontId="1"/>
  </si>
  <si>
    <t>人口密度（人/ha）</t>
    <phoneticPr fontId="1"/>
  </si>
  <si>
    <t>人口（人）</t>
    <rPh sb="0" eb="2">
      <t>ジンコウ</t>
    </rPh>
    <rPh sb="3" eb="4">
      <t>ニン</t>
    </rPh>
    <phoneticPr fontId="1"/>
  </si>
  <si>
    <t>面積（ha）</t>
    <phoneticPr fontId="1"/>
  </si>
  <si>
    <t>H11</t>
    <phoneticPr fontId="1"/>
  </si>
  <si>
    <t>B1:F11</t>
    <phoneticPr fontId="1"/>
  </si>
  <si>
    <t>ヒートマップの着色で、文字色が反映されていなかったのを修正。</t>
    <rPh sb="7" eb="9">
      <t>チャクショク</t>
    </rPh>
    <rPh sb="11" eb="14">
      <t>モジショク</t>
    </rPh>
    <rPh sb="15" eb="17">
      <t>ハンエイ</t>
    </rPh>
    <rPh sb="27" eb="29">
      <t>シュウセイ</t>
    </rPh>
    <phoneticPr fontId="1"/>
  </si>
  <si>
    <t>4.1.0</t>
    <phoneticPr fontId="1"/>
  </si>
  <si>
    <t>交通1</t>
    <rPh sb="0" eb="2">
      <t>コウツウ</t>
    </rPh>
    <phoneticPr fontId="1"/>
  </si>
  <si>
    <t>交通2</t>
    <rPh sb="0" eb="2">
      <t>コウツウ</t>
    </rPh>
    <phoneticPr fontId="1"/>
  </si>
  <si>
    <t>交通3</t>
    <rPh sb="0" eb="2">
      <t>コウツウ</t>
    </rPh>
    <phoneticPr fontId="1"/>
  </si>
  <si>
    <t>交通4</t>
    <rPh sb="0" eb="2">
      <t>コウツウ</t>
    </rPh>
    <phoneticPr fontId="1"/>
  </si>
  <si>
    <t>交通5</t>
    <rPh sb="0" eb="2">
      <t>コウツウ</t>
    </rPh>
    <phoneticPr fontId="1"/>
  </si>
  <si>
    <t>交通6</t>
    <rPh sb="0" eb="2">
      <t>コウツウ</t>
    </rPh>
    <phoneticPr fontId="1"/>
  </si>
  <si>
    <t>○菅沢</t>
  </si>
  <si>
    <t>○あたご第二児童遊園</t>
  </si>
  <si>
    <t>○池田二丁目</t>
  </si>
  <si>
    <t>○池田小学校入口</t>
  </si>
  <si>
    <t>○新座病院前</t>
  </si>
  <si>
    <t>○堀ノ内病院</t>
  </si>
  <si>
    <t>○新座柳瀬高校入口</t>
  </si>
  <si>
    <t>○新座駅北入口</t>
  </si>
  <si>
    <t>○第二老人福祉センター</t>
  </si>
  <si>
    <t>○英橋</t>
  </si>
  <si>
    <t>○大和田</t>
  </si>
  <si>
    <t>○新座団地郵便局</t>
  </si>
  <si>
    <t>○新座車庫</t>
  </si>
  <si>
    <t>○あけぼの住宅前</t>
  </si>
  <si>
    <t>○片山二丁目</t>
  </si>
  <si>
    <t>○庚申塚前</t>
  </si>
  <si>
    <t>○北野入口</t>
  </si>
  <si>
    <t>○立教前</t>
  </si>
  <si>
    <t>○東寮前</t>
  </si>
  <si>
    <t>○火の見下</t>
  </si>
  <si>
    <t>○栗原</t>
  </si>
  <si>
    <t>○別れ道</t>
    <rPh sb="1" eb="2">
      <t>ワカ</t>
    </rPh>
    <rPh sb="3" eb="4">
      <t>ミチ</t>
    </rPh>
    <phoneticPr fontId="1"/>
  </si>
  <si>
    <t>○栗原公民館前</t>
    <rPh sb="1" eb="3">
      <t>クリハラ</t>
    </rPh>
    <rPh sb="3" eb="6">
      <t>コウミンカン</t>
    </rPh>
    <rPh sb="6" eb="7">
      <t>マエ</t>
    </rPh>
    <phoneticPr fontId="1"/>
  </si>
  <si>
    <t>○栗原五丁目</t>
    <rPh sb="1" eb="3">
      <t>クリハラ</t>
    </rPh>
    <rPh sb="3" eb="6">
      <t>ゴチョウメ</t>
    </rPh>
    <phoneticPr fontId="1"/>
  </si>
  <si>
    <t>○新座栗原郵便局</t>
    <rPh sb="1" eb="3">
      <t>ニイザ</t>
    </rPh>
    <rPh sb="3" eb="5">
      <t>クリハラ</t>
    </rPh>
    <rPh sb="5" eb="8">
      <t>ユウビンキョク</t>
    </rPh>
    <phoneticPr fontId="1"/>
  </si>
  <si>
    <t>○新座栄</t>
  </si>
  <si>
    <t>○妙音沢入口</t>
  </si>
  <si>
    <t>○栄公民館前(福祉の里)</t>
  </si>
  <si>
    <t>○都民農園セコニック</t>
  </si>
  <si>
    <t>○オリエンタル酵母工業前</t>
  </si>
  <si>
    <t>○野火止三丁目</t>
  </si>
  <si>
    <t>○あたご橋</t>
  </si>
  <si>
    <t>○十文字女子大前</t>
  </si>
  <si>
    <t>○中郷</t>
  </si>
  <si>
    <t>○菅沢子供広場</t>
  </si>
  <si>
    <t>○堀の内橋</t>
  </si>
  <si>
    <t>○片山小学校</t>
  </si>
  <si>
    <t>○道場</t>
  </si>
  <si>
    <t>○新座志木中央総合病院</t>
  </si>
  <si>
    <t>○すきっぷたうん</t>
  </si>
  <si>
    <t>○東北通り</t>
  </si>
  <si>
    <t>○東北二丁目</t>
  </si>
  <si>
    <t>○志木駅南</t>
  </si>
  <si>
    <t>○志木駅南口</t>
  </si>
  <si>
    <t>○中野</t>
  </si>
  <si>
    <t>○跡見女子大</t>
  </si>
  <si>
    <t>○富士見ヶ丘</t>
  </si>
  <si>
    <t>○富士見ヶ丘団地</t>
  </si>
  <si>
    <t>○団地南</t>
  </si>
  <si>
    <t>○新座団地東</t>
  </si>
  <si>
    <t>○新座団地</t>
  </si>
  <si>
    <t>○新座市営墓園</t>
  </si>
  <si>
    <t>○西堀</t>
  </si>
  <si>
    <t>○小山入口</t>
  </si>
  <si>
    <t>○西堀小学校</t>
  </si>
  <si>
    <t>○西堀南</t>
  </si>
  <si>
    <t>○貝沼</t>
    <rPh sb="1" eb="3">
      <t>カイヌマ</t>
    </rPh>
    <phoneticPr fontId="1"/>
  </si>
  <si>
    <t>○第五中学前</t>
  </si>
  <si>
    <t>○上後</t>
  </si>
  <si>
    <t>○野寺小学校東</t>
  </si>
  <si>
    <t>○野火止ふれあい公園前</t>
  </si>
  <si>
    <t>○新座中学校</t>
  </si>
  <si>
    <t>○台</t>
  </si>
  <si>
    <t>○新座市役所</t>
    <rPh sb="1" eb="3">
      <t>ニイザ</t>
    </rPh>
    <rPh sb="3" eb="6">
      <t>シヤクショ</t>
    </rPh>
    <phoneticPr fontId="1"/>
  </si>
  <si>
    <t>○陣屋</t>
  </si>
  <si>
    <t>○平林寺</t>
  </si>
  <si>
    <t>○山下橋</t>
  </si>
  <si>
    <t>○菅沢中央</t>
  </si>
  <si>
    <t>○望芙台住宅</t>
  </si>
  <si>
    <t>○野火止小学校</t>
  </si>
  <si>
    <t>○ふるさと小道</t>
  </si>
  <si>
    <t>○野火止角</t>
  </si>
  <si>
    <t>○新座駅南口</t>
  </si>
  <si>
    <t>○野火止中央</t>
  </si>
  <si>
    <t>○山川工業前</t>
  </si>
  <si>
    <t>○中堀</t>
  </si>
  <si>
    <t>○野火止中</t>
  </si>
  <si>
    <t>○野火止七丁目</t>
  </si>
  <si>
    <t>○凸版印刷</t>
  </si>
  <si>
    <t>○第二中学校</t>
  </si>
  <si>
    <t>○新座警察署前</t>
  </si>
  <si>
    <t>○野火止大門</t>
  </si>
  <si>
    <t>○野火止坂上</t>
  </si>
  <si>
    <t>○エクレール前</t>
  </si>
  <si>
    <t>○榎木ガード</t>
  </si>
  <si>
    <t>○畑中ふれあい遊園</t>
  </si>
  <si>
    <t>○下片山</t>
  </si>
  <si>
    <t>○畑中二丁目</t>
  </si>
  <si>
    <t>○東福寺前</t>
  </si>
  <si>
    <t>○榎木</t>
  </si>
  <si>
    <t>○原ヶ谷戸</t>
  </si>
  <si>
    <t>○蓮光寺前</t>
  </si>
  <si>
    <t>○新座高校</t>
  </si>
  <si>
    <t>○東一丁目</t>
  </si>
  <si>
    <t>○東三丁目</t>
  </si>
  <si>
    <t>○新座市児童センター前</t>
  </si>
  <si>
    <t>○福祉センター入口</t>
  </si>
  <si>
    <t>○老人福祉センター</t>
  </si>
  <si>
    <t>○新座総合体育館入口</t>
  </si>
  <si>
    <t>○本多一丁目</t>
  </si>
  <si>
    <t>○新座営業所</t>
  </si>
  <si>
    <t>○西屋敷</t>
  </si>
  <si>
    <t>○史跡公園</t>
  </si>
  <si>
    <t>◆新座駅</t>
    <rPh sb="1" eb="4">
      <t>ニイザエキ</t>
    </rPh>
    <phoneticPr fontId="1"/>
  </si>
  <si>
    <t>◆ひばりヶ丘駅</t>
    <rPh sb="5" eb="6">
      <t>オカ</t>
    </rPh>
    <rPh sb="6" eb="7">
      <t>エキ</t>
    </rPh>
    <phoneticPr fontId="1"/>
  </si>
  <si>
    <t/>
  </si>
  <si>
    <t>4.1.1</t>
    <phoneticPr fontId="1"/>
  </si>
  <si>
    <t>交通アクセスのデータとマップを追加。</t>
    <rPh sb="0" eb="2">
      <t>コウツウ</t>
    </rPh>
    <rPh sb="15" eb="17">
      <t>ツイカ</t>
    </rPh>
    <phoneticPr fontId="1"/>
  </si>
  <si>
    <t>世帯密度（世帯/ha）</t>
  </si>
  <si>
    <t>世帯密度（世帯/ha）</t>
    <rPh sb="0" eb="2">
      <t>セタイ</t>
    </rPh>
    <rPh sb="2" eb="4">
      <t>ミツド</t>
    </rPh>
    <rPh sb="5" eb="7">
      <t>セタイ</t>
    </rPh>
    <phoneticPr fontId="1"/>
  </si>
  <si>
    <t>世帯密度（世帯/ha）</t>
    <phoneticPr fontId="1"/>
  </si>
  <si>
    <t>世帯数</t>
  </si>
  <si>
    <t>H13</t>
    <phoneticPr fontId="1"/>
  </si>
  <si>
    <t>B1:F13</t>
    <phoneticPr fontId="1"/>
  </si>
  <si>
    <t>地図テンプレート_大字</t>
    <rPh sb="0" eb="2">
      <t>チズ</t>
    </rPh>
    <rPh sb="9" eb="11">
      <t>オオアザ</t>
    </rPh>
    <phoneticPr fontId="1"/>
  </si>
  <si>
    <t>自動生成_大字_市町村なまえ</t>
    <rPh sb="0" eb="4">
      <t>ジドウセイセイ</t>
    </rPh>
    <rPh sb="5" eb="7">
      <t>オオアザ</t>
    </rPh>
    <rPh sb="8" eb="11">
      <t>シチョウソン</t>
    </rPh>
    <phoneticPr fontId="1"/>
  </si>
  <si>
    <t>自動生成_大字_交通</t>
    <rPh sb="0" eb="4">
      <t>ジドウセイセイ</t>
    </rPh>
    <rPh sb="5" eb="7">
      <t>オオアザ</t>
    </rPh>
    <rPh sb="8" eb="10">
      <t>コウツウ</t>
    </rPh>
    <phoneticPr fontId="1"/>
  </si>
  <si>
    <t>地図テンプレート_丁目</t>
    <rPh sb="0" eb="2">
      <t>チズ</t>
    </rPh>
    <rPh sb="9" eb="11">
      <t>チョウメ</t>
    </rPh>
    <phoneticPr fontId="1"/>
  </si>
  <si>
    <t>自動生成_丁目_人口密度</t>
    <rPh sb="0" eb="4">
      <t>ジドウセイセイ</t>
    </rPh>
    <rPh sb="5" eb="7">
      <t>チョウメ</t>
    </rPh>
    <rPh sb="8" eb="10">
      <t>ジンコウ</t>
    </rPh>
    <rPh sb="10" eb="12">
      <t>ミツド</t>
    </rPh>
    <phoneticPr fontId="1"/>
  </si>
  <si>
    <t>自動生成_丁目_人口</t>
    <rPh sb="0" eb="4">
      <t>ジドウセイセイ</t>
    </rPh>
    <rPh sb="5" eb="7">
      <t>チョウメ</t>
    </rPh>
    <rPh sb="8" eb="10">
      <t>ジンコウ</t>
    </rPh>
    <phoneticPr fontId="1"/>
  </si>
  <si>
    <t>自動生成_丁目_世帯数</t>
    <rPh sb="0" eb="4">
      <t>ジドウセイセイ</t>
    </rPh>
    <rPh sb="5" eb="7">
      <t>チョウメ</t>
    </rPh>
    <rPh sb="8" eb="10">
      <t>セタイ</t>
    </rPh>
    <rPh sb="10" eb="11">
      <t>スウ</t>
    </rPh>
    <phoneticPr fontId="1"/>
  </si>
  <si>
    <t>自動生成_丁目_世帯密度</t>
    <rPh sb="0" eb="4">
      <t>ジドウセイセイ</t>
    </rPh>
    <rPh sb="5" eb="7">
      <t>チョウメ</t>
    </rPh>
    <rPh sb="8" eb="10">
      <t>セタイ</t>
    </rPh>
    <rPh sb="10" eb="12">
      <t>ミツド</t>
    </rPh>
    <phoneticPr fontId="1"/>
  </si>
  <si>
    <t>自動生成_大字_世帯密度</t>
    <rPh sb="0" eb="4">
      <t>ジドウセイセイ</t>
    </rPh>
    <rPh sb="5" eb="7">
      <t>オオアザ</t>
    </rPh>
    <rPh sb="8" eb="10">
      <t>セタイ</t>
    </rPh>
    <rPh sb="10" eb="12">
      <t>ミツド</t>
    </rPh>
    <phoneticPr fontId="1"/>
  </si>
  <si>
    <t>自動生成_大字_世帯数</t>
    <rPh sb="0" eb="4">
      <t>ジドウセイセイ</t>
    </rPh>
    <rPh sb="5" eb="7">
      <t>オオアザ</t>
    </rPh>
    <rPh sb="8" eb="10">
      <t>セタイ</t>
    </rPh>
    <rPh sb="10" eb="11">
      <t>スウ</t>
    </rPh>
    <phoneticPr fontId="1"/>
  </si>
  <si>
    <t>色の凡例で、［以上］のところを［より上］と判定していたので修正。</t>
    <rPh sb="0" eb="1">
      <t>イロ</t>
    </rPh>
    <rPh sb="2" eb="4">
      <t>ハンレイ</t>
    </rPh>
    <rPh sb="7" eb="9">
      <t>イジョウ</t>
    </rPh>
    <rPh sb="18" eb="19">
      <t>ウエ</t>
    </rPh>
    <rPh sb="21" eb="23">
      <t>ハンテイ</t>
    </rPh>
    <rPh sb="29" eb="31">
      <t>シュウセイ</t>
    </rPh>
    <phoneticPr fontId="1"/>
  </si>
  <si>
    <t>手順書　＞　個別ヒートマップ</t>
    <rPh sb="0" eb="3">
      <t>テジュンショ</t>
    </rPh>
    <rPh sb="6" eb="8">
      <t>コベツ</t>
    </rPh>
    <phoneticPr fontId="1"/>
  </si>
  <si>
    <t>［手順書_はじめに］</t>
    <phoneticPr fontId="1"/>
  </si>
  <si>
    <t>を読んでから、このページの続きを読んでください。</t>
    <rPh sb="1" eb="2">
      <t>ヨ</t>
    </rPh>
    <rPh sb="13" eb="14">
      <t>ツヅ</t>
    </rPh>
    <rPh sb="16" eb="17">
      <t>ヨ</t>
    </rPh>
    <phoneticPr fontId="1"/>
  </si>
  <si>
    <t>［地図テンプレート_XXXX］</t>
    <rPh sb="1" eb="3">
      <t>チズ</t>
    </rPh>
    <phoneticPr fontId="1"/>
  </si>
  <si>
    <t>［地図テンプレート_XXXX］</t>
    <phoneticPr fontId="1"/>
  </si>
  <si>
    <t>なまえ</t>
  </si>
  <si>
    <t>郵便番号</t>
  </si>
  <si>
    <t>交通1</t>
  </si>
  <si>
    <t>交通2</t>
  </si>
  <si>
    <t>交通3</t>
  </si>
  <si>
    <t>人口密度（人/ha）</t>
  </si>
  <si>
    <t>人口（人）</t>
  </si>
  <si>
    <t>BN5</t>
    <phoneticPr fontId="1"/>
  </si>
  <si>
    <t>BN10</t>
    <phoneticPr fontId="1"/>
  </si>
  <si>
    <t>4.1.2</t>
    <phoneticPr fontId="1"/>
  </si>
  <si>
    <t>ヒートマップ 4.1.2　＞　手順書</t>
    <rPh sb="15" eb="18">
      <t>テジュンショ</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</si>
</sst>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_);[Red]\(#,##0\)"/>
    <numFmt numFmtId="177" formatCode="#,##0_ "/>
  </numFmts>
  <fonts count="32" x14ac:knownFonts="1">
    <font>
      <sz val="11"/>
      <color theme="1"/>
      <name val="游ゴシック"/>
      <family val="2"/>
      <charset val="128"/>
      <scheme val="minor"/>
    </font>
    <font>
      <sz val="6"/>
      <name val="游ゴシック"/>
      <family val="2"/>
      <charset val="128"/>
      <scheme val="minor"/>
    </font>
    <font>
      <b/>
      <sz val="11"/>
      <color theme="0" tint="-4.9989318521683403E-2"/>
      <name val="游ゴシック"/>
      <family val="3"/>
      <charset val="128"/>
      <scheme val="minor"/>
    </font>
    <font>
      <u/>
      <sz val="11"/>
      <color theme="10"/>
      <name val="游ゴシック"/>
      <family val="2"/>
      <charset val="128"/>
      <scheme val="minor"/>
    </font>
    <font>
      <sz val="11"/>
      <color theme="1"/>
      <name val="游ゴシック"/>
      <family val="3"/>
      <charset val="128"/>
      <scheme val="minor"/>
    </font>
    <font>
      <b/>
      <sz val="11"/>
      <color rgb="FF0F8472"/>
      <name val="游ゴシック"/>
      <family val="3"/>
      <charset val="128"/>
      <scheme val="minor"/>
    </font>
    <font>
      <u/>
      <sz val="11"/>
      <color theme="10"/>
      <name val="游ゴシック"/>
      <family val="3"/>
      <charset val="128"/>
      <scheme val="minor"/>
    </font>
    <font>
      <sz val="11"/>
      <color theme="0"/>
      <name val="游ゴシック"/>
      <family val="3"/>
      <charset val="128"/>
      <scheme val="minor"/>
    </font>
    <font>
      <b/>
      <sz val="11"/>
      <color theme="0"/>
      <name val="游ゴシック"/>
      <family val="3"/>
      <charset val="128"/>
      <scheme val="minor"/>
    </font>
    <font>
      <b/>
      <sz val="11"/>
      <name val="游ゴシック"/>
      <family val="3"/>
      <charset val="128"/>
      <scheme val="minor"/>
    </font>
    <font>
      <sz val="11"/>
      <name val="游ゴシック"/>
      <family val="3"/>
      <charset val="128"/>
      <scheme val="minor"/>
    </font>
    <font>
      <b/>
      <sz val="11"/>
      <color theme="1"/>
      <name val="游ゴシック"/>
      <family val="3"/>
      <charset val="128"/>
      <scheme val="minor"/>
    </font>
    <font>
      <sz val="11"/>
      <color rgb="FF404040"/>
      <name val="游ゴシック"/>
      <family val="3"/>
      <charset val="128"/>
      <scheme val="minor"/>
    </font>
    <font>
      <b/>
      <sz val="11"/>
      <color rgb="FF404040"/>
      <name val="游ゴシック"/>
      <family val="3"/>
      <charset val="128"/>
      <scheme val="minor"/>
    </font>
    <font>
      <sz val="20"/>
      <color rgb="FF000000"/>
      <name val="游ゴシック"/>
      <family val="3"/>
      <charset val="128"/>
    </font>
    <font>
      <sz val="11"/>
      <color theme="0" tint="-4.9989318521683403E-2"/>
      <name val="游ゴシック"/>
      <family val="2"/>
      <charset val="128"/>
      <scheme val="minor"/>
    </font>
    <font>
      <sz val="16"/>
      <color theme="1"/>
      <name val="Segoe UI Symbol"/>
      <family val="2"/>
    </font>
    <font>
      <b/>
      <sz val="16"/>
      <color theme="0" tint="-4.9989318521683403E-2"/>
      <name val="游ゴシック"/>
      <family val="3"/>
      <charset val="128"/>
      <scheme val="minor"/>
    </font>
    <font>
      <sz val="11"/>
      <name val="游ゴシック"/>
      <family val="2"/>
      <charset val="128"/>
      <scheme val="minor"/>
    </font>
    <font>
      <sz val="8"/>
      <color theme="1"/>
      <name val="游ゴシック"/>
      <family val="2"/>
      <charset val="128"/>
      <scheme val="minor"/>
    </font>
    <font>
      <sz val="11"/>
      <color theme="0"/>
      <name val="游ゴシック"/>
      <family val="2"/>
      <charset val="128"/>
      <scheme val="minor"/>
    </font>
    <font>
      <b/>
      <sz val="11"/>
      <color rgb="FFFFFFFF"/>
      <name val="游ゴシック"/>
      <family val="3"/>
      <charset val="128"/>
      <scheme val="minor"/>
    </font>
    <font>
      <sz val="11"/>
      <color rgb="FFFFFFFF"/>
      <name val="游ゴシック"/>
      <family val="2"/>
      <charset val="128"/>
      <scheme val="minor"/>
    </font>
    <font>
      <sz val="11"/>
      <color rgb="FF0F8472"/>
      <name val="游ゴシック"/>
      <family val="2"/>
      <charset val="128"/>
      <scheme val="minor"/>
    </font>
    <font>
      <sz val="11"/>
      <color rgb="FF000000"/>
      <name val="游ゴシック"/>
      <family val="3"/>
      <charset val="128"/>
      <scheme val="minor"/>
    </font>
    <font>
      <b/>
      <sz val="11"/>
      <color rgb="FFF2F2F2"/>
      <name val="游ゴシック"/>
      <family val="3"/>
      <charset val="128"/>
      <scheme val="minor"/>
    </font>
    <font>
      <b/>
      <sz val="11"/>
      <color rgb="FF000000"/>
      <name val="游ゴシック"/>
      <family val="3"/>
      <charset val="128"/>
      <scheme val="minor"/>
    </font>
    <font>
      <sz val="11"/>
      <color rgb="FF0563C1"/>
      <name val="游ゴシック"/>
      <family val="3"/>
      <charset val="128"/>
      <scheme val="minor"/>
    </font>
    <font>
      <sz val="11"/>
      <color rgb="FFFFFFFF"/>
      <name val="游ゴシック"/>
      <family val="3"/>
      <charset val="128"/>
      <scheme val="minor"/>
    </font>
    <font>
      <sz val="11"/>
      <color theme="6"/>
      <name val="游ゴシック"/>
      <family val="2"/>
      <charset val="128"/>
      <scheme val="minor"/>
    </font>
    <font>
      <sz val="11"/>
      <color theme="7" tint="-0.249977111117893"/>
      <name val="游ゴシック"/>
      <family val="2"/>
      <charset val="128"/>
      <scheme val="minor"/>
    </font>
    <font>
      <sz val="11"/>
      <color theme="7" tint="-0.249977111117893"/>
      <name val="游ゴシック"/>
      <family val="3"/>
      <charset val="128"/>
      <scheme val="minor"/>
    </font>
  </fonts>
  <fills count="43">
    <fill>
      <patternFill patternType="none"/>
    </fill>
    <fill>
      <patternFill patternType="gray125"/>
    </fill>
    <fill>
      <patternFill patternType="solid">
        <fgColor rgb="FF86DFCB"/>
        <bgColor indexed="64"/>
      </patternFill>
    </fill>
    <fill>
      <patternFill patternType="solid">
        <fgColor theme="1" tint="0.499984740745262"/>
        <bgColor indexed="64"/>
      </patternFill>
    </fill>
    <fill>
      <patternFill patternType="solid">
        <fgColor rgb="FF0F8472"/>
        <bgColor indexed="64"/>
      </patternFill>
    </fill>
    <fill>
      <patternFill patternType="solid">
        <fgColor theme="2"/>
        <bgColor indexed="64"/>
      </patternFill>
    </fill>
    <fill>
      <patternFill patternType="solid">
        <fgColor rgb="FFC00000"/>
        <bgColor indexed="64"/>
      </patternFill>
    </fill>
    <fill>
      <patternFill patternType="solid">
        <fgColor rgb="FFFFC000"/>
        <bgColor indexed="64"/>
      </patternFill>
    </fill>
    <fill>
      <patternFill patternType="solid">
        <fgColor rgb="FFFFFF00"/>
        <bgColor indexed="64"/>
      </patternFill>
    </fill>
    <fill>
      <patternFill patternType="solid">
        <fgColor rgb="FF92D050"/>
        <bgColor indexed="64"/>
      </patternFill>
    </fill>
    <fill>
      <patternFill patternType="solid">
        <fgColor theme="0"/>
        <bgColor indexed="64"/>
      </patternFill>
    </fill>
    <fill>
      <patternFill patternType="solid">
        <fgColor theme="1" tint="0.249977111117893"/>
        <bgColor indexed="64"/>
      </patternFill>
    </fill>
    <fill>
      <patternFill patternType="solid">
        <fgColor rgb="FF9C99FF"/>
        <bgColor indexed="64"/>
      </patternFill>
    </fill>
    <fill>
      <patternFill patternType="solid">
        <fgColor rgb="FFCCBBFF"/>
        <bgColor indexed="64"/>
      </patternFill>
    </fill>
    <fill>
      <patternFill patternType="solid">
        <fgColor rgb="FFEEDDFF"/>
        <bgColor indexed="64"/>
      </patternFill>
    </fill>
    <fill>
      <patternFill patternType="solid">
        <fgColor rgb="FFFC9A99"/>
        <bgColor indexed="64"/>
      </patternFill>
    </fill>
    <fill>
      <patternFill patternType="solid">
        <fgColor rgb="FFFF7766"/>
        <bgColor indexed="64"/>
      </patternFill>
    </fill>
    <fill>
      <patternFill patternType="solid">
        <fgColor rgb="FF98FFFC"/>
        <bgColor indexed="64"/>
      </patternFill>
    </fill>
    <fill>
      <patternFill patternType="solid">
        <fgColor theme="0" tint="-4.9989318521683403E-2"/>
        <bgColor indexed="64"/>
      </patternFill>
    </fill>
    <fill>
      <patternFill patternType="solid">
        <fgColor rgb="FFE7E6E6"/>
        <bgColor rgb="FF000000"/>
      </patternFill>
    </fill>
    <fill>
      <patternFill patternType="solid">
        <fgColor rgb="FF808080"/>
        <bgColor rgb="FF000000"/>
      </patternFill>
    </fill>
    <fill>
      <patternFill patternType="solid">
        <fgColor rgb="FF86DFCB"/>
        <bgColor rgb="FF000000"/>
      </patternFill>
    </fill>
    <fill>
      <patternFill patternType="solid">
        <fgColor rgb="FF0F8472"/>
        <bgColor rgb="FF000000"/>
      </patternFill>
    </fill>
    <fill>
      <patternFill patternType="solid">
        <fgColor rgb="FFC00000"/>
        <bgColor rgb="FF000000"/>
      </patternFill>
    </fill>
    <fill>
      <patternFill patternType="solid">
        <fgColor rgb="FFFF7766"/>
        <bgColor rgb="FF000000"/>
      </patternFill>
    </fill>
    <fill>
      <patternFill patternType="solid">
        <fgColor rgb="FFFFC000"/>
        <bgColor rgb="FF000000"/>
      </patternFill>
    </fill>
    <fill>
      <patternFill patternType="solid">
        <fgColor rgb="FFFFFF00"/>
        <bgColor rgb="FF000000"/>
      </patternFill>
    </fill>
    <fill>
      <patternFill patternType="solid">
        <fgColor rgb="FF98FFFC"/>
        <bgColor rgb="FF000000"/>
      </patternFill>
    </fill>
    <fill>
      <patternFill patternType="solid">
        <fgColor rgb="FF9C99FF"/>
        <bgColor rgb="FF000000"/>
      </patternFill>
    </fill>
    <fill>
      <patternFill patternType="solid">
        <fgColor rgb="FFCCBBFF"/>
        <bgColor rgb="FF000000"/>
      </patternFill>
    </fill>
    <fill>
      <patternFill patternType="solid">
        <fgColor rgb="FFEEDDFF"/>
        <bgColor rgb="FF000000"/>
      </patternFill>
    </fill>
    <fill>
      <patternFill patternType="solid">
        <fgColor rgb="FFFFFFFF"/>
        <bgColor indexed="64"/>
      </patternFill>
    </fill>
    <fill>
      <patternFill patternType="solid">
        <fgColor rgb="FF77DDDD"/>
        <bgColor indexed="64"/>
      </patternFill>
    </fill>
    <fill>
      <patternFill patternType="solid">
        <fgColor rgb="FFAAEE66"/>
        <bgColor indexed="64"/>
      </patternFill>
    </fill>
    <fill>
      <patternFill patternType="solid">
        <fgColor rgb="FFAAEE66"/>
        <bgColor rgb="FF000000"/>
      </patternFill>
    </fill>
    <fill>
      <patternFill patternType="solid">
        <fgColor rgb="FF77DDDD"/>
        <bgColor rgb="FF000000"/>
      </patternFill>
    </fill>
    <fill>
      <patternFill patternType="solid">
        <fgColor rgb="FF99EEEE"/>
        <bgColor indexed="64"/>
      </patternFill>
    </fill>
    <fill>
      <patternFill patternType="solid">
        <fgColor rgb="FFBBFFFF"/>
        <bgColor indexed="64"/>
      </patternFill>
    </fill>
    <fill>
      <patternFill patternType="solid">
        <fgColor rgb="FF99EEEE"/>
        <bgColor rgb="FF000000"/>
      </patternFill>
    </fill>
    <fill>
      <patternFill patternType="solid">
        <fgColor rgb="FFBBFFFF"/>
        <bgColor rgb="FF000000"/>
      </patternFill>
    </fill>
    <fill>
      <patternFill patternType="solid">
        <fgColor rgb="FFFFFFFF"/>
        <bgColor rgb="FF000000"/>
      </patternFill>
    </fill>
    <fill>
      <patternFill patternType="solid">
        <fgColor rgb="FFFC9A99"/>
        <bgColor rgb="FF000000"/>
      </patternFill>
    </fill>
    <fill>
      <patternFill patternType="solid">
        <fgColor rgb="FF92D050"/>
        <bgColor rgb="FF000000"/>
      </patternFill>
    </fill>
  </fills>
  <borders count="2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ck">
        <color theme="1" tint="0.24994659260841701"/>
      </left>
      <right/>
      <top style="thick">
        <color theme="1" tint="0.24994659260841701"/>
      </top>
      <bottom style="thick">
        <color theme="0"/>
      </bottom>
      <diagonal/>
    </border>
    <border>
      <left/>
      <right/>
      <top style="thick">
        <color theme="1" tint="0.24994659260841701"/>
      </top>
      <bottom style="thick">
        <color theme="0"/>
      </bottom>
      <diagonal/>
    </border>
    <border>
      <left/>
      <right style="thick">
        <color theme="0"/>
      </right>
      <top style="thick">
        <color theme="1" tint="0.24994659260841701"/>
      </top>
      <bottom style="thick">
        <color theme="0"/>
      </bottom>
      <diagonal/>
    </border>
    <border>
      <left/>
      <right/>
      <top/>
      <bottom style="medium">
        <color rgb="FF000000"/>
      </bottom>
      <diagonal/>
    </border>
    <border>
      <left style="medium">
        <color rgb="FF000000"/>
      </left>
      <right/>
      <top/>
      <bottom/>
      <diagonal/>
    </border>
    <border>
      <left/>
      <right/>
      <top style="medium">
        <color rgb="FF000000"/>
      </top>
      <bottom/>
      <diagonal/>
    </border>
    <border>
      <left/>
      <right style="medium">
        <color rgb="FF000000"/>
      </right>
      <top style="medium">
        <color rgb="FF000000"/>
      </top>
      <bottom/>
      <diagonal/>
    </border>
    <border>
      <left style="medium">
        <color rgb="FF000000"/>
      </left>
      <right/>
      <top style="medium">
        <color rgb="FF000000"/>
      </top>
      <bottom/>
      <diagonal/>
    </border>
    <border>
      <left/>
      <right style="medium">
        <color rgb="FF000000"/>
      </right>
      <top/>
      <bottom/>
      <diagonal/>
    </border>
    <border>
      <left style="medium">
        <color rgb="FF000000"/>
      </left>
      <right/>
      <top/>
      <bottom style="medium">
        <color rgb="FF000000"/>
      </bottom>
      <diagonal/>
    </border>
    <border>
      <left/>
      <right style="medium">
        <color rgb="FF000000"/>
      </right>
      <top/>
      <bottom style="medium">
        <color rgb="FF000000"/>
      </bottom>
      <diagonal/>
    </border>
  </borders>
  <cellStyleXfs count="2">
    <xf numFmtId="0" fontId="0" fillId="0" borderId="0">
      <alignment vertical="center"/>
    </xf>
    <xf numFmtId="0" fontId="3" fillId="0" borderId="0" applyNumberFormat="0" applyFill="0" applyBorder="0" applyAlignment="0" applyProtection="0">
      <alignment vertical="center"/>
    </xf>
  </cellStyleXfs>
  <cellXfs count="314">
    <xf numFmtId="0" fontId="0" fillId="0" borderId="0" xfId="0">
      <alignment vertical="center"/>
    </xf>
    <xf numFmtId="0" fontId="2" fillId="3" borderId="0" xfId="0" applyFont="1" applyFill="1" applyAlignment="1">
      <alignment horizontal="center" vertical="center"/>
    </xf>
    <xf numFmtId="0" fontId="4" fillId="0" borderId="0" xfId="0" applyFont="1">
      <alignment vertical="center"/>
    </xf>
    <xf numFmtId="0" fontId="5" fillId="2" borderId="0" xfId="0" applyFont="1" applyFill="1" applyAlignment="1">
      <alignment horizontal="center" vertical="center"/>
    </xf>
    <xf numFmtId="0" fontId="5" fillId="2" borderId="1" xfId="0" applyFont="1" applyFill="1" applyBorder="1" applyAlignment="1">
      <alignment horizontal="center" vertical="center"/>
    </xf>
    <xf numFmtId="0" fontId="4" fillId="5" borderId="0" xfId="0" applyFont="1" applyFill="1">
      <alignment vertical="center"/>
    </xf>
    <xf numFmtId="0" fontId="5" fillId="2" borderId="4" xfId="0" applyFont="1" applyFill="1" applyBorder="1" applyAlignment="1">
      <alignment horizontal="center" vertical="center"/>
    </xf>
    <xf numFmtId="0" fontId="6" fillId="0" borderId="0" xfId="1" applyFont="1" applyBorder="1">
      <alignment vertical="center"/>
    </xf>
    <xf numFmtId="0" fontId="4" fillId="5" borderId="1" xfId="0" applyFont="1" applyFill="1" applyBorder="1">
      <alignment vertical="center"/>
    </xf>
    <xf numFmtId="0" fontId="10" fillId="0" borderId="0" xfId="0" applyFont="1" applyAlignment="1">
      <alignment horizontal="right" vertical="center"/>
    </xf>
    <xf numFmtId="0" fontId="10" fillId="0" borderId="0" xfId="0" applyFont="1">
      <alignment vertical="center"/>
    </xf>
    <xf numFmtId="0" fontId="0" fillId="5" borderId="0" xfId="0" applyFill="1">
      <alignment vertical="center"/>
    </xf>
    <xf numFmtId="0" fontId="15" fillId="11" borderId="0" xfId="0" applyFont="1" applyFill="1">
      <alignment vertical="center"/>
    </xf>
    <xf numFmtId="0" fontId="17" fillId="11" borderId="0" xfId="0" applyFont="1" applyFill="1">
      <alignment vertical="center"/>
    </xf>
    <xf numFmtId="0" fontId="16" fillId="5" borderId="0" xfId="0" applyFont="1" applyFill="1" applyAlignment="1">
      <alignment horizontal="center" vertical="center"/>
    </xf>
    <xf numFmtId="0" fontId="0" fillId="5" borderId="1" xfId="0" applyFill="1" applyBorder="1">
      <alignment vertical="center"/>
    </xf>
    <xf numFmtId="0" fontId="0" fillId="5" borderId="2" xfId="0" applyFill="1" applyBorder="1">
      <alignment vertical="center"/>
    </xf>
    <xf numFmtId="0" fontId="0" fillId="5" borderId="3" xfId="0" applyFill="1" applyBorder="1">
      <alignment vertical="center"/>
    </xf>
    <xf numFmtId="0" fontId="0" fillId="5" borderId="4" xfId="0" applyFill="1" applyBorder="1">
      <alignment vertical="center"/>
    </xf>
    <xf numFmtId="0" fontId="0" fillId="5" borderId="5" xfId="0" applyFill="1" applyBorder="1">
      <alignment vertical="center"/>
    </xf>
    <xf numFmtId="0" fontId="0" fillId="5" borderId="6" xfId="0" applyFill="1" applyBorder="1">
      <alignment vertical="center"/>
    </xf>
    <xf numFmtId="0" fontId="0" fillId="5" borderId="7" xfId="0" applyFill="1" applyBorder="1">
      <alignment vertical="center"/>
    </xf>
    <xf numFmtId="0" fontId="0" fillId="5" borderId="8" xfId="0" applyFill="1" applyBorder="1">
      <alignment vertical="center"/>
    </xf>
    <xf numFmtId="0" fontId="4" fillId="8" borderId="0" xfId="0" applyFont="1" applyFill="1">
      <alignment vertical="center"/>
    </xf>
    <xf numFmtId="0" fontId="18" fillId="8" borderId="0" xfId="0" applyFont="1" applyFill="1">
      <alignment vertical="center"/>
    </xf>
    <xf numFmtId="0" fontId="0" fillId="8" borderId="0" xfId="0" applyFill="1">
      <alignment vertical="center"/>
    </xf>
    <xf numFmtId="0" fontId="19" fillId="5" borderId="0" xfId="0" applyFont="1" applyFill="1" applyAlignment="1"/>
    <xf numFmtId="0" fontId="0" fillId="4" borderId="0" xfId="0" applyFill="1">
      <alignment vertical="center"/>
    </xf>
    <xf numFmtId="0" fontId="22" fillId="4" borderId="0" xfId="0" applyFont="1" applyFill="1">
      <alignment vertical="center"/>
    </xf>
    <xf numFmtId="0" fontId="0" fillId="2" borderId="0" xfId="0" applyFill="1">
      <alignment vertical="center"/>
    </xf>
    <xf numFmtId="0" fontId="23" fillId="2" borderId="0" xfId="0" applyFont="1" applyFill="1">
      <alignment vertical="center"/>
    </xf>
    <xf numFmtId="0" fontId="0" fillId="5" borderId="0" xfId="0" applyFill="1" applyAlignment="1">
      <alignment horizontal="center" vertical="center"/>
    </xf>
    <xf numFmtId="0" fontId="11" fillId="5" borderId="0" xfId="0" applyFont="1" applyFill="1">
      <alignment vertical="center"/>
    </xf>
    <xf numFmtId="0" fontId="19" fillId="5" borderId="0" xfId="0" applyFont="1" applyFill="1" applyAlignment="1">
      <alignment horizontal="center" vertical="center"/>
    </xf>
    <xf numFmtId="0" fontId="0" fillId="18" borderId="0" xfId="0" applyFill="1">
      <alignment vertical="center"/>
    </xf>
    <xf numFmtId="0" fontId="20" fillId="4" borderId="0" xfId="0" applyFont="1" applyFill="1">
      <alignment vertical="center"/>
    </xf>
    <xf numFmtId="0" fontId="7" fillId="4" borderId="0" xfId="0" applyFont="1" applyFill="1">
      <alignment vertical="center"/>
    </xf>
    <xf numFmtId="0" fontId="29" fillId="5" borderId="0" xfId="0" applyFont="1" applyFill="1">
      <alignment vertical="center"/>
    </xf>
    <xf numFmtId="0" fontId="30" fillId="8" borderId="0" xfId="0" applyFont="1" applyFill="1">
      <alignment vertical="center"/>
    </xf>
    <xf numFmtId="0" fontId="30" fillId="8" borderId="0" xfId="0" applyFont="1" applyFill="1" applyAlignment="1">
      <alignment horizontal="center" vertical="center"/>
    </xf>
    <xf numFmtId="0" fontId="31" fillId="8" borderId="0" xfId="0" applyFont="1" applyFill="1" applyAlignment="1">
      <alignment horizontal="center" vertical="center"/>
    </xf>
    <xf numFmtId="0" fontId="31" fillId="8" borderId="0" xfId="0" applyFont="1" applyFill="1">
      <alignment vertical="center"/>
    </xf>
    <xf numFmtId="0" fontId="21" fillId="4" borderId="0" xfId="0" applyFont="1" applyFill="1" applyAlignment="1">
      <alignment horizontal="right" vertical="center"/>
    </xf>
    <xf numFmtId="0" fontId="8" fillId="4" borderId="0" xfId="0" applyFont="1" applyFill="1">
      <alignment vertical="center"/>
    </xf>
    <xf numFmtId="0" fontId="5" fillId="2" borderId="0" xfId="0" applyFont="1" applyFill="1" applyAlignment="1">
      <alignment horizontal="right" vertical="center"/>
    </xf>
    <xf numFmtId="0" fontId="19" fillId="5" borderId="0" xfId="0" applyFont="1" applyFill="1" applyAlignment="1">
      <alignment vertical="top"/>
    </xf>
    <xf numFmtId="0" fontId="0" fillId="0" borderId="0" xfId="0" applyAlignment="1">
      <alignment vertical="center" wrapText="1"/>
    </xf>
    <xf numFmtId="22" fontId="0" fillId="0" borderId="0" xfId="0" applyNumberFormat="1" applyAlignment="1">
      <alignment vertical="top"/>
    </xf>
    <xf numFmtId="0" fontId="0" fillId="0" borderId="0" xfId="0" applyAlignment="1">
      <alignment vertical="top"/>
    </xf>
    <xf numFmtId="0" fontId="10" fillId="0" borderId="0" xfId="0" applyFont="1" applyAlignment="1">
      <alignment horizontal="center" vertical="center"/>
    </xf>
    <xf numFmtId="3" fontId="12" fillId="0" borderId="0" xfId="0" applyNumberFormat="1" applyFont="1">
      <alignment vertical="center"/>
    </xf>
    <xf numFmtId="3" fontId="13" fillId="0" borderId="0" xfId="0" applyNumberFormat="1" applyFont="1">
      <alignment vertical="center"/>
    </xf>
    <xf numFmtId="0" fontId="12" fillId="0" borderId="0" xfId="0" applyFont="1">
      <alignment vertical="center"/>
    </xf>
    <xf numFmtId="0" fontId="9" fillId="0" borderId="0" xfId="0" applyFont="1" applyAlignment="1">
      <alignment horizontal="center" vertical="center"/>
    </xf>
    <xf numFmtId="3" fontId="10" fillId="0" borderId="0" xfId="0" applyNumberFormat="1" applyFont="1">
      <alignment vertical="center"/>
    </xf>
    <xf numFmtId="3" fontId="9" fillId="0" borderId="0" xfId="0" applyNumberFormat="1" applyFont="1">
      <alignment vertical="center"/>
    </xf>
    <xf numFmtId="0" fontId="10" fillId="0" borderId="2" xfId="0" applyFont="1" applyBorder="1">
      <alignment vertical="center"/>
    </xf>
    <xf numFmtId="0" fontId="10" fillId="0" borderId="3" xfId="0" applyFont="1" applyBorder="1">
      <alignment vertical="center"/>
    </xf>
    <xf numFmtId="0" fontId="10" fillId="0" borderId="5" xfId="0" applyFont="1" applyBorder="1">
      <alignment vertical="center"/>
    </xf>
    <xf numFmtId="0" fontId="10" fillId="0" borderId="7" xfId="0" applyFont="1" applyBorder="1">
      <alignment vertical="center"/>
    </xf>
    <xf numFmtId="0" fontId="10" fillId="0" borderId="8" xfId="0" applyFont="1" applyBorder="1">
      <alignment vertical="center"/>
    </xf>
    <xf numFmtId="0" fontId="9" fillId="0" borderId="2" xfId="0" applyFont="1" applyBorder="1">
      <alignment vertical="center"/>
    </xf>
    <xf numFmtId="3" fontId="10" fillId="0" borderId="5" xfId="0" applyNumberFormat="1" applyFont="1" applyBorder="1">
      <alignment vertical="center"/>
    </xf>
    <xf numFmtId="3" fontId="10" fillId="0" borderId="4" xfId="0" applyNumberFormat="1" applyFont="1" applyBorder="1">
      <alignment vertical="center"/>
    </xf>
    <xf numFmtId="0" fontId="10" fillId="0" borderId="6" xfId="0" applyFont="1" applyBorder="1">
      <alignment vertical="center"/>
    </xf>
    <xf numFmtId="0" fontId="10" fillId="0" borderId="4" xfId="0" applyFont="1" applyBorder="1">
      <alignment vertical="center"/>
    </xf>
    <xf numFmtId="0" fontId="10" fillId="0" borderId="2" xfId="0" applyFont="1" applyBorder="1" applyAlignment="1">
      <alignment horizontal="center" vertical="center"/>
    </xf>
    <xf numFmtId="0" fontId="10" fillId="0" borderId="1" xfId="0" applyFont="1" applyBorder="1">
      <alignment vertical="center"/>
    </xf>
    <xf numFmtId="0" fontId="0" fillId="18" borderId="0" xfId="0" quotePrefix="1" applyFill="1">
      <alignment vertical="center"/>
    </xf>
    <xf numFmtId="0" fontId="0" fillId="5" borderId="0" xfId="0" quotePrefix="1" applyFill="1">
      <alignment vertical="center"/>
    </xf>
    <xf numFmtId="176" fontId="10" fillId="11" borderId="0" xfId="0" applyNumberFormat="1" applyFont="1" applyFill="1" applyAlignment="1">
      <alignment horizontal="center" vertical="center"/>
    </xf>
    <xf numFmtId="0" fontId="4" fillId="0" borderId="0" xfId="0" applyFont="1" applyAlignment="1">
      <alignment horizontal="left" vertical="center"/>
    </xf>
    <xf numFmtId="0" fontId="4" fillId="13" borderId="5" xfId="0" applyFont="1" applyFill="1" applyBorder="1" applyAlignment="1">
      <alignment horizontal="center" vertical="center"/>
    </xf>
    <xf numFmtId="0" fontId="4" fillId="12" borderId="5" xfId="0" applyFont="1" applyFill="1" applyBorder="1" applyAlignment="1">
      <alignment horizontal="center" vertical="center"/>
    </xf>
    <xf numFmtId="0" fontId="0" fillId="10" borderId="7" xfId="0" applyFill="1" applyBorder="1">
      <alignment vertical="center"/>
    </xf>
    <xf numFmtId="0" fontId="0" fillId="10" borderId="8" xfId="0" applyFill="1" applyBorder="1">
      <alignment vertical="center"/>
    </xf>
    <xf numFmtId="0" fontId="4" fillId="13" borderId="0" xfId="0" applyFont="1" applyFill="1" applyAlignment="1">
      <alignment horizontal="center" vertical="center"/>
    </xf>
    <xf numFmtId="0" fontId="4" fillId="12" borderId="0" xfId="0" applyFont="1" applyFill="1" applyAlignment="1">
      <alignment horizontal="center" vertical="center"/>
    </xf>
    <xf numFmtId="0" fontId="24" fillId="19" borderId="0" xfId="0" applyFont="1" applyFill="1">
      <alignment vertical="center"/>
    </xf>
    <xf numFmtId="0" fontId="24" fillId="0" borderId="0" xfId="0" applyFont="1">
      <alignment vertical="center"/>
    </xf>
    <xf numFmtId="0" fontId="24" fillId="0" borderId="0" xfId="0" applyFont="1" applyAlignment="1">
      <alignment horizontal="left" vertical="center"/>
    </xf>
    <xf numFmtId="0" fontId="25" fillId="20" borderId="0" xfId="0" applyFont="1" applyFill="1" applyAlignment="1">
      <alignment horizontal="center" vertical="center"/>
    </xf>
    <xf numFmtId="0" fontId="5" fillId="21" borderId="16" xfId="0" applyFont="1" applyFill="1" applyBorder="1" applyAlignment="1">
      <alignment horizontal="center" vertical="center"/>
    </xf>
    <xf numFmtId="0" fontId="26" fillId="0" borderId="14" xfId="0" applyFont="1" applyBorder="1">
      <alignment vertical="center"/>
    </xf>
    <xf numFmtId="0" fontId="24" fillId="0" borderId="14" xfId="0" applyFont="1" applyBorder="1">
      <alignment vertical="center"/>
    </xf>
    <xf numFmtId="0" fontId="24" fillId="0" borderId="13" xfId="0" applyFont="1" applyBorder="1">
      <alignment vertical="center"/>
    </xf>
    <xf numFmtId="0" fontId="26" fillId="0" borderId="0" xfId="0" applyFont="1" applyAlignment="1">
      <alignment horizontal="center" vertical="center"/>
    </xf>
    <xf numFmtId="3" fontId="24" fillId="0" borderId="0" xfId="0" applyNumberFormat="1" applyFont="1">
      <alignment vertical="center"/>
    </xf>
    <xf numFmtId="0" fontId="24" fillId="0" borderId="0" xfId="0" applyFont="1" applyAlignment="1">
      <alignment horizontal="right" vertical="center"/>
    </xf>
    <xf numFmtId="3" fontId="26" fillId="0" borderId="0" xfId="0" applyNumberFormat="1" applyFont="1">
      <alignment vertical="center"/>
    </xf>
    <xf numFmtId="0" fontId="24" fillId="0" borderId="14" xfId="0" applyFont="1" applyBorder="1" applyAlignment="1">
      <alignment horizontal="center" vertical="center"/>
    </xf>
    <xf numFmtId="0" fontId="26" fillId="0" borderId="13" xfId="0" applyFont="1" applyBorder="1" applyAlignment="1">
      <alignment horizontal="center" vertical="center"/>
    </xf>
    <xf numFmtId="3" fontId="24" fillId="0" borderId="13" xfId="0" applyNumberFormat="1" applyFont="1" applyBorder="1">
      <alignment vertical="center"/>
    </xf>
    <xf numFmtId="3" fontId="26" fillId="0" borderId="13" xfId="0" applyNumberFormat="1" applyFont="1" applyBorder="1">
      <alignment vertical="center"/>
    </xf>
    <xf numFmtId="0" fontId="24" fillId="0" borderId="0" xfId="0" applyFont="1" applyAlignment="1">
      <alignment horizontal="center" vertical="center"/>
    </xf>
    <xf numFmtId="0" fontId="26" fillId="0" borderId="14" xfId="0" applyFont="1" applyBorder="1" applyAlignment="1">
      <alignment horizontal="center" vertical="center"/>
    </xf>
    <xf numFmtId="0" fontId="24" fillId="0" borderId="16" xfId="0" applyFont="1" applyBorder="1">
      <alignment vertical="center"/>
    </xf>
    <xf numFmtId="0" fontId="26" fillId="0" borderId="16" xfId="0" applyFont="1" applyBorder="1" applyAlignment="1">
      <alignment horizontal="center" vertical="center"/>
    </xf>
    <xf numFmtId="3" fontId="12" fillId="0" borderId="13" xfId="0" applyNumberFormat="1" applyFont="1" applyBorder="1">
      <alignment vertical="center"/>
    </xf>
    <xf numFmtId="3" fontId="13" fillId="0" borderId="13" xfId="0" applyNumberFormat="1" applyFont="1" applyBorder="1">
      <alignment vertical="center"/>
    </xf>
    <xf numFmtId="3" fontId="13" fillId="0" borderId="16" xfId="0" applyNumberFormat="1" applyFont="1" applyBorder="1">
      <alignment vertical="center"/>
    </xf>
    <xf numFmtId="3" fontId="13" fillId="0" borderId="14" xfId="0" applyNumberFormat="1" applyFont="1" applyBorder="1">
      <alignment vertical="center"/>
    </xf>
    <xf numFmtId="0" fontId="27" fillId="0" borderId="0" xfId="0" applyFont="1">
      <alignment vertical="center"/>
    </xf>
    <xf numFmtId="0" fontId="12" fillId="0" borderId="14" xfId="0" applyFont="1" applyBorder="1">
      <alignment vertical="center"/>
    </xf>
    <xf numFmtId="0" fontId="24" fillId="19" borderId="16" xfId="0" applyFont="1" applyFill="1" applyBorder="1">
      <alignment vertical="center"/>
    </xf>
    <xf numFmtId="0" fontId="24" fillId="28" borderId="0" xfId="0" applyFont="1" applyFill="1" applyAlignment="1">
      <alignment horizontal="center" vertical="center"/>
    </xf>
    <xf numFmtId="0" fontId="24" fillId="29" borderId="0" xfId="0" applyFont="1" applyFill="1" applyAlignment="1">
      <alignment horizontal="center" vertical="center"/>
    </xf>
    <xf numFmtId="0" fontId="24" fillId="40" borderId="12" xfId="0" applyFont="1" applyFill="1" applyBorder="1">
      <alignment vertical="center"/>
    </xf>
    <xf numFmtId="0" fontId="24" fillId="40" borderId="19" xfId="0" applyFont="1" applyFill="1" applyBorder="1">
      <alignment vertical="center"/>
    </xf>
    <xf numFmtId="0" fontId="24" fillId="28" borderId="17" xfId="0" applyFont="1" applyFill="1" applyBorder="1" applyAlignment="1">
      <alignment horizontal="center" vertical="center"/>
    </xf>
    <xf numFmtId="0" fontId="24" fillId="29" borderId="17" xfId="0" applyFont="1" applyFill="1" applyBorder="1" applyAlignment="1">
      <alignment horizontal="center" vertical="center"/>
    </xf>
    <xf numFmtId="0" fontId="0" fillId="18" borderId="9" xfId="0" applyFill="1" applyBorder="1" applyAlignment="1">
      <alignment horizontal="left" vertical="center"/>
    </xf>
    <xf numFmtId="0" fontId="0" fillId="18" borderId="10" xfId="0" applyFill="1" applyBorder="1" applyAlignment="1">
      <alignment horizontal="left" vertical="center"/>
    </xf>
    <xf numFmtId="0" fontId="0" fillId="18" borderId="11" xfId="0" applyFill="1" applyBorder="1" applyAlignment="1">
      <alignment horizontal="left" vertical="center"/>
    </xf>
    <xf numFmtId="0" fontId="4" fillId="0" borderId="2" xfId="0" applyFont="1" applyBorder="1" applyAlignment="1">
      <alignment horizontal="left" vertical="center"/>
    </xf>
    <xf numFmtId="0" fontId="4" fillId="0" borderId="3" xfId="0" applyFont="1" applyBorder="1" applyAlignment="1">
      <alignment horizontal="left" vertical="center"/>
    </xf>
    <xf numFmtId="3" fontId="12" fillId="0" borderId="4" xfId="0" applyNumberFormat="1" applyFont="1" applyBorder="1" applyAlignment="1">
      <alignment horizontal="left" vertical="center"/>
    </xf>
    <xf numFmtId="3" fontId="12" fillId="0" borderId="0" xfId="0" applyNumberFormat="1" applyFont="1" applyAlignment="1">
      <alignment horizontal="left" vertical="center"/>
    </xf>
    <xf numFmtId="3" fontId="12" fillId="0" borderId="5" xfId="0" applyNumberFormat="1" applyFont="1" applyBorder="1" applyAlignment="1">
      <alignment horizontal="left" vertical="center"/>
    </xf>
    <xf numFmtId="3" fontId="13" fillId="0" borderId="4" xfId="0" applyNumberFormat="1" applyFont="1" applyBorder="1" applyAlignment="1">
      <alignment horizontal="left" vertical="center"/>
    </xf>
    <xf numFmtId="3" fontId="13" fillId="0" borderId="0" xfId="0" applyNumberFormat="1" applyFont="1" applyAlignment="1">
      <alignment horizontal="left" vertical="center"/>
    </xf>
    <xf numFmtId="3" fontId="13" fillId="0" borderId="5" xfId="0" applyNumberFormat="1" applyFont="1" applyBorder="1" applyAlignment="1">
      <alignment horizontal="left" vertical="center"/>
    </xf>
    <xf numFmtId="0" fontId="12" fillId="0" borderId="6" xfId="0" applyFont="1" applyBorder="1" applyAlignment="1">
      <alignment horizontal="left" vertical="center"/>
    </xf>
    <xf numFmtId="0" fontId="12" fillId="0" borderId="7" xfId="0" applyFont="1" applyBorder="1" applyAlignment="1">
      <alignment horizontal="left" vertical="center"/>
    </xf>
    <xf numFmtId="0" fontId="12" fillId="0" borderId="8" xfId="0" applyFont="1" applyBorder="1" applyAlignment="1">
      <alignment horizontal="left" vertical="center"/>
    </xf>
    <xf numFmtId="0" fontId="12" fillId="0" borderId="4" xfId="0" applyFont="1" applyBorder="1" applyAlignment="1">
      <alignment horizontal="left" vertical="center"/>
    </xf>
    <xf numFmtId="0" fontId="12" fillId="0" borderId="0" xfId="0" applyFont="1" applyAlignment="1">
      <alignment horizontal="left" vertical="center"/>
    </xf>
    <xf numFmtId="0" fontId="12" fillId="0" borderId="5" xfId="0" applyFont="1" applyBorder="1" applyAlignment="1">
      <alignment horizontal="left" vertical="center"/>
    </xf>
    <xf numFmtId="0" fontId="4" fillId="0" borderId="0" xfId="0" applyFont="1" applyAlignment="1">
      <alignment horizontal="left" vertical="center"/>
    </xf>
    <xf numFmtId="0" fontId="4" fillId="0" borderId="5" xfId="0" applyFont="1" applyBorder="1" applyAlignment="1">
      <alignment horizontal="left" vertical="center"/>
    </xf>
    <xf numFmtId="177" fontId="4" fillId="0" borderId="6" xfId="0" applyNumberFormat="1" applyFont="1" applyBorder="1" applyAlignment="1">
      <alignment horizontal="right" vertical="center"/>
    </xf>
    <xf numFmtId="177" fontId="4" fillId="0" borderId="7" xfId="0" applyNumberFormat="1" applyFont="1" applyBorder="1" applyAlignment="1">
      <alignment horizontal="right" vertical="center"/>
    </xf>
    <xf numFmtId="177" fontId="4" fillId="0" borderId="8" xfId="0" applyNumberFormat="1" applyFont="1" applyBorder="1" applyAlignment="1">
      <alignment horizontal="right" vertical="center"/>
    </xf>
    <xf numFmtId="177" fontId="4" fillId="0" borderId="4" xfId="0" applyNumberFormat="1" applyFont="1" applyBorder="1" applyAlignment="1">
      <alignment horizontal="left" vertical="center"/>
    </xf>
    <xf numFmtId="177" fontId="4" fillId="0" borderId="0" xfId="0" applyNumberFormat="1" applyFont="1" applyAlignment="1">
      <alignment horizontal="left" vertical="center"/>
    </xf>
    <xf numFmtId="177" fontId="4" fillId="0" borderId="5" xfId="0" applyNumberFormat="1" applyFont="1" applyBorder="1" applyAlignment="1">
      <alignment horizontal="left" vertical="center"/>
    </xf>
    <xf numFmtId="0" fontId="8" fillId="4" borderId="0" xfId="0" applyFont="1" applyFill="1" applyAlignment="1">
      <alignment horizontal="right" vertical="center"/>
    </xf>
    <xf numFmtId="0" fontId="8" fillId="4" borderId="0" xfId="0" applyFont="1" applyFill="1" applyAlignment="1">
      <alignment horizontal="center" vertical="center"/>
    </xf>
    <xf numFmtId="0" fontId="9" fillId="5" borderId="0" xfId="0" applyFont="1" applyFill="1" applyAlignment="1">
      <alignment horizontal="center" vertical="center"/>
    </xf>
    <xf numFmtId="176" fontId="10" fillId="0" borderId="0" xfId="0" applyNumberFormat="1" applyFont="1" applyAlignment="1">
      <alignment horizontal="right" vertical="center"/>
    </xf>
    <xf numFmtId="0" fontId="10" fillId="0" borderId="0" xfId="0" applyFont="1" applyAlignment="1">
      <alignment horizontal="center" vertical="center"/>
    </xf>
    <xf numFmtId="176" fontId="10" fillId="0" borderId="0" xfId="0" applyNumberFormat="1" applyFont="1" applyAlignment="1">
      <alignment horizontal="center" vertical="center"/>
    </xf>
    <xf numFmtId="0" fontId="24" fillId="0" borderId="14" xfId="0" applyFont="1" applyBorder="1" applyAlignment="1">
      <alignment horizontal="left" vertical="center"/>
    </xf>
    <xf numFmtId="0" fontId="24" fillId="0" borderId="15" xfId="0" applyFont="1" applyBorder="1" applyAlignment="1">
      <alignment horizontal="left" vertical="center"/>
    </xf>
    <xf numFmtId="177" fontId="24" fillId="0" borderId="13" xfId="0" applyNumberFormat="1" applyFont="1" applyBorder="1" applyAlignment="1">
      <alignment horizontal="left" vertical="center"/>
    </xf>
    <xf numFmtId="0" fontId="24" fillId="0" borderId="0" xfId="0" applyFont="1" applyAlignment="1">
      <alignment horizontal="left" vertical="center"/>
    </xf>
    <xf numFmtId="0" fontId="24" fillId="0" borderId="17" xfId="0" applyFont="1" applyBorder="1" applyAlignment="1">
      <alignment horizontal="left" vertical="center"/>
    </xf>
    <xf numFmtId="177" fontId="24" fillId="0" borderId="18" xfId="0" applyNumberFormat="1" applyFont="1" applyBorder="1" applyAlignment="1">
      <alignment horizontal="right" vertical="center"/>
    </xf>
    <xf numFmtId="0" fontId="24" fillId="0" borderId="12" xfId="0" applyFont="1" applyBorder="1" applyAlignment="1">
      <alignment horizontal="right" vertical="center"/>
    </xf>
    <xf numFmtId="0" fontId="24" fillId="0" borderId="19" xfId="0" applyFont="1" applyBorder="1" applyAlignment="1">
      <alignment horizontal="right" vertical="center"/>
    </xf>
    <xf numFmtId="3" fontId="12" fillId="0" borderId="13" xfId="0" applyNumberFormat="1" applyFont="1" applyBorder="1" applyAlignment="1">
      <alignment horizontal="left" vertical="center"/>
    </xf>
    <xf numFmtId="0" fontId="0" fillId="0" borderId="0" xfId="0" applyAlignment="1">
      <alignment horizontal="left" vertical="center"/>
    </xf>
    <xf numFmtId="0" fontId="12" fillId="0" borderId="18" xfId="0" applyFont="1" applyBorder="1" applyAlignment="1">
      <alignment horizontal="right" vertical="center"/>
    </xf>
    <xf numFmtId="0" fontId="0" fillId="0" borderId="12" xfId="0" applyBorder="1" applyAlignment="1">
      <alignment horizontal="right" vertical="center"/>
    </xf>
    <xf numFmtId="0" fontId="0" fillId="0" borderId="14" xfId="0" applyBorder="1" applyAlignment="1">
      <alignment horizontal="left" vertical="center"/>
    </xf>
    <xf numFmtId="0" fontId="12" fillId="0" borderId="13" xfId="0" applyFont="1" applyBorder="1" applyAlignment="1">
      <alignment horizontal="right" vertical="center"/>
    </xf>
    <xf numFmtId="0" fontId="0" fillId="0" borderId="0" xfId="0" applyAlignment="1">
      <alignment horizontal="right" vertical="center"/>
    </xf>
    <xf numFmtId="0" fontId="0" fillId="0" borderId="17" xfId="0" applyBorder="1" applyAlignment="1">
      <alignment horizontal="left" vertical="center"/>
    </xf>
    <xf numFmtId="0" fontId="0" fillId="0" borderId="17" xfId="0" applyBorder="1" applyAlignment="1">
      <alignment horizontal="right" vertical="center"/>
    </xf>
    <xf numFmtId="0" fontId="0" fillId="0" borderId="15" xfId="0" applyBorder="1" applyAlignment="1">
      <alignment horizontal="left" vertical="center"/>
    </xf>
    <xf numFmtId="49" fontId="4" fillId="0" borderId="4" xfId="0" applyNumberFormat="1" applyFont="1" applyBorder="1" applyAlignment="1">
      <alignment horizontal="left" vertical="center"/>
    </xf>
    <xf numFmtId="49" fontId="4" fillId="0" borderId="0" xfId="0" applyNumberFormat="1" applyFont="1" applyAlignment="1">
      <alignment horizontal="left" vertical="center"/>
    </xf>
    <xf numFmtId="49" fontId="4" fillId="0" borderId="5" xfId="0" applyNumberFormat="1" applyFont="1" applyBorder="1" applyAlignment="1">
      <alignment horizontal="left" vertical="center"/>
    </xf>
    <xf numFmtId="49" fontId="4" fillId="0" borderId="6" xfId="0" applyNumberFormat="1" applyFont="1" applyBorder="1" applyAlignment="1">
      <alignment horizontal="left" vertical="center"/>
    </xf>
    <xf numFmtId="49" fontId="4" fillId="0" borderId="7" xfId="0" applyNumberFormat="1" applyFont="1" applyBorder="1" applyAlignment="1">
      <alignment horizontal="left" vertical="center"/>
    </xf>
    <xf numFmtId="49" fontId="4" fillId="0" borderId="8" xfId="0" applyNumberFormat="1" applyFont="1" applyBorder="1" applyAlignment="1">
      <alignment horizontal="left" vertical="center"/>
    </xf>
    <xf numFmtId="49" fontId="24" fillId="0" borderId="13" xfId="0" applyNumberFormat="1" applyFont="1" applyBorder="1" applyAlignment="1">
      <alignment horizontal="left" vertical="center"/>
    </xf>
    <xf numFmtId="49" fontId="24" fillId="0" borderId="18" xfId="0" applyNumberFormat="1" applyFont="1" applyBorder="1" applyAlignment="1">
      <alignment horizontal="left" vertical="center"/>
    </xf>
    <xf numFmtId="0" fontId="24" fillId="0" borderId="12" xfId="0" applyFont="1" applyBorder="1" applyAlignment="1">
      <alignment horizontal="left" vertical="center"/>
    </xf>
    <xf numFmtId="0" fontId="24" fillId="0" borderId="19" xfId="0" applyFont="1" applyBorder="1" applyAlignment="1">
      <alignment horizontal="left" vertical="center"/>
    </xf>
    <xf numFmtId="0" fontId="12" fillId="0" borderId="18" xfId="0" applyFont="1" applyBorder="1" applyAlignment="1">
      <alignment horizontal="left" vertical="center"/>
    </xf>
    <xf numFmtId="0" fontId="0" fillId="0" borderId="12" xfId="0" applyBorder="1" applyAlignment="1">
      <alignment horizontal="left" vertical="center"/>
    </xf>
    <xf numFmtId="0" fontId="0" fillId="0" borderId="19" xfId="0" applyBorder="1" applyAlignment="1">
      <alignment horizontal="left" vertical="center"/>
    </xf>
    <xf numFmtId="176" fontId="10" fillId="0" borderId="6" xfId="0" applyNumberFormat="1" applyFont="1" applyBorder="1" applyAlignment="1">
      <alignment horizontal="right" vertical="center"/>
    </xf>
    <xf numFmtId="176" fontId="10" fillId="0" borderId="7" xfId="0" applyNumberFormat="1" applyFont="1" applyBorder="1" applyAlignment="1">
      <alignment horizontal="right" vertical="center"/>
    </xf>
    <xf numFmtId="176" fontId="10" fillId="11" borderId="0" xfId="0" applyNumberFormat="1" applyFont="1" applyFill="1" applyAlignment="1">
      <alignment horizontal="center" vertical="center"/>
    </xf>
    <xf numFmtId="176" fontId="10" fillId="0" borderId="4" xfId="0" applyNumberFormat="1" applyFont="1" applyBorder="1" applyAlignment="1">
      <alignment horizontal="right" vertical="center"/>
    </xf>
    <xf numFmtId="0" fontId="4" fillId="14" borderId="0" xfId="0" applyFont="1" applyFill="1" applyAlignment="1">
      <alignment horizontal="center" vertical="center"/>
    </xf>
    <xf numFmtId="0" fontId="4" fillId="14" borderId="5" xfId="0" applyFont="1" applyFill="1" applyBorder="1" applyAlignment="1">
      <alignment horizontal="center" vertical="center"/>
    </xf>
    <xf numFmtId="0" fontId="10" fillId="0" borderId="7" xfId="0" applyFont="1" applyBorder="1" applyAlignment="1">
      <alignment horizontal="center" vertical="center"/>
    </xf>
    <xf numFmtId="0" fontId="10" fillId="0" borderId="8" xfId="0" applyFont="1" applyBorder="1" applyAlignment="1">
      <alignment horizontal="center" vertical="center"/>
    </xf>
    <xf numFmtId="0" fontId="4" fillId="13" borderId="0" xfId="0" applyFont="1" applyFill="1" applyAlignment="1">
      <alignment horizontal="center" vertical="center"/>
    </xf>
    <xf numFmtId="0" fontId="4" fillId="13" borderId="5" xfId="0" applyFont="1" applyFill="1" applyBorder="1" applyAlignment="1">
      <alignment horizontal="center" vertical="center"/>
    </xf>
    <xf numFmtId="0" fontId="4" fillId="8" borderId="0" xfId="0" applyFont="1" applyFill="1" applyAlignment="1">
      <alignment horizontal="center" vertical="center"/>
    </xf>
    <xf numFmtId="0" fontId="4" fillId="8" borderId="5" xfId="0" applyFont="1" applyFill="1" applyBorder="1" applyAlignment="1">
      <alignment horizontal="center" vertical="center"/>
    </xf>
    <xf numFmtId="0" fontId="7" fillId="16" borderId="0" xfId="0" applyFont="1" applyFill="1" applyAlignment="1">
      <alignment horizontal="center" vertical="center"/>
    </xf>
    <xf numFmtId="0" fontId="7" fillId="16" borderId="5" xfId="0" applyFont="1" applyFill="1" applyBorder="1" applyAlignment="1">
      <alignment horizontal="center" vertical="center"/>
    </xf>
    <xf numFmtId="176" fontId="10" fillId="10" borderId="0" xfId="0" applyNumberFormat="1" applyFont="1" applyFill="1" applyAlignment="1">
      <alignment horizontal="center" vertical="center"/>
    </xf>
    <xf numFmtId="0" fontId="4" fillId="7" borderId="0" xfId="0" applyFont="1" applyFill="1" applyAlignment="1">
      <alignment horizontal="center" vertical="center"/>
    </xf>
    <xf numFmtId="0" fontId="4" fillId="7" borderId="5" xfId="0" applyFont="1" applyFill="1" applyBorder="1" applyAlignment="1">
      <alignment horizontal="center" vertical="center"/>
    </xf>
    <xf numFmtId="0" fontId="4" fillId="12" borderId="0" xfId="0" applyFont="1" applyFill="1" applyAlignment="1">
      <alignment horizontal="center" vertical="center"/>
    </xf>
    <xf numFmtId="0" fontId="4" fillId="12" borderId="5" xfId="0" applyFont="1" applyFill="1" applyBorder="1" applyAlignment="1">
      <alignment horizontal="center" vertical="center"/>
    </xf>
    <xf numFmtId="0" fontId="4" fillId="32" borderId="0" xfId="0" applyFont="1" applyFill="1" applyAlignment="1">
      <alignment horizontal="center" vertical="center"/>
    </xf>
    <xf numFmtId="0" fontId="4" fillId="32" borderId="5" xfId="0" applyFont="1" applyFill="1" applyBorder="1" applyAlignment="1">
      <alignment horizontal="center" vertical="center"/>
    </xf>
    <xf numFmtId="176" fontId="10" fillId="0" borderId="4" xfId="0" applyNumberFormat="1" applyFont="1" applyBorder="1">
      <alignment vertical="center"/>
    </xf>
    <xf numFmtId="176" fontId="10" fillId="0" borderId="0" xfId="0" applyNumberFormat="1" applyFont="1">
      <alignment vertical="center"/>
    </xf>
    <xf numFmtId="0" fontId="4" fillId="33" borderId="0" xfId="0" applyFont="1" applyFill="1" applyAlignment="1">
      <alignment horizontal="center" vertical="center"/>
    </xf>
    <xf numFmtId="0" fontId="4" fillId="33" borderId="5" xfId="0" applyFont="1" applyFill="1" applyBorder="1" applyAlignment="1">
      <alignment horizontal="center" vertical="center"/>
    </xf>
    <xf numFmtId="0" fontId="8" fillId="4" borderId="1" xfId="0" applyFont="1" applyFill="1" applyBorder="1" applyAlignment="1">
      <alignment horizontal="right" vertical="center"/>
    </xf>
    <xf numFmtId="0" fontId="8" fillId="4" borderId="2" xfId="0" applyFont="1" applyFill="1" applyBorder="1" applyAlignment="1">
      <alignment horizontal="right" vertical="center"/>
    </xf>
    <xf numFmtId="0" fontId="8" fillId="4" borderId="2" xfId="0" applyFont="1" applyFill="1" applyBorder="1" applyAlignment="1">
      <alignment horizontal="center" vertical="center"/>
    </xf>
    <xf numFmtId="0" fontId="8" fillId="4" borderId="3" xfId="0" applyFont="1" applyFill="1" applyBorder="1" applyAlignment="1">
      <alignment horizontal="center" vertical="center"/>
    </xf>
    <xf numFmtId="0" fontId="7" fillId="6" borderId="0" xfId="0" applyFont="1" applyFill="1" applyAlignment="1">
      <alignment horizontal="center" vertical="center"/>
    </xf>
    <xf numFmtId="0" fontId="7" fillId="6" borderId="5" xfId="0" applyFont="1" applyFill="1" applyBorder="1" applyAlignment="1">
      <alignment horizontal="center" vertical="center"/>
    </xf>
    <xf numFmtId="177" fontId="11" fillId="0" borderId="4" xfId="0" applyNumberFormat="1" applyFont="1" applyBorder="1" applyAlignment="1">
      <alignment horizontal="right" vertical="center"/>
    </xf>
    <xf numFmtId="177" fontId="11" fillId="0" borderId="0" xfId="0" applyNumberFormat="1" applyFont="1" applyAlignment="1">
      <alignment horizontal="right" vertical="center"/>
    </xf>
    <xf numFmtId="177" fontId="11" fillId="0" borderId="5" xfId="0" applyNumberFormat="1" applyFont="1" applyBorder="1" applyAlignment="1">
      <alignment horizontal="right" vertical="center"/>
    </xf>
    <xf numFmtId="177" fontId="4" fillId="0" borderId="4" xfId="0" applyNumberFormat="1" applyFont="1" applyBorder="1" applyAlignment="1">
      <alignment horizontal="right" vertical="center"/>
    </xf>
    <xf numFmtId="177" fontId="4" fillId="0" borderId="0" xfId="0" applyNumberFormat="1" applyFont="1" applyAlignment="1">
      <alignment horizontal="right" vertical="center"/>
    </xf>
    <xf numFmtId="177" fontId="4" fillId="0" borderId="5" xfId="0" applyNumberFormat="1" applyFont="1" applyBorder="1" applyAlignment="1">
      <alignment horizontal="right" vertical="center"/>
    </xf>
    <xf numFmtId="38" fontId="24" fillId="0" borderId="18" xfId="0" applyNumberFormat="1" applyFont="1" applyBorder="1" applyAlignment="1">
      <alignment horizontal="right" vertical="center"/>
    </xf>
    <xf numFmtId="3" fontId="24" fillId="0" borderId="12" xfId="0" applyNumberFormat="1" applyFont="1" applyBorder="1" applyAlignment="1">
      <alignment horizontal="right" vertical="center"/>
    </xf>
    <xf numFmtId="0" fontId="24" fillId="0" borderId="12" xfId="0" applyFont="1" applyBorder="1" applyAlignment="1">
      <alignment horizontal="center" vertical="center"/>
    </xf>
    <xf numFmtId="0" fontId="24" fillId="0" borderId="19" xfId="0" applyFont="1" applyBorder="1" applyAlignment="1">
      <alignment horizontal="center" vertical="center"/>
    </xf>
    <xf numFmtId="38" fontId="24" fillId="0" borderId="13" xfId="0" applyNumberFormat="1" applyFont="1" applyBorder="1" applyAlignment="1">
      <alignment horizontal="right" vertical="center"/>
    </xf>
    <xf numFmtId="3" fontId="26" fillId="0" borderId="0" xfId="0" applyNumberFormat="1" applyFont="1" applyAlignment="1">
      <alignment horizontal="right" vertical="center"/>
    </xf>
    <xf numFmtId="0" fontId="24" fillId="28" borderId="0" xfId="0" applyFont="1" applyFill="1" applyAlignment="1">
      <alignment horizontal="center" vertical="center"/>
    </xf>
    <xf numFmtId="0" fontId="24" fillId="0" borderId="17" xfId="0" applyFont="1" applyBorder="1" applyAlignment="1">
      <alignment horizontal="center" vertical="center"/>
    </xf>
    <xf numFmtId="0" fontId="24" fillId="0" borderId="0" xfId="0" applyFont="1" applyAlignment="1">
      <alignment horizontal="right" vertical="center"/>
    </xf>
    <xf numFmtId="0" fontId="24" fillId="29" borderId="0" xfId="0" applyFont="1" applyFill="1" applyAlignment="1">
      <alignment horizontal="center" vertical="center"/>
    </xf>
    <xf numFmtId="0" fontId="24" fillId="30" borderId="0" xfId="0" applyFont="1" applyFill="1" applyAlignment="1">
      <alignment horizontal="center" vertical="center"/>
    </xf>
    <xf numFmtId="38" fontId="24" fillId="0" borderId="13" xfId="0" applyNumberFormat="1" applyFont="1" applyBorder="1">
      <alignment vertical="center"/>
    </xf>
    <xf numFmtId="0" fontId="24" fillId="0" borderId="0" xfId="0" applyFont="1">
      <alignment vertical="center"/>
    </xf>
    <xf numFmtId="0" fontId="24" fillId="26" borderId="0" xfId="0" applyFont="1" applyFill="1" applyAlignment="1">
      <alignment horizontal="center" vertical="center"/>
    </xf>
    <xf numFmtId="0" fontId="24" fillId="34" borderId="0" xfId="0" applyFont="1" applyFill="1" applyAlignment="1">
      <alignment horizontal="center" vertical="center"/>
    </xf>
    <xf numFmtId="3" fontId="24" fillId="0" borderId="0" xfId="0" applyNumberFormat="1" applyFont="1" applyAlignment="1">
      <alignment horizontal="right" vertical="center"/>
    </xf>
    <xf numFmtId="0" fontId="24" fillId="35" borderId="0" xfId="0" applyFont="1" applyFill="1" applyAlignment="1">
      <alignment horizontal="center" vertical="center"/>
    </xf>
    <xf numFmtId="0" fontId="28" fillId="23" borderId="0" xfId="0" applyFont="1" applyFill="1" applyAlignment="1">
      <alignment horizontal="center" vertical="center"/>
    </xf>
    <xf numFmtId="0" fontId="28" fillId="24" borderId="0" xfId="0" applyFont="1" applyFill="1" applyAlignment="1">
      <alignment horizontal="center" vertical="center"/>
    </xf>
    <xf numFmtId="0" fontId="24" fillId="25" borderId="0" xfId="0" applyFont="1" applyFill="1" applyAlignment="1">
      <alignment horizontal="center" vertical="center"/>
    </xf>
    <xf numFmtId="177" fontId="26" fillId="0" borderId="13" xfId="0" applyNumberFormat="1" applyFont="1" applyBorder="1" applyAlignment="1">
      <alignment horizontal="right" vertical="center"/>
    </xf>
    <xf numFmtId="0" fontId="24" fillId="0" borderId="17" xfId="0" applyFont="1" applyBorder="1" applyAlignment="1">
      <alignment horizontal="right" vertical="center"/>
    </xf>
    <xf numFmtId="177" fontId="24" fillId="0" borderId="13" xfId="0" applyNumberFormat="1" applyFont="1" applyBorder="1" applyAlignment="1">
      <alignment horizontal="right" vertical="center"/>
    </xf>
    <xf numFmtId="0" fontId="21" fillId="22" borderId="16" xfId="0" applyFont="1" applyFill="1" applyBorder="1" applyAlignment="1">
      <alignment horizontal="right" vertical="center"/>
    </xf>
    <xf numFmtId="0" fontId="24" fillId="0" borderId="14" xfId="0" applyFont="1" applyBorder="1" applyAlignment="1">
      <alignment horizontal="right" vertical="center"/>
    </xf>
    <xf numFmtId="0" fontId="21" fillId="22" borderId="14" xfId="0" applyFont="1" applyFill="1" applyBorder="1" applyAlignment="1">
      <alignment horizontal="center" vertical="center"/>
    </xf>
    <xf numFmtId="0" fontId="24" fillId="0" borderId="15" xfId="0" applyFont="1" applyBorder="1" applyAlignment="1">
      <alignment horizontal="center" vertical="center"/>
    </xf>
    <xf numFmtId="3" fontId="28" fillId="6" borderId="13" xfId="0" applyNumberFormat="1" applyFont="1" applyFill="1" applyBorder="1" applyAlignment="1">
      <alignment horizontal="right" vertical="center"/>
    </xf>
    <xf numFmtId="3" fontId="12" fillId="7" borderId="13" xfId="0" applyNumberFormat="1" applyFont="1" applyFill="1" applyBorder="1" applyAlignment="1">
      <alignment horizontal="right" vertical="center"/>
    </xf>
    <xf numFmtId="0" fontId="28" fillId="6" borderId="18" xfId="0" applyFont="1" applyFill="1" applyBorder="1" applyAlignment="1">
      <alignment horizontal="right" vertical="center"/>
    </xf>
    <xf numFmtId="0" fontId="0" fillId="0" borderId="19" xfId="0" applyBorder="1" applyAlignment="1">
      <alignment horizontal="right" vertical="center"/>
    </xf>
    <xf numFmtId="0" fontId="12" fillId="7" borderId="18" xfId="0" applyFont="1" applyFill="1" applyBorder="1" applyAlignment="1">
      <alignment horizontal="right" vertical="center"/>
    </xf>
    <xf numFmtId="3" fontId="21" fillId="6" borderId="13" xfId="0" applyNumberFormat="1" applyFont="1" applyFill="1" applyBorder="1" applyAlignment="1">
      <alignment horizontal="right" vertical="center"/>
    </xf>
    <xf numFmtId="3" fontId="13" fillId="7" borderId="13" xfId="0" applyNumberFormat="1" applyFont="1" applyFill="1" applyBorder="1" applyAlignment="1">
      <alignment horizontal="right" vertical="center"/>
    </xf>
    <xf numFmtId="3" fontId="12" fillId="32" borderId="13" xfId="0" applyNumberFormat="1" applyFont="1" applyFill="1" applyBorder="1" applyAlignment="1">
      <alignment horizontal="right" vertical="center"/>
    </xf>
    <xf numFmtId="3" fontId="12" fillId="8" borderId="13" xfId="0" applyNumberFormat="1" applyFont="1" applyFill="1" applyBorder="1" applyAlignment="1">
      <alignment horizontal="right" vertical="center"/>
    </xf>
    <xf numFmtId="0" fontId="12" fillId="32" borderId="18" xfId="0" applyFont="1" applyFill="1" applyBorder="1" applyAlignment="1">
      <alignment horizontal="right" vertical="center"/>
    </xf>
    <xf numFmtId="0" fontId="12" fillId="8" borderId="18" xfId="0" applyFont="1" applyFill="1" applyBorder="1" applyAlignment="1">
      <alignment horizontal="right" vertical="center"/>
    </xf>
    <xf numFmtId="3" fontId="13" fillId="32" borderId="13" xfId="0" applyNumberFormat="1" applyFont="1" applyFill="1" applyBorder="1" applyAlignment="1">
      <alignment horizontal="right" vertical="center"/>
    </xf>
    <xf numFmtId="3" fontId="13" fillId="8" borderId="13" xfId="0" applyNumberFormat="1" applyFont="1" applyFill="1" applyBorder="1" applyAlignment="1">
      <alignment horizontal="right" vertical="center"/>
    </xf>
    <xf numFmtId="3" fontId="12" fillId="33" borderId="13" xfId="0" applyNumberFormat="1" applyFont="1" applyFill="1" applyBorder="1" applyAlignment="1">
      <alignment horizontal="right" vertical="center"/>
    </xf>
    <xf numFmtId="0" fontId="12" fillId="33" borderId="18" xfId="0" applyFont="1" applyFill="1" applyBorder="1" applyAlignment="1">
      <alignment horizontal="right" vertical="center"/>
    </xf>
    <xf numFmtId="3" fontId="13" fillId="33" borderId="13" xfId="0" applyNumberFormat="1" applyFont="1" applyFill="1" applyBorder="1" applyAlignment="1">
      <alignment horizontal="right" vertical="center"/>
    </xf>
    <xf numFmtId="0" fontId="12" fillId="12" borderId="18" xfId="0" applyFont="1" applyFill="1" applyBorder="1" applyAlignment="1">
      <alignment horizontal="right" vertical="center"/>
    </xf>
    <xf numFmtId="3" fontId="13" fillId="12" borderId="13" xfId="0" applyNumberFormat="1" applyFont="1" applyFill="1" applyBorder="1" applyAlignment="1">
      <alignment horizontal="right" vertical="center"/>
    </xf>
    <xf numFmtId="3" fontId="12" fillId="12" borderId="13" xfId="0" applyNumberFormat="1" applyFont="1" applyFill="1" applyBorder="1" applyAlignment="1">
      <alignment horizontal="right" vertical="center"/>
    </xf>
    <xf numFmtId="0" fontId="12" fillId="31" borderId="18" xfId="0" applyFont="1" applyFill="1" applyBorder="1" applyAlignment="1">
      <alignment horizontal="right" vertical="center"/>
    </xf>
    <xf numFmtId="0" fontId="12" fillId="13" borderId="18" xfId="0" applyFont="1" applyFill="1" applyBorder="1" applyAlignment="1">
      <alignment horizontal="right" vertical="center"/>
    </xf>
    <xf numFmtId="0" fontId="12" fillId="14" borderId="18" xfId="0" applyFont="1" applyFill="1" applyBorder="1" applyAlignment="1">
      <alignment horizontal="right" vertical="center"/>
    </xf>
    <xf numFmtId="3" fontId="12" fillId="14" borderId="13" xfId="0" applyNumberFormat="1" applyFont="1" applyFill="1" applyBorder="1" applyAlignment="1">
      <alignment horizontal="right" vertical="center"/>
    </xf>
    <xf numFmtId="3" fontId="12" fillId="31" borderId="13" xfId="0" applyNumberFormat="1" applyFont="1" applyFill="1" applyBorder="1" applyAlignment="1">
      <alignment horizontal="right" vertical="center"/>
    </xf>
    <xf numFmtId="3" fontId="12" fillId="13" borderId="13" xfId="0" applyNumberFormat="1" applyFont="1" applyFill="1" applyBorder="1" applyAlignment="1">
      <alignment horizontal="right" vertical="center"/>
    </xf>
    <xf numFmtId="3" fontId="13" fillId="31" borderId="13" xfId="0" applyNumberFormat="1" applyFont="1" applyFill="1" applyBorder="1" applyAlignment="1">
      <alignment horizontal="right" vertical="center"/>
    </xf>
    <xf numFmtId="3" fontId="13" fillId="13" borderId="13" xfId="0" applyNumberFormat="1" applyFont="1" applyFill="1" applyBorder="1" applyAlignment="1">
      <alignment horizontal="right" vertical="center"/>
    </xf>
    <xf numFmtId="3" fontId="13" fillId="14" borderId="13" xfId="0" applyNumberFormat="1" applyFont="1" applyFill="1" applyBorder="1" applyAlignment="1">
      <alignment horizontal="right" vertical="center"/>
    </xf>
    <xf numFmtId="0" fontId="28" fillId="16" borderId="18" xfId="0" applyFont="1" applyFill="1" applyBorder="1" applyAlignment="1">
      <alignment horizontal="right" vertical="center"/>
    </xf>
    <xf numFmtId="3" fontId="28" fillId="16" borderId="13" xfId="0" applyNumberFormat="1" applyFont="1" applyFill="1" applyBorder="1" applyAlignment="1">
      <alignment horizontal="right" vertical="center"/>
    </xf>
    <xf numFmtId="3" fontId="21" fillId="16" borderId="13" xfId="0" applyNumberFormat="1" applyFont="1" applyFill="1" applyBorder="1" applyAlignment="1">
      <alignment horizontal="right" vertical="center"/>
    </xf>
    <xf numFmtId="0" fontId="7" fillId="15" borderId="0" xfId="0" applyFont="1" applyFill="1" applyAlignment="1">
      <alignment horizontal="center" vertical="center"/>
    </xf>
    <xf numFmtId="0" fontId="7" fillId="15" borderId="5" xfId="0" applyFont="1" applyFill="1" applyBorder="1" applyAlignment="1">
      <alignment horizontal="center" vertical="center"/>
    </xf>
    <xf numFmtId="0" fontId="4" fillId="17" borderId="0" xfId="0" applyFont="1" applyFill="1" applyAlignment="1">
      <alignment horizontal="center" vertical="center"/>
    </xf>
    <xf numFmtId="0" fontId="4" fillId="17" borderId="5" xfId="0" applyFont="1" applyFill="1" applyBorder="1" applyAlignment="1">
      <alignment horizontal="center" vertical="center"/>
    </xf>
    <xf numFmtId="0" fontId="4" fillId="9" borderId="0" xfId="0" applyFont="1" applyFill="1" applyAlignment="1">
      <alignment horizontal="center" vertical="center"/>
    </xf>
    <xf numFmtId="0" fontId="4" fillId="9" borderId="5" xfId="0" applyFont="1" applyFill="1" applyBorder="1" applyAlignment="1">
      <alignment horizontal="center" vertical="center"/>
    </xf>
    <xf numFmtId="0" fontId="4" fillId="0" borderId="7" xfId="0" applyFont="1" applyBorder="1" applyAlignment="1">
      <alignment horizontal="center" vertical="center"/>
    </xf>
    <xf numFmtId="0" fontId="4" fillId="0" borderId="8" xfId="0" applyFont="1" applyBorder="1" applyAlignment="1">
      <alignment horizontal="center" vertical="center"/>
    </xf>
    <xf numFmtId="3" fontId="26" fillId="0" borderId="12" xfId="0" applyNumberFormat="1" applyFont="1" applyBorder="1" applyAlignment="1">
      <alignment horizontal="right" vertical="center"/>
    </xf>
    <xf numFmtId="0" fontId="24" fillId="27" borderId="0" xfId="0" applyFont="1" applyFill="1" applyAlignment="1">
      <alignment horizontal="center" vertical="center"/>
    </xf>
    <xf numFmtId="0" fontId="24" fillId="42" borderId="0" xfId="0" applyFont="1" applyFill="1" applyAlignment="1">
      <alignment horizontal="center" vertical="center"/>
    </xf>
    <xf numFmtId="0" fontId="28" fillId="41" borderId="0" xfId="0" applyFont="1" applyFill="1" applyAlignment="1">
      <alignment horizontal="center" vertical="center"/>
    </xf>
    <xf numFmtId="3" fontId="13" fillId="15" borderId="13" xfId="0" applyNumberFormat="1" applyFont="1" applyFill="1" applyBorder="1" applyAlignment="1">
      <alignment horizontal="right" vertical="center"/>
    </xf>
    <xf numFmtId="0" fontId="12" fillId="15" borderId="18" xfId="0" applyFont="1" applyFill="1" applyBorder="1" applyAlignment="1">
      <alignment horizontal="right" vertical="center"/>
    </xf>
    <xf numFmtId="3" fontId="12" fillId="15" borderId="13" xfId="0" applyNumberFormat="1" applyFont="1" applyFill="1" applyBorder="1" applyAlignment="1">
      <alignment horizontal="right" vertical="center"/>
    </xf>
    <xf numFmtId="3" fontId="13" fillId="9" borderId="13" xfId="0" applyNumberFormat="1" applyFont="1" applyFill="1" applyBorder="1" applyAlignment="1">
      <alignment horizontal="right" vertical="center"/>
    </xf>
    <xf numFmtId="0" fontId="12" fillId="9" borderId="18" xfId="0" applyFont="1" applyFill="1" applyBorder="1" applyAlignment="1">
      <alignment horizontal="right" vertical="center"/>
    </xf>
    <xf numFmtId="3" fontId="12" fillId="9" borderId="13" xfId="0" applyNumberFormat="1" applyFont="1" applyFill="1" applyBorder="1" applyAlignment="1">
      <alignment horizontal="right" vertical="center"/>
    </xf>
    <xf numFmtId="0" fontId="12" fillId="17" borderId="18" xfId="0" applyFont="1" applyFill="1" applyBorder="1" applyAlignment="1">
      <alignment horizontal="right" vertical="center"/>
    </xf>
    <xf numFmtId="3" fontId="13" fillId="17" borderId="13" xfId="0" applyNumberFormat="1" applyFont="1" applyFill="1" applyBorder="1" applyAlignment="1">
      <alignment horizontal="right" vertical="center"/>
    </xf>
    <xf numFmtId="3" fontId="12" fillId="17" borderId="13" xfId="0" applyNumberFormat="1" applyFont="1" applyFill="1" applyBorder="1" applyAlignment="1">
      <alignment horizontal="right" vertical="center"/>
    </xf>
    <xf numFmtId="0" fontId="4" fillId="36" borderId="0" xfId="0" applyFont="1" applyFill="1" applyAlignment="1">
      <alignment horizontal="center" vertical="center"/>
    </xf>
    <xf numFmtId="0" fontId="4" fillId="36" borderId="5" xfId="0" applyFont="1" applyFill="1" applyBorder="1" applyAlignment="1">
      <alignment horizontal="center" vertical="center"/>
    </xf>
    <xf numFmtId="0" fontId="4" fillId="37" borderId="0" xfId="0" applyFont="1" applyFill="1" applyAlignment="1">
      <alignment horizontal="center" vertical="center"/>
    </xf>
    <xf numFmtId="0" fontId="4" fillId="37" borderId="5" xfId="0" applyFont="1" applyFill="1" applyBorder="1" applyAlignment="1">
      <alignment horizontal="center" vertical="center"/>
    </xf>
    <xf numFmtId="0" fontId="24" fillId="38" borderId="0" xfId="0" applyFont="1" applyFill="1" applyAlignment="1">
      <alignment horizontal="center" vertical="center"/>
    </xf>
    <xf numFmtId="0" fontId="24" fillId="39" borderId="0" xfId="0" applyFont="1" applyFill="1" applyAlignment="1">
      <alignment horizontal="center" vertical="center"/>
    </xf>
    <xf numFmtId="3" fontId="13" fillId="37" borderId="13" xfId="0" applyNumberFormat="1" applyFont="1" applyFill="1" applyBorder="1" applyAlignment="1">
      <alignment horizontal="right" vertical="center"/>
    </xf>
    <xf numFmtId="0" fontId="12" fillId="37" borderId="18" xfId="0" applyFont="1" applyFill="1" applyBorder="1" applyAlignment="1">
      <alignment horizontal="right" vertical="center"/>
    </xf>
    <xf numFmtId="3" fontId="12" fillId="37" borderId="13" xfId="0" applyNumberFormat="1" applyFont="1" applyFill="1" applyBorder="1" applyAlignment="1">
      <alignment horizontal="right" vertical="center"/>
    </xf>
    <xf numFmtId="0" fontId="12" fillId="36" borderId="18" xfId="0" applyFont="1" applyFill="1" applyBorder="1" applyAlignment="1">
      <alignment horizontal="right" vertical="center"/>
    </xf>
    <xf numFmtId="3" fontId="13" fillId="36" borderId="13" xfId="0" applyNumberFormat="1" applyFont="1" applyFill="1" applyBorder="1" applyAlignment="1">
      <alignment horizontal="right" vertical="center"/>
    </xf>
    <xf numFmtId="3" fontId="12" fillId="36" borderId="13" xfId="0" applyNumberFormat="1" applyFont="1" applyFill="1" applyBorder="1" applyAlignment="1">
      <alignment horizontal="right" vertical="center"/>
    </xf>
    <xf numFmtId="0" fontId="26" fillId="0" borderId="0" xfId="0" applyFont="1" applyAlignment="1">
      <alignment horizontal="right" vertical="center"/>
    </xf>
    <xf numFmtId="3" fontId="24" fillId="0" borderId="17" xfId="0" applyNumberFormat="1" applyFont="1" applyBorder="1" applyAlignment="1">
      <alignment horizontal="center" vertical="center"/>
    </xf>
    <xf numFmtId="0" fontId="26" fillId="0" borderId="17" xfId="0" applyFont="1" applyBorder="1" applyAlignment="1">
      <alignment horizontal="right" vertical="center"/>
    </xf>
    <xf numFmtId="0" fontId="28" fillId="16" borderId="13" xfId="0" applyFont="1" applyFill="1" applyBorder="1" applyAlignment="1">
      <alignment horizontal="right" vertical="center"/>
    </xf>
    <xf numFmtId="0" fontId="12" fillId="33" borderId="13" xfId="0" applyFont="1" applyFill="1" applyBorder="1" applyAlignment="1">
      <alignment horizontal="right" vertical="center"/>
    </xf>
    <xf numFmtId="0" fontId="12" fillId="7" borderId="13" xfId="0" applyFont="1" applyFill="1" applyBorder="1" applyAlignment="1">
      <alignment horizontal="right" vertical="center"/>
    </xf>
    <xf numFmtId="0" fontId="12" fillId="12" borderId="13" xfId="0" applyFont="1" applyFill="1" applyBorder="1" applyAlignment="1">
      <alignment horizontal="right" vertical="center"/>
    </xf>
    <xf numFmtId="0" fontId="28" fillId="6" borderId="13" xfId="0" applyFont="1" applyFill="1" applyBorder="1" applyAlignment="1">
      <alignment horizontal="right" vertical="center"/>
    </xf>
    <xf numFmtId="0" fontId="12" fillId="14" borderId="13" xfId="0" applyFont="1" applyFill="1" applyBorder="1" applyAlignment="1">
      <alignment horizontal="right" vertical="center"/>
    </xf>
    <xf numFmtId="0" fontId="12" fillId="8" borderId="13" xfId="0" applyFont="1" applyFill="1" applyBorder="1" applyAlignment="1">
      <alignment horizontal="right" vertical="center"/>
    </xf>
    <xf numFmtId="0" fontId="12" fillId="13" borderId="13" xfId="0" applyFont="1" applyFill="1" applyBorder="1" applyAlignment="1">
      <alignment horizontal="right" vertical="center"/>
    </xf>
    <xf numFmtId="0" fontId="12" fillId="36" borderId="13" xfId="0" applyFont="1" applyFill="1" applyBorder="1" applyAlignment="1">
      <alignment horizontal="right" vertical="center"/>
    </xf>
    <xf numFmtId="0" fontId="12" fillId="31" borderId="13" xfId="0" applyFont="1" applyFill="1" applyBorder="1" applyAlignment="1">
      <alignment horizontal="right" vertical="center"/>
    </xf>
  </cellXfs>
  <cellStyles count="2">
    <cellStyle name="ハイパーリンク" xfId="1" builtinId="8"/>
    <cellStyle name="標準" xfId="0" builtinId="0"/>
  </cellStyles>
  <dxfs count="0"/>
  <tableStyles count="0" defaultTableStyle="TableStyleMedium2" defaultPivotStyle="PivotStyleLight16"/>
  <colors>
    <mruColors>
      <color rgb="FFBBFFFF"/>
      <color rgb="FF99EEEE"/>
      <color rgb="FFDDAA00"/>
      <color rgb="FFFFDD66"/>
      <color rgb="FFFFCC99"/>
      <color rgb="FFFFFF99"/>
      <color rgb="FFCCCC00"/>
      <color rgb="FFFFFFAA"/>
      <color rgb="FFFFFFCC"/>
      <color rgb="FFFFFF2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7.png"/><Relationship Id="rId1" Type="http://schemas.openxmlformats.org/officeDocument/2006/relationships/image" Target="../media/image6.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7.png"/><Relationship Id="rId1" Type="http://schemas.openxmlformats.org/officeDocument/2006/relationships/image" Target="../media/image6.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3.png"/></Relationships>
</file>

<file path=xl/drawings/_rels/drawing5.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5.png"/><Relationship Id="rId7" Type="http://schemas.openxmlformats.org/officeDocument/2006/relationships/image" Target="../media/image11.emf"/><Relationship Id="rId2" Type="http://schemas.openxmlformats.org/officeDocument/2006/relationships/image" Target="../media/image7.png"/><Relationship Id="rId1" Type="http://schemas.openxmlformats.org/officeDocument/2006/relationships/image" Target="../media/image6.png"/><Relationship Id="rId6" Type="http://schemas.openxmlformats.org/officeDocument/2006/relationships/image" Target="../media/image8.png"/><Relationship Id="rId5" Type="http://schemas.openxmlformats.org/officeDocument/2006/relationships/image" Target="../media/image3.png"/><Relationship Id="rId4" Type="http://schemas.openxmlformats.org/officeDocument/2006/relationships/image" Target="../media/image10.png"/></Relationships>
</file>

<file path=xl/drawings/_rels/drawing6.xml.rels><?xml version="1.0" encoding="UTF-8" standalone="yes"?>
<Relationships xmlns="http://schemas.openxmlformats.org/package/2006/relationships"><Relationship Id="rId3" Type="http://schemas.openxmlformats.org/officeDocument/2006/relationships/image" Target="../media/image5.png"/><Relationship Id="rId7" Type="http://schemas.openxmlformats.org/officeDocument/2006/relationships/image" Target="../media/image9.png"/><Relationship Id="rId2" Type="http://schemas.openxmlformats.org/officeDocument/2006/relationships/image" Target="../media/image7.png"/><Relationship Id="rId1" Type="http://schemas.openxmlformats.org/officeDocument/2006/relationships/image" Target="../media/image6.png"/><Relationship Id="rId6" Type="http://schemas.openxmlformats.org/officeDocument/2006/relationships/image" Target="../media/image8.png"/><Relationship Id="rId5" Type="http://schemas.openxmlformats.org/officeDocument/2006/relationships/image" Target="../media/image3.png"/><Relationship Id="rId4" Type="http://schemas.openxmlformats.org/officeDocument/2006/relationships/image" Target="../media/image10.png"/></Relationships>
</file>

<file path=xl/drawings/_rels/drawing7.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5.png"/><Relationship Id="rId7" Type="http://schemas.openxmlformats.org/officeDocument/2006/relationships/image" Target="../media/image11.emf"/><Relationship Id="rId2" Type="http://schemas.openxmlformats.org/officeDocument/2006/relationships/image" Target="../media/image7.png"/><Relationship Id="rId1" Type="http://schemas.openxmlformats.org/officeDocument/2006/relationships/image" Target="../media/image6.png"/><Relationship Id="rId6" Type="http://schemas.openxmlformats.org/officeDocument/2006/relationships/image" Target="../media/image8.png"/><Relationship Id="rId5" Type="http://schemas.openxmlformats.org/officeDocument/2006/relationships/image" Target="../media/image3.png"/><Relationship Id="rId4" Type="http://schemas.openxmlformats.org/officeDocument/2006/relationships/image" Target="../media/image10.png"/></Relationships>
</file>

<file path=xl/drawings/_rels/drawing8.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5.png"/><Relationship Id="rId7" Type="http://schemas.openxmlformats.org/officeDocument/2006/relationships/image" Target="../media/image11.emf"/><Relationship Id="rId2" Type="http://schemas.openxmlformats.org/officeDocument/2006/relationships/image" Target="../media/image7.png"/><Relationship Id="rId1" Type="http://schemas.openxmlformats.org/officeDocument/2006/relationships/image" Target="../media/image6.png"/><Relationship Id="rId6" Type="http://schemas.openxmlformats.org/officeDocument/2006/relationships/image" Target="../media/image8.png"/><Relationship Id="rId5" Type="http://schemas.openxmlformats.org/officeDocument/2006/relationships/image" Target="../media/image3.png"/><Relationship Id="rId4" Type="http://schemas.openxmlformats.org/officeDocument/2006/relationships/image" Target="../media/image10.png"/></Relationships>
</file>

<file path=xl/drawings/_rels/drawing9.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5.png"/><Relationship Id="rId7" Type="http://schemas.openxmlformats.org/officeDocument/2006/relationships/image" Target="../media/image11.emf"/><Relationship Id="rId2" Type="http://schemas.openxmlformats.org/officeDocument/2006/relationships/image" Target="../media/image7.png"/><Relationship Id="rId1" Type="http://schemas.openxmlformats.org/officeDocument/2006/relationships/image" Target="../media/image6.png"/><Relationship Id="rId6" Type="http://schemas.openxmlformats.org/officeDocument/2006/relationships/image" Target="../media/image8.png"/><Relationship Id="rId5" Type="http://schemas.openxmlformats.org/officeDocument/2006/relationships/image" Target="../media/image3.png"/><Relationship Id="rId4" Type="http://schemas.openxmlformats.org/officeDocument/2006/relationships/image" Target="../media/image10.png"/></Relationships>
</file>

<file path=xl/drawings/_rels/drawing10.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5.png"/><Relationship Id="rId7" Type="http://schemas.openxmlformats.org/officeDocument/2006/relationships/image" Target="../media/image11.emf"/><Relationship Id="rId2" Type="http://schemas.openxmlformats.org/officeDocument/2006/relationships/image" Target="../media/image7.png"/><Relationship Id="rId1" Type="http://schemas.openxmlformats.org/officeDocument/2006/relationships/image" Target="../media/image6.png"/><Relationship Id="rId6" Type="http://schemas.openxmlformats.org/officeDocument/2006/relationships/image" Target="../media/image8.png"/><Relationship Id="rId5" Type="http://schemas.openxmlformats.org/officeDocument/2006/relationships/image" Target="../media/image3.png"/><Relationship Id="rId4"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twoCellAnchor editAs="oneCell">
    <xdr:from>
      <xdr:col>4</xdr:col>
      <xdr:colOff>266699</xdr:colOff>
      <xdr:row>82</xdr:row>
      <xdr:rowOff>0</xdr:rowOff>
    </xdr:from>
    <xdr:to>
      <xdr:col>44</xdr:col>
      <xdr:colOff>218700</xdr:colOff>
      <xdr:row>93</xdr:row>
      <xdr:rowOff>209550</xdr:rowOff>
    </xdr:to>
    <xdr:pic>
      <xdr:nvPicPr>
        <xdr:cNvPr id="6" name="図 5">
          <a:extLst>
            <a:ext uri="{FF2B5EF4-FFF2-40B4-BE49-F238E27FC236}">
              <a16:creationId xmlns:a16="http://schemas.microsoft.com/office/drawing/2014/main" id="{5D2D356E-BA81-372B-E638-117B0D47045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33499" y="28803600"/>
          <a:ext cx="10620001" cy="3143250"/>
        </a:xfrm>
        <a:prstGeom prst="rect">
          <a:avLst/>
        </a:prstGeom>
      </xdr:spPr>
    </xdr:pic>
    <xdr:clientData/>
  </xdr:twoCellAnchor>
  <xdr:twoCellAnchor editAs="oneCell">
    <xdr:from>
      <xdr:col>5</xdr:col>
      <xdr:colOff>0</xdr:colOff>
      <xdr:row>110</xdr:row>
      <xdr:rowOff>0</xdr:rowOff>
    </xdr:from>
    <xdr:to>
      <xdr:col>13</xdr:col>
      <xdr:colOff>235623</xdr:colOff>
      <xdr:row>123</xdr:row>
      <xdr:rowOff>28064</xdr:rowOff>
    </xdr:to>
    <xdr:pic>
      <xdr:nvPicPr>
        <xdr:cNvPr id="4" name="図 3">
          <a:extLst>
            <a:ext uri="{FF2B5EF4-FFF2-40B4-BE49-F238E27FC236}">
              <a16:creationId xmlns:a16="http://schemas.microsoft.com/office/drawing/2014/main" id="{C46BAF99-D707-AC73-8BFB-BAE9B2E5737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325217" y="23323826"/>
          <a:ext cx="2362321" cy="3473629"/>
        </a:xfrm>
        <a:prstGeom prst="rect">
          <a:avLst/>
        </a:prstGeom>
      </xdr:spPr>
    </xdr:pic>
    <xdr:clientData/>
  </xdr:twoCellAnchor>
  <xdr:twoCellAnchor editAs="oneCell">
    <xdr:from>
      <xdr:col>5</xdr:col>
      <xdr:colOff>0</xdr:colOff>
      <xdr:row>130</xdr:row>
      <xdr:rowOff>0</xdr:rowOff>
    </xdr:from>
    <xdr:to>
      <xdr:col>34</xdr:col>
      <xdr:colOff>82964</xdr:colOff>
      <xdr:row>134</xdr:row>
      <xdr:rowOff>106814</xdr:rowOff>
    </xdr:to>
    <xdr:pic>
      <xdr:nvPicPr>
        <xdr:cNvPr id="24" name="図 23">
          <a:extLst>
            <a:ext uri="{FF2B5EF4-FFF2-40B4-BE49-F238E27FC236}">
              <a16:creationId xmlns:a16="http://schemas.microsoft.com/office/drawing/2014/main" id="{B02A4BEE-20BF-68EA-3E22-F55B62E4FCD6}"/>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25217" y="35250783"/>
          <a:ext cx="7772400" cy="1163813"/>
        </a:xfrm>
        <a:prstGeom prst="rect">
          <a:avLst/>
        </a:prstGeom>
      </xdr:spPr>
    </xdr:pic>
    <xdr:clientData/>
  </xdr:twoCellAnchor>
  <xdr:twoCellAnchor editAs="oneCell">
    <xdr:from>
      <xdr:col>5</xdr:col>
      <xdr:colOff>0</xdr:colOff>
      <xdr:row>27</xdr:row>
      <xdr:rowOff>0</xdr:rowOff>
    </xdr:from>
    <xdr:to>
      <xdr:col>34</xdr:col>
      <xdr:colOff>82964</xdr:colOff>
      <xdr:row>42</xdr:row>
      <xdr:rowOff>182876</xdr:rowOff>
    </xdr:to>
    <xdr:pic>
      <xdr:nvPicPr>
        <xdr:cNvPr id="5" name="図 4">
          <a:extLst>
            <a:ext uri="{FF2B5EF4-FFF2-40B4-BE49-F238E27FC236}">
              <a16:creationId xmlns:a16="http://schemas.microsoft.com/office/drawing/2014/main" id="{D7100F25-B0B4-7746-9438-DD5C30B516CD}"/>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325217" y="7156174"/>
          <a:ext cx="7772400" cy="4155353"/>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0</xdr:colOff>
          <xdr:row>105</xdr:row>
          <xdr:rowOff>241300</xdr:rowOff>
        </xdr:from>
        <xdr:to>
          <xdr:col>12</xdr:col>
          <xdr:colOff>254000</xdr:colOff>
          <xdr:row>108</xdr:row>
          <xdr:rowOff>6350</xdr:rowOff>
        </xdr:to>
        <xdr:sp macro="" textlink="">
          <xdr:nvSpPr>
            <xdr:cNvPr id="107522" name="Button 2" hidden="1">
              <a:extLst>
                <a:ext uri="{63B3BB69-23CF-44E3-9099-C40C66FF867C}">
                  <a14:compatExt spid="_x0000_s107522"/>
                </a:ext>
                <a:ext uri="{FF2B5EF4-FFF2-40B4-BE49-F238E27FC236}">
                  <a16:creationId xmlns:a16="http://schemas.microsoft.com/office/drawing/2014/main" id="{00000000-0008-0000-0000-000002A40100}"/>
                </a:ext>
              </a:extLst>
            </xdr:cNvPr>
            <xdr:cNvSpPr/>
          </xdr:nvSpPr>
          <xdr:spPr bwMode="auto">
            <a:xfrm>
              <a:off x="0" y="0"/>
              <a:ext cx="0" cy="0"/>
            </a:xfrm>
            <a:prstGeom prst="rect">
              <a:avLst/>
            </a:prstGeom>
            <a:noFill/>
            <a:ln w="9525">
              <a:miter lim="800000"/>
              <a:headEnd/>
              <a:tailEnd/>
            </a:ln>
          </xdr:spPr>
          <xdr:txBody>
            <a:bodyPr vertOverflow="clip" wrap="square" lIns="64008" tIns="91440" rIns="64008" bIns="91440" anchor="ctr" upright="1"/>
            <a:lstStyle/>
            <a:p>
              <a:pPr algn="ctr" rtl="0">
                <a:defRPr sz="1000"/>
              </a:pPr>
              <a:r>
                <a:rPr lang="ja-JP" altLang="en-US" sz="2000" b="0" i="0" u="none" strike="noStrike" baseline="0">
                  <a:solidFill>
                    <a:srgbClr val="000000"/>
                  </a:solidFill>
                  <a:latin typeface="游ゴシック"/>
                  <a:ea typeface="游ゴシック"/>
                </a:rPr>
                <a:t>自動生成</a:t>
              </a:r>
            </a:p>
          </xdr:txBody>
        </xdr:sp>
        <xdr:clientData fPrintsWithSheet="0"/>
      </xdr:twoCellAnchor>
    </mc:Choice>
    <mc:Fallback/>
  </mc:AlternateContent>
  <xdr:twoCellAnchor>
    <xdr:from>
      <xdr:col>11</xdr:col>
      <xdr:colOff>47764</xdr:colOff>
      <xdr:row>41</xdr:row>
      <xdr:rowOff>218523</xdr:rowOff>
    </xdr:from>
    <xdr:to>
      <xdr:col>14</xdr:col>
      <xdr:colOff>0</xdr:colOff>
      <xdr:row>42</xdr:row>
      <xdr:rowOff>207065</xdr:rowOff>
    </xdr:to>
    <xdr:sp macro="" textlink="">
      <xdr:nvSpPr>
        <xdr:cNvPr id="12" name="正方形/長方形 11">
          <a:extLst>
            <a:ext uri="{FF2B5EF4-FFF2-40B4-BE49-F238E27FC236}">
              <a16:creationId xmlns:a16="http://schemas.microsoft.com/office/drawing/2014/main" id="{BEE94CEB-9160-204F-5400-236077D57159}"/>
            </a:ext>
          </a:extLst>
        </xdr:cNvPr>
        <xdr:cNvSpPr/>
      </xdr:nvSpPr>
      <xdr:spPr>
        <a:xfrm>
          <a:off x="2963242" y="11085306"/>
          <a:ext cx="747367" cy="253585"/>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201956</xdr:colOff>
      <xdr:row>43</xdr:row>
      <xdr:rowOff>200023</xdr:rowOff>
    </xdr:from>
    <xdr:to>
      <xdr:col>30</xdr:col>
      <xdr:colOff>190499</xdr:colOff>
      <xdr:row>45</xdr:row>
      <xdr:rowOff>49695</xdr:rowOff>
    </xdr:to>
    <xdr:sp macro="" textlink="">
      <xdr:nvSpPr>
        <xdr:cNvPr id="13" name="正方形/長方形 12">
          <a:extLst>
            <a:ext uri="{FF2B5EF4-FFF2-40B4-BE49-F238E27FC236}">
              <a16:creationId xmlns:a16="http://schemas.microsoft.com/office/drawing/2014/main" id="{4A69413F-BB07-4401-A9FE-70CBB715DE04}"/>
            </a:ext>
          </a:extLst>
        </xdr:cNvPr>
        <xdr:cNvSpPr/>
      </xdr:nvSpPr>
      <xdr:spPr>
        <a:xfrm>
          <a:off x="1792217" y="11596893"/>
          <a:ext cx="6349586" cy="379759"/>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154816</xdr:colOff>
      <xdr:row>42</xdr:row>
      <xdr:rowOff>207065</xdr:rowOff>
    </xdr:from>
    <xdr:to>
      <xdr:col>18</xdr:col>
      <xdr:colOff>196227</xdr:colOff>
      <xdr:row>43</xdr:row>
      <xdr:rowOff>200023</xdr:rowOff>
    </xdr:to>
    <xdr:cxnSp macro="">
      <xdr:nvCxnSpPr>
        <xdr:cNvPr id="15" name="直線コネクタ 14">
          <a:extLst>
            <a:ext uri="{FF2B5EF4-FFF2-40B4-BE49-F238E27FC236}">
              <a16:creationId xmlns:a16="http://schemas.microsoft.com/office/drawing/2014/main" id="{0E347A14-E70A-262C-8BD2-FACD7E60DD0C}"/>
            </a:ext>
          </a:extLst>
        </xdr:cNvPr>
        <xdr:cNvCxnSpPr>
          <a:stCxn id="12" idx="2"/>
          <a:endCxn id="13" idx="0"/>
        </xdr:cNvCxnSpPr>
      </xdr:nvCxnSpPr>
      <xdr:spPr>
        <a:xfrm>
          <a:off x="3335338" y="11338891"/>
          <a:ext cx="1631672" cy="258002"/>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86001</xdr:colOff>
      <xdr:row>29</xdr:row>
      <xdr:rowOff>57978</xdr:rowOff>
    </xdr:from>
    <xdr:to>
      <xdr:col>8</xdr:col>
      <xdr:colOff>57978</xdr:colOff>
      <xdr:row>30</xdr:row>
      <xdr:rowOff>16566</xdr:rowOff>
    </xdr:to>
    <xdr:sp macro="" textlink="">
      <xdr:nvSpPr>
        <xdr:cNvPr id="17" name="正方形/長方形 16">
          <a:extLst>
            <a:ext uri="{FF2B5EF4-FFF2-40B4-BE49-F238E27FC236}">
              <a16:creationId xmlns:a16="http://schemas.microsoft.com/office/drawing/2014/main" id="{11DDF0DD-F591-4835-A837-FD6DB6E3E096}"/>
            </a:ext>
          </a:extLst>
        </xdr:cNvPr>
        <xdr:cNvSpPr/>
      </xdr:nvSpPr>
      <xdr:spPr>
        <a:xfrm>
          <a:off x="1941305" y="7744239"/>
          <a:ext cx="237021" cy="223631"/>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202924</xdr:colOff>
      <xdr:row>30</xdr:row>
      <xdr:rowOff>16566</xdr:rowOff>
    </xdr:from>
    <xdr:to>
      <xdr:col>22</xdr:col>
      <xdr:colOff>250065</xdr:colOff>
      <xdr:row>45</xdr:row>
      <xdr:rowOff>256759</xdr:rowOff>
    </xdr:to>
    <xdr:cxnSp macro="">
      <xdr:nvCxnSpPr>
        <xdr:cNvPr id="19" name="直線コネクタ 18">
          <a:extLst>
            <a:ext uri="{FF2B5EF4-FFF2-40B4-BE49-F238E27FC236}">
              <a16:creationId xmlns:a16="http://schemas.microsoft.com/office/drawing/2014/main" id="{2B1CF194-A991-47A9-9E08-52A1F549FDA3}"/>
            </a:ext>
          </a:extLst>
        </xdr:cNvPr>
        <xdr:cNvCxnSpPr>
          <a:stCxn id="17" idx="2"/>
          <a:endCxn id="21" idx="0"/>
        </xdr:cNvCxnSpPr>
      </xdr:nvCxnSpPr>
      <xdr:spPr>
        <a:xfrm>
          <a:off x="2058228" y="7967870"/>
          <a:ext cx="4022794" cy="4215846"/>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160543</xdr:colOff>
      <xdr:row>45</xdr:row>
      <xdr:rowOff>256759</xdr:rowOff>
    </xdr:from>
    <xdr:to>
      <xdr:col>39</xdr:col>
      <xdr:colOff>74543</xdr:colOff>
      <xdr:row>49</xdr:row>
      <xdr:rowOff>47762</xdr:rowOff>
    </xdr:to>
    <xdr:sp macro="" textlink="">
      <xdr:nvSpPr>
        <xdr:cNvPr id="21" name="正方形/長方形 20">
          <a:extLst>
            <a:ext uri="{FF2B5EF4-FFF2-40B4-BE49-F238E27FC236}">
              <a16:creationId xmlns:a16="http://schemas.microsoft.com/office/drawing/2014/main" id="{A0106247-6286-497A-953C-BAD37221C90B}"/>
            </a:ext>
          </a:extLst>
        </xdr:cNvPr>
        <xdr:cNvSpPr/>
      </xdr:nvSpPr>
      <xdr:spPr>
        <a:xfrm>
          <a:off x="1750804" y="12183716"/>
          <a:ext cx="8660435" cy="851176"/>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9526</xdr:colOff>
      <xdr:row>121</xdr:row>
      <xdr:rowOff>160545</xdr:rowOff>
    </xdr:from>
    <xdr:to>
      <xdr:col>14</xdr:col>
      <xdr:colOff>24848</xdr:colOff>
      <xdr:row>122</xdr:row>
      <xdr:rowOff>198782</xdr:rowOff>
    </xdr:to>
    <xdr:sp macro="" textlink="">
      <xdr:nvSpPr>
        <xdr:cNvPr id="29" name="正方形/長方形 28">
          <a:extLst>
            <a:ext uri="{FF2B5EF4-FFF2-40B4-BE49-F238E27FC236}">
              <a16:creationId xmlns:a16="http://schemas.microsoft.com/office/drawing/2014/main" id="{41BEDFB1-27AD-454B-B8FC-5542ED515034}"/>
            </a:ext>
          </a:extLst>
        </xdr:cNvPr>
        <xdr:cNvSpPr/>
      </xdr:nvSpPr>
      <xdr:spPr>
        <a:xfrm>
          <a:off x="2659961" y="26399849"/>
          <a:ext cx="1075496" cy="303281"/>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201956</xdr:colOff>
      <xdr:row>124</xdr:row>
      <xdr:rowOff>198782</xdr:rowOff>
    </xdr:from>
    <xdr:to>
      <xdr:col>35</xdr:col>
      <xdr:colOff>240194</xdr:colOff>
      <xdr:row>126</xdr:row>
      <xdr:rowOff>8283</xdr:rowOff>
    </xdr:to>
    <xdr:sp macro="" textlink="">
      <xdr:nvSpPr>
        <xdr:cNvPr id="30" name="正方形/長方形 29">
          <a:extLst>
            <a:ext uri="{FF2B5EF4-FFF2-40B4-BE49-F238E27FC236}">
              <a16:creationId xmlns:a16="http://schemas.microsoft.com/office/drawing/2014/main" id="{5F663D55-45D1-4A07-A80D-417160A26577}"/>
            </a:ext>
          </a:extLst>
        </xdr:cNvPr>
        <xdr:cNvSpPr/>
      </xdr:nvSpPr>
      <xdr:spPr>
        <a:xfrm>
          <a:off x="1792217" y="27233217"/>
          <a:ext cx="7724499" cy="339588"/>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17187</xdr:colOff>
      <xdr:row>122</xdr:row>
      <xdr:rowOff>201957</xdr:rowOff>
    </xdr:from>
    <xdr:to>
      <xdr:col>21</xdr:col>
      <xdr:colOff>88554</xdr:colOff>
      <xdr:row>124</xdr:row>
      <xdr:rowOff>198782</xdr:rowOff>
    </xdr:to>
    <xdr:cxnSp macro="">
      <xdr:nvCxnSpPr>
        <xdr:cNvPr id="31" name="直線コネクタ 30">
          <a:extLst>
            <a:ext uri="{FF2B5EF4-FFF2-40B4-BE49-F238E27FC236}">
              <a16:creationId xmlns:a16="http://schemas.microsoft.com/office/drawing/2014/main" id="{6A998959-5218-47C6-8CFF-B114DEEA8BC3}"/>
            </a:ext>
          </a:extLst>
        </xdr:cNvPr>
        <xdr:cNvCxnSpPr>
          <a:cxnSpLocks/>
          <a:stCxn id="29" idx="2"/>
          <a:endCxn id="30" idx="0"/>
        </xdr:cNvCxnSpPr>
      </xdr:nvCxnSpPr>
      <xdr:spPr>
        <a:xfrm>
          <a:off x="3197709" y="26706305"/>
          <a:ext cx="2456758" cy="526912"/>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67644</xdr:colOff>
      <xdr:row>92</xdr:row>
      <xdr:rowOff>57288</xdr:rowOff>
    </xdr:from>
    <xdr:to>
      <xdr:col>24</xdr:col>
      <xdr:colOff>36445</xdr:colOff>
      <xdr:row>93</xdr:row>
      <xdr:rowOff>95527</xdr:rowOff>
    </xdr:to>
    <xdr:sp macro="" textlink="">
      <xdr:nvSpPr>
        <xdr:cNvPr id="34" name="正方形/長方形 33">
          <a:extLst>
            <a:ext uri="{FF2B5EF4-FFF2-40B4-BE49-F238E27FC236}">
              <a16:creationId xmlns:a16="http://schemas.microsoft.com/office/drawing/2014/main" id="{49308EB4-D28A-4E92-9FFC-E97AE3A3A25A}"/>
            </a:ext>
          </a:extLst>
        </xdr:cNvPr>
        <xdr:cNvSpPr/>
      </xdr:nvSpPr>
      <xdr:spPr>
        <a:xfrm>
          <a:off x="5668344" y="31527888"/>
          <a:ext cx="768901" cy="304939"/>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198783</xdr:colOff>
      <xdr:row>94</xdr:row>
      <xdr:rowOff>187325</xdr:rowOff>
    </xdr:from>
    <xdr:to>
      <xdr:col>32</xdr:col>
      <xdr:colOff>198783</xdr:colOff>
      <xdr:row>96</xdr:row>
      <xdr:rowOff>44589</xdr:rowOff>
    </xdr:to>
    <xdr:sp macro="" textlink="">
      <xdr:nvSpPr>
        <xdr:cNvPr id="35" name="正方形/長方形 34">
          <a:extLst>
            <a:ext uri="{FF2B5EF4-FFF2-40B4-BE49-F238E27FC236}">
              <a16:creationId xmlns:a16="http://schemas.microsoft.com/office/drawing/2014/main" id="{87233D50-7290-4960-888A-F452FF73DD35}"/>
            </a:ext>
          </a:extLst>
        </xdr:cNvPr>
        <xdr:cNvSpPr/>
      </xdr:nvSpPr>
      <xdr:spPr>
        <a:xfrm>
          <a:off x="1789044" y="32787673"/>
          <a:ext cx="6891130" cy="387351"/>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19</xdr:col>
      <xdr:colOff>201958</xdr:colOff>
      <xdr:row>93</xdr:row>
      <xdr:rowOff>95527</xdr:rowOff>
    </xdr:from>
    <xdr:to>
      <xdr:col>22</xdr:col>
      <xdr:colOff>183807</xdr:colOff>
      <xdr:row>94</xdr:row>
      <xdr:rowOff>187325</xdr:rowOff>
    </xdr:to>
    <xdr:cxnSp macro="">
      <xdr:nvCxnSpPr>
        <xdr:cNvPr id="36" name="直線コネクタ 35">
          <a:extLst>
            <a:ext uri="{FF2B5EF4-FFF2-40B4-BE49-F238E27FC236}">
              <a16:creationId xmlns:a16="http://schemas.microsoft.com/office/drawing/2014/main" id="{8970A218-C8F6-435F-9244-6C0F6C2D6AB8}"/>
            </a:ext>
          </a:extLst>
        </xdr:cNvPr>
        <xdr:cNvCxnSpPr>
          <a:stCxn id="34" idx="2"/>
          <a:endCxn id="35" idx="0"/>
        </xdr:cNvCxnSpPr>
      </xdr:nvCxnSpPr>
      <xdr:spPr>
        <a:xfrm flipH="1">
          <a:off x="5269258" y="31832827"/>
          <a:ext cx="781949" cy="358498"/>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87934</xdr:colOff>
      <xdr:row>132</xdr:row>
      <xdr:rowOff>259933</xdr:rowOff>
    </xdr:from>
    <xdr:to>
      <xdr:col>12</xdr:col>
      <xdr:colOff>215348</xdr:colOff>
      <xdr:row>133</xdr:row>
      <xdr:rowOff>231913</xdr:rowOff>
    </xdr:to>
    <xdr:sp macro="" textlink="">
      <xdr:nvSpPr>
        <xdr:cNvPr id="41" name="正方形/長方形 40">
          <a:extLst>
            <a:ext uri="{FF2B5EF4-FFF2-40B4-BE49-F238E27FC236}">
              <a16:creationId xmlns:a16="http://schemas.microsoft.com/office/drawing/2014/main" id="{EFC2DF8B-4DA8-47BA-BD41-D32D63DA467E}"/>
            </a:ext>
          </a:extLst>
        </xdr:cNvPr>
        <xdr:cNvSpPr/>
      </xdr:nvSpPr>
      <xdr:spPr>
        <a:xfrm>
          <a:off x="2473325" y="36040803"/>
          <a:ext cx="922545" cy="237023"/>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16</xdr:col>
      <xdr:colOff>0</xdr:colOff>
      <xdr:row>132</xdr:row>
      <xdr:rowOff>237022</xdr:rowOff>
    </xdr:from>
    <xdr:to>
      <xdr:col>19</xdr:col>
      <xdr:colOff>16565</xdr:colOff>
      <xdr:row>133</xdr:row>
      <xdr:rowOff>240197</xdr:rowOff>
    </xdr:to>
    <xdr:sp macro="" textlink="">
      <xdr:nvSpPr>
        <xdr:cNvPr id="42" name="正方形/長方形 41">
          <a:extLst>
            <a:ext uri="{FF2B5EF4-FFF2-40B4-BE49-F238E27FC236}">
              <a16:creationId xmlns:a16="http://schemas.microsoft.com/office/drawing/2014/main" id="{205344D8-A424-4A62-9EAB-0DF96F1C7B63}"/>
            </a:ext>
          </a:extLst>
        </xdr:cNvPr>
        <xdr:cNvSpPr/>
      </xdr:nvSpPr>
      <xdr:spPr>
        <a:xfrm>
          <a:off x="4240696" y="36017892"/>
          <a:ext cx="811695" cy="268218"/>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21</xdr:col>
      <xdr:colOff>198784</xdr:colOff>
      <xdr:row>132</xdr:row>
      <xdr:rowOff>254828</xdr:rowOff>
    </xdr:from>
    <xdr:to>
      <xdr:col>24</xdr:col>
      <xdr:colOff>57980</xdr:colOff>
      <xdr:row>133</xdr:row>
      <xdr:rowOff>223630</xdr:rowOff>
    </xdr:to>
    <xdr:sp macro="" textlink="">
      <xdr:nvSpPr>
        <xdr:cNvPr id="43" name="正方形/長方形 42">
          <a:extLst>
            <a:ext uri="{FF2B5EF4-FFF2-40B4-BE49-F238E27FC236}">
              <a16:creationId xmlns:a16="http://schemas.microsoft.com/office/drawing/2014/main" id="{AF479512-282D-4B77-ABAD-F2B7C34A8802}"/>
            </a:ext>
          </a:extLst>
        </xdr:cNvPr>
        <xdr:cNvSpPr/>
      </xdr:nvSpPr>
      <xdr:spPr>
        <a:xfrm>
          <a:off x="5764697" y="36035698"/>
          <a:ext cx="654326" cy="233845"/>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237020</xdr:colOff>
      <xdr:row>136</xdr:row>
      <xdr:rowOff>11458</xdr:rowOff>
    </xdr:from>
    <xdr:to>
      <xdr:col>16</xdr:col>
      <xdr:colOff>198781</xdr:colOff>
      <xdr:row>141</xdr:row>
      <xdr:rowOff>16565</xdr:rowOff>
    </xdr:to>
    <xdr:sp macro="" textlink="">
      <xdr:nvSpPr>
        <xdr:cNvPr id="44" name="正方形/長方形 43">
          <a:extLst>
            <a:ext uri="{FF2B5EF4-FFF2-40B4-BE49-F238E27FC236}">
              <a16:creationId xmlns:a16="http://schemas.microsoft.com/office/drawing/2014/main" id="{E179C16A-04A8-49FA-A4F4-90A46BCC998B}"/>
            </a:ext>
          </a:extLst>
        </xdr:cNvPr>
        <xdr:cNvSpPr/>
      </xdr:nvSpPr>
      <xdr:spPr>
        <a:xfrm>
          <a:off x="1297194" y="40298067"/>
          <a:ext cx="3142283" cy="1330324"/>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221076</xdr:colOff>
      <xdr:row>133</xdr:row>
      <xdr:rowOff>231913</xdr:rowOff>
    </xdr:from>
    <xdr:to>
      <xdr:col>11</xdr:col>
      <xdr:colOff>19120</xdr:colOff>
      <xdr:row>136</xdr:row>
      <xdr:rowOff>8283</xdr:rowOff>
    </xdr:to>
    <xdr:cxnSp macro="">
      <xdr:nvCxnSpPr>
        <xdr:cNvPr id="45" name="直線コネクタ 44">
          <a:extLst>
            <a:ext uri="{FF2B5EF4-FFF2-40B4-BE49-F238E27FC236}">
              <a16:creationId xmlns:a16="http://schemas.microsoft.com/office/drawing/2014/main" id="{B5903625-6998-4BBD-B5F8-19494D2FBA2C}"/>
            </a:ext>
          </a:extLst>
        </xdr:cNvPr>
        <xdr:cNvCxnSpPr>
          <a:stCxn id="41" idx="2"/>
          <a:endCxn id="44" idx="0"/>
        </xdr:cNvCxnSpPr>
      </xdr:nvCxnSpPr>
      <xdr:spPr>
        <a:xfrm flipH="1">
          <a:off x="2871511" y="36277826"/>
          <a:ext cx="63087" cy="571500"/>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221076</xdr:colOff>
      <xdr:row>133</xdr:row>
      <xdr:rowOff>240197</xdr:rowOff>
    </xdr:from>
    <xdr:to>
      <xdr:col>17</xdr:col>
      <xdr:colOff>140805</xdr:colOff>
      <xdr:row>136</xdr:row>
      <xdr:rowOff>8283</xdr:rowOff>
    </xdr:to>
    <xdr:cxnSp macro="">
      <xdr:nvCxnSpPr>
        <xdr:cNvPr id="48" name="直線コネクタ 47">
          <a:extLst>
            <a:ext uri="{FF2B5EF4-FFF2-40B4-BE49-F238E27FC236}">
              <a16:creationId xmlns:a16="http://schemas.microsoft.com/office/drawing/2014/main" id="{5DCA980E-6C0B-4071-9A9E-7A4625810576}"/>
            </a:ext>
          </a:extLst>
        </xdr:cNvPr>
        <xdr:cNvCxnSpPr>
          <a:stCxn id="42" idx="2"/>
          <a:endCxn id="44" idx="0"/>
        </xdr:cNvCxnSpPr>
      </xdr:nvCxnSpPr>
      <xdr:spPr>
        <a:xfrm flipH="1">
          <a:off x="2871511" y="36286110"/>
          <a:ext cx="1775033" cy="563216"/>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221076</xdr:colOff>
      <xdr:row>133</xdr:row>
      <xdr:rowOff>223630</xdr:rowOff>
    </xdr:from>
    <xdr:to>
      <xdr:col>22</xdr:col>
      <xdr:colOff>260903</xdr:colOff>
      <xdr:row>136</xdr:row>
      <xdr:rowOff>8283</xdr:rowOff>
    </xdr:to>
    <xdr:cxnSp macro="">
      <xdr:nvCxnSpPr>
        <xdr:cNvPr id="49" name="直線コネクタ 48">
          <a:extLst>
            <a:ext uri="{FF2B5EF4-FFF2-40B4-BE49-F238E27FC236}">
              <a16:creationId xmlns:a16="http://schemas.microsoft.com/office/drawing/2014/main" id="{34C4C89C-8583-4E4A-91D3-DDD030F52321}"/>
            </a:ext>
          </a:extLst>
        </xdr:cNvPr>
        <xdr:cNvCxnSpPr>
          <a:stCxn id="43" idx="2"/>
          <a:endCxn id="44" idx="0"/>
        </xdr:cNvCxnSpPr>
      </xdr:nvCxnSpPr>
      <xdr:spPr>
        <a:xfrm flipH="1">
          <a:off x="2871511" y="36269543"/>
          <a:ext cx="3220349" cy="579783"/>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xdr:col>
      <xdr:colOff>0</xdr:colOff>
      <xdr:row>5</xdr:row>
      <xdr:rowOff>0</xdr:rowOff>
    </xdr:from>
    <xdr:to>
      <xdr:col>34</xdr:col>
      <xdr:colOff>82964</xdr:colOff>
      <xdr:row>20</xdr:row>
      <xdr:rowOff>150994</xdr:rowOff>
    </xdr:to>
    <xdr:pic>
      <xdr:nvPicPr>
        <xdr:cNvPr id="3" name="図 2">
          <a:extLst>
            <a:ext uri="{FF2B5EF4-FFF2-40B4-BE49-F238E27FC236}">
              <a16:creationId xmlns:a16="http://schemas.microsoft.com/office/drawing/2014/main" id="{6D54C23B-F7E2-DF13-2DD9-8EB21147E217}"/>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25217" y="1325217"/>
          <a:ext cx="7772400" cy="412664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16</xdr:col>
      <xdr:colOff>165100</xdr:colOff>
      <xdr:row>3</xdr:row>
      <xdr:rowOff>104774</xdr:rowOff>
    </xdr:from>
    <xdr:to>
      <xdr:col>27</xdr:col>
      <xdr:colOff>396875</xdr:colOff>
      <xdr:row>16</xdr:row>
      <xdr:rowOff>38100</xdr:rowOff>
    </xdr:to>
    <xdr:sp macro="" textlink="">
      <xdr:nvSpPr>
        <xdr:cNvPr id="2" name="テキスト ボックス 1">
          <a:extLst>
            <a:ext uri="{FF2B5EF4-FFF2-40B4-BE49-F238E27FC236}">
              <a16:creationId xmlns:a16="http://schemas.microsoft.com/office/drawing/2014/main" id="{26A7B456-317D-7837-A90E-CE6A7BEF0801}"/>
            </a:ext>
          </a:extLst>
        </xdr:cNvPr>
        <xdr:cNvSpPr txBox="1"/>
      </xdr:nvSpPr>
      <xdr:spPr>
        <a:xfrm>
          <a:off x="14655800" y="790574"/>
          <a:ext cx="7496175" cy="2905126"/>
        </a:xfrm>
        <a:prstGeom prst="rect">
          <a:avLst/>
        </a:prstGeom>
        <a:solidFill>
          <a:schemeClr val="bg2"/>
        </a:solidFill>
        <a:ln w="381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1" lang="en-US" altLang="ja-JP" sz="1100">
              <a:solidFill>
                <a:schemeClr val="dk1"/>
              </a:solidFill>
              <a:effectLst/>
              <a:latin typeface="+mn-lt"/>
              <a:ea typeface="+mn-ea"/>
              <a:cs typeface="+mn-cs"/>
            </a:rPr>
            <a:t>※</a:t>
          </a:r>
          <a:r>
            <a:rPr kumimoji="1" lang="ja-JP" altLang="ja-JP" sz="1100">
              <a:solidFill>
                <a:schemeClr val="dk1"/>
              </a:solidFill>
              <a:effectLst/>
              <a:latin typeface="+mn-lt"/>
              <a:ea typeface="+mn-ea"/>
              <a:cs typeface="+mn-cs"/>
            </a:rPr>
            <a:t>ヘッダーは１行になるよう手調整してください。</a:t>
          </a:r>
          <a:r>
            <a:rPr kumimoji="1" lang="en-US" altLang="ja-JP" sz="1100">
              <a:solidFill>
                <a:schemeClr val="dk1"/>
              </a:solidFill>
              <a:effectLst/>
              <a:latin typeface="+mn-lt"/>
              <a:ea typeface="+mn-ea"/>
              <a:cs typeface="+mn-cs"/>
            </a:rPr>
            <a:t>A</a:t>
          </a:r>
          <a:r>
            <a:rPr kumimoji="1" lang="ja-JP" altLang="ja-JP" sz="1100">
              <a:solidFill>
                <a:schemeClr val="dk1"/>
              </a:solidFill>
              <a:effectLst/>
              <a:latin typeface="+mn-lt"/>
              <a:ea typeface="+mn-ea"/>
              <a:cs typeface="+mn-cs"/>
            </a:rPr>
            <a:t>列の名前は［</a:t>
          </a:r>
          <a:r>
            <a:rPr kumimoji="1" lang="en-US" altLang="ja-JP" sz="1100">
              <a:solidFill>
                <a:schemeClr val="dk1"/>
              </a:solidFill>
              <a:effectLst/>
              <a:latin typeface="+mn-lt"/>
              <a:ea typeface="+mn-ea"/>
              <a:cs typeface="+mn-cs"/>
            </a:rPr>
            <a:t>InformalCityId</a:t>
          </a:r>
          <a:r>
            <a:rPr kumimoji="1" lang="ja-JP" altLang="ja-JP" sz="1100">
              <a:solidFill>
                <a:schemeClr val="dk1"/>
              </a:solidFill>
              <a:effectLst/>
              <a:latin typeface="+mn-lt"/>
              <a:ea typeface="+mn-ea"/>
              <a:cs typeface="+mn-cs"/>
            </a:rPr>
            <a:t>］にしてください。</a:t>
          </a:r>
          <a:endParaRPr kumimoji="1" lang="en-US" altLang="ja-JP"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ja-JP" altLang="ja-JP">
            <a:effectLst/>
          </a:endParaRPr>
        </a:p>
        <a:p>
          <a:r>
            <a:rPr lang="ja-JP" altLang="en-US" sz="1100" b="0">
              <a:solidFill>
                <a:schemeClr val="dk1"/>
              </a:solidFill>
              <a:effectLst/>
              <a:latin typeface="+mn-lt"/>
              <a:ea typeface="+mn-ea"/>
              <a:cs typeface="+mn-cs"/>
            </a:rPr>
            <a:t>［埼玉県新座市］＞［令和</a:t>
          </a:r>
          <a:r>
            <a:rPr lang="en-US" altLang="ja-JP" sz="1100" b="0">
              <a:solidFill>
                <a:schemeClr val="dk1"/>
              </a:solidFill>
              <a:effectLst/>
              <a:latin typeface="+mn-lt"/>
              <a:ea typeface="+mn-ea"/>
              <a:cs typeface="+mn-cs"/>
            </a:rPr>
            <a:t>7</a:t>
          </a:r>
          <a:r>
            <a:rPr lang="ja-JP" altLang="en-US" sz="1100" b="0">
              <a:solidFill>
                <a:schemeClr val="dk1"/>
              </a:solidFill>
              <a:effectLst/>
              <a:latin typeface="+mn-lt"/>
              <a:ea typeface="+mn-ea"/>
              <a:cs typeface="+mn-cs"/>
            </a:rPr>
            <a:t>年　町・丁目別世帯・人口］  </a:t>
          </a:r>
        </a:p>
        <a:p>
          <a:r>
            <a:rPr lang="en-US" altLang="ja-JP" sz="1100" b="0">
              <a:solidFill>
                <a:schemeClr val="dk1"/>
              </a:solidFill>
              <a:effectLst/>
              <a:latin typeface="+mn-lt"/>
              <a:ea typeface="+mn-ea"/>
              <a:cs typeface="+mn-cs"/>
            </a:rPr>
            <a:t>https://www.city.niiza.lg.jp/site/toukei/jinko-r7.html</a:t>
          </a:r>
        </a:p>
        <a:p>
          <a:endParaRPr lang="en-US" altLang="ja-JP" sz="1100" b="0">
            <a:solidFill>
              <a:schemeClr val="dk1"/>
            </a:solidFill>
            <a:effectLst/>
            <a:latin typeface="+mn-lt"/>
            <a:ea typeface="+mn-ea"/>
            <a:cs typeface="+mn-cs"/>
          </a:endParaRPr>
        </a:p>
        <a:p>
          <a:r>
            <a:rPr lang="ja-JP" altLang="en-US" sz="1100" b="0">
              <a:solidFill>
                <a:schemeClr val="dk1"/>
              </a:solidFill>
              <a:effectLst/>
              <a:latin typeface="+mn-lt"/>
              <a:ea typeface="+mn-ea"/>
              <a:cs typeface="+mn-cs"/>
            </a:rPr>
            <a:t>［郵便局］＞［埼玉県］＞［新座市の郵便番号一覧］</a:t>
          </a:r>
        </a:p>
        <a:p>
          <a:r>
            <a:rPr lang="en-US" altLang="ja-JP" sz="1100" b="0">
              <a:solidFill>
                <a:schemeClr val="dk1"/>
              </a:solidFill>
              <a:effectLst/>
              <a:latin typeface="+mn-lt"/>
              <a:ea typeface="+mn-ea"/>
              <a:cs typeface="+mn-cs"/>
            </a:rPr>
            <a:t>https://www.post.japanpost.jp/cgi-zip/zipcode.php?pref=11&amp;city=1112300&amp;cmp=1&amp;mode=list&amp;addr=</a:t>
          </a:r>
        </a:p>
        <a:p>
          <a:endParaRPr lang="en-US" altLang="ja-JP" sz="1100" b="0">
            <a:solidFill>
              <a:schemeClr val="dk1"/>
            </a:solidFill>
            <a:effectLst/>
            <a:latin typeface="+mn-lt"/>
            <a:ea typeface="+mn-ea"/>
            <a:cs typeface="+mn-cs"/>
          </a:endParaRPr>
        </a:p>
        <a:p>
          <a:r>
            <a:rPr lang="ja-JP" altLang="en-US" sz="1100" b="0">
              <a:solidFill>
                <a:schemeClr val="dk1"/>
              </a:solidFill>
              <a:effectLst/>
              <a:latin typeface="+mn-lt"/>
              <a:ea typeface="+mn-ea"/>
              <a:cs typeface="+mn-cs"/>
            </a:rPr>
            <a:t>［埼玉県新座市］＞［</a:t>
          </a:r>
          <a:r>
            <a:rPr lang="en-US" altLang="ja-JP" sz="1100" b="0">
              <a:solidFill>
                <a:schemeClr val="dk1"/>
              </a:solidFill>
              <a:effectLst/>
              <a:latin typeface="+mn-lt"/>
              <a:ea typeface="+mn-ea"/>
              <a:cs typeface="+mn-cs"/>
            </a:rPr>
            <a:t>〔</a:t>
          </a:r>
          <a:r>
            <a:rPr lang="ja-JP" altLang="en-US" sz="1100" b="0">
              <a:solidFill>
                <a:schemeClr val="dk1"/>
              </a:solidFill>
              <a:effectLst/>
              <a:latin typeface="+mn-lt"/>
              <a:ea typeface="+mn-ea"/>
              <a:cs typeface="+mn-cs"/>
            </a:rPr>
            <a:t>１</a:t>
          </a:r>
          <a:r>
            <a:rPr lang="en-US" altLang="ja-JP" sz="1100" b="0">
              <a:solidFill>
                <a:schemeClr val="dk1"/>
              </a:solidFill>
              <a:effectLst/>
              <a:latin typeface="+mn-lt"/>
              <a:ea typeface="+mn-ea"/>
              <a:cs typeface="+mn-cs"/>
            </a:rPr>
            <a:t>〕 </a:t>
          </a:r>
          <a:r>
            <a:rPr lang="ja-JP" altLang="en-US" sz="1100" b="0">
              <a:solidFill>
                <a:schemeClr val="dk1"/>
              </a:solidFill>
              <a:effectLst/>
              <a:latin typeface="+mn-lt"/>
              <a:ea typeface="+mn-ea"/>
              <a:cs typeface="+mn-cs"/>
            </a:rPr>
            <a:t>土地・気象］＞［</a:t>
          </a:r>
          <a:r>
            <a:rPr lang="en-US" altLang="ja-JP" sz="1100" b="0">
              <a:solidFill>
                <a:schemeClr val="dk1"/>
              </a:solidFill>
              <a:effectLst/>
              <a:latin typeface="+mn-lt"/>
              <a:ea typeface="+mn-ea"/>
              <a:cs typeface="+mn-cs"/>
            </a:rPr>
            <a:t>5 </a:t>
          </a:r>
          <a:r>
            <a:rPr lang="ja-JP" altLang="en-US" sz="1100" b="0">
              <a:solidFill>
                <a:schemeClr val="dk1"/>
              </a:solidFill>
              <a:effectLst/>
              <a:latin typeface="+mn-lt"/>
              <a:ea typeface="+mn-ea"/>
              <a:cs typeface="+mn-cs"/>
            </a:rPr>
            <a:t>地域別面積］</a:t>
          </a:r>
        </a:p>
        <a:p>
          <a:r>
            <a:rPr lang="en-US" altLang="ja-JP" sz="1100" b="0">
              <a:solidFill>
                <a:schemeClr val="dk1"/>
              </a:solidFill>
              <a:effectLst/>
              <a:latin typeface="+mn-lt"/>
              <a:ea typeface="+mn-ea"/>
              <a:cs typeface="+mn-cs"/>
            </a:rPr>
            <a:t>https://www.city.niiza.lg.jp/uploaded/attachment/66471.pdf</a:t>
          </a:r>
        </a:p>
        <a:p>
          <a:endParaRPr lang="en-US" altLang="ja-JP" sz="1100" b="0">
            <a:solidFill>
              <a:schemeClr val="dk1"/>
            </a:solidFill>
            <a:effectLst/>
            <a:latin typeface="+mn-lt"/>
            <a:ea typeface="+mn-ea"/>
            <a:cs typeface="+mn-cs"/>
          </a:endParaRPr>
        </a:p>
        <a:p>
          <a:r>
            <a:rPr lang="ja-JP" altLang="en-US" sz="1100" b="0">
              <a:solidFill>
                <a:schemeClr val="dk1"/>
              </a:solidFill>
              <a:effectLst/>
              <a:latin typeface="+mn-lt"/>
              <a:ea typeface="+mn-ea"/>
              <a:cs typeface="+mn-cs"/>
            </a:rPr>
            <a:t>［マピオン］＞［埼玉県新座市のバス停一覧］</a:t>
          </a:r>
          <a:br>
            <a:rPr lang="en-US" altLang="ja-JP" sz="1100" b="0">
              <a:solidFill>
                <a:schemeClr val="dk1"/>
              </a:solidFill>
              <a:effectLst/>
              <a:latin typeface="+mn-lt"/>
              <a:ea typeface="+mn-ea"/>
              <a:cs typeface="+mn-cs"/>
            </a:rPr>
          </a:br>
          <a:r>
            <a:rPr lang="en-US" altLang="ja-JP" sz="1100" b="0">
              <a:solidFill>
                <a:schemeClr val="dk1"/>
              </a:solidFill>
              <a:effectLst/>
              <a:latin typeface="+mn-lt"/>
              <a:ea typeface="+mn-ea"/>
              <a:cs typeface="+mn-cs"/>
            </a:rPr>
            <a:t>https://www.mapion.co.jp/phonebook/M12001/11230/</a:t>
          </a:r>
        </a:p>
        <a:p>
          <a:endParaRPr lang="en-US" altLang="ja-JP" sz="1100" b="0">
            <a:solidFill>
              <a:schemeClr val="dk1"/>
            </a:solidFill>
            <a:effectLst/>
            <a:latin typeface="+mn-lt"/>
            <a:ea typeface="+mn-ea"/>
            <a:cs typeface="+mn-cs"/>
          </a:endParaRPr>
        </a:p>
        <a:p>
          <a:br>
            <a:rPr lang="en-US" altLang="ja-JP" sz="1100" b="0">
              <a:solidFill>
                <a:schemeClr val="dk1"/>
              </a:solidFill>
              <a:effectLst/>
              <a:latin typeface="+mn-lt"/>
              <a:ea typeface="+mn-ea"/>
              <a:cs typeface="+mn-cs"/>
            </a:rPr>
          </a:br>
          <a:endParaRPr lang="en-US" altLang="ja-JP" sz="1100" b="0">
            <a:solidFill>
              <a:schemeClr val="dk1"/>
            </a:solidFill>
            <a:effectLst/>
            <a:latin typeface="+mn-lt"/>
            <a:ea typeface="+mn-ea"/>
            <a:cs typeface="+mn-cs"/>
          </a:endParaRPr>
        </a:p>
        <a:p>
          <a:endParaRPr kumimoji="1" lang="ja-JP" alt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15876</xdr:colOff>
      <xdr:row>44</xdr:row>
      <xdr:rowOff>9525</xdr:rowOff>
    </xdr:from>
    <xdr:to>
      <xdr:col>13</xdr:col>
      <xdr:colOff>257231</xdr:colOff>
      <xdr:row>52</xdr:row>
      <xdr:rowOff>219075</xdr:rowOff>
    </xdr:to>
    <xdr:pic>
      <xdr:nvPicPr>
        <xdr:cNvPr id="45" name="図 44">
          <a:extLst>
            <a:ext uri="{FF2B5EF4-FFF2-40B4-BE49-F238E27FC236}">
              <a16:creationId xmlns:a16="http://schemas.microsoft.com/office/drawing/2014/main" id="{B58FC016-09E1-15E8-B0E7-7E49DA61BD2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49376" y="9344025"/>
          <a:ext cx="2374955" cy="2343150"/>
        </a:xfrm>
        <a:prstGeom prst="rect">
          <a:avLst/>
        </a:prstGeom>
      </xdr:spPr>
    </xdr:pic>
    <xdr:clientData/>
  </xdr:twoCellAnchor>
  <xdr:twoCellAnchor editAs="oneCell">
    <xdr:from>
      <xdr:col>16</xdr:col>
      <xdr:colOff>0</xdr:colOff>
      <xdr:row>44</xdr:row>
      <xdr:rowOff>0</xdr:rowOff>
    </xdr:from>
    <xdr:to>
      <xdr:col>43</xdr:col>
      <xdr:colOff>208106</xdr:colOff>
      <xdr:row>53</xdr:row>
      <xdr:rowOff>209550</xdr:rowOff>
    </xdr:to>
    <xdr:pic>
      <xdr:nvPicPr>
        <xdr:cNvPr id="9" name="図 8">
          <a:extLst>
            <a:ext uri="{FF2B5EF4-FFF2-40B4-BE49-F238E27FC236}">
              <a16:creationId xmlns:a16="http://schemas.microsoft.com/office/drawing/2014/main" id="{C363E111-65EE-DB84-826E-71115BA41AEB}"/>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267200" y="9334500"/>
          <a:ext cx="7409006" cy="2609850"/>
        </a:xfrm>
        <a:prstGeom prst="rect">
          <a:avLst/>
        </a:prstGeom>
      </xdr:spPr>
    </xdr:pic>
    <xdr:clientData/>
  </xdr:twoCellAnchor>
  <xdr:twoCellAnchor editAs="oneCell">
    <xdr:from>
      <xdr:col>5</xdr:col>
      <xdr:colOff>0</xdr:colOff>
      <xdr:row>102</xdr:row>
      <xdr:rowOff>0</xdr:rowOff>
    </xdr:from>
    <xdr:to>
      <xdr:col>34</xdr:col>
      <xdr:colOff>126267</xdr:colOff>
      <xdr:row>117</xdr:row>
      <xdr:rowOff>170108</xdr:rowOff>
    </xdr:to>
    <xdr:pic>
      <xdr:nvPicPr>
        <xdr:cNvPr id="24" name="図 23">
          <a:extLst>
            <a:ext uri="{FF2B5EF4-FFF2-40B4-BE49-F238E27FC236}">
              <a16:creationId xmlns:a16="http://schemas.microsoft.com/office/drawing/2014/main" id="{37BA78EA-91CB-4223-BDE0-09ACF3FDCD24}"/>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318846" y="25321846"/>
          <a:ext cx="7772400" cy="4126647"/>
        </a:xfrm>
        <a:prstGeom prst="rect">
          <a:avLst/>
        </a:prstGeom>
      </xdr:spPr>
    </xdr:pic>
    <xdr:clientData/>
  </xdr:twoCellAnchor>
  <xdr:twoCellAnchor editAs="oneCell">
    <xdr:from>
      <xdr:col>5</xdr:col>
      <xdr:colOff>0</xdr:colOff>
      <xdr:row>29</xdr:row>
      <xdr:rowOff>0</xdr:rowOff>
    </xdr:from>
    <xdr:to>
      <xdr:col>34</xdr:col>
      <xdr:colOff>123092</xdr:colOff>
      <xdr:row>33</xdr:row>
      <xdr:rowOff>102386</xdr:rowOff>
    </xdr:to>
    <xdr:pic>
      <xdr:nvPicPr>
        <xdr:cNvPr id="7" name="図 6">
          <a:extLst>
            <a:ext uri="{FF2B5EF4-FFF2-40B4-BE49-F238E27FC236}">
              <a16:creationId xmlns:a16="http://schemas.microsoft.com/office/drawing/2014/main" id="{D602EB2C-608D-59D9-0C70-F1761CCF50AC}"/>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318846" y="5275385"/>
          <a:ext cx="7772400" cy="1157463"/>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82550</xdr:colOff>
          <xdr:row>97</xdr:row>
          <xdr:rowOff>184150</xdr:rowOff>
        </xdr:from>
        <xdr:to>
          <xdr:col>12</xdr:col>
          <xdr:colOff>139700</xdr:colOff>
          <xdr:row>100</xdr:row>
          <xdr:rowOff>57150</xdr:rowOff>
        </xdr:to>
        <xdr:sp macro="" textlink="">
          <xdr:nvSpPr>
            <xdr:cNvPr id="73729" name="Button 1" hidden="1">
              <a:extLst>
                <a:ext uri="{63B3BB69-23CF-44E3-9099-C40C66FF867C}">
                  <a14:compatExt spid="_x0000_s73729"/>
                </a:ext>
                <a:ext uri="{FF2B5EF4-FFF2-40B4-BE49-F238E27FC236}">
                  <a16:creationId xmlns:a16="http://schemas.microsoft.com/office/drawing/2014/main" id="{00000000-0008-0000-0600-000001200100}"/>
                </a:ext>
              </a:extLst>
            </xdr:cNvPr>
            <xdr:cNvSpPr/>
          </xdr:nvSpPr>
          <xdr:spPr bwMode="auto">
            <a:xfrm>
              <a:off x="0" y="0"/>
              <a:ext cx="0" cy="0"/>
            </a:xfrm>
            <a:prstGeom prst="rect">
              <a:avLst/>
            </a:prstGeom>
            <a:noFill/>
            <a:ln w="9525">
              <a:miter lim="800000"/>
              <a:headEnd/>
              <a:tailEnd/>
            </a:ln>
          </xdr:spPr>
          <xdr:txBody>
            <a:bodyPr vertOverflow="clip" wrap="square" lIns="64008" tIns="91440" rIns="64008" bIns="91440" anchor="ctr" upright="1"/>
            <a:lstStyle/>
            <a:p>
              <a:pPr algn="ctr" rtl="0">
                <a:defRPr sz="1000"/>
              </a:pPr>
              <a:r>
                <a:rPr lang="ja-JP" altLang="en-US" sz="2000" b="0" i="0" u="none" strike="noStrike" baseline="0">
                  <a:solidFill>
                    <a:srgbClr val="000000"/>
                  </a:solidFill>
                  <a:latin typeface="游ゴシック"/>
                  <a:ea typeface="游ゴシック"/>
                </a:rPr>
                <a:t>自動生成</a:t>
              </a:r>
            </a:p>
          </xdr:txBody>
        </xdr:sp>
        <xdr:clientData fPrintsWithSheet="0"/>
      </xdr:twoCellAnchor>
    </mc:Choice>
    <mc:Fallback/>
  </mc:AlternateContent>
  <xdr:twoCellAnchor editAs="oneCell">
    <xdr:from>
      <xdr:col>5</xdr:col>
      <xdr:colOff>0</xdr:colOff>
      <xdr:row>14</xdr:row>
      <xdr:rowOff>0</xdr:rowOff>
    </xdr:from>
    <xdr:to>
      <xdr:col>31</xdr:col>
      <xdr:colOff>102572</xdr:colOff>
      <xdr:row>18</xdr:row>
      <xdr:rowOff>154767</xdr:rowOff>
    </xdr:to>
    <xdr:pic>
      <xdr:nvPicPr>
        <xdr:cNvPr id="3" name="図 2">
          <a:extLst>
            <a:ext uri="{FF2B5EF4-FFF2-40B4-BE49-F238E27FC236}">
              <a16:creationId xmlns:a16="http://schemas.microsoft.com/office/drawing/2014/main" id="{71778C30-E454-F279-92C3-D54E9F3323BE}"/>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318846" y="1318846"/>
          <a:ext cx="6963747" cy="1209844"/>
        </a:xfrm>
        <a:prstGeom prst="rect">
          <a:avLst/>
        </a:prstGeom>
      </xdr:spPr>
    </xdr:pic>
    <xdr:clientData/>
  </xdr:twoCellAnchor>
  <xdr:twoCellAnchor>
    <xdr:from>
      <xdr:col>18</xdr:col>
      <xdr:colOff>47135</xdr:colOff>
      <xdr:row>16</xdr:row>
      <xdr:rowOff>117229</xdr:rowOff>
    </xdr:from>
    <xdr:to>
      <xdr:col>23</xdr:col>
      <xdr:colOff>36634</xdr:colOff>
      <xdr:row>17</xdr:row>
      <xdr:rowOff>161191</xdr:rowOff>
    </xdr:to>
    <xdr:sp macro="" textlink="">
      <xdr:nvSpPr>
        <xdr:cNvPr id="4" name="正方形/長方形 3">
          <a:extLst>
            <a:ext uri="{FF2B5EF4-FFF2-40B4-BE49-F238E27FC236}">
              <a16:creationId xmlns:a16="http://schemas.microsoft.com/office/drawing/2014/main" id="{57ABA589-6F66-4214-B20A-19EA35236DAB}"/>
            </a:ext>
          </a:extLst>
        </xdr:cNvPr>
        <xdr:cNvSpPr/>
      </xdr:nvSpPr>
      <xdr:spPr>
        <a:xfrm>
          <a:off x="4794981" y="1963614"/>
          <a:ext cx="1308345" cy="307731"/>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238613</xdr:colOff>
      <xdr:row>20</xdr:row>
      <xdr:rowOff>10501</xdr:rowOff>
    </xdr:from>
    <xdr:to>
      <xdr:col>20</xdr:col>
      <xdr:colOff>102577</xdr:colOff>
      <xdr:row>22</xdr:row>
      <xdr:rowOff>7327</xdr:rowOff>
    </xdr:to>
    <xdr:sp macro="" textlink="">
      <xdr:nvSpPr>
        <xdr:cNvPr id="5" name="正方形/長方形 4">
          <a:extLst>
            <a:ext uri="{FF2B5EF4-FFF2-40B4-BE49-F238E27FC236}">
              <a16:creationId xmlns:a16="http://schemas.microsoft.com/office/drawing/2014/main" id="{F7578705-6CF4-4C63-B0FE-7E8C0E5901A3}"/>
            </a:ext>
          </a:extLst>
        </xdr:cNvPr>
        <xdr:cNvSpPr/>
      </xdr:nvSpPr>
      <xdr:spPr>
        <a:xfrm>
          <a:off x="1293690" y="2911963"/>
          <a:ext cx="4084272" cy="524364"/>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170595</xdr:colOff>
      <xdr:row>17</xdr:row>
      <xdr:rowOff>164366</xdr:rowOff>
    </xdr:from>
    <xdr:to>
      <xdr:col>20</xdr:col>
      <xdr:colOff>175356</xdr:colOff>
      <xdr:row>20</xdr:row>
      <xdr:rowOff>7326</xdr:rowOff>
    </xdr:to>
    <xdr:cxnSp macro="">
      <xdr:nvCxnSpPr>
        <xdr:cNvPr id="6" name="直線コネクタ 5">
          <a:extLst>
            <a:ext uri="{FF2B5EF4-FFF2-40B4-BE49-F238E27FC236}">
              <a16:creationId xmlns:a16="http://schemas.microsoft.com/office/drawing/2014/main" id="{3F30D53D-2A23-4916-BA9A-51B35C06C8C6}"/>
            </a:ext>
          </a:extLst>
        </xdr:cNvPr>
        <xdr:cNvCxnSpPr>
          <a:stCxn id="4" idx="2"/>
          <a:endCxn id="5" idx="0"/>
        </xdr:cNvCxnSpPr>
      </xdr:nvCxnSpPr>
      <xdr:spPr>
        <a:xfrm flipH="1">
          <a:off x="3335826" y="2274520"/>
          <a:ext cx="2114915" cy="634268"/>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142385</xdr:colOff>
      <xdr:row>31</xdr:row>
      <xdr:rowOff>259618</xdr:rowOff>
    </xdr:from>
    <xdr:to>
      <xdr:col>16</xdr:col>
      <xdr:colOff>109904</xdr:colOff>
      <xdr:row>32</xdr:row>
      <xdr:rowOff>240812</xdr:rowOff>
    </xdr:to>
    <xdr:sp macro="" textlink="">
      <xdr:nvSpPr>
        <xdr:cNvPr id="12" name="正方形/長方形 11">
          <a:extLst>
            <a:ext uri="{FF2B5EF4-FFF2-40B4-BE49-F238E27FC236}">
              <a16:creationId xmlns:a16="http://schemas.microsoft.com/office/drawing/2014/main" id="{7CBE5985-2C44-4629-836F-E81F1954AE0E}"/>
            </a:ext>
          </a:extLst>
        </xdr:cNvPr>
        <xdr:cNvSpPr/>
      </xdr:nvSpPr>
      <xdr:spPr>
        <a:xfrm>
          <a:off x="3307616" y="6062541"/>
          <a:ext cx="1022596" cy="244963"/>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xdr:col>
      <xdr:colOff>216632</xdr:colOff>
      <xdr:row>34</xdr:row>
      <xdr:rowOff>10501</xdr:rowOff>
    </xdr:from>
    <xdr:to>
      <xdr:col>11</xdr:col>
      <xdr:colOff>212480</xdr:colOff>
      <xdr:row>36</xdr:row>
      <xdr:rowOff>21980</xdr:rowOff>
    </xdr:to>
    <xdr:sp macro="" textlink="">
      <xdr:nvSpPr>
        <xdr:cNvPr id="13" name="正方形/長方形 12">
          <a:extLst>
            <a:ext uri="{FF2B5EF4-FFF2-40B4-BE49-F238E27FC236}">
              <a16:creationId xmlns:a16="http://schemas.microsoft.com/office/drawing/2014/main" id="{E44E3EEE-0624-47F0-B50B-E1109A30BB64}"/>
            </a:ext>
          </a:extLst>
        </xdr:cNvPr>
        <xdr:cNvSpPr/>
      </xdr:nvSpPr>
      <xdr:spPr>
        <a:xfrm>
          <a:off x="1535478" y="6604732"/>
          <a:ext cx="1578464" cy="539017"/>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216144</xdr:colOff>
      <xdr:row>32</xdr:row>
      <xdr:rowOff>240812</xdr:rowOff>
    </xdr:from>
    <xdr:to>
      <xdr:col>14</xdr:col>
      <xdr:colOff>126145</xdr:colOff>
      <xdr:row>34</xdr:row>
      <xdr:rowOff>7326</xdr:rowOff>
    </xdr:to>
    <xdr:cxnSp macro="">
      <xdr:nvCxnSpPr>
        <xdr:cNvPr id="14" name="直線コネクタ 13">
          <a:extLst>
            <a:ext uri="{FF2B5EF4-FFF2-40B4-BE49-F238E27FC236}">
              <a16:creationId xmlns:a16="http://schemas.microsoft.com/office/drawing/2014/main" id="{25DC3354-23B6-42EC-A137-C20474DC6701}"/>
            </a:ext>
          </a:extLst>
        </xdr:cNvPr>
        <xdr:cNvCxnSpPr>
          <a:stCxn id="12" idx="2"/>
          <a:endCxn id="13" idx="0"/>
        </xdr:cNvCxnSpPr>
      </xdr:nvCxnSpPr>
      <xdr:spPr>
        <a:xfrm flipH="1">
          <a:off x="2326298" y="6307504"/>
          <a:ext cx="1492616" cy="294053"/>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190500</xdr:colOff>
      <xdr:row>45</xdr:row>
      <xdr:rowOff>152400</xdr:rowOff>
    </xdr:from>
    <xdr:to>
      <xdr:col>9</xdr:col>
      <xdr:colOff>104775</xdr:colOff>
      <xdr:row>48</xdr:row>
      <xdr:rowOff>66675</xdr:rowOff>
    </xdr:to>
    <xdr:sp macro="" textlink="">
      <xdr:nvSpPr>
        <xdr:cNvPr id="19" name="正方形/長方形 18">
          <a:extLst>
            <a:ext uri="{FF2B5EF4-FFF2-40B4-BE49-F238E27FC236}">
              <a16:creationId xmlns:a16="http://schemas.microsoft.com/office/drawing/2014/main" id="{EAB33314-D831-417A-836C-586F93E39091}"/>
            </a:ext>
          </a:extLst>
        </xdr:cNvPr>
        <xdr:cNvSpPr/>
      </xdr:nvSpPr>
      <xdr:spPr>
        <a:xfrm>
          <a:off x="1790700" y="9753600"/>
          <a:ext cx="714375" cy="714375"/>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237636</xdr:colOff>
      <xdr:row>53</xdr:row>
      <xdr:rowOff>216633</xdr:rowOff>
    </xdr:from>
    <xdr:to>
      <xdr:col>14</xdr:col>
      <xdr:colOff>7327</xdr:colOff>
      <xdr:row>55</xdr:row>
      <xdr:rowOff>29307</xdr:rowOff>
    </xdr:to>
    <xdr:sp macro="" textlink="">
      <xdr:nvSpPr>
        <xdr:cNvPr id="20" name="正方形/長方形 19">
          <a:extLst>
            <a:ext uri="{FF2B5EF4-FFF2-40B4-BE49-F238E27FC236}">
              <a16:creationId xmlns:a16="http://schemas.microsoft.com/office/drawing/2014/main" id="{9E920041-CCBB-432E-A60B-E817B39B3B4A}"/>
            </a:ext>
          </a:extLst>
        </xdr:cNvPr>
        <xdr:cNvSpPr/>
      </xdr:nvSpPr>
      <xdr:spPr>
        <a:xfrm>
          <a:off x="1292713" y="11822479"/>
          <a:ext cx="2407383" cy="340213"/>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14288</xdr:colOff>
      <xdr:row>48</xdr:row>
      <xdr:rowOff>66675</xdr:rowOff>
    </xdr:from>
    <xdr:to>
      <xdr:col>9</xdr:col>
      <xdr:colOff>125657</xdr:colOff>
      <xdr:row>53</xdr:row>
      <xdr:rowOff>219808</xdr:rowOff>
    </xdr:to>
    <xdr:cxnSp macro="">
      <xdr:nvCxnSpPr>
        <xdr:cNvPr id="21" name="直線コネクタ 20">
          <a:extLst>
            <a:ext uri="{FF2B5EF4-FFF2-40B4-BE49-F238E27FC236}">
              <a16:creationId xmlns:a16="http://schemas.microsoft.com/office/drawing/2014/main" id="{32E056D2-389D-48EF-B4D3-0C0279FA2039}"/>
            </a:ext>
          </a:extLst>
        </xdr:cNvPr>
        <xdr:cNvCxnSpPr>
          <a:stCxn id="19" idx="2"/>
          <a:endCxn id="20" idx="0"/>
        </xdr:cNvCxnSpPr>
      </xdr:nvCxnSpPr>
      <xdr:spPr>
        <a:xfrm>
          <a:off x="2147888" y="10467975"/>
          <a:ext cx="378069" cy="1486633"/>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231287</xdr:colOff>
      <xdr:row>44</xdr:row>
      <xdr:rowOff>208085</xdr:rowOff>
    </xdr:from>
    <xdr:to>
      <xdr:col>43</xdr:col>
      <xdr:colOff>247651</xdr:colOff>
      <xdr:row>45</xdr:row>
      <xdr:rowOff>219075</xdr:rowOff>
    </xdr:to>
    <xdr:sp macro="" textlink="">
      <xdr:nvSpPr>
        <xdr:cNvPr id="26" name="正方形/長方形 25">
          <a:extLst>
            <a:ext uri="{FF2B5EF4-FFF2-40B4-BE49-F238E27FC236}">
              <a16:creationId xmlns:a16="http://schemas.microsoft.com/office/drawing/2014/main" id="{3715A18C-C778-4645-8919-A5159467E1C7}"/>
            </a:ext>
          </a:extLst>
        </xdr:cNvPr>
        <xdr:cNvSpPr/>
      </xdr:nvSpPr>
      <xdr:spPr>
        <a:xfrm>
          <a:off x="4498487" y="9542585"/>
          <a:ext cx="7217264" cy="277690"/>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201980</xdr:colOff>
      <xdr:row>54</xdr:row>
      <xdr:rowOff>212480</xdr:rowOff>
    </xdr:from>
    <xdr:to>
      <xdr:col>25</xdr:col>
      <xdr:colOff>36634</xdr:colOff>
      <xdr:row>56</xdr:row>
      <xdr:rowOff>256442</xdr:rowOff>
    </xdr:to>
    <xdr:sp macro="" textlink="">
      <xdr:nvSpPr>
        <xdr:cNvPr id="27" name="正方形/長方形 26">
          <a:extLst>
            <a:ext uri="{FF2B5EF4-FFF2-40B4-BE49-F238E27FC236}">
              <a16:creationId xmlns:a16="http://schemas.microsoft.com/office/drawing/2014/main" id="{15B2C783-677E-43C0-BAB0-86079D9945A0}"/>
            </a:ext>
          </a:extLst>
        </xdr:cNvPr>
        <xdr:cNvSpPr/>
      </xdr:nvSpPr>
      <xdr:spPr>
        <a:xfrm>
          <a:off x="3894749" y="12082095"/>
          <a:ext cx="2736116" cy="571501"/>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19</xdr:col>
      <xdr:colOff>251070</xdr:colOff>
      <xdr:row>45</xdr:row>
      <xdr:rowOff>219075</xdr:rowOff>
    </xdr:from>
    <xdr:to>
      <xdr:col>30</xdr:col>
      <xdr:colOff>106119</xdr:colOff>
      <xdr:row>54</xdr:row>
      <xdr:rowOff>212480</xdr:rowOff>
    </xdr:to>
    <xdr:cxnSp macro="">
      <xdr:nvCxnSpPr>
        <xdr:cNvPr id="28" name="直線コネクタ 27">
          <a:extLst>
            <a:ext uri="{FF2B5EF4-FFF2-40B4-BE49-F238E27FC236}">
              <a16:creationId xmlns:a16="http://schemas.microsoft.com/office/drawing/2014/main" id="{E62BA59E-42CD-438D-B661-EB11275C3713}"/>
            </a:ext>
          </a:extLst>
        </xdr:cNvPr>
        <xdr:cNvCxnSpPr>
          <a:stCxn id="26" idx="2"/>
          <a:endCxn id="27" idx="0"/>
        </xdr:cNvCxnSpPr>
      </xdr:nvCxnSpPr>
      <xdr:spPr>
        <a:xfrm flipH="1">
          <a:off x="5318370" y="9820275"/>
          <a:ext cx="2788749" cy="2393705"/>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179998</xdr:colOff>
      <xdr:row>116</xdr:row>
      <xdr:rowOff>179022</xdr:rowOff>
    </xdr:from>
    <xdr:to>
      <xdr:col>18</xdr:col>
      <xdr:colOff>131885</xdr:colOff>
      <xdr:row>117</xdr:row>
      <xdr:rowOff>117230</xdr:rowOff>
    </xdr:to>
    <xdr:sp macro="" textlink="">
      <xdr:nvSpPr>
        <xdr:cNvPr id="36" name="正方形/長方形 35">
          <a:extLst>
            <a:ext uri="{FF2B5EF4-FFF2-40B4-BE49-F238E27FC236}">
              <a16:creationId xmlns:a16="http://schemas.microsoft.com/office/drawing/2014/main" id="{84BFB818-288A-4AA1-8A78-D784CEBC9C6D}"/>
            </a:ext>
          </a:extLst>
        </xdr:cNvPr>
        <xdr:cNvSpPr/>
      </xdr:nvSpPr>
      <xdr:spPr>
        <a:xfrm>
          <a:off x="4136536" y="29193637"/>
          <a:ext cx="743195" cy="201978"/>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259618</xdr:colOff>
      <xdr:row>119</xdr:row>
      <xdr:rowOff>11479</xdr:rowOff>
    </xdr:from>
    <xdr:to>
      <xdr:col>16</xdr:col>
      <xdr:colOff>153865</xdr:colOff>
      <xdr:row>119</xdr:row>
      <xdr:rowOff>234462</xdr:rowOff>
    </xdr:to>
    <xdr:sp macro="" textlink="">
      <xdr:nvSpPr>
        <xdr:cNvPr id="37" name="正方形/長方形 36">
          <a:extLst>
            <a:ext uri="{FF2B5EF4-FFF2-40B4-BE49-F238E27FC236}">
              <a16:creationId xmlns:a16="http://schemas.microsoft.com/office/drawing/2014/main" id="{CD03798A-9F65-4047-9C2F-360081E8620D}"/>
            </a:ext>
          </a:extLst>
        </xdr:cNvPr>
        <xdr:cNvSpPr/>
      </xdr:nvSpPr>
      <xdr:spPr>
        <a:xfrm>
          <a:off x="1842233" y="29817402"/>
          <a:ext cx="2531940" cy="222983"/>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205154</xdr:colOff>
      <xdr:row>117</xdr:row>
      <xdr:rowOff>117230</xdr:rowOff>
    </xdr:from>
    <xdr:to>
      <xdr:col>17</xdr:col>
      <xdr:colOff>24057</xdr:colOff>
      <xdr:row>119</xdr:row>
      <xdr:rowOff>8304</xdr:rowOff>
    </xdr:to>
    <xdr:cxnSp macro="">
      <xdr:nvCxnSpPr>
        <xdr:cNvPr id="38" name="直線コネクタ 37">
          <a:extLst>
            <a:ext uri="{FF2B5EF4-FFF2-40B4-BE49-F238E27FC236}">
              <a16:creationId xmlns:a16="http://schemas.microsoft.com/office/drawing/2014/main" id="{3A40F674-D0D4-4F48-A3B4-3E6A8255D88D}"/>
            </a:ext>
          </a:extLst>
        </xdr:cNvPr>
        <xdr:cNvCxnSpPr>
          <a:stCxn id="36" idx="2"/>
          <a:endCxn id="37" idx="0"/>
        </xdr:cNvCxnSpPr>
      </xdr:nvCxnSpPr>
      <xdr:spPr>
        <a:xfrm flipH="1">
          <a:off x="3106616" y="29395615"/>
          <a:ext cx="1401518" cy="418612"/>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171450</xdr:colOff>
      <xdr:row>86</xdr:row>
      <xdr:rowOff>50800</xdr:rowOff>
    </xdr:from>
    <xdr:to>
      <xdr:col>25</xdr:col>
      <xdr:colOff>95250</xdr:colOff>
      <xdr:row>88</xdr:row>
      <xdr:rowOff>222250</xdr:rowOff>
    </xdr:to>
    <xdr:sp macro="" textlink="">
      <xdr:nvSpPr>
        <xdr:cNvPr id="8" name="正方形/長方形 7">
          <a:extLst>
            <a:ext uri="{FF2B5EF4-FFF2-40B4-BE49-F238E27FC236}">
              <a16:creationId xmlns:a16="http://schemas.microsoft.com/office/drawing/2014/main" id="{253C2D75-BCA9-42F5-8553-63AF841D7A26}"/>
            </a:ext>
          </a:extLst>
        </xdr:cNvPr>
        <xdr:cNvSpPr/>
      </xdr:nvSpPr>
      <xdr:spPr>
        <a:xfrm>
          <a:off x="4171950" y="23787100"/>
          <a:ext cx="2590800" cy="704850"/>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107950</xdr:colOff>
      <xdr:row>83</xdr:row>
      <xdr:rowOff>254000</xdr:rowOff>
    </xdr:from>
    <xdr:to>
      <xdr:col>20</xdr:col>
      <xdr:colOff>133350</xdr:colOff>
      <xdr:row>86</xdr:row>
      <xdr:rowOff>50800</xdr:rowOff>
    </xdr:to>
    <xdr:cxnSp macro="">
      <xdr:nvCxnSpPr>
        <xdr:cNvPr id="10" name="直線コネクタ 9">
          <a:extLst>
            <a:ext uri="{FF2B5EF4-FFF2-40B4-BE49-F238E27FC236}">
              <a16:creationId xmlns:a16="http://schemas.microsoft.com/office/drawing/2014/main" id="{9589C061-3EFA-44B9-8074-2D04FA30E5BF}"/>
            </a:ext>
          </a:extLst>
        </xdr:cNvPr>
        <xdr:cNvCxnSpPr>
          <a:stCxn id="42" idx="2"/>
          <a:endCxn id="8" idx="0"/>
        </xdr:cNvCxnSpPr>
      </xdr:nvCxnSpPr>
      <xdr:spPr>
        <a:xfrm>
          <a:off x="3308350" y="18122900"/>
          <a:ext cx="2159000" cy="5664200"/>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234950</xdr:colOff>
      <xdr:row>81</xdr:row>
      <xdr:rowOff>254000</xdr:rowOff>
    </xdr:from>
    <xdr:to>
      <xdr:col>11</xdr:col>
      <xdr:colOff>31750</xdr:colOff>
      <xdr:row>83</xdr:row>
      <xdr:rowOff>44450</xdr:rowOff>
    </xdr:to>
    <xdr:sp macro="" textlink="">
      <xdr:nvSpPr>
        <xdr:cNvPr id="23" name="正方形/長方形 22">
          <a:extLst>
            <a:ext uri="{FF2B5EF4-FFF2-40B4-BE49-F238E27FC236}">
              <a16:creationId xmlns:a16="http://schemas.microsoft.com/office/drawing/2014/main" id="{5CDBA704-4188-4129-A13E-33DA30B97286}"/>
            </a:ext>
          </a:extLst>
        </xdr:cNvPr>
        <xdr:cNvSpPr/>
      </xdr:nvSpPr>
      <xdr:spPr>
        <a:xfrm>
          <a:off x="1568450" y="17589500"/>
          <a:ext cx="1397000" cy="32385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190500</xdr:colOff>
      <xdr:row>89</xdr:row>
      <xdr:rowOff>69850</xdr:rowOff>
    </xdr:from>
    <xdr:to>
      <xdr:col>14</xdr:col>
      <xdr:colOff>120650</xdr:colOff>
      <xdr:row>91</xdr:row>
      <xdr:rowOff>228600</xdr:rowOff>
    </xdr:to>
    <xdr:sp macro="" textlink="">
      <xdr:nvSpPr>
        <xdr:cNvPr id="29" name="正方形/長方形 28">
          <a:extLst>
            <a:ext uri="{FF2B5EF4-FFF2-40B4-BE49-F238E27FC236}">
              <a16:creationId xmlns:a16="http://schemas.microsoft.com/office/drawing/2014/main" id="{643B4137-2133-4B88-A09B-DEF898A048AF}"/>
            </a:ext>
          </a:extLst>
        </xdr:cNvPr>
        <xdr:cNvSpPr/>
      </xdr:nvSpPr>
      <xdr:spPr>
        <a:xfrm>
          <a:off x="1257300" y="24606250"/>
          <a:ext cx="2597150" cy="69215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133350</xdr:colOff>
      <xdr:row>83</xdr:row>
      <xdr:rowOff>44450</xdr:rowOff>
    </xdr:from>
    <xdr:to>
      <xdr:col>9</xdr:col>
      <xdr:colOff>155575</xdr:colOff>
      <xdr:row>89</xdr:row>
      <xdr:rowOff>69850</xdr:rowOff>
    </xdr:to>
    <xdr:cxnSp macro="">
      <xdr:nvCxnSpPr>
        <xdr:cNvPr id="30" name="直線コネクタ 29">
          <a:extLst>
            <a:ext uri="{FF2B5EF4-FFF2-40B4-BE49-F238E27FC236}">
              <a16:creationId xmlns:a16="http://schemas.microsoft.com/office/drawing/2014/main" id="{0C7E4A00-01F1-4A5D-A97A-EED27652E8F6}"/>
            </a:ext>
          </a:extLst>
        </xdr:cNvPr>
        <xdr:cNvCxnSpPr>
          <a:stCxn id="23" idx="2"/>
          <a:endCxn id="29" idx="0"/>
        </xdr:cNvCxnSpPr>
      </xdr:nvCxnSpPr>
      <xdr:spPr>
        <a:xfrm>
          <a:off x="2266950" y="17913350"/>
          <a:ext cx="288925" cy="6692900"/>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6350</xdr:colOff>
      <xdr:row>82</xdr:row>
      <xdr:rowOff>260350</xdr:rowOff>
    </xdr:from>
    <xdr:to>
      <xdr:col>12</xdr:col>
      <xdr:colOff>209550</xdr:colOff>
      <xdr:row>83</xdr:row>
      <xdr:rowOff>254000</xdr:rowOff>
    </xdr:to>
    <xdr:sp macro="" textlink="">
      <xdr:nvSpPr>
        <xdr:cNvPr id="42" name="正方形/長方形 41">
          <a:extLst>
            <a:ext uri="{FF2B5EF4-FFF2-40B4-BE49-F238E27FC236}">
              <a16:creationId xmlns:a16="http://schemas.microsoft.com/office/drawing/2014/main" id="{46B30187-ECE8-4626-B26E-DE6F1FFFF209}"/>
            </a:ext>
          </a:extLst>
        </xdr:cNvPr>
        <xdr:cNvSpPr/>
      </xdr:nvSpPr>
      <xdr:spPr>
        <a:xfrm>
          <a:off x="3206750" y="17862550"/>
          <a:ext cx="203200" cy="260350"/>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247650</xdr:colOff>
      <xdr:row>61</xdr:row>
      <xdr:rowOff>219074</xdr:rowOff>
    </xdr:from>
    <xdr:to>
      <xdr:col>9</xdr:col>
      <xdr:colOff>38101</xdr:colOff>
      <xdr:row>66</xdr:row>
      <xdr:rowOff>50799</xdr:rowOff>
    </xdr:to>
    <xdr:sp macro="" textlink="">
      <xdr:nvSpPr>
        <xdr:cNvPr id="48" name="正方形/長方形 47">
          <a:extLst>
            <a:ext uri="{FF2B5EF4-FFF2-40B4-BE49-F238E27FC236}">
              <a16:creationId xmlns:a16="http://schemas.microsoft.com/office/drawing/2014/main" id="{0F92682C-9F83-4791-AB2A-71A13A0DD721}"/>
            </a:ext>
          </a:extLst>
        </xdr:cNvPr>
        <xdr:cNvSpPr/>
      </xdr:nvSpPr>
      <xdr:spPr>
        <a:xfrm>
          <a:off x="1314450" y="14087474"/>
          <a:ext cx="1123951" cy="1165225"/>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9526</xdr:colOff>
      <xdr:row>55</xdr:row>
      <xdr:rowOff>26132</xdr:rowOff>
    </xdr:from>
    <xdr:to>
      <xdr:col>9</xdr:col>
      <xdr:colOff>125657</xdr:colOff>
      <xdr:row>61</xdr:row>
      <xdr:rowOff>219074</xdr:rowOff>
    </xdr:to>
    <xdr:cxnSp macro="">
      <xdr:nvCxnSpPr>
        <xdr:cNvPr id="49" name="直線コネクタ 48">
          <a:extLst>
            <a:ext uri="{FF2B5EF4-FFF2-40B4-BE49-F238E27FC236}">
              <a16:creationId xmlns:a16="http://schemas.microsoft.com/office/drawing/2014/main" id="{A0D7E6E9-5067-4B1A-BAD2-481A2A908D08}"/>
            </a:ext>
          </a:extLst>
        </xdr:cNvPr>
        <xdr:cNvCxnSpPr>
          <a:stCxn id="20" idx="2"/>
          <a:endCxn id="48" idx="0"/>
        </xdr:cNvCxnSpPr>
      </xdr:nvCxnSpPr>
      <xdr:spPr>
        <a:xfrm flipH="1">
          <a:off x="1876426" y="12294332"/>
          <a:ext cx="649531" cy="1793142"/>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9526</xdr:colOff>
      <xdr:row>56</xdr:row>
      <xdr:rowOff>259617</xdr:rowOff>
    </xdr:from>
    <xdr:to>
      <xdr:col>19</xdr:col>
      <xdr:colOff>251070</xdr:colOff>
      <xdr:row>61</xdr:row>
      <xdr:rowOff>219074</xdr:rowOff>
    </xdr:to>
    <xdr:cxnSp macro="">
      <xdr:nvCxnSpPr>
        <xdr:cNvPr id="52" name="直線コネクタ 51">
          <a:extLst>
            <a:ext uri="{FF2B5EF4-FFF2-40B4-BE49-F238E27FC236}">
              <a16:creationId xmlns:a16="http://schemas.microsoft.com/office/drawing/2014/main" id="{82824431-101F-4841-860A-AC4F5D7EDE78}"/>
            </a:ext>
          </a:extLst>
        </xdr:cNvPr>
        <xdr:cNvCxnSpPr>
          <a:stCxn id="27" idx="2"/>
          <a:endCxn id="48" idx="0"/>
        </xdr:cNvCxnSpPr>
      </xdr:nvCxnSpPr>
      <xdr:spPr>
        <a:xfrm flipH="1">
          <a:off x="1876426" y="12794517"/>
          <a:ext cx="3441944" cy="1292957"/>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209550</xdr:colOff>
      <xdr:row>58</xdr:row>
      <xdr:rowOff>76200</xdr:rowOff>
    </xdr:from>
    <xdr:to>
      <xdr:col>18</xdr:col>
      <xdr:colOff>85725</xdr:colOff>
      <xdr:row>60</xdr:row>
      <xdr:rowOff>85725</xdr:rowOff>
    </xdr:to>
    <xdr:sp macro="" textlink="">
      <xdr:nvSpPr>
        <xdr:cNvPr id="55" name="正方形/長方形 54">
          <a:extLst>
            <a:ext uri="{FF2B5EF4-FFF2-40B4-BE49-F238E27FC236}">
              <a16:creationId xmlns:a16="http://schemas.microsoft.com/office/drawing/2014/main" id="{4A117C88-4D80-474C-9802-16703F3EB6E1}"/>
            </a:ext>
          </a:extLst>
        </xdr:cNvPr>
        <xdr:cNvSpPr/>
      </xdr:nvSpPr>
      <xdr:spPr>
        <a:xfrm>
          <a:off x="4210050" y="13144500"/>
          <a:ext cx="676275" cy="542925"/>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228600</xdr:colOff>
      <xdr:row>45</xdr:row>
      <xdr:rowOff>190500</xdr:rowOff>
    </xdr:from>
    <xdr:to>
      <xdr:col>7</xdr:col>
      <xdr:colOff>158750</xdr:colOff>
      <xdr:row>46</xdr:row>
      <xdr:rowOff>133350</xdr:rowOff>
    </xdr:to>
    <xdr:sp macro="" textlink="">
      <xdr:nvSpPr>
        <xdr:cNvPr id="56" name="正方形/長方形 55">
          <a:extLst>
            <a:ext uri="{FF2B5EF4-FFF2-40B4-BE49-F238E27FC236}">
              <a16:creationId xmlns:a16="http://schemas.microsoft.com/office/drawing/2014/main" id="{2133C83B-D815-456A-B428-AFB2D088957D}"/>
            </a:ext>
          </a:extLst>
        </xdr:cNvPr>
        <xdr:cNvSpPr/>
      </xdr:nvSpPr>
      <xdr:spPr>
        <a:xfrm>
          <a:off x="1828800" y="9791700"/>
          <a:ext cx="196850" cy="20955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61913</xdr:colOff>
      <xdr:row>46</xdr:row>
      <xdr:rowOff>133350</xdr:rowOff>
    </xdr:from>
    <xdr:to>
      <xdr:col>17</xdr:col>
      <xdr:colOff>12700</xdr:colOff>
      <xdr:row>58</xdr:row>
      <xdr:rowOff>76200</xdr:rowOff>
    </xdr:to>
    <xdr:cxnSp macro="">
      <xdr:nvCxnSpPr>
        <xdr:cNvPr id="57" name="直線コネクタ 56">
          <a:extLst>
            <a:ext uri="{FF2B5EF4-FFF2-40B4-BE49-F238E27FC236}">
              <a16:creationId xmlns:a16="http://schemas.microsoft.com/office/drawing/2014/main" id="{5EE0E719-89DD-4818-8976-5694DD322280}"/>
            </a:ext>
          </a:extLst>
        </xdr:cNvPr>
        <xdr:cNvCxnSpPr>
          <a:stCxn id="56" idx="2"/>
          <a:endCxn id="55" idx="0"/>
        </xdr:cNvCxnSpPr>
      </xdr:nvCxnSpPr>
      <xdr:spPr>
        <a:xfrm>
          <a:off x="1928813" y="10001250"/>
          <a:ext cx="2617787" cy="3143250"/>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209550</xdr:colOff>
      <xdr:row>67</xdr:row>
      <xdr:rowOff>57150</xdr:rowOff>
    </xdr:from>
    <xdr:to>
      <xdr:col>25</xdr:col>
      <xdr:colOff>120650</xdr:colOff>
      <xdr:row>69</xdr:row>
      <xdr:rowOff>196850</xdr:rowOff>
    </xdr:to>
    <xdr:sp macro="" textlink="">
      <xdr:nvSpPr>
        <xdr:cNvPr id="60" name="正方形/長方形 59">
          <a:extLst>
            <a:ext uri="{FF2B5EF4-FFF2-40B4-BE49-F238E27FC236}">
              <a16:creationId xmlns:a16="http://schemas.microsoft.com/office/drawing/2014/main" id="{94835A38-D18E-4A09-9282-B4B7B5DC3A6A}"/>
            </a:ext>
          </a:extLst>
        </xdr:cNvPr>
        <xdr:cNvSpPr/>
      </xdr:nvSpPr>
      <xdr:spPr>
        <a:xfrm>
          <a:off x="4210050" y="15525750"/>
          <a:ext cx="2578100" cy="67310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0</xdr:colOff>
      <xdr:row>65</xdr:row>
      <xdr:rowOff>57150</xdr:rowOff>
    </xdr:from>
    <xdr:to>
      <xdr:col>8</xdr:col>
      <xdr:colOff>228599</xdr:colOff>
      <xdr:row>65</xdr:row>
      <xdr:rowOff>228600</xdr:rowOff>
    </xdr:to>
    <xdr:sp macro="" textlink="">
      <xdr:nvSpPr>
        <xdr:cNvPr id="61" name="正方形/長方形 60">
          <a:extLst>
            <a:ext uri="{FF2B5EF4-FFF2-40B4-BE49-F238E27FC236}">
              <a16:creationId xmlns:a16="http://schemas.microsoft.com/office/drawing/2014/main" id="{949D336F-3D7A-4D22-80C8-1CB369FD9863}"/>
            </a:ext>
          </a:extLst>
        </xdr:cNvPr>
        <xdr:cNvSpPr/>
      </xdr:nvSpPr>
      <xdr:spPr>
        <a:xfrm>
          <a:off x="2133600" y="14992350"/>
          <a:ext cx="228599" cy="17145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114300</xdr:colOff>
      <xdr:row>65</xdr:row>
      <xdr:rowOff>228600</xdr:rowOff>
    </xdr:from>
    <xdr:to>
      <xdr:col>20</xdr:col>
      <xdr:colOff>166688</xdr:colOff>
      <xdr:row>67</xdr:row>
      <xdr:rowOff>57150</xdr:rowOff>
    </xdr:to>
    <xdr:cxnSp macro="">
      <xdr:nvCxnSpPr>
        <xdr:cNvPr id="62" name="直線コネクタ 61">
          <a:extLst>
            <a:ext uri="{FF2B5EF4-FFF2-40B4-BE49-F238E27FC236}">
              <a16:creationId xmlns:a16="http://schemas.microsoft.com/office/drawing/2014/main" id="{E1DDB9BE-D534-436D-BEAF-2176AB27E48E}"/>
            </a:ext>
          </a:extLst>
        </xdr:cNvPr>
        <xdr:cNvCxnSpPr>
          <a:stCxn id="61" idx="2"/>
          <a:endCxn id="60" idx="0"/>
        </xdr:cNvCxnSpPr>
      </xdr:nvCxnSpPr>
      <xdr:spPr>
        <a:xfrm>
          <a:off x="2247900" y="15163800"/>
          <a:ext cx="3252788" cy="361950"/>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0</xdr:colOff>
      <xdr:row>3</xdr:row>
      <xdr:rowOff>0</xdr:rowOff>
    </xdr:from>
    <xdr:to>
      <xdr:col>37</xdr:col>
      <xdr:colOff>96540</xdr:colOff>
      <xdr:row>7</xdr:row>
      <xdr:rowOff>165100</xdr:rowOff>
    </xdr:to>
    <xdr:pic>
      <xdr:nvPicPr>
        <xdr:cNvPr id="2" name="図 1">
          <a:extLst>
            <a:ext uri="{FF2B5EF4-FFF2-40B4-BE49-F238E27FC236}">
              <a16:creationId xmlns:a16="http://schemas.microsoft.com/office/drawing/2014/main" id="{57B8A66E-EF82-4CA4-9656-767535C72A93}"/>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00100" y="800100"/>
          <a:ext cx="9164340" cy="1231900"/>
        </a:xfrm>
        <a:prstGeom prst="rect">
          <a:avLst/>
        </a:prstGeom>
      </xdr:spPr>
    </xdr:pic>
    <xdr:clientData/>
  </xdr:twoCellAnchor>
  <xdr:twoCellAnchor>
    <xdr:from>
      <xdr:col>5</xdr:col>
      <xdr:colOff>209550</xdr:colOff>
      <xdr:row>8</xdr:row>
      <xdr:rowOff>222250</xdr:rowOff>
    </xdr:from>
    <xdr:to>
      <xdr:col>23</xdr:col>
      <xdr:colOff>133350</xdr:colOff>
      <xdr:row>10</xdr:row>
      <xdr:rowOff>38100</xdr:rowOff>
    </xdr:to>
    <xdr:sp macro="" textlink="">
      <xdr:nvSpPr>
        <xdr:cNvPr id="11" name="正方形/長方形 10">
          <a:extLst>
            <a:ext uri="{FF2B5EF4-FFF2-40B4-BE49-F238E27FC236}">
              <a16:creationId xmlns:a16="http://schemas.microsoft.com/office/drawing/2014/main" id="{9ECAB196-5850-4C3C-A262-3E10A6C13490}"/>
            </a:ext>
          </a:extLst>
        </xdr:cNvPr>
        <xdr:cNvSpPr/>
      </xdr:nvSpPr>
      <xdr:spPr>
        <a:xfrm>
          <a:off x="1543050" y="2355850"/>
          <a:ext cx="4724400" cy="349250"/>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19050</xdr:colOff>
      <xdr:row>5</xdr:row>
      <xdr:rowOff>241300</xdr:rowOff>
    </xdr:from>
    <xdr:to>
      <xdr:col>9</xdr:col>
      <xdr:colOff>260350</xdr:colOff>
      <xdr:row>7</xdr:row>
      <xdr:rowOff>19050</xdr:rowOff>
    </xdr:to>
    <xdr:sp macro="" textlink="">
      <xdr:nvSpPr>
        <xdr:cNvPr id="15" name="正方形/長方形 14">
          <a:extLst>
            <a:ext uri="{FF2B5EF4-FFF2-40B4-BE49-F238E27FC236}">
              <a16:creationId xmlns:a16="http://schemas.microsoft.com/office/drawing/2014/main" id="{066D2DCF-BEBF-4474-B96C-6391E856246B}"/>
            </a:ext>
          </a:extLst>
        </xdr:cNvPr>
        <xdr:cNvSpPr/>
      </xdr:nvSpPr>
      <xdr:spPr>
        <a:xfrm>
          <a:off x="1619250" y="1574800"/>
          <a:ext cx="1041400" cy="311150"/>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6350</xdr:colOff>
      <xdr:row>7</xdr:row>
      <xdr:rowOff>19050</xdr:rowOff>
    </xdr:from>
    <xdr:to>
      <xdr:col>14</xdr:col>
      <xdr:colOff>171450</xdr:colOff>
      <xdr:row>8</xdr:row>
      <xdr:rowOff>222250</xdr:rowOff>
    </xdr:to>
    <xdr:cxnSp macro="">
      <xdr:nvCxnSpPr>
        <xdr:cNvPr id="16" name="直線コネクタ 15">
          <a:extLst>
            <a:ext uri="{FF2B5EF4-FFF2-40B4-BE49-F238E27FC236}">
              <a16:creationId xmlns:a16="http://schemas.microsoft.com/office/drawing/2014/main" id="{F717C16A-DA40-43C9-8552-516EA1E44D9C}"/>
            </a:ext>
          </a:extLst>
        </xdr:cNvPr>
        <xdr:cNvCxnSpPr>
          <a:stCxn id="15" idx="2"/>
          <a:endCxn id="11" idx="0"/>
        </xdr:cNvCxnSpPr>
      </xdr:nvCxnSpPr>
      <xdr:spPr>
        <a:xfrm>
          <a:off x="2139950" y="1885950"/>
          <a:ext cx="1765300" cy="469900"/>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209550</xdr:colOff>
      <xdr:row>58</xdr:row>
      <xdr:rowOff>76200</xdr:rowOff>
    </xdr:from>
    <xdr:to>
      <xdr:col>18</xdr:col>
      <xdr:colOff>85725</xdr:colOff>
      <xdr:row>60</xdr:row>
      <xdr:rowOff>85725</xdr:rowOff>
    </xdr:to>
    <xdr:sp macro="" textlink="">
      <xdr:nvSpPr>
        <xdr:cNvPr id="25" name="正方形/長方形 24">
          <a:extLst>
            <a:ext uri="{FF2B5EF4-FFF2-40B4-BE49-F238E27FC236}">
              <a16:creationId xmlns:a16="http://schemas.microsoft.com/office/drawing/2014/main" id="{FE186095-72A6-43FA-BCAF-5AA472ED424F}"/>
            </a:ext>
          </a:extLst>
        </xdr:cNvPr>
        <xdr:cNvSpPr/>
      </xdr:nvSpPr>
      <xdr:spPr>
        <a:xfrm>
          <a:off x="4210050" y="20878800"/>
          <a:ext cx="676275" cy="542925"/>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200025</xdr:colOff>
      <xdr:row>78</xdr:row>
      <xdr:rowOff>76200</xdr:rowOff>
    </xdr:from>
    <xdr:to>
      <xdr:col>21</xdr:col>
      <xdr:colOff>12700</xdr:colOff>
      <xdr:row>80</xdr:row>
      <xdr:rowOff>203200</xdr:rowOff>
    </xdr:to>
    <xdr:sp macro="" textlink="">
      <xdr:nvSpPr>
        <xdr:cNvPr id="31" name="正方形/長方形 30">
          <a:extLst>
            <a:ext uri="{FF2B5EF4-FFF2-40B4-BE49-F238E27FC236}">
              <a16:creationId xmlns:a16="http://schemas.microsoft.com/office/drawing/2014/main" id="{798D0CA5-F0A4-4092-8D01-AE90EC30D0E5}"/>
            </a:ext>
          </a:extLst>
        </xdr:cNvPr>
        <xdr:cNvSpPr/>
      </xdr:nvSpPr>
      <xdr:spPr>
        <a:xfrm>
          <a:off x="4200525" y="20878800"/>
          <a:ext cx="1412875" cy="660400"/>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15876</xdr:colOff>
      <xdr:row>44</xdr:row>
      <xdr:rowOff>9525</xdr:rowOff>
    </xdr:from>
    <xdr:to>
      <xdr:col>13</xdr:col>
      <xdr:colOff>257231</xdr:colOff>
      <xdr:row>52</xdr:row>
      <xdr:rowOff>219075</xdr:rowOff>
    </xdr:to>
    <xdr:pic>
      <xdr:nvPicPr>
        <xdr:cNvPr id="2" name="図 1">
          <a:extLst>
            <a:ext uri="{FF2B5EF4-FFF2-40B4-BE49-F238E27FC236}">
              <a16:creationId xmlns:a16="http://schemas.microsoft.com/office/drawing/2014/main" id="{CD64C3F8-B4BF-458E-BD1C-38BBA26162E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49376" y="9344025"/>
          <a:ext cx="2374955" cy="2343150"/>
        </a:xfrm>
        <a:prstGeom prst="rect">
          <a:avLst/>
        </a:prstGeom>
      </xdr:spPr>
    </xdr:pic>
    <xdr:clientData/>
  </xdr:twoCellAnchor>
  <xdr:twoCellAnchor editAs="oneCell">
    <xdr:from>
      <xdr:col>16</xdr:col>
      <xdr:colOff>0</xdr:colOff>
      <xdr:row>44</xdr:row>
      <xdr:rowOff>0</xdr:rowOff>
    </xdr:from>
    <xdr:to>
      <xdr:col>43</xdr:col>
      <xdr:colOff>208106</xdr:colOff>
      <xdr:row>53</xdr:row>
      <xdr:rowOff>209550</xdr:rowOff>
    </xdr:to>
    <xdr:pic>
      <xdr:nvPicPr>
        <xdr:cNvPr id="3" name="図 2">
          <a:extLst>
            <a:ext uri="{FF2B5EF4-FFF2-40B4-BE49-F238E27FC236}">
              <a16:creationId xmlns:a16="http://schemas.microsoft.com/office/drawing/2014/main" id="{CCA728BC-5D70-436C-BB73-70C7F55F59D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267200" y="9334500"/>
          <a:ext cx="7409006" cy="2609850"/>
        </a:xfrm>
        <a:prstGeom prst="rect">
          <a:avLst/>
        </a:prstGeom>
      </xdr:spPr>
    </xdr:pic>
    <xdr:clientData/>
  </xdr:twoCellAnchor>
  <xdr:twoCellAnchor editAs="oneCell">
    <xdr:from>
      <xdr:col>5</xdr:col>
      <xdr:colOff>0</xdr:colOff>
      <xdr:row>102</xdr:row>
      <xdr:rowOff>0</xdr:rowOff>
    </xdr:from>
    <xdr:to>
      <xdr:col>34</xdr:col>
      <xdr:colOff>126267</xdr:colOff>
      <xdr:row>117</xdr:row>
      <xdr:rowOff>170108</xdr:rowOff>
    </xdr:to>
    <xdr:pic>
      <xdr:nvPicPr>
        <xdr:cNvPr id="4" name="図 3">
          <a:extLst>
            <a:ext uri="{FF2B5EF4-FFF2-40B4-BE49-F238E27FC236}">
              <a16:creationId xmlns:a16="http://schemas.microsoft.com/office/drawing/2014/main" id="{63F28BB8-6E75-4F3D-81CA-A2391B7B62E8}"/>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333500" y="24803100"/>
          <a:ext cx="7860567" cy="4170608"/>
        </a:xfrm>
        <a:prstGeom prst="rect">
          <a:avLst/>
        </a:prstGeom>
      </xdr:spPr>
    </xdr:pic>
    <xdr:clientData/>
  </xdr:twoCellAnchor>
  <xdr:twoCellAnchor editAs="oneCell">
    <xdr:from>
      <xdr:col>5</xdr:col>
      <xdr:colOff>0</xdr:colOff>
      <xdr:row>29</xdr:row>
      <xdr:rowOff>0</xdr:rowOff>
    </xdr:from>
    <xdr:to>
      <xdr:col>34</xdr:col>
      <xdr:colOff>123092</xdr:colOff>
      <xdr:row>33</xdr:row>
      <xdr:rowOff>102386</xdr:rowOff>
    </xdr:to>
    <xdr:pic>
      <xdr:nvPicPr>
        <xdr:cNvPr id="5" name="図 4">
          <a:extLst>
            <a:ext uri="{FF2B5EF4-FFF2-40B4-BE49-F238E27FC236}">
              <a16:creationId xmlns:a16="http://schemas.microsoft.com/office/drawing/2014/main" id="{F3675C66-47B9-46BD-931D-80232014DD4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333500" y="5334000"/>
          <a:ext cx="7857392" cy="1169186"/>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82550</xdr:colOff>
          <xdr:row>97</xdr:row>
          <xdr:rowOff>184150</xdr:rowOff>
        </xdr:from>
        <xdr:to>
          <xdr:col>12</xdr:col>
          <xdr:colOff>139700</xdr:colOff>
          <xdr:row>100</xdr:row>
          <xdr:rowOff>57150</xdr:rowOff>
        </xdr:to>
        <xdr:sp macro="" textlink="">
          <xdr:nvSpPr>
            <xdr:cNvPr id="119809" name="Button 1" hidden="1">
              <a:extLst>
                <a:ext uri="{63B3BB69-23CF-44E3-9099-C40C66FF867C}">
                  <a14:compatExt spid="_x0000_s119809"/>
                </a:ext>
                <a:ext uri="{FF2B5EF4-FFF2-40B4-BE49-F238E27FC236}">
                  <a16:creationId xmlns:a16="http://schemas.microsoft.com/office/drawing/2014/main" id="{00000000-0008-0000-0800-000001D40100}"/>
                </a:ext>
              </a:extLst>
            </xdr:cNvPr>
            <xdr:cNvSpPr/>
          </xdr:nvSpPr>
          <xdr:spPr bwMode="auto">
            <a:xfrm>
              <a:off x="0" y="0"/>
              <a:ext cx="0" cy="0"/>
            </a:xfrm>
            <a:prstGeom prst="rect">
              <a:avLst/>
            </a:prstGeom>
            <a:noFill/>
            <a:ln w="9525">
              <a:miter lim="800000"/>
              <a:headEnd/>
              <a:tailEnd/>
            </a:ln>
          </xdr:spPr>
          <xdr:txBody>
            <a:bodyPr vertOverflow="clip" wrap="square" lIns="64008" tIns="91440" rIns="64008" bIns="91440" anchor="ctr" upright="1"/>
            <a:lstStyle/>
            <a:p>
              <a:pPr algn="ctr" rtl="0">
                <a:defRPr sz="1000"/>
              </a:pPr>
              <a:r>
                <a:rPr lang="ja-JP" altLang="en-US" sz="2000" b="0" i="0" u="none" strike="noStrike" baseline="0">
                  <a:solidFill>
                    <a:srgbClr val="000000"/>
                  </a:solidFill>
                  <a:latin typeface="游ゴシック"/>
                  <a:ea typeface="游ゴシック"/>
                </a:rPr>
                <a:t>自動生成</a:t>
              </a:r>
            </a:p>
          </xdr:txBody>
        </xdr:sp>
        <xdr:clientData fPrintsWithSheet="0"/>
      </xdr:twoCellAnchor>
    </mc:Choice>
    <mc:Fallback/>
  </mc:AlternateContent>
  <xdr:twoCellAnchor editAs="oneCell">
    <xdr:from>
      <xdr:col>5</xdr:col>
      <xdr:colOff>0</xdr:colOff>
      <xdr:row>14</xdr:row>
      <xdr:rowOff>0</xdr:rowOff>
    </xdr:from>
    <xdr:to>
      <xdr:col>31</xdr:col>
      <xdr:colOff>102572</xdr:colOff>
      <xdr:row>18</xdr:row>
      <xdr:rowOff>154767</xdr:rowOff>
    </xdr:to>
    <xdr:pic>
      <xdr:nvPicPr>
        <xdr:cNvPr id="6" name="図 5">
          <a:extLst>
            <a:ext uri="{FF2B5EF4-FFF2-40B4-BE49-F238E27FC236}">
              <a16:creationId xmlns:a16="http://schemas.microsoft.com/office/drawing/2014/main" id="{492B54FA-3116-4DF1-9A94-910C3022C14E}"/>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333500" y="1333500"/>
          <a:ext cx="7036772" cy="1221567"/>
        </a:xfrm>
        <a:prstGeom prst="rect">
          <a:avLst/>
        </a:prstGeom>
      </xdr:spPr>
    </xdr:pic>
    <xdr:clientData/>
  </xdr:twoCellAnchor>
  <xdr:twoCellAnchor>
    <xdr:from>
      <xdr:col>18</xdr:col>
      <xdr:colOff>47135</xdr:colOff>
      <xdr:row>16</xdr:row>
      <xdr:rowOff>117229</xdr:rowOff>
    </xdr:from>
    <xdr:to>
      <xdr:col>23</xdr:col>
      <xdr:colOff>36634</xdr:colOff>
      <xdr:row>17</xdr:row>
      <xdr:rowOff>161191</xdr:rowOff>
    </xdr:to>
    <xdr:sp macro="" textlink="">
      <xdr:nvSpPr>
        <xdr:cNvPr id="7" name="正方形/長方形 6">
          <a:extLst>
            <a:ext uri="{FF2B5EF4-FFF2-40B4-BE49-F238E27FC236}">
              <a16:creationId xmlns:a16="http://schemas.microsoft.com/office/drawing/2014/main" id="{A1EB1A86-D978-4F44-9516-9443DFF1CEFE}"/>
            </a:ext>
          </a:extLst>
        </xdr:cNvPr>
        <xdr:cNvSpPr/>
      </xdr:nvSpPr>
      <xdr:spPr>
        <a:xfrm>
          <a:off x="4847735" y="1984129"/>
          <a:ext cx="1322999" cy="310662"/>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238613</xdr:colOff>
      <xdr:row>20</xdr:row>
      <xdr:rowOff>10501</xdr:rowOff>
    </xdr:from>
    <xdr:to>
      <xdr:col>20</xdr:col>
      <xdr:colOff>102577</xdr:colOff>
      <xdr:row>22</xdr:row>
      <xdr:rowOff>7327</xdr:rowOff>
    </xdr:to>
    <xdr:sp macro="" textlink="">
      <xdr:nvSpPr>
        <xdr:cNvPr id="8" name="正方形/長方形 7">
          <a:extLst>
            <a:ext uri="{FF2B5EF4-FFF2-40B4-BE49-F238E27FC236}">
              <a16:creationId xmlns:a16="http://schemas.microsoft.com/office/drawing/2014/main" id="{38C15B28-55EA-4724-9858-ADC11DF2A189}"/>
            </a:ext>
          </a:extLst>
        </xdr:cNvPr>
        <xdr:cNvSpPr/>
      </xdr:nvSpPr>
      <xdr:spPr>
        <a:xfrm>
          <a:off x="1305413" y="2944201"/>
          <a:ext cx="4131164" cy="530226"/>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170595</xdr:colOff>
      <xdr:row>17</xdr:row>
      <xdr:rowOff>164366</xdr:rowOff>
    </xdr:from>
    <xdr:to>
      <xdr:col>20</xdr:col>
      <xdr:colOff>175356</xdr:colOff>
      <xdr:row>20</xdr:row>
      <xdr:rowOff>7326</xdr:rowOff>
    </xdr:to>
    <xdr:cxnSp macro="">
      <xdr:nvCxnSpPr>
        <xdr:cNvPr id="9" name="直線コネクタ 8">
          <a:extLst>
            <a:ext uri="{FF2B5EF4-FFF2-40B4-BE49-F238E27FC236}">
              <a16:creationId xmlns:a16="http://schemas.microsoft.com/office/drawing/2014/main" id="{5F10C810-1F57-426D-A2B5-4FE9AC8553F6}"/>
            </a:ext>
          </a:extLst>
        </xdr:cNvPr>
        <xdr:cNvCxnSpPr>
          <a:stCxn id="7" idx="2"/>
          <a:endCxn id="8" idx="0"/>
        </xdr:cNvCxnSpPr>
      </xdr:nvCxnSpPr>
      <xdr:spPr>
        <a:xfrm flipH="1">
          <a:off x="3370995" y="2297966"/>
          <a:ext cx="2138361" cy="643060"/>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142385</xdr:colOff>
      <xdr:row>31</xdr:row>
      <xdr:rowOff>259618</xdr:rowOff>
    </xdr:from>
    <xdr:to>
      <xdr:col>16</xdr:col>
      <xdr:colOff>109904</xdr:colOff>
      <xdr:row>32</xdr:row>
      <xdr:rowOff>240812</xdr:rowOff>
    </xdr:to>
    <xdr:sp macro="" textlink="">
      <xdr:nvSpPr>
        <xdr:cNvPr id="10" name="正方形/長方形 9">
          <a:extLst>
            <a:ext uri="{FF2B5EF4-FFF2-40B4-BE49-F238E27FC236}">
              <a16:creationId xmlns:a16="http://schemas.microsoft.com/office/drawing/2014/main" id="{34DA4502-5468-4EE3-8E40-BEA95714E7AA}"/>
            </a:ext>
          </a:extLst>
        </xdr:cNvPr>
        <xdr:cNvSpPr/>
      </xdr:nvSpPr>
      <xdr:spPr>
        <a:xfrm>
          <a:off x="3342785" y="6127018"/>
          <a:ext cx="1034319" cy="247894"/>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xdr:col>
      <xdr:colOff>216632</xdr:colOff>
      <xdr:row>34</xdr:row>
      <xdr:rowOff>10501</xdr:rowOff>
    </xdr:from>
    <xdr:to>
      <xdr:col>11</xdr:col>
      <xdr:colOff>212480</xdr:colOff>
      <xdr:row>36</xdr:row>
      <xdr:rowOff>21980</xdr:rowOff>
    </xdr:to>
    <xdr:sp macro="" textlink="">
      <xdr:nvSpPr>
        <xdr:cNvPr id="11" name="正方形/長方形 10">
          <a:extLst>
            <a:ext uri="{FF2B5EF4-FFF2-40B4-BE49-F238E27FC236}">
              <a16:creationId xmlns:a16="http://schemas.microsoft.com/office/drawing/2014/main" id="{5D8130EF-C3B7-42D7-A9B2-C7950905FF50}"/>
            </a:ext>
          </a:extLst>
        </xdr:cNvPr>
        <xdr:cNvSpPr/>
      </xdr:nvSpPr>
      <xdr:spPr>
        <a:xfrm>
          <a:off x="1550132" y="6678001"/>
          <a:ext cx="1596048" cy="544879"/>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216144</xdr:colOff>
      <xdr:row>32</xdr:row>
      <xdr:rowOff>240812</xdr:rowOff>
    </xdr:from>
    <xdr:to>
      <xdr:col>14</xdr:col>
      <xdr:colOff>126145</xdr:colOff>
      <xdr:row>34</xdr:row>
      <xdr:rowOff>7326</xdr:rowOff>
    </xdr:to>
    <xdr:cxnSp macro="">
      <xdr:nvCxnSpPr>
        <xdr:cNvPr id="12" name="直線コネクタ 11">
          <a:extLst>
            <a:ext uri="{FF2B5EF4-FFF2-40B4-BE49-F238E27FC236}">
              <a16:creationId xmlns:a16="http://schemas.microsoft.com/office/drawing/2014/main" id="{5241E689-68AD-4FC9-8990-175D25A7BE2D}"/>
            </a:ext>
          </a:extLst>
        </xdr:cNvPr>
        <xdr:cNvCxnSpPr>
          <a:stCxn id="10" idx="2"/>
          <a:endCxn id="11" idx="0"/>
        </xdr:cNvCxnSpPr>
      </xdr:nvCxnSpPr>
      <xdr:spPr>
        <a:xfrm flipH="1">
          <a:off x="2349744" y="6374912"/>
          <a:ext cx="1510201" cy="299914"/>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190500</xdr:colOff>
      <xdr:row>45</xdr:row>
      <xdr:rowOff>152400</xdr:rowOff>
    </xdr:from>
    <xdr:to>
      <xdr:col>9</xdr:col>
      <xdr:colOff>104775</xdr:colOff>
      <xdr:row>48</xdr:row>
      <xdr:rowOff>66675</xdr:rowOff>
    </xdr:to>
    <xdr:sp macro="" textlink="">
      <xdr:nvSpPr>
        <xdr:cNvPr id="13" name="正方形/長方形 12">
          <a:extLst>
            <a:ext uri="{FF2B5EF4-FFF2-40B4-BE49-F238E27FC236}">
              <a16:creationId xmlns:a16="http://schemas.microsoft.com/office/drawing/2014/main" id="{55AC3554-E282-4855-AB31-0E2FA5B1D8D5}"/>
            </a:ext>
          </a:extLst>
        </xdr:cNvPr>
        <xdr:cNvSpPr/>
      </xdr:nvSpPr>
      <xdr:spPr>
        <a:xfrm>
          <a:off x="1790700" y="9753600"/>
          <a:ext cx="714375" cy="714375"/>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237636</xdr:colOff>
      <xdr:row>53</xdr:row>
      <xdr:rowOff>216633</xdr:rowOff>
    </xdr:from>
    <xdr:to>
      <xdr:col>14</xdr:col>
      <xdr:colOff>7327</xdr:colOff>
      <xdr:row>55</xdr:row>
      <xdr:rowOff>29307</xdr:rowOff>
    </xdr:to>
    <xdr:sp macro="" textlink="">
      <xdr:nvSpPr>
        <xdr:cNvPr id="14" name="正方形/長方形 13">
          <a:extLst>
            <a:ext uri="{FF2B5EF4-FFF2-40B4-BE49-F238E27FC236}">
              <a16:creationId xmlns:a16="http://schemas.microsoft.com/office/drawing/2014/main" id="{2DDDFB09-C6DA-432E-B91A-ED36A7AA92F8}"/>
            </a:ext>
          </a:extLst>
        </xdr:cNvPr>
        <xdr:cNvSpPr/>
      </xdr:nvSpPr>
      <xdr:spPr>
        <a:xfrm>
          <a:off x="1304436" y="11951433"/>
          <a:ext cx="2436691" cy="346074"/>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14288</xdr:colOff>
      <xdr:row>48</xdr:row>
      <xdr:rowOff>66675</xdr:rowOff>
    </xdr:from>
    <xdr:to>
      <xdr:col>9</xdr:col>
      <xdr:colOff>125657</xdr:colOff>
      <xdr:row>53</xdr:row>
      <xdr:rowOff>219808</xdr:rowOff>
    </xdr:to>
    <xdr:cxnSp macro="">
      <xdr:nvCxnSpPr>
        <xdr:cNvPr id="15" name="直線コネクタ 14">
          <a:extLst>
            <a:ext uri="{FF2B5EF4-FFF2-40B4-BE49-F238E27FC236}">
              <a16:creationId xmlns:a16="http://schemas.microsoft.com/office/drawing/2014/main" id="{6386F9BA-1350-4CA1-8664-4D09D82B25C8}"/>
            </a:ext>
          </a:extLst>
        </xdr:cNvPr>
        <xdr:cNvCxnSpPr>
          <a:stCxn id="13" idx="2"/>
          <a:endCxn id="14" idx="0"/>
        </xdr:cNvCxnSpPr>
      </xdr:nvCxnSpPr>
      <xdr:spPr>
        <a:xfrm>
          <a:off x="2147888" y="10467975"/>
          <a:ext cx="378069" cy="1486633"/>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231287</xdr:colOff>
      <xdr:row>44</xdr:row>
      <xdr:rowOff>208085</xdr:rowOff>
    </xdr:from>
    <xdr:to>
      <xdr:col>43</xdr:col>
      <xdr:colOff>247651</xdr:colOff>
      <xdr:row>45</xdr:row>
      <xdr:rowOff>219075</xdr:rowOff>
    </xdr:to>
    <xdr:sp macro="" textlink="">
      <xdr:nvSpPr>
        <xdr:cNvPr id="16" name="正方形/長方形 15">
          <a:extLst>
            <a:ext uri="{FF2B5EF4-FFF2-40B4-BE49-F238E27FC236}">
              <a16:creationId xmlns:a16="http://schemas.microsoft.com/office/drawing/2014/main" id="{8F307E43-A591-4630-A067-BD23828D4E4B}"/>
            </a:ext>
          </a:extLst>
        </xdr:cNvPr>
        <xdr:cNvSpPr/>
      </xdr:nvSpPr>
      <xdr:spPr>
        <a:xfrm>
          <a:off x="4498487" y="9542585"/>
          <a:ext cx="7217264" cy="277690"/>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201980</xdr:colOff>
      <xdr:row>54</xdr:row>
      <xdr:rowOff>212480</xdr:rowOff>
    </xdr:from>
    <xdr:to>
      <xdr:col>25</xdr:col>
      <xdr:colOff>36634</xdr:colOff>
      <xdr:row>56</xdr:row>
      <xdr:rowOff>256442</xdr:rowOff>
    </xdr:to>
    <xdr:sp macro="" textlink="">
      <xdr:nvSpPr>
        <xdr:cNvPr id="17" name="正方形/長方形 16">
          <a:extLst>
            <a:ext uri="{FF2B5EF4-FFF2-40B4-BE49-F238E27FC236}">
              <a16:creationId xmlns:a16="http://schemas.microsoft.com/office/drawing/2014/main" id="{B5A4849E-082A-4BCD-BB9E-48F3BDCB5F74}"/>
            </a:ext>
          </a:extLst>
        </xdr:cNvPr>
        <xdr:cNvSpPr/>
      </xdr:nvSpPr>
      <xdr:spPr>
        <a:xfrm>
          <a:off x="3935780" y="12213980"/>
          <a:ext cx="2768354" cy="577362"/>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19</xdr:col>
      <xdr:colOff>251070</xdr:colOff>
      <xdr:row>45</xdr:row>
      <xdr:rowOff>219075</xdr:rowOff>
    </xdr:from>
    <xdr:to>
      <xdr:col>30</xdr:col>
      <xdr:colOff>106119</xdr:colOff>
      <xdr:row>54</xdr:row>
      <xdr:rowOff>212480</xdr:rowOff>
    </xdr:to>
    <xdr:cxnSp macro="">
      <xdr:nvCxnSpPr>
        <xdr:cNvPr id="18" name="直線コネクタ 17">
          <a:extLst>
            <a:ext uri="{FF2B5EF4-FFF2-40B4-BE49-F238E27FC236}">
              <a16:creationId xmlns:a16="http://schemas.microsoft.com/office/drawing/2014/main" id="{3DDC132F-1530-43D8-B302-851F5CE17097}"/>
            </a:ext>
          </a:extLst>
        </xdr:cNvPr>
        <xdr:cNvCxnSpPr>
          <a:stCxn id="16" idx="2"/>
          <a:endCxn id="17" idx="0"/>
        </xdr:cNvCxnSpPr>
      </xdr:nvCxnSpPr>
      <xdr:spPr>
        <a:xfrm flipH="1">
          <a:off x="5318370" y="9820275"/>
          <a:ext cx="2788749" cy="2393705"/>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179998</xdr:colOff>
      <xdr:row>116</xdr:row>
      <xdr:rowOff>179022</xdr:rowOff>
    </xdr:from>
    <xdr:to>
      <xdr:col>18</xdr:col>
      <xdr:colOff>131885</xdr:colOff>
      <xdr:row>117</xdr:row>
      <xdr:rowOff>117230</xdr:rowOff>
    </xdr:to>
    <xdr:sp macro="" textlink="">
      <xdr:nvSpPr>
        <xdr:cNvPr id="19" name="正方形/長方形 18">
          <a:extLst>
            <a:ext uri="{FF2B5EF4-FFF2-40B4-BE49-F238E27FC236}">
              <a16:creationId xmlns:a16="http://schemas.microsoft.com/office/drawing/2014/main" id="{7F41D6D7-4272-4EEA-A8E1-8DC21C41F526}"/>
            </a:ext>
          </a:extLst>
        </xdr:cNvPr>
        <xdr:cNvSpPr/>
      </xdr:nvSpPr>
      <xdr:spPr>
        <a:xfrm>
          <a:off x="4180498" y="28715922"/>
          <a:ext cx="751987" cy="204908"/>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259618</xdr:colOff>
      <xdr:row>119</xdr:row>
      <xdr:rowOff>11479</xdr:rowOff>
    </xdr:from>
    <xdr:to>
      <xdr:col>16</xdr:col>
      <xdr:colOff>153865</xdr:colOff>
      <xdr:row>119</xdr:row>
      <xdr:rowOff>234462</xdr:rowOff>
    </xdr:to>
    <xdr:sp macro="" textlink="">
      <xdr:nvSpPr>
        <xdr:cNvPr id="20" name="正方形/長方形 19">
          <a:extLst>
            <a:ext uri="{FF2B5EF4-FFF2-40B4-BE49-F238E27FC236}">
              <a16:creationId xmlns:a16="http://schemas.microsoft.com/office/drawing/2014/main" id="{DB6E94CE-3BB7-4DA6-8E4D-E61CF33651A5}"/>
            </a:ext>
          </a:extLst>
        </xdr:cNvPr>
        <xdr:cNvSpPr/>
      </xdr:nvSpPr>
      <xdr:spPr>
        <a:xfrm>
          <a:off x="1859818" y="29348479"/>
          <a:ext cx="2561247" cy="222983"/>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205154</xdr:colOff>
      <xdr:row>117</xdr:row>
      <xdr:rowOff>117230</xdr:rowOff>
    </xdr:from>
    <xdr:to>
      <xdr:col>17</xdr:col>
      <xdr:colOff>24057</xdr:colOff>
      <xdr:row>119</xdr:row>
      <xdr:rowOff>8304</xdr:rowOff>
    </xdr:to>
    <xdr:cxnSp macro="">
      <xdr:nvCxnSpPr>
        <xdr:cNvPr id="21" name="直線コネクタ 20">
          <a:extLst>
            <a:ext uri="{FF2B5EF4-FFF2-40B4-BE49-F238E27FC236}">
              <a16:creationId xmlns:a16="http://schemas.microsoft.com/office/drawing/2014/main" id="{583471C9-8D69-4EB0-896E-8855B543BED0}"/>
            </a:ext>
          </a:extLst>
        </xdr:cNvPr>
        <xdr:cNvCxnSpPr>
          <a:stCxn id="19" idx="2"/>
          <a:endCxn id="20" idx="0"/>
        </xdr:cNvCxnSpPr>
      </xdr:nvCxnSpPr>
      <xdr:spPr>
        <a:xfrm flipH="1">
          <a:off x="3138854" y="28920830"/>
          <a:ext cx="1419103" cy="424474"/>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171450</xdr:colOff>
      <xdr:row>86</xdr:row>
      <xdr:rowOff>50800</xdr:rowOff>
    </xdr:from>
    <xdr:to>
      <xdr:col>25</xdr:col>
      <xdr:colOff>95250</xdr:colOff>
      <xdr:row>88</xdr:row>
      <xdr:rowOff>222250</xdr:rowOff>
    </xdr:to>
    <xdr:sp macro="" textlink="">
      <xdr:nvSpPr>
        <xdr:cNvPr id="22" name="正方形/長方形 21">
          <a:extLst>
            <a:ext uri="{FF2B5EF4-FFF2-40B4-BE49-F238E27FC236}">
              <a16:creationId xmlns:a16="http://schemas.microsoft.com/office/drawing/2014/main" id="{67262EAA-53BF-4541-9345-161A7F0A82C9}"/>
            </a:ext>
          </a:extLst>
        </xdr:cNvPr>
        <xdr:cNvSpPr/>
      </xdr:nvSpPr>
      <xdr:spPr>
        <a:xfrm>
          <a:off x="4171950" y="20586700"/>
          <a:ext cx="2590800" cy="704850"/>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107950</xdr:colOff>
      <xdr:row>83</xdr:row>
      <xdr:rowOff>254000</xdr:rowOff>
    </xdr:from>
    <xdr:to>
      <xdr:col>20</xdr:col>
      <xdr:colOff>133350</xdr:colOff>
      <xdr:row>86</xdr:row>
      <xdr:rowOff>50800</xdr:rowOff>
    </xdr:to>
    <xdr:cxnSp macro="">
      <xdr:nvCxnSpPr>
        <xdr:cNvPr id="23" name="直線コネクタ 22">
          <a:extLst>
            <a:ext uri="{FF2B5EF4-FFF2-40B4-BE49-F238E27FC236}">
              <a16:creationId xmlns:a16="http://schemas.microsoft.com/office/drawing/2014/main" id="{6B38F38A-971C-4B68-9621-69C3CF145E09}"/>
            </a:ext>
          </a:extLst>
        </xdr:cNvPr>
        <xdr:cNvCxnSpPr>
          <a:stCxn id="27" idx="2"/>
          <a:endCxn id="22" idx="0"/>
        </xdr:cNvCxnSpPr>
      </xdr:nvCxnSpPr>
      <xdr:spPr>
        <a:xfrm>
          <a:off x="3308350" y="19989800"/>
          <a:ext cx="2159000" cy="596900"/>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234950</xdr:colOff>
      <xdr:row>81</xdr:row>
      <xdr:rowOff>254000</xdr:rowOff>
    </xdr:from>
    <xdr:to>
      <xdr:col>11</xdr:col>
      <xdr:colOff>31750</xdr:colOff>
      <xdr:row>83</xdr:row>
      <xdr:rowOff>44450</xdr:rowOff>
    </xdr:to>
    <xdr:sp macro="" textlink="">
      <xdr:nvSpPr>
        <xdr:cNvPr id="24" name="正方形/長方形 23">
          <a:extLst>
            <a:ext uri="{FF2B5EF4-FFF2-40B4-BE49-F238E27FC236}">
              <a16:creationId xmlns:a16="http://schemas.microsoft.com/office/drawing/2014/main" id="{A8AEF3FE-C138-4600-8D2A-56E5A289995B}"/>
            </a:ext>
          </a:extLst>
        </xdr:cNvPr>
        <xdr:cNvSpPr/>
      </xdr:nvSpPr>
      <xdr:spPr>
        <a:xfrm>
          <a:off x="1568450" y="19456400"/>
          <a:ext cx="1397000" cy="32385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190500</xdr:colOff>
      <xdr:row>89</xdr:row>
      <xdr:rowOff>69850</xdr:rowOff>
    </xdr:from>
    <xdr:to>
      <xdr:col>14</xdr:col>
      <xdr:colOff>120650</xdr:colOff>
      <xdr:row>91</xdr:row>
      <xdr:rowOff>228600</xdr:rowOff>
    </xdr:to>
    <xdr:sp macro="" textlink="">
      <xdr:nvSpPr>
        <xdr:cNvPr id="25" name="正方形/長方形 24">
          <a:extLst>
            <a:ext uri="{FF2B5EF4-FFF2-40B4-BE49-F238E27FC236}">
              <a16:creationId xmlns:a16="http://schemas.microsoft.com/office/drawing/2014/main" id="{E2CB12E8-34BE-41E5-94E1-ED947BB3DBA7}"/>
            </a:ext>
          </a:extLst>
        </xdr:cNvPr>
        <xdr:cNvSpPr/>
      </xdr:nvSpPr>
      <xdr:spPr>
        <a:xfrm>
          <a:off x="1257300" y="21405850"/>
          <a:ext cx="2597150" cy="69215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133350</xdr:colOff>
      <xdr:row>83</xdr:row>
      <xdr:rowOff>44450</xdr:rowOff>
    </xdr:from>
    <xdr:to>
      <xdr:col>9</xdr:col>
      <xdr:colOff>155575</xdr:colOff>
      <xdr:row>89</xdr:row>
      <xdr:rowOff>69850</xdr:rowOff>
    </xdr:to>
    <xdr:cxnSp macro="">
      <xdr:nvCxnSpPr>
        <xdr:cNvPr id="26" name="直線コネクタ 25">
          <a:extLst>
            <a:ext uri="{FF2B5EF4-FFF2-40B4-BE49-F238E27FC236}">
              <a16:creationId xmlns:a16="http://schemas.microsoft.com/office/drawing/2014/main" id="{DDBDCE4E-CDC5-4E50-988A-36BD05E9AF95}"/>
            </a:ext>
          </a:extLst>
        </xdr:cNvPr>
        <xdr:cNvCxnSpPr>
          <a:stCxn id="24" idx="2"/>
          <a:endCxn id="25" idx="0"/>
        </xdr:cNvCxnSpPr>
      </xdr:nvCxnSpPr>
      <xdr:spPr>
        <a:xfrm>
          <a:off x="2266950" y="19780250"/>
          <a:ext cx="288925" cy="1625600"/>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6350</xdr:colOff>
      <xdr:row>82</xdr:row>
      <xdr:rowOff>260350</xdr:rowOff>
    </xdr:from>
    <xdr:to>
      <xdr:col>12</xdr:col>
      <xdr:colOff>209550</xdr:colOff>
      <xdr:row>83</xdr:row>
      <xdr:rowOff>254000</xdr:rowOff>
    </xdr:to>
    <xdr:sp macro="" textlink="">
      <xdr:nvSpPr>
        <xdr:cNvPr id="27" name="正方形/長方形 26">
          <a:extLst>
            <a:ext uri="{FF2B5EF4-FFF2-40B4-BE49-F238E27FC236}">
              <a16:creationId xmlns:a16="http://schemas.microsoft.com/office/drawing/2014/main" id="{ECDB351E-EEB9-42AE-A63D-D10B666CE5B7}"/>
            </a:ext>
          </a:extLst>
        </xdr:cNvPr>
        <xdr:cNvSpPr/>
      </xdr:nvSpPr>
      <xdr:spPr>
        <a:xfrm>
          <a:off x="3206750" y="19729450"/>
          <a:ext cx="203200" cy="260350"/>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247650</xdr:colOff>
      <xdr:row>61</xdr:row>
      <xdr:rowOff>219074</xdr:rowOff>
    </xdr:from>
    <xdr:to>
      <xdr:col>9</xdr:col>
      <xdr:colOff>38101</xdr:colOff>
      <xdr:row>66</xdr:row>
      <xdr:rowOff>50799</xdr:rowOff>
    </xdr:to>
    <xdr:sp macro="" textlink="">
      <xdr:nvSpPr>
        <xdr:cNvPr id="28" name="正方形/長方形 27">
          <a:extLst>
            <a:ext uri="{FF2B5EF4-FFF2-40B4-BE49-F238E27FC236}">
              <a16:creationId xmlns:a16="http://schemas.microsoft.com/office/drawing/2014/main" id="{93671717-872F-48BF-9515-A955E1E62DA5}"/>
            </a:ext>
          </a:extLst>
        </xdr:cNvPr>
        <xdr:cNvSpPr/>
      </xdr:nvSpPr>
      <xdr:spPr>
        <a:xfrm>
          <a:off x="1314450" y="14087474"/>
          <a:ext cx="1123951" cy="1165225"/>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9526</xdr:colOff>
      <xdr:row>55</xdr:row>
      <xdr:rowOff>26132</xdr:rowOff>
    </xdr:from>
    <xdr:to>
      <xdr:col>9</xdr:col>
      <xdr:colOff>125657</xdr:colOff>
      <xdr:row>61</xdr:row>
      <xdr:rowOff>219074</xdr:rowOff>
    </xdr:to>
    <xdr:cxnSp macro="">
      <xdr:nvCxnSpPr>
        <xdr:cNvPr id="29" name="直線コネクタ 28">
          <a:extLst>
            <a:ext uri="{FF2B5EF4-FFF2-40B4-BE49-F238E27FC236}">
              <a16:creationId xmlns:a16="http://schemas.microsoft.com/office/drawing/2014/main" id="{C639C5DB-A980-43FE-A574-E513D1A9FAE9}"/>
            </a:ext>
          </a:extLst>
        </xdr:cNvPr>
        <xdr:cNvCxnSpPr>
          <a:stCxn id="14" idx="2"/>
          <a:endCxn id="28" idx="0"/>
        </xdr:cNvCxnSpPr>
      </xdr:nvCxnSpPr>
      <xdr:spPr>
        <a:xfrm flipH="1">
          <a:off x="1876426" y="12294332"/>
          <a:ext cx="649531" cy="1793142"/>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9526</xdr:colOff>
      <xdr:row>56</xdr:row>
      <xdr:rowOff>259617</xdr:rowOff>
    </xdr:from>
    <xdr:to>
      <xdr:col>19</xdr:col>
      <xdr:colOff>251070</xdr:colOff>
      <xdr:row>61</xdr:row>
      <xdr:rowOff>219074</xdr:rowOff>
    </xdr:to>
    <xdr:cxnSp macro="">
      <xdr:nvCxnSpPr>
        <xdr:cNvPr id="30" name="直線コネクタ 29">
          <a:extLst>
            <a:ext uri="{FF2B5EF4-FFF2-40B4-BE49-F238E27FC236}">
              <a16:creationId xmlns:a16="http://schemas.microsoft.com/office/drawing/2014/main" id="{43694E1C-C164-4DCC-B015-4065A3C06789}"/>
            </a:ext>
          </a:extLst>
        </xdr:cNvPr>
        <xdr:cNvCxnSpPr>
          <a:stCxn id="17" idx="2"/>
          <a:endCxn id="28" idx="0"/>
        </xdr:cNvCxnSpPr>
      </xdr:nvCxnSpPr>
      <xdr:spPr>
        <a:xfrm flipH="1">
          <a:off x="1876426" y="12794517"/>
          <a:ext cx="3441944" cy="1292957"/>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209550</xdr:colOff>
      <xdr:row>58</xdr:row>
      <xdr:rowOff>76200</xdr:rowOff>
    </xdr:from>
    <xdr:to>
      <xdr:col>18</xdr:col>
      <xdr:colOff>85725</xdr:colOff>
      <xdr:row>60</xdr:row>
      <xdr:rowOff>85725</xdr:rowOff>
    </xdr:to>
    <xdr:sp macro="" textlink="">
      <xdr:nvSpPr>
        <xdr:cNvPr id="31" name="正方形/長方形 30">
          <a:extLst>
            <a:ext uri="{FF2B5EF4-FFF2-40B4-BE49-F238E27FC236}">
              <a16:creationId xmlns:a16="http://schemas.microsoft.com/office/drawing/2014/main" id="{A8E3470B-18C6-40A8-95AD-5662F3064927}"/>
            </a:ext>
          </a:extLst>
        </xdr:cNvPr>
        <xdr:cNvSpPr/>
      </xdr:nvSpPr>
      <xdr:spPr>
        <a:xfrm>
          <a:off x="4210050" y="13144500"/>
          <a:ext cx="676275" cy="542925"/>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228600</xdr:colOff>
      <xdr:row>45</xdr:row>
      <xdr:rowOff>190500</xdr:rowOff>
    </xdr:from>
    <xdr:to>
      <xdr:col>7</xdr:col>
      <xdr:colOff>158750</xdr:colOff>
      <xdr:row>46</xdr:row>
      <xdr:rowOff>133350</xdr:rowOff>
    </xdr:to>
    <xdr:sp macro="" textlink="">
      <xdr:nvSpPr>
        <xdr:cNvPr id="32" name="正方形/長方形 31">
          <a:extLst>
            <a:ext uri="{FF2B5EF4-FFF2-40B4-BE49-F238E27FC236}">
              <a16:creationId xmlns:a16="http://schemas.microsoft.com/office/drawing/2014/main" id="{3DC0EFB4-E57B-460D-8CF3-6862FF772ECF}"/>
            </a:ext>
          </a:extLst>
        </xdr:cNvPr>
        <xdr:cNvSpPr/>
      </xdr:nvSpPr>
      <xdr:spPr>
        <a:xfrm>
          <a:off x="1828800" y="9791700"/>
          <a:ext cx="196850" cy="20955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61913</xdr:colOff>
      <xdr:row>46</xdr:row>
      <xdr:rowOff>133350</xdr:rowOff>
    </xdr:from>
    <xdr:to>
      <xdr:col>17</xdr:col>
      <xdr:colOff>12700</xdr:colOff>
      <xdr:row>58</xdr:row>
      <xdr:rowOff>76200</xdr:rowOff>
    </xdr:to>
    <xdr:cxnSp macro="">
      <xdr:nvCxnSpPr>
        <xdr:cNvPr id="33" name="直線コネクタ 32">
          <a:extLst>
            <a:ext uri="{FF2B5EF4-FFF2-40B4-BE49-F238E27FC236}">
              <a16:creationId xmlns:a16="http://schemas.microsoft.com/office/drawing/2014/main" id="{88CAE1B9-7233-4261-A7EE-2A3748F577FA}"/>
            </a:ext>
          </a:extLst>
        </xdr:cNvPr>
        <xdr:cNvCxnSpPr>
          <a:stCxn id="32" idx="2"/>
          <a:endCxn id="31" idx="0"/>
        </xdr:cNvCxnSpPr>
      </xdr:nvCxnSpPr>
      <xdr:spPr>
        <a:xfrm>
          <a:off x="1928813" y="10001250"/>
          <a:ext cx="2617787" cy="3143250"/>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209550</xdr:colOff>
      <xdr:row>67</xdr:row>
      <xdr:rowOff>57150</xdr:rowOff>
    </xdr:from>
    <xdr:to>
      <xdr:col>25</xdr:col>
      <xdr:colOff>120650</xdr:colOff>
      <xdr:row>69</xdr:row>
      <xdr:rowOff>196850</xdr:rowOff>
    </xdr:to>
    <xdr:sp macro="" textlink="">
      <xdr:nvSpPr>
        <xdr:cNvPr id="34" name="正方形/長方形 33">
          <a:extLst>
            <a:ext uri="{FF2B5EF4-FFF2-40B4-BE49-F238E27FC236}">
              <a16:creationId xmlns:a16="http://schemas.microsoft.com/office/drawing/2014/main" id="{BD825E2C-7AD2-45D7-8BA0-78DFEEAB57D0}"/>
            </a:ext>
          </a:extLst>
        </xdr:cNvPr>
        <xdr:cNvSpPr/>
      </xdr:nvSpPr>
      <xdr:spPr>
        <a:xfrm>
          <a:off x="4210050" y="15525750"/>
          <a:ext cx="2578100" cy="67310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0</xdr:colOff>
      <xdr:row>65</xdr:row>
      <xdr:rowOff>57150</xdr:rowOff>
    </xdr:from>
    <xdr:to>
      <xdr:col>8</xdr:col>
      <xdr:colOff>228599</xdr:colOff>
      <xdr:row>65</xdr:row>
      <xdr:rowOff>228600</xdr:rowOff>
    </xdr:to>
    <xdr:sp macro="" textlink="">
      <xdr:nvSpPr>
        <xdr:cNvPr id="35" name="正方形/長方形 34">
          <a:extLst>
            <a:ext uri="{FF2B5EF4-FFF2-40B4-BE49-F238E27FC236}">
              <a16:creationId xmlns:a16="http://schemas.microsoft.com/office/drawing/2014/main" id="{FCF8A00E-11C2-4B3C-BFE3-D7EA02690FC6}"/>
            </a:ext>
          </a:extLst>
        </xdr:cNvPr>
        <xdr:cNvSpPr/>
      </xdr:nvSpPr>
      <xdr:spPr>
        <a:xfrm>
          <a:off x="2133600" y="14992350"/>
          <a:ext cx="228599" cy="17145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114300</xdr:colOff>
      <xdr:row>65</xdr:row>
      <xdr:rowOff>228600</xdr:rowOff>
    </xdr:from>
    <xdr:to>
      <xdr:col>20</xdr:col>
      <xdr:colOff>166688</xdr:colOff>
      <xdr:row>67</xdr:row>
      <xdr:rowOff>57150</xdr:rowOff>
    </xdr:to>
    <xdr:cxnSp macro="">
      <xdr:nvCxnSpPr>
        <xdr:cNvPr id="36" name="直線コネクタ 35">
          <a:extLst>
            <a:ext uri="{FF2B5EF4-FFF2-40B4-BE49-F238E27FC236}">
              <a16:creationId xmlns:a16="http://schemas.microsoft.com/office/drawing/2014/main" id="{253E7146-1D64-4F08-8BE7-8F21B0EAAF79}"/>
            </a:ext>
          </a:extLst>
        </xdr:cNvPr>
        <xdr:cNvCxnSpPr>
          <a:stCxn id="35" idx="2"/>
          <a:endCxn id="34" idx="0"/>
        </xdr:cNvCxnSpPr>
      </xdr:nvCxnSpPr>
      <xdr:spPr>
        <a:xfrm>
          <a:off x="2247900" y="15163800"/>
          <a:ext cx="3252788" cy="361950"/>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0</xdr:colOff>
      <xdr:row>3</xdr:row>
      <xdr:rowOff>0</xdr:rowOff>
    </xdr:from>
    <xdr:to>
      <xdr:col>37</xdr:col>
      <xdr:colOff>96540</xdr:colOff>
      <xdr:row>7</xdr:row>
      <xdr:rowOff>165100</xdr:rowOff>
    </xdr:to>
    <xdr:pic>
      <xdr:nvPicPr>
        <xdr:cNvPr id="38" name="図 37">
          <a:extLst>
            <a:ext uri="{FF2B5EF4-FFF2-40B4-BE49-F238E27FC236}">
              <a16:creationId xmlns:a16="http://schemas.microsoft.com/office/drawing/2014/main" id="{C7CD36A7-BBC5-43BA-AD58-30CA0A4B4BDE}"/>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00100" y="800100"/>
          <a:ext cx="9164340" cy="1231900"/>
        </a:xfrm>
        <a:prstGeom prst="rect">
          <a:avLst/>
        </a:prstGeom>
      </xdr:spPr>
    </xdr:pic>
    <xdr:clientData/>
  </xdr:twoCellAnchor>
  <xdr:twoCellAnchor>
    <xdr:from>
      <xdr:col>5</xdr:col>
      <xdr:colOff>209550</xdr:colOff>
      <xdr:row>8</xdr:row>
      <xdr:rowOff>222250</xdr:rowOff>
    </xdr:from>
    <xdr:to>
      <xdr:col>23</xdr:col>
      <xdr:colOff>133350</xdr:colOff>
      <xdr:row>10</xdr:row>
      <xdr:rowOff>38100</xdr:rowOff>
    </xdr:to>
    <xdr:sp macro="" textlink="">
      <xdr:nvSpPr>
        <xdr:cNvPr id="39" name="正方形/長方形 38">
          <a:extLst>
            <a:ext uri="{FF2B5EF4-FFF2-40B4-BE49-F238E27FC236}">
              <a16:creationId xmlns:a16="http://schemas.microsoft.com/office/drawing/2014/main" id="{DD96F328-6F6D-497E-9C74-B7DAFBBB6140}"/>
            </a:ext>
          </a:extLst>
        </xdr:cNvPr>
        <xdr:cNvSpPr/>
      </xdr:nvSpPr>
      <xdr:spPr>
        <a:xfrm>
          <a:off x="1543050" y="2355850"/>
          <a:ext cx="4724400" cy="349250"/>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19050</xdr:colOff>
      <xdr:row>5</xdr:row>
      <xdr:rowOff>254000</xdr:rowOff>
    </xdr:from>
    <xdr:to>
      <xdr:col>9</xdr:col>
      <xdr:colOff>260350</xdr:colOff>
      <xdr:row>7</xdr:row>
      <xdr:rowOff>31750</xdr:rowOff>
    </xdr:to>
    <xdr:sp macro="" textlink="">
      <xdr:nvSpPr>
        <xdr:cNvPr id="40" name="正方形/長方形 39">
          <a:extLst>
            <a:ext uri="{FF2B5EF4-FFF2-40B4-BE49-F238E27FC236}">
              <a16:creationId xmlns:a16="http://schemas.microsoft.com/office/drawing/2014/main" id="{056EE711-F81D-4604-A45A-56F43AB150A5}"/>
            </a:ext>
          </a:extLst>
        </xdr:cNvPr>
        <xdr:cNvSpPr/>
      </xdr:nvSpPr>
      <xdr:spPr>
        <a:xfrm>
          <a:off x="1619250" y="1587500"/>
          <a:ext cx="1041400" cy="311150"/>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6350</xdr:colOff>
      <xdr:row>7</xdr:row>
      <xdr:rowOff>31750</xdr:rowOff>
    </xdr:from>
    <xdr:to>
      <xdr:col>14</xdr:col>
      <xdr:colOff>171450</xdr:colOff>
      <xdr:row>8</xdr:row>
      <xdr:rowOff>222250</xdr:rowOff>
    </xdr:to>
    <xdr:cxnSp macro="">
      <xdr:nvCxnSpPr>
        <xdr:cNvPr id="41" name="直線コネクタ 40">
          <a:extLst>
            <a:ext uri="{FF2B5EF4-FFF2-40B4-BE49-F238E27FC236}">
              <a16:creationId xmlns:a16="http://schemas.microsoft.com/office/drawing/2014/main" id="{168846E1-9D0F-451E-AAFB-E2E3E8C6E0EB}"/>
            </a:ext>
          </a:extLst>
        </xdr:cNvPr>
        <xdr:cNvCxnSpPr>
          <a:stCxn id="40" idx="2"/>
          <a:endCxn id="39" idx="0"/>
        </xdr:cNvCxnSpPr>
      </xdr:nvCxnSpPr>
      <xdr:spPr>
        <a:xfrm>
          <a:off x="2139950" y="1898650"/>
          <a:ext cx="1765300" cy="457200"/>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203200</xdr:colOff>
      <xdr:row>78</xdr:row>
      <xdr:rowOff>88900</xdr:rowOff>
    </xdr:from>
    <xdr:to>
      <xdr:col>21</xdr:col>
      <xdr:colOff>25400</xdr:colOff>
      <xdr:row>80</xdr:row>
      <xdr:rowOff>203200</xdr:rowOff>
    </xdr:to>
    <xdr:sp macro="" textlink="">
      <xdr:nvSpPr>
        <xdr:cNvPr id="45" name="正方形/長方形 44">
          <a:extLst>
            <a:ext uri="{FF2B5EF4-FFF2-40B4-BE49-F238E27FC236}">
              <a16:creationId xmlns:a16="http://schemas.microsoft.com/office/drawing/2014/main" id="{A61A6F28-AB32-4B9A-B10D-B6EFFEB6AE3C}"/>
            </a:ext>
          </a:extLst>
        </xdr:cNvPr>
        <xdr:cNvSpPr/>
      </xdr:nvSpPr>
      <xdr:spPr>
        <a:xfrm>
          <a:off x="4203700" y="20891500"/>
          <a:ext cx="1422400" cy="647700"/>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5</xdr:col>
      <xdr:colOff>28575</xdr:colOff>
      <xdr:row>44</xdr:row>
      <xdr:rowOff>28575</xdr:rowOff>
    </xdr:from>
    <xdr:to>
      <xdr:col>13</xdr:col>
      <xdr:colOff>263580</xdr:colOff>
      <xdr:row>52</xdr:row>
      <xdr:rowOff>238125</xdr:rowOff>
    </xdr:to>
    <xdr:pic>
      <xdr:nvPicPr>
        <xdr:cNvPr id="52" name="図 51">
          <a:extLst>
            <a:ext uri="{FF2B5EF4-FFF2-40B4-BE49-F238E27FC236}">
              <a16:creationId xmlns:a16="http://schemas.microsoft.com/office/drawing/2014/main" id="{D142BFAA-C897-4DD6-A847-0223472536E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62075" y="9363075"/>
          <a:ext cx="2368605" cy="2343150"/>
        </a:xfrm>
        <a:prstGeom prst="rect">
          <a:avLst/>
        </a:prstGeom>
      </xdr:spPr>
    </xdr:pic>
    <xdr:clientData/>
  </xdr:twoCellAnchor>
  <xdr:twoCellAnchor editAs="oneCell">
    <xdr:from>
      <xdr:col>16</xdr:col>
      <xdr:colOff>0</xdr:colOff>
      <xdr:row>44</xdr:row>
      <xdr:rowOff>0</xdr:rowOff>
    </xdr:from>
    <xdr:to>
      <xdr:col>43</xdr:col>
      <xdr:colOff>208106</xdr:colOff>
      <xdr:row>53</xdr:row>
      <xdr:rowOff>209550</xdr:rowOff>
    </xdr:to>
    <xdr:pic>
      <xdr:nvPicPr>
        <xdr:cNvPr id="8" name="図 7">
          <a:extLst>
            <a:ext uri="{FF2B5EF4-FFF2-40B4-BE49-F238E27FC236}">
              <a16:creationId xmlns:a16="http://schemas.microsoft.com/office/drawing/2014/main" id="{FB057D0F-D0F2-4C8E-80B9-B6EA813BB41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267200" y="9334500"/>
          <a:ext cx="7409006" cy="2609850"/>
        </a:xfrm>
        <a:prstGeom prst="rect">
          <a:avLst/>
        </a:prstGeom>
      </xdr:spPr>
    </xdr:pic>
    <xdr:clientData/>
  </xdr:twoCellAnchor>
  <xdr:twoCellAnchor editAs="oneCell">
    <xdr:from>
      <xdr:col>5</xdr:col>
      <xdr:colOff>0</xdr:colOff>
      <xdr:row>131</xdr:row>
      <xdr:rowOff>0</xdr:rowOff>
    </xdr:from>
    <xdr:to>
      <xdr:col>34</xdr:col>
      <xdr:colOff>126267</xdr:colOff>
      <xdr:row>146</xdr:row>
      <xdr:rowOff>170109</xdr:rowOff>
    </xdr:to>
    <xdr:pic>
      <xdr:nvPicPr>
        <xdr:cNvPr id="40" name="図 39">
          <a:extLst>
            <a:ext uri="{FF2B5EF4-FFF2-40B4-BE49-F238E27FC236}">
              <a16:creationId xmlns:a16="http://schemas.microsoft.com/office/drawing/2014/main" id="{40E525CA-90AA-4A4B-AA06-6CF502EC71E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318846" y="30333462"/>
          <a:ext cx="7775575" cy="4126647"/>
        </a:xfrm>
        <a:prstGeom prst="rect">
          <a:avLst/>
        </a:prstGeom>
      </xdr:spPr>
    </xdr:pic>
    <xdr:clientData/>
  </xdr:twoCellAnchor>
  <xdr:twoCellAnchor editAs="oneCell">
    <xdr:from>
      <xdr:col>5</xdr:col>
      <xdr:colOff>0</xdr:colOff>
      <xdr:row>76</xdr:row>
      <xdr:rowOff>0</xdr:rowOff>
    </xdr:from>
    <xdr:to>
      <xdr:col>17</xdr:col>
      <xdr:colOff>29308</xdr:colOff>
      <xdr:row>93</xdr:row>
      <xdr:rowOff>30097</xdr:rowOff>
    </xdr:to>
    <xdr:pic>
      <xdr:nvPicPr>
        <xdr:cNvPr id="32" name="図 31">
          <a:extLst>
            <a:ext uri="{FF2B5EF4-FFF2-40B4-BE49-F238E27FC236}">
              <a16:creationId xmlns:a16="http://schemas.microsoft.com/office/drawing/2014/main" id="{830A1CE7-CA48-D0DE-E55B-25AC835C1CF1}"/>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318846" y="15826154"/>
          <a:ext cx="3194539" cy="4514174"/>
        </a:xfrm>
        <a:prstGeom prst="rect">
          <a:avLst/>
        </a:prstGeom>
      </xdr:spPr>
    </xdr:pic>
    <xdr:clientData/>
  </xdr:twoCellAnchor>
  <xdr:twoCellAnchor editAs="oneCell">
    <xdr:from>
      <xdr:col>5</xdr:col>
      <xdr:colOff>1</xdr:colOff>
      <xdr:row>29</xdr:row>
      <xdr:rowOff>14654</xdr:rowOff>
    </xdr:from>
    <xdr:to>
      <xdr:col>34</xdr:col>
      <xdr:colOff>123093</xdr:colOff>
      <xdr:row>33</xdr:row>
      <xdr:rowOff>117040</xdr:rowOff>
    </xdr:to>
    <xdr:pic>
      <xdr:nvPicPr>
        <xdr:cNvPr id="13" name="図 12">
          <a:extLst>
            <a:ext uri="{FF2B5EF4-FFF2-40B4-BE49-F238E27FC236}">
              <a16:creationId xmlns:a16="http://schemas.microsoft.com/office/drawing/2014/main" id="{F513A7F8-0D73-469E-9853-5B2AFFBACE93}"/>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318847" y="5290039"/>
          <a:ext cx="7772400" cy="1157463"/>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82550</xdr:colOff>
          <xdr:row>126</xdr:row>
          <xdr:rowOff>184150</xdr:rowOff>
        </xdr:from>
        <xdr:to>
          <xdr:col>12</xdr:col>
          <xdr:colOff>139700</xdr:colOff>
          <xdr:row>129</xdr:row>
          <xdr:rowOff>57150</xdr:rowOff>
        </xdr:to>
        <xdr:sp macro="" textlink="">
          <xdr:nvSpPr>
            <xdr:cNvPr id="71681" name="Button 1" hidden="1">
              <a:extLst>
                <a:ext uri="{63B3BB69-23CF-44E3-9099-C40C66FF867C}">
                  <a14:compatExt spid="_x0000_s71681"/>
                </a:ext>
                <a:ext uri="{FF2B5EF4-FFF2-40B4-BE49-F238E27FC236}">
                  <a16:creationId xmlns:a16="http://schemas.microsoft.com/office/drawing/2014/main" id="{00000000-0008-0000-0A00-000001180100}"/>
                </a:ext>
              </a:extLst>
            </xdr:cNvPr>
            <xdr:cNvSpPr/>
          </xdr:nvSpPr>
          <xdr:spPr bwMode="auto">
            <a:xfrm>
              <a:off x="0" y="0"/>
              <a:ext cx="0" cy="0"/>
            </a:xfrm>
            <a:prstGeom prst="rect">
              <a:avLst/>
            </a:prstGeom>
            <a:noFill/>
            <a:ln w="9525">
              <a:miter lim="800000"/>
              <a:headEnd/>
              <a:tailEnd/>
            </a:ln>
          </xdr:spPr>
          <xdr:txBody>
            <a:bodyPr vertOverflow="clip" wrap="square" lIns="64008" tIns="91440" rIns="64008" bIns="91440" anchor="ctr" upright="1"/>
            <a:lstStyle/>
            <a:p>
              <a:pPr algn="ctr" rtl="0">
                <a:defRPr sz="1000"/>
              </a:pPr>
              <a:r>
                <a:rPr lang="ja-JP" altLang="en-US" sz="2000" b="0" i="0" u="none" strike="noStrike" baseline="0">
                  <a:solidFill>
                    <a:srgbClr val="000000"/>
                  </a:solidFill>
                  <a:latin typeface="游ゴシック"/>
                  <a:ea typeface="游ゴシック"/>
                </a:rPr>
                <a:t>自動生成</a:t>
              </a:r>
            </a:p>
          </xdr:txBody>
        </xdr:sp>
        <xdr:clientData fPrintsWithSheet="0"/>
      </xdr:twoCellAnchor>
    </mc:Choice>
    <mc:Fallback/>
  </mc:AlternateContent>
  <xdr:twoCellAnchor editAs="oneCell">
    <xdr:from>
      <xdr:col>5</xdr:col>
      <xdr:colOff>0</xdr:colOff>
      <xdr:row>14</xdr:row>
      <xdr:rowOff>0</xdr:rowOff>
    </xdr:from>
    <xdr:to>
      <xdr:col>31</xdr:col>
      <xdr:colOff>105747</xdr:colOff>
      <xdr:row>18</xdr:row>
      <xdr:rowOff>154767</xdr:rowOff>
    </xdr:to>
    <xdr:pic>
      <xdr:nvPicPr>
        <xdr:cNvPr id="2" name="図 1">
          <a:extLst>
            <a:ext uri="{FF2B5EF4-FFF2-40B4-BE49-F238E27FC236}">
              <a16:creationId xmlns:a16="http://schemas.microsoft.com/office/drawing/2014/main" id="{57C5274E-2743-4320-81CE-E62148D1C27C}"/>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18846" y="1318846"/>
          <a:ext cx="6963747" cy="1209844"/>
        </a:xfrm>
        <a:prstGeom prst="rect">
          <a:avLst/>
        </a:prstGeom>
      </xdr:spPr>
    </xdr:pic>
    <xdr:clientData/>
  </xdr:twoCellAnchor>
  <xdr:twoCellAnchor>
    <xdr:from>
      <xdr:col>5</xdr:col>
      <xdr:colOff>0</xdr:colOff>
      <xdr:row>20</xdr:row>
      <xdr:rowOff>7326</xdr:rowOff>
    </xdr:from>
    <xdr:to>
      <xdr:col>20</xdr:col>
      <xdr:colOff>134083</xdr:colOff>
      <xdr:row>22</xdr:row>
      <xdr:rowOff>13677</xdr:rowOff>
    </xdr:to>
    <xdr:sp macro="" textlink="">
      <xdr:nvSpPr>
        <xdr:cNvPr id="3" name="正方形/長方形 2">
          <a:extLst>
            <a:ext uri="{FF2B5EF4-FFF2-40B4-BE49-F238E27FC236}">
              <a16:creationId xmlns:a16="http://schemas.microsoft.com/office/drawing/2014/main" id="{1A359A5A-5B2E-4206-84A2-99EF26674688}"/>
            </a:ext>
          </a:extLst>
        </xdr:cNvPr>
        <xdr:cNvSpPr/>
      </xdr:nvSpPr>
      <xdr:spPr>
        <a:xfrm>
          <a:off x="1318846" y="2908788"/>
          <a:ext cx="4090622" cy="533889"/>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18</xdr:col>
      <xdr:colOff>36634</xdr:colOff>
      <xdr:row>16</xdr:row>
      <xdr:rowOff>117230</xdr:rowOff>
    </xdr:from>
    <xdr:to>
      <xdr:col>23</xdr:col>
      <xdr:colOff>22958</xdr:colOff>
      <xdr:row>17</xdr:row>
      <xdr:rowOff>167542</xdr:rowOff>
    </xdr:to>
    <xdr:sp macro="" textlink="">
      <xdr:nvSpPr>
        <xdr:cNvPr id="4" name="正方形/長方形 3">
          <a:extLst>
            <a:ext uri="{FF2B5EF4-FFF2-40B4-BE49-F238E27FC236}">
              <a16:creationId xmlns:a16="http://schemas.microsoft.com/office/drawing/2014/main" id="{EEDEDD46-86B6-48E7-9FE5-0C901AA04AE5}"/>
            </a:ext>
          </a:extLst>
        </xdr:cNvPr>
        <xdr:cNvSpPr/>
      </xdr:nvSpPr>
      <xdr:spPr>
        <a:xfrm>
          <a:off x="4784480" y="1963615"/>
          <a:ext cx="1305170" cy="314081"/>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198926</xdr:colOff>
      <xdr:row>17</xdr:row>
      <xdr:rowOff>164367</xdr:rowOff>
    </xdr:from>
    <xdr:to>
      <xdr:col>20</xdr:col>
      <xdr:colOff>163268</xdr:colOff>
      <xdr:row>20</xdr:row>
      <xdr:rowOff>10501</xdr:rowOff>
    </xdr:to>
    <xdr:cxnSp macro="">
      <xdr:nvCxnSpPr>
        <xdr:cNvPr id="5" name="直線コネクタ 4">
          <a:extLst>
            <a:ext uri="{FF2B5EF4-FFF2-40B4-BE49-F238E27FC236}">
              <a16:creationId xmlns:a16="http://schemas.microsoft.com/office/drawing/2014/main" id="{8C237F17-022F-4AFE-8724-910CAD6EDC1E}"/>
            </a:ext>
          </a:extLst>
        </xdr:cNvPr>
        <xdr:cNvCxnSpPr>
          <a:stCxn id="4" idx="2"/>
          <a:endCxn id="3" idx="0"/>
        </xdr:cNvCxnSpPr>
      </xdr:nvCxnSpPr>
      <xdr:spPr>
        <a:xfrm flipH="1">
          <a:off x="3364157" y="2274521"/>
          <a:ext cx="2074496" cy="637442"/>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227135</xdr:colOff>
      <xdr:row>33</xdr:row>
      <xdr:rowOff>256442</xdr:rowOff>
    </xdr:from>
    <xdr:to>
      <xdr:col>11</xdr:col>
      <xdr:colOff>222983</xdr:colOff>
      <xdr:row>36</xdr:row>
      <xdr:rowOff>4152</xdr:rowOff>
    </xdr:to>
    <xdr:sp macro="" textlink="">
      <xdr:nvSpPr>
        <xdr:cNvPr id="9" name="正方形/長方形 8">
          <a:extLst>
            <a:ext uri="{FF2B5EF4-FFF2-40B4-BE49-F238E27FC236}">
              <a16:creationId xmlns:a16="http://schemas.microsoft.com/office/drawing/2014/main" id="{6B90D75A-D593-48B4-B686-E12F2258A369}"/>
            </a:ext>
          </a:extLst>
        </xdr:cNvPr>
        <xdr:cNvSpPr/>
      </xdr:nvSpPr>
      <xdr:spPr>
        <a:xfrm>
          <a:off x="1545981" y="6586904"/>
          <a:ext cx="1578464" cy="539017"/>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18</xdr:col>
      <xdr:colOff>201979</xdr:colOff>
      <xdr:row>32</xdr:row>
      <xdr:rowOff>10502</xdr:rowOff>
    </xdr:from>
    <xdr:to>
      <xdr:col>22</xdr:col>
      <xdr:colOff>36635</xdr:colOff>
      <xdr:row>32</xdr:row>
      <xdr:rowOff>234462</xdr:rowOff>
    </xdr:to>
    <xdr:sp macro="" textlink="">
      <xdr:nvSpPr>
        <xdr:cNvPr id="10" name="正方形/長方形 9">
          <a:extLst>
            <a:ext uri="{FF2B5EF4-FFF2-40B4-BE49-F238E27FC236}">
              <a16:creationId xmlns:a16="http://schemas.microsoft.com/office/drawing/2014/main" id="{69C185C8-E1A7-44A9-B728-42393C73E9D1}"/>
            </a:ext>
          </a:extLst>
        </xdr:cNvPr>
        <xdr:cNvSpPr/>
      </xdr:nvSpPr>
      <xdr:spPr>
        <a:xfrm>
          <a:off x="4949825" y="6077194"/>
          <a:ext cx="889733" cy="22396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223472</xdr:colOff>
      <xdr:row>32</xdr:row>
      <xdr:rowOff>234462</xdr:rowOff>
    </xdr:from>
    <xdr:to>
      <xdr:col>20</xdr:col>
      <xdr:colOff>119307</xdr:colOff>
      <xdr:row>33</xdr:row>
      <xdr:rowOff>259617</xdr:rowOff>
    </xdr:to>
    <xdr:cxnSp macro="">
      <xdr:nvCxnSpPr>
        <xdr:cNvPr id="11" name="直線コネクタ 10">
          <a:extLst>
            <a:ext uri="{FF2B5EF4-FFF2-40B4-BE49-F238E27FC236}">
              <a16:creationId xmlns:a16="http://schemas.microsoft.com/office/drawing/2014/main" id="{0041ECBC-8BF7-482D-A8D2-54F55FE69784}"/>
            </a:ext>
          </a:extLst>
        </xdr:cNvPr>
        <xdr:cNvCxnSpPr>
          <a:stCxn id="10" idx="2"/>
          <a:endCxn id="9" idx="0"/>
        </xdr:cNvCxnSpPr>
      </xdr:nvCxnSpPr>
      <xdr:spPr>
        <a:xfrm flipH="1">
          <a:off x="2333626" y="6301154"/>
          <a:ext cx="3061066" cy="288925"/>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241789</xdr:colOff>
      <xdr:row>53</xdr:row>
      <xdr:rowOff>219808</xdr:rowOff>
    </xdr:from>
    <xdr:to>
      <xdr:col>14</xdr:col>
      <xdr:colOff>8305</xdr:colOff>
      <xdr:row>55</xdr:row>
      <xdr:rowOff>22957</xdr:rowOff>
    </xdr:to>
    <xdr:sp macro="" textlink="">
      <xdr:nvSpPr>
        <xdr:cNvPr id="16" name="正方形/長方形 15">
          <a:extLst>
            <a:ext uri="{FF2B5EF4-FFF2-40B4-BE49-F238E27FC236}">
              <a16:creationId xmlns:a16="http://schemas.microsoft.com/office/drawing/2014/main" id="{79D756E1-E351-4504-B207-2067AD4581B5}"/>
            </a:ext>
          </a:extLst>
        </xdr:cNvPr>
        <xdr:cNvSpPr/>
      </xdr:nvSpPr>
      <xdr:spPr>
        <a:xfrm>
          <a:off x="1296866" y="11825654"/>
          <a:ext cx="2404208" cy="330688"/>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209550</xdr:colOff>
      <xdr:row>45</xdr:row>
      <xdr:rowOff>190499</xdr:rowOff>
    </xdr:from>
    <xdr:to>
      <xdr:col>9</xdr:col>
      <xdr:colOff>122361</xdr:colOff>
      <xdr:row>48</xdr:row>
      <xdr:rowOff>95250</xdr:rowOff>
    </xdr:to>
    <xdr:sp macro="" textlink="">
      <xdr:nvSpPr>
        <xdr:cNvPr id="17" name="正方形/長方形 16">
          <a:extLst>
            <a:ext uri="{FF2B5EF4-FFF2-40B4-BE49-F238E27FC236}">
              <a16:creationId xmlns:a16="http://schemas.microsoft.com/office/drawing/2014/main" id="{9EC2A9B4-0540-4D94-BBE7-C2066809A093}"/>
            </a:ext>
          </a:extLst>
        </xdr:cNvPr>
        <xdr:cNvSpPr/>
      </xdr:nvSpPr>
      <xdr:spPr>
        <a:xfrm>
          <a:off x="1809750" y="9791699"/>
          <a:ext cx="712911" cy="704851"/>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32606</xdr:colOff>
      <xdr:row>48</xdr:row>
      <xdr:rowOff>95250</xdr:rowOff>
    </xdr:from>
    <xdr:to>
      <xdr:col>9</xdr:col>
      <xdr:colOff>125047</xdr:colOff>
      <xdr:row>53</xdr:row>
      <xdr:rowOff>216633</xdr:rowOff>
    </xdr:to>
    <xdr:cxnSp macro="">
      <xdr:nvCxnSpPr>
        <xdr:cNvPr id="18" name="直線コネクタ 17">
          <a:extLst>
            <a:ext uri="{FF2B5EF4-FFF2-40B4-BE49-F238E27FC236}">
              <a16:creationId xmlns:a16="http://schemas.microsoft.com/office/drawing/2014/main" id="{B633BDC2-9D32-488B-9D6A-B12A351FF148}"/>
            </a:ext>
          </a:extLst>
        </xdr:cNvPr>
        <xdr:cNvCxnSpPr>
          <a:stCxn id="17" idx="2"/>
          <a:endCxn id="16" idx="0"/>
        </xdr:cNvCxnSpPr>
      </xdr:nvCxnSpPr>
      <xdr:spPr>
        <a:xfrm>
          <a:off x="2166206" y="10496550"/>
          <a:ext cx="359141" cy="1454883"/>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217365</xdr:colOff>
      <xdr:row>44</xdr:row>
      <xdr:rowOff>212237</xdr:rowOff>
    </xdr:from>
    <xdr:to>
      <xdr:col>43</xdr:col>
      <xdr:colOff>257175</xdr:colOff>
      <xdr:row>45</xdr:row>
      <xdr:rowOff>209550</xdr:rowOff>
    </xdr:to>
    <xdr:sp macro="" textlink="">
      <xdr:nvSpPr>
        <xdr:cNvPr id="21" name="正方形/長方形 20">
          <a:extLst>
            <a:ext uri="{FF2B5EF4-FFF2-40B4-BE49-F238E27FC236}">
              <a16:creationId xmlns:a16="http://schemas.microsoft.com/office/drawing/2014/main" id="{0552AB9F-2EFB-498B-9149-4FD968E59328}"/>
            </a:ext>
          </a:extLst>
        </xdr:cNvPr>
        <xdr:cNvSpPr/>
      </xdr:nvSpPr>
      <xdr:spPr>
        <a:xfrm>
          <a:off x="4484565" y="9546737"/>
          <a:ext cx="7240710" cy="264013"/>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201980</xdr:colOff>
      <xdr:row>54</xdr:row>
      <xdr:rowOff>212480</xdr:rowOff>
    </xdr:from>
    <xdr:to>
      <xdr:col>25</xdr:col>
      <xdr:colOff>36634</xdr:colOff>
      <xdr:row>56</xdr:row>
      <xdr:rowOff>256442</xdr:rowOff>
    </xdr:to>
    <xdr:sp macro="" textlink="">
      <xdr:nvSpPr>
        <xdr:cNvPr id="22" name="正方形/長方形 21">
          <a:extLst>
            <a:ext uri="{FF2B5EF4-FFF2-40B4-BE49-F238E27FC236}">
              <a16:creationId xmlns:a16="http://schemas.microsoft.com/office/drawing/2014/main" id="{035A2103-73C1-49CD-9D0C-04CEA4B4FAC3}"/>
            </a:ext>
          </a:extLst>
        </xdr:cNvPr>
        <xdr:cNvSpPr/>
      </xdr:nvSpPr>
      <xdr:spPr>
        <a:xfrm>
          <a:off x="3932605" y="12213980"/>
          <a:ext cx="2771529" cy="580537"/>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19</xdr:col>
      <xdr:colOff>251070</xdr:colOff>
      <xdr:row>45</xdr:row>
      <xdr:rowOff>209550</xdr:rowOff>
    </xdr:from>
    <xdr:to>
      <xdr:col>30</xdr:col>
      <xdr:colOff>103920</xdr:colOff>
      <xdr:row>54</xdr:row>
      <xdr:rowOff>212480</xdr:rowOff>
    </xdr:to>
    <xdr:cxnSp macro="">
      <xdr:nvCxnSpPr>
        <xdr:cNvPr id="23" name="直線コネクタ 22">
          <a:extLst>
            <a:ext uri="{FF2B5EF4-FFF2-40B4-BE49-F238E27FC236}">
              <a16:creationId xmlns:a16="http://schemas.microsoft.com/office/drawing/2014/main" id="{28C96621-084E-4771-B039-65DE4D4931EC}"/>
            </a:ext>
          </a:extLst>
        </xdr:cNvPr>
        <xdr:cNvCxnSpPr>
          <a:stCxn id="21" idx="2"/>
          <a:endCxn id="22" idx="0"/>
        </xdr:cNvCxnSpPr>
      </xdr:nvCxnSpPr>
      <xdr:spPr>
        <a:xfrm flipH="1">
          <a:off x="5318370" y="9810750"/>
          <a:ext cx="2786550" cy="2403230"/>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153867</xdr:colOff>
      <xdr:row>80</xdr:row>
      <xdr:rowOff>263768</xdr:rowOff>
    </xdr:from>
    <xdr:to>
      <xdr:col>15</xdr:col>
      <xdr:colOff>183175</xdr:colOff>
      <xdr:row>90</xdr:row>
      <xdr:rowOff>80595</xdr:rowOff>
    </xdr:to>
    <xdr:sp macro="" textlink="">
      <xdr:nvSpPr>
        <xdr:cNvPr id="28" name="正方形/長方形 27">
          <a:extLst>
            <a:ext uri="{FF2B5EF4-FFF2-40B4-BE49-F238E27FC236}">
              <a16:creationId xmlns:a16="http://schemas.microsoft.com/office/drawing/2014/main" id="{9CF8DCEC-DF6F-4EEA-89CF-60C39F503D72}"/>
            </a:ext>
          </a:extLst>
        </xdr:cNvPr>
        <xdr:cNvSpPr/>
      </xdr:nvSpPr>
      <xdr:spPr>
        <a:xfrm>
          <a:off x="3055329" y="17144999"/>
          <a:ext cx="1084384" cy="2454519"/>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234950</xdr:colOff>
      <xdr:row>94</xdr:row>
      <xdr:rowOff>10503</xdr:rowOff>
    </xdr:from>
    <xdr:to>
      <xdr:col>14</xdr:col>
      <xdr:colOff>171450</xdr:colOff>
      <xdr:row>94</xdr:row>
      <xdr:rowOff>247650</xdr:rowOff>
    </xdr:to>
    <xdr:sp macro="" textlink="">
      <xdr:nvSpPr>
        <xdr:cNvPr id="29" name="正方形/長方形 28">
          <a:extLst>
            <a:ext uri="{FF2B5EF4-FFF2-40B4-BE49-F238E27FC236}">
              <a16:creationId xmlns:a16="http://schemas.microsoft.com/office/drawing/2014/main" id="{DCFDF5BC-350E-4D3D-8589-CF774257826A}"/>
            </a:ext>
          </a:extLst>
        </xdr:cNvPr>
        <xdr:cNvSpPr/>
      </xdr:nvSpPr>
      <xdr:spPr>
        <a:xfrm>
          <a:off x="1835150" y="20813103"/>
          <a:ext cx="2070100" cy="237147"/>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203200</xdr:colOff>
      <xdr:row>90</xdr:row>
      <xdr:rowOff>80595</xdr:rowOff>
    </xdr:from>
    <xdr:to>
      <xdr:col>13</xdr:col>
      <xdr:colOff>168521</xdr:colOff>
      <xdr:row>94</xdr:row>
      <xdr:rowOff>10503</xdr:rowOff>
    </xdr:to>
    <xdr:cxnSp macro="">
      <xdr:nvCxnSpPr>
        <xdr:cNvPr id="30" name="直線コネクタ 29">
          <a:extLst>
            <a:ext uri="{FF2B5EF4-FFF2-40B4-BE49-F238E27FC236}">
              <a16:creationId xmlns:a16="http://schemas.microsoft.com/office/drawing/2014/main" id="{7F7FC20D-AA00-4898-9268-EA5A35DDC762}"/>
            </a:ext>
          </a:extLst>
        </xdr:cNvPr>
        <xdr:cNvCxnSpPr>
          <a:stCxn id="28" idx="2"/>
          <a:endCxn id="29" idx="0"/>
        </xdr:cNvCxnSpPr>
      </xdr:nvCxnSpPr>
      <xdr:spPr>
        <a:xfrm flipH="1">
          <a:off x="2870200" y="19816395"/>
          <a:ext cx="765421" cy="996708"/>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26133</xdr:colOff>
      <xdr:row>145</xdr:row>
      <xdr:rowOff>180973</xdr:rowOff>
    </xdr:from>
    <xdr:to>
      <xdr:col>22</xdr:col>
      <xdr:colOff>139212</xdr:colOff>
      <xdr:row>146</xdr:row>
      <xdr:rowOff>102577</xdr:rowOff>
    </xdr:to>
    <xdr:sp macro="" textlink="">
      <xdr:nvSpPr>
        <xdr:cNvPr id="35" name="正方形/長方形 34">
          <a:extLst>
            <a:ext uri="{FF2B5EF4-FFF2-40B4-BE49-F238E27FC236}">
              <a16:creationId xmlns:a16="http://schemas.microsoft.com/office/drawing/2014/main" id="{032C67B2-EFA5-44F8-9D37-56AA804C4563}"/>
            </a:ext>
          </a:extLst>
        </xdr:cNvPr>
        <xdr:cNvSpPr/>
      </xdr:nvSpPr>
      <xdr:spPr>
        <a:xfrm>
          <a:off x="5301518" y="34207204"/>
          <a:ext cx="640617" cy="185373"/>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256443</xdr:colOff>
      <xdr:row>148</xdr:row>
      <xdr:rowOff>21981</xdr:rowOff>
    </xdr:from>
    <xdr:to>
      <xdr:col>16</xdr:col>
      <xdr:colOff>157040</xdr:colOff>
      <xdr:row>148</xdr:row>
      <xdr:rowOff>251314</xdr:rowOff>
    </xdr:to>
    <xdr:sp macro="" textlink="">
      <xdr:nvSpPr>
        <xdr:cNvPr id="36" name="正方形/長方形 35">
          <a:extLst>
            <a:ext uri="{FF2B5EF4-FFF2-40B4-BE49-F238E27FC236}">
              <a16:creationId xmlns:a16="http://schemas.microsoft.com/office/drawing/2014/main" id="{56336FE0-731B-44E6-82C9-E0203897FE0E}"/>
            </a:ext>
          </a:extLst>
        </xdr:cNvPr>
        <xdr:cNvSpPr/>
      </xdr:nvSpPr>
      <xdr:spPr>
        <a:xfrm>
          <a:off x="1839058" y="34839519"/>
          <a:ext cx="2538290" cy="229333"/>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209916</xdr:colOff>
      <xdr:row>146</xdr:row>
      <xdr:rowOff>102577</xdr:rowOff>
    </xdr:from>
    <xdr:to>
      <xdr:col>21</xdr:col>
      <xdr:colOff>82673</xdr:colOff>
      <xdr:row>148</xdr:row>
      <xdr:rowOff>21981</xdr:rowOff>
    </xdr:to>
    <xdr:cxnSp macro="">
      <xdr:nvCxnSpPr>
        <xdr:cNvPr id="37" name="直線コネクタ 36">
          <a:extLst>
            <a:ext uri="{FF2B5EF4-FFF2-40B4-BE49-F238E27FC236}">
              <a16:creationId xmlns:a16="http://schemas.microsoft.com/office/drawing/2014/main" id="{7C76ED36-F51E-4B98-835E-5ABD27434EDA}"/>
            </a:ext>
          </a:extLst>
        </xdr:cNvPr>
        <xdr:cNvCxnSpPr>
          <a:stCxn id="35" idx="2"/>
          <a:endCxn id="36" idx="0"/>
        </xdr:cNvCxnSpPr>
      </xdr:nvCxnSpPr>
      <xdr:spPr>
        <a:xfrm flipH="1">
          <a:off x="3111378" y="34392577"/>
          <a:ext cx="2510449" cy="446942"/>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181463</xdr:colOff>
      <xdr:row>81</xdr:row>
      <xdr:rowOff>21249</xdr:rowOff>
    </xdr:from>
    <xdr:to>
      <xdr:col>12</xdr:col>
      <xdr:colOff>176578</xdr:colOff>
      <xdr:row>82</xdr:row>
      <xdr:rowOff>34193</xdr:rowOff>
    </xdr:to>
    <xdr:sp macro="" textlink="">
      <xdr:nvSpPr>
        <xdr:cNvPr id="6" name="正方形/長方形 5">
          <a:extLst>
            <a:ext uri="{FF2B5EF4-FFF2-40B4-BE49-F238E27FC236}">
              <a16:creationId xmlns:a16="http://schemas.microsoft.com/office/drawing/2014/main" id="{E07E02C1-46CF-4907-9BF0-D6DF6A638312}"/>
            </a:ext>
          </a:extLst>
        </xdr:cNvPr>
        <xdr:cNvSpPr/>
      </xdr:nvSpPr>
      <xdr:spPr>
        <a:xfrm>
          <a:off x="3082925" y="17166249"/>
          <a:ext cx="258884" cy="276713"/>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205154</xdr:colOff>
      <xdr:row>96</xdr:row>
      <xdr:rowOff>73269</xdr:rowOff>
    </xdr:from>
    <xdr:to>
      <xdr:col>19</xdr:col>
      <xdr:colOff>180732</xdr:colOff>
      <xdr:row>98</xdr:row>
      <xdr:rowOff>92807</xdr:rowOff>
    </xdr:to>
    <xdr:sp macro="" textlink="">
      <xdr:nvSpPr>
        <xdr:cNvPr id="7" name="正方形/長方形 6">
          <a:extLst>
            <a:ext uri="{FF2B5EF4-FFF2-40B4-BE49-F238E27FC236}">
              <a16:creationId xmlns:a16="http://schemas.microsoft.com/office/drawing/2014/main" id="{1BB76C8F-7621-45E5-BD57-C41F6249FA86}"/>
            </a:ext>
          </a:extLst>
        </xdr:cNvPr>
        <xdr:cNvSpPr/>
      </xdr:nvSpPr>
      <xdr:spPr>
        <a:xfrm>
          <a:off x="5578231" y="22102884"/>
          <a:ext cx="1050193" cy="556846"/>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45671</xdr:colOff>
      <xdr:row>82</xdr:row>
      <xdr:rowOff>34193</xdr:rowOff>
    </xdr:from>
    <xdr:to>
      <xdr:col>17</xdr:col>
      <xdr:colOff>192943</xdr:colOff>
      <xdr:row>96</xdr:row>
      <xdr:rowOff>73269</xdr:rowOff>
    </xdr:to>
    <xdr:cxnSp macro="">
      <xdr:nvCxnSpPr>
        <xdr:cNvPr id="12" name="直線コネクタ 11">
          <a:extLst>
            <a:ext uri="{FF2B5EF4-FFF2-40B4-BE49-F238E27FC236}">
              <a16:creationId xmlns:a16="http://schemas.microsoft.com/office/drawing/2014/main" id="{F3D132D3-6CCA-4A9E-876A-6925601AC8AA}"/>
            </a:ext>
          </a:extLst>
        </xdr:cNvPr>
        <xdr:cNvCxnSpPr>
          <a:stCxn id="6" idx="2"/>
          <a:endCxn id="7" idx="0"/>
        </xdr:cNvCxnSpPr>
      </xdr:nvCxnSpPr>
      <xdr:spPr>
        <a:xfrm>
          <a:off x="3246071" y="17636393"/>
          <a:ext cx="1480772" cy="4039576"/>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241300</xdr:colOff>
      <xdr:row>98</xdr:row>
      <xdr:rowOff>241300</xdr:rowOff>
    </xdr:from>
    <xdr:to>
      <xdr:col>25</xdr:col>
      <xdr:colOff>114300</xdr:colOff>
      <xdr:row>100</xdr:row>
      <xdr:rowOff>12700</xdr:rowOff>
    </xdr:to>
    <xdr:sp macro="" textlink="">
      <xdr:nvSpPr>
        <xdr:cNvPr id="26" name="正方形/長方形 25">
          <a:extLst>
            <a:ext uri="{FF2B5EF4-FFF2-40B4-BE49-F238E27FC236}">
              <a16:creationId xmlns:a16="http://schemas.microsoft.com/office/drawing/2014/main" id="{30D17A34-5EDE-4B32-845E-74DDB3B61913}"/>
            </a:ext>
          </a:extLst>
        </xdr:cNvPr>
        <xdr:cNvSpPr/>
      </xdr:nvSpPr>
      <xdr:spPr>
        <a:xfrm>
          <a:off x="1574800" y="22110700"/>
          <a:ext cx="5207000" cy="30480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203200</xdr:colOff>
      <xdr:row>94</xdr:row>
      <xdr:rowOff>247650</xdr:rowOff>
    </xdr:from>
    <xdr:to>
      <xdr:col>15</xdr:col>
      <xdr:colOff>177800</xdr:colOff>
      <xdr:row>98</xdr:row>
      <xdr:rowOff>241300</xdr:rowOff>
    </xdr:to>
    <xdr:cxnSp macro="">
      <xdr:nvCxnSpPr>
        <xdr:cNvPr id="27" name="直線コネクタ 26">
          <a:extLst>
            <a:ext uri="{FF2B5EF4-FFF2-40B4-BE49-F238E27FC236}">
              <a16:creationId xmlns:a16="http://schemas.microsoft.com/office/drawing/2014/main" id="{D602B084-A12E-4FF9-AAB6-4E51C03E3790}"/>
            </a:ext>
          </a:extLst>
        </xdr:cNvPr>
        <xdr:cNvCxnSpPr>
          <a:stCxn id="29" idx="2"/>
          <a:endCxn id="26" idx="0"/>
        </xdr:cNvCxnSpPr>
      </xdr:nvCxnSpPr>
      <xdr:spPr>
        <a:xfrm>
          <a:off x="2870200" y="21050250"/>
          <a:ext cx="1308100" cy="1060450"/>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228600</xdr:colOff>
      <xdr:row>101</xdr:row>
      <xdr:rowOff>247650</xdr:rowOff>
    </xdr:from>
    <xdr:to>
      <xdr:col>11</xdr:col>
      <xdr:colOff>44450</xdr:colOff>
      <xdr:row>113</xdr:row>
      <xdr:rowOff>0</xdr:rowOff>
    </xdr:to>
    <xdr:sp macro="" textlink="">
      <xdr:nvSpPr>
        <xdr:cNvPr id="34" name="正方形/長方形 33">
          <a:extLst>
            <a:ext uri="{FF2B5EF4-FFF2-40B4-BE49-F238E27FC236}">
              <a16:creationId xmlns:a16="http://schemas.microsoft.com/office/drawing/2014/main" id="{486AD3BA-9D5A-405C-9563-62C3805CE00B}"/>
            </a:ext>
          </a:extLst>
        </xdr:cNvPr>
        <xdr:cNvSpPr/>
      </xdr:nvSpPr>
      <xdr:spPr>
        <a:xfrm>
          <a:off x="1562100" y="24784050"/>
          <a:ext cx="1416050" cy="296545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177800</xdr:colOff>
      <xdr:row>118</xdr:row>
      <xdr:rowOff>50800</xdr:rowOff>
    </xdr:from>
    <xdr:to>
      <xdr:col>14</xdr:col>
      <xdr:colOff>107950</xdr:colOff>
      <xdr:row>120</xdr:row>
      <xdr:rowOff>209550</xdr:rowOff>
    </xdr:to>
    <xdr:sp macro="" textlink="">
      <xdr:nvSpPr>
        <xdr:cNvPr id="38" name="正方形/長方形 37">
          <a:extLst>
            <a:ext uri="{FF2B5EF4-FFF2-40B4-BE49-F238E27FC236}">
              <a16:creationId xmlns:a16="http://schemas.microsoft.com/office/drawing/2014/main" id="{22BCFB4A-D96C-4F1C-9F21-E0B3E4A95C35}"/>
            </a:ext>
          </a:extLst>
        </xdr:cNvPr>
        <xdr:cNvSpPr/>
      </xdr:nvSpPr>
      <xdr:spPr>
        <a:xfrm>
          <a:off x="1244600" y="29387800"/>
          <a:ext cx="2597150" cy="69215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136525</xdr:colOff>
      <xdr:row>113</xdr:row>
      <xdr:rowOff>0</xdr:rowOff>
    </xdr:from>
    <xdr:to>
      <xdr:col>9</xdr:col>
      <xdr:colOff>142875</xdr:colOff>
      <xdr:row>118</xdr:row>
      <xdr:rowOff>50800</xdr:rowOff>
    </xdr:to>
    <xdr:cxnSp macro="">
      <xdr:nvCxnSpPr>
        <xdr:cNvPr id="39" name="直線コネクタ 38">
          <a:extLst>
            <a:ext uri="{FF2B5EF4-FFF2-40B4-BE49-F238E27FC236}">
              <a16:creationId xmlns:a16="http://schemas.microsoft.com/office/drawing/2014/main" id="{956E4DA9-EA18-4866-ADFA-119C84A666AA}"/>
            </a:ext>
          </a:extLst>
        </xdr:cNvPr>
        <xdr:cNvCxnSpPr>
          <a:stCxn id="34" idx="2"/>
          <a:endCxn id="38" idx="0"/>
        </xdr:cNvCxnSpPr>
      </xdr:nvCxnSpPr>
      <xdr:spPr>
        <a:xfrm>
          <a:off x="2270125" y="27749500"/>
          <a:ext cx="273050" cy="3771900"/>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184150</xdr:colOff>
      <xdr:row>115</xdr:row>
      <xdr:rowOff>57150</xdr:rowOff>
    </xdr:from>
    <xdr:to>
      <xdr:col>25</xdr:col>
      <xdr:colOff>88900</xdr:colOff>
      <xdr:row>117</xdr:row>
      <xdr:rowOff>215900</xdr:rowOff>
    </xdr:to>
    <xdr:sp macro="" textlink="">
      <xdr:nvSpPr>
        <xdr:cNvPr id="15" name="正方形/長方形 14">
          <a:extLst>
            <a:ext uri="{FF2B5EF4-FFF2-40B4-BE49-F238E27FC236}">
              <a16:creationId xmlns:a16="http://schemas.microsoft.com/office/drawing/2014/main" id="{1A27223C-7610-4611-B031-0D966E21107F}"/>
            </a:ext>
          </a:extLst>
        </xdr:cNvPr>
        <xdr:cNvSpPr/>
      </xdr:nvSpPr>
      <xdr:spPr>
        <a:xfrm>
          <a:off x="4184650" y="29127450"/>
          <a:ext cx="2571750" cy="692150"/>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146050</xdr:colOff>
      <xdr:row>113</xdr:row>
      <xdr:rowOff>0</xdr:rowOff>
    </xdr:from>
    <xdr:to>
      <xdr:col>20</xdr:col>
      <xdr:colOff>136525</xdr:colOff>
      <xdr:row>115</xdr:row>
      <xdr:rowOff>57150</xdr:rowOff>
    </xdr:to>
    <xdr:cxnSp macro="">
      <xdr:nvCxnSpPr>
        <xdr:cNvPr id="19" name="直線コネクタ 18">
          <a:extLst>
            <a:ext uri="{FF2B5EF4-FFF2-40B4-BE49-F238E27FC236}">
              <a16:creationId xmlns:a16="http://schemas.microsoft.com/office/drawing/2014/main" id="{9F9D3DD5-3B06-4E54-8ECE-A79999D410B3}"/>
            </a:ext>
          </a:extLst>
        </xdr:cNvPr>
        <xdr:cNvCxnSpPr>
          <a:stCxn id="50" idx="2"/>
          <a:endCxn id="15" idx="0"/>
        </xdr:cNvCxnSpPr>
      </xdr:nvCxnSpPr>
      <xdr:spPr>
        <a:xfrm>
          <a:off x="3346450" y="27749500"/>
          <a:ext cx="2124075" cy="844550"/>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44450</xdr:colOff>
      <xdr:row>112</xdr:row>
      <xdr:rowOff>31750</xdr:rowOff>
    </xdr:from>
    <xdr:to>
      <xdr:col>12</xdr:col>
      <xdr:colOff>247650</xdr:colOff>
      <xdr:row>113</xdr:row>
      <xdr:rowOff>0</xdr:rowOff>
    </xdr:to>
    <xdr:sp macro="" textlink="">
      <xdr:nvSpPr>
        <xdr:cNvPr id="50" name="正方形/長方形 49">
          <a:extLst>
            <a:ext uri="{FF2B5EF4-FFF2-40B4-BE49-F238E27FC236}">
              <a16:creationId xmlns:a16="http://schemas.microsoft.com/office/drawing/2014/main" id="{408910AE-CB57-4D7B-AB2C-21CE5E426CF6}"/>
            </a:ext>
          </a:extLst>
        </xdr:cNvPr>
        <xdr:cNvSpPr/>
      </xdr:nvSpPr>
      <xdr:spPr>
        <a:xfrm>
          <a:off x="3244850" y="27501850"/>
          <a:ext cx="203200" cy="247650"/>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209550</xdr:colOff>
      <xdr:row>61</xdr:row>
      <xdr:rowOff>215900</xdr:rowOff>
    </xdr:from>
    <xdr:to>
      <xdr:col>9</xdr:col>
      <xdr:colOff>38100</xdr:colOff>
      <xdr:row>66</xdr:row>
      <xdr:rowOff>47625</xdr:rowOff>
    </xdr:to>
    <xdr:sp macro="" textlink="">
      <xdr:nvSpPr>
        <xdr:cNvPr id="55" name="正方形/長方形 54">
          <a:extLst>
            <a:ext uri="{FF2B5EF4-FFF2-40B4-BE49-F238E27FC236}">
              <a16:creationId xmlns:a16="http://schemas.microsoft.com/office/drawing/2014/main" id="{FF25199B-4C8B-494D-AF9B-CA4FB14201CE}"/>
            </a:ext>
          </a:extLst>
        </xdr:cNvPr>
        <xdr:cNvSpPr/>
      </xdr:nvSpPr>
      <xdr:spPr>
        <a:xfrm>
          <a:off x="1276350" y="13550900"/>
          <a:ext cx="1162050" cy="1165225"/>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257175</xdr:colOff>
      <xdr:row>55</xdr:row>
      <xdr:rowOff>26132</xdr:rowOff>
    </xdr:from>
    <xdr:to>
      <xdr:col>9</xdr:col>
      <xdr:colOff>125047</xdr:colOff>
      <xdr:row>61</xdr:row>
      <xdr:rowOff>219075</xdr:rowOff>
    </xdr:to>
    <xdr:cxnSp macro="">
      <xdr:nvCxnSpPr>
        <xdr:cNvPr id="56" name="直線コネクタ 55">
          <a:extLst>
            <a:ext uri="{FF2B5EF4-FFF2-40B4-BE49-F238E27FC236}">
              <a16:creationId xmlns:a16="http://schemas.microsoft.com/office/drawing/2014/main" id="{74C2B964-4056-40DF-BE8C-F87C97AE48AC}"/>
            </a:ext>
          </a:extLst>
        </xdr:cNvPr>
        <xdr:cNvCxnSpPr>
          <a:stCxn id="16" idx="2"/>
          <a:endCxn id="55" idx="0"/>
        </xdr:cNvCxnSpPr>
      </xdr:nvCxnSpPr>
      <xdr:spPr>
        <a:xfrm flipH="1">
          <a:off x="1857375" y="12294332"/>
          <a:ext cx="667972" cy="1259743"/>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247650</xdr:colOff>
      <xdr:row>71</xdr:row>
      <xdr:rowOff>0</xdr:rowOff>
    </xdr:from>
    <xdr:to>
      <xdr:col>24</xdr:col>
      <xdr:colOff>38100</xdr:colOff>
      <xdr:row>72</xdr:row>
      <xdr:rowOff>1</xdr:rowOff>
    </xdr:to>
    <xdr:sp macro="" textlink="">
      <xdr:nvSpPr>
        <xdr:cNvPr id="59" name="正方形/長方形 58">
          <a:extLst>
            <a:ext uri="{FF2B5EF4-FFF2-40B4-BE49-F238E27FC236}">
              <a16:creationId xmlns:a16="http://schemas.microsoft.com/office/drawing/2014/main" id="{E92AC006-3903-442D-9893-0AEEB56957F5}"/>
            </a:ext>
          </a:extLst>
        </xdr:cNvPr>
        <xdr:cNvSpPr/>
      </xdr:nvSpPr>
      <xdr:spPr>
        <a:xfrm>
          <a:off x="1581150" y="17068800"/>
          <a:ext cx="4857750" cy="266701"/>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261938</xdr:colOff>
      <xdr:row>64</xdr:row>
      <xdr:rowOff>28575</xdr:rowOff>
    </xdr:from>
    <xdr:to>
      <xdr:col>15</xdr:col>
      <xdr:colOff>9525</xdr:colOff>
      <xdr:row>71</xdr:row>
      <xdr:rowOff>0</xdr:rowOff>
    </xdr:to>
    <xdr:cxnSp macro="">
      <xdr:nvCxnSpPr>
        <xdr:cNvPr id="60" name="直線コネクタ 59">
          <a:extLst>
            <a:ext uri="{FF2B5EF4-FFF2-40B4-BE49-F238E27FC236}">
              <a16:creationId xmlns:a16="http://schemas.microsoft.com/office/drawing/2014/main" id="{B18FCB28-D4C3-464D-B2E4-7F3F458D9D57}"/>
            </a:ext>
          </a:extLst>
        </xdr:cNvPr>
        <xdr:cNvCxnSpPr>
          <a:stCxn id="71688" idx="2"/>
          <a:endCxn id="59" idx="0"/>
        </xdr:cNvCxnSpPr>
      </xdr:nvCxnSpPr>
      <xdr:spPr>
        <a:xfrm>
          <a:off x="1862138" y="14697075"/>
          <a:ext cx="2147887" cy="2371725"/>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257175</xdr:colOff>
      <xdr:row>56</xdr:row>
      <xdr:rowOff>259617</xdr:rowOff>
    </xdr:from>
    <xdr:to>
      <xdr:col>19</xdr:col>
      <xdr:colOff>251070</xdr:colOff>
      <xdr:row>61</xdr:row>
      <xdr:rowOff>219075</xdr:rowOff>
    </xdr:to>
    <xdr:cxnSp macro="">
      <xdr:nvCxnSpPr>
        <xdr:cNvPr id="63" name="直線コネクタ 62">
          <a:extLst>
            <a:ext uri="{FF2B5EF4-FFF2-40B4-BE49-F238E27FC236}">
              <a16:creationId xmlns:a16="http://schemas.microsoft.com/office/drawing/2014/main" id="{2B1F4195-05FA-4DB0-84E8-1F42076A4B26}"/>
            </a:ext>
          </a:extLst>
        </xdr:cNvPr>
        <xdr:cNvCxnSpPr>
          <a:stCxn id="22" idx="2"/>
          <a:endCxn id="55" idx="0"/>
        </xdr:cNvCxnSpPr>
      </xdr:nvCxnSpPr>
      <xdr:spPr>
        <a:xfrm flipH="1">
          <a:off x="1857375" y="12794517"/>
          <a:ext cx="3460995" cy="759558"/>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200025</xdr:colOff>
      <xdr:row>58</xdr:row>
      <xdr:rowOff>76199</xdr:rowOff>
    </xdr:from>
    <xdr:to>
      <xdr:col>18</xdr:col>
      <xdr:colOff>101600</xdr:colOff>
      <xdr:row>60</xdr:row>
      <xdr:rowOff>107948</xdr:rowOff>
    </xdr:to>
    <xdr:sp macro="" textlink="">
      <xdr:nvSpPr>
        <xdr:cNvPr id="71683" name="正方形/長方形 71682">
          <a:extLst>
            <a:ext uri="{FF2B5EF4-FFF2-40B4-BE49-F238E27FC236}">
              <a16:creationId xmlns:a16="http://schemas.microsoft.com/office/drawing/2014/main" id="{073992A8-08DD-40A3-B53C-9A9DBC9C2680}"/>
            </a:ext>
          </a:extLst>
        </xdr:cNvPr>
        <xdr:cNvSpPr/>
      </xdr:nvSpPr>
      <xdr:spPr>
        <a:xfrm>
          <a:off x="4200525" y="15544799"/>
          <a:ext cx="701675" cy="565149"/>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228600</xdr:colOff>
      <xdr:row>45</xdr:row>
      <xdr:rowOff>200025</xdr:rowOff>
    </xdr:from>
    <xdr:to>
      <xdr:col>7</xdr:col>
      <xdr:colOff>158750</xdr:colOff>
      <xdr:row>46</xdr:row>
      <xdr:rowOff>142875</xdr:rowOff>
    </xdr:to>
    <xdr:sp macro="" textlink="">
      <xdr:nvSpPr>
        <xdr:cNvPr id="71684" name="正方形/長方形 71683">
          <a:extLst>
            <a:ext uri="{FF2B5EF4-FFF2-40B4-BE49-F238E27FC236}">
              <a16:creationId xmlns:a16="http://schemas.microsoft.com/office/drawing/2014/main" id="{859B247A-4D34-47D9-93F1-FFBC7BEA0E78}"/>
            </a:ext>
          </a:extLst>
        </xdr:cNvPr>
        <xdr:cNvSpPr/>
      </xdr:nvSpPr>
      <xdr:spPr>
        <a:xfrm>
          <a:off x="1828800" y="9801225"/>
          <a:ext cx="196850" cy="20955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61913</xdr:colOff>
      <xdr:row>46</xdr:row>
      <xdr:rowOff>139700</xdr:rowOff>
    </xdr:from>
    <xdr:to>
      <xdr:col>17</xdr:col>
      <xdr:colOff>17463</xdr:colOff>
      <xdr:row>58</xdr:row>
      <xdr:rowOff>76199</xdr:rowOff>
    </xdr:to>
    <xdr:cxnSp macro="">
      <xdr:nvCxnSpPr>
        <xdr:cNvPr id="71685" name="直線コネクタ 71684">
          <a:extLst>
            <a:ext uri="{FF2B5EF4-FFF2-40B4-BE49-F238E27FC236}">
              <a16:creationId xmlns:a16="http://schemas.microsoft.com/office/drawing/2014/main" id="{6AE8E763-B2C3-4F12-9229-F20CB6F0F69C}"/>
            </a:ext>
          </a:extLst>
        </xdr:cNvPr>
        <xdr:cNvCxnSpPr>
          <a:stCxn id="71684" idx="2"/>
          <a:endCxn id="71683" idx="0"/>
        </xdr:cNvCxnSpPr>
      </xdr:nvCxnSpPr>
      <xdr:spPr>
        <a:xfrm>
          <a:off x="1928813" y="10007600"/>
          <a:ext cx="2622550" cy="3136899"/>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57150</xdr:colOff>
      <xdr:row>63</xdr:row>
      <xdr:rowOff>0</xdr:rowOff>
    </xdr:from>
    <xdr:to>
      <xdr:col>8</xdr:col>
      <xdr:colOff>196850</xdr:colOff>
      <xdr:row>64</xdr:row>
      <xdr:rowOff>25400</xdr:rowOff>
    </xdr:to>
    <xdr:sp macro="" textlink="">
      <xdr:nvSpPr>
        <xdr:cNvPr id="71688" name="正方形/長方形 71687">
          <a:extLst>
            <a:ext uri="{FF2B5EF4-FFF2-40B4-BE49-F238E27FC236}">
              <a16:creationId xmlns:a16="http://schemas.microsoft.com/office/drawing/2014/main" id="{CF17EE88-A391-481A-A98B-2C262E815D06}"/>
            </a:ext>
          </a:extLst>
        </xdr:cNvPr>
        <xdr:cNvSpPr/>
      </xdr:nvSpPr>
      <xdr:spPr>
        <a:xfrm>
          <a:off x="1390650" y="14401800"/>
          <a:ext cx="939800" cy="29210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219075</xdr:colOff>
      <xdr:row>67</xdr:row>
      <xdr:rowOff>66675</xdr:rowOff>
    </xdr:from>
    <xdr:to>
      <xdr:col>25</xdr:col>
      <xdr:colOff>120650</xdr:colOff>
      <xdr:row>69</xdr:row>
      <xdr:rowOff>206375</xdr:rowOff>
    </xdr:to>
    <xdr:sp macro="" textlink="">
      <xdr:nvSpPr>
        <xdr:cNvPr id="71691" name="正方形/長方形 71690">
          <a:extLst>
            <a:ext uri="{FF2B5EF4-FFF2-40B4-BE49-F238E27FC236}">
              <a16:creationId xmlns:a16="http://schemas.microsoft.com/office/drawing/2014/main" id="{26B56194-B02A-4390-9DD0-50A4FBA6BE32}"/>
            </a:ext>
          </a:extLst>
        </xdr:cNvPr>
        <xdr:cNvSpPr/>
      </xdr:nvSpPr>
      <xdr:spPr>
        <a:xfrm>
          <a:off x="4219575" y="15535275"/>
          <a:ext cx="2568575" cy="67310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0</xdr:colOff>
      <xdr:row>65</xdr:row>
      <xdr:rowOff>38100</xdr:rowOff>
    </xdr:from>
    <xdr:to>
      <xdr:col>8</xdr:col>
      <xdr:colOff>228599</xdr:colOff>
      <xdr:row>65</xdr:row>
      <xdr:rowOff>209550</xdr:rowOff>
    </xdr:to>
    <xdr:sp macro="" textlink="">
      <xdr:nvSpPr>
        <xdr:cNvPr id="71692" name="正方形/長方形 71691">
          <a:extLst>
            <a:ext uri="{FF2B5EF4-FFF2-40B4-BE49-F238E27FC236}">
              <a16:creationId xmlns:a16="http://schemas.microsoft.com/office/drawing/2014/main" id="{3071DDA8-7A62-40D4-AF2B-6DC653EC1170}"/>
            </a:ext>
          </a:extLst>
        </xdr:cNvPr>
        <xdr:cNvSpPr/>
      </xdr:nvSpPr>
      <xdr:spPr>
        <a:xfrm>
          <a:off x="2133600" y="14973300"/>
          <a:ext cx="228599" cy="17145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114300</xdr:colOff>
      <xdr:row>65</xdr:row>
      <xdr:rowOff>209550</xdr:rowOff>
    </xdr:from>
    <xdr:to>
      <xdr:col>20</xdr:col>
      <xdr:colOff>169863</xdr:colOff>
      <xdr:row>67</xdr:row>
      <xdr:rowOff>63500</xdr:rowOff>
    </xdr:to>
    <xdr:cxnSp macro="">
      <xdr:nvCxnSpPr>
        <xdr:cNvPr id="71693" name="直線コネクタ 71692">
          <a:extLst>
            <a:ext uri="{FF2B5EF4-FFF2-40B4-BE49-F238E27FC236}">
              <a16:creationId xmlns:a16="http://schemas.microsoft.com/office/drawing/2014/main" id="{851F637C-4532-4CE3-8CAE-B3DDF03EC7C3}"/>
            </a:ext>
          </a:extLst>
        </xdr:cNvPr>
        <xdr:cNvCxnSpPr>
          <a:stCxn id="71692" idx="2"/>
          <a:endCxn id="71691" idx="0"/>
        </xdr:cNvCxnSpPr>
      </xdr:nvCxnSpPr>
      <xdr:spPr>
        <a:xfrm>
          <a:off x="2247900" y="15144750"/>
          <a:ext cx="3255963" cy="387350"/>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4</xdr:col>
      <xdr:colOff>0</xdr:colOff>
      <xdr:row>61</xdr:row>
      <xdr:rowOff>0</xdr:rowOff>
    </xdr:from>
    <xdr:to>
      <xdr:col>5</xdr:col>
      <xdr:colOff>9525</xdr:colOff>
      <xdr:row>67</xdr:row>
      <xdr:rowOff>9525</xdr:rowOff>
    </xdr:to>
    <xdr:pic>
      <xdr:nvPicPr>
        <xdr:cNvPr id="71696" name="図 71695">
          <a:extLst>
            <a:ext uri="{FF2B5EF4-FFF2-40B4-BE49-F238E27FC236}">
              <a16:creationId xmlns:a16="http://schemas.microsoft.com/office/drawing/2014/main" id="{14A48E60-47A0-CE3C-422F-A50E27BF5B98}"/>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066800" y="13868400"/>
          <a:ext cx="273050" cy="1606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37</xdr:col>
      <xdr:colOff>96540</xdr:colOff>
      <xdr:row>7</xdr:row>
      <xdr:rowOff>165100</xdr:rowOff>
    </xdr:to>
    <xdr:pic>
      <xdr:nvPicPr>
        <xdr:cNvPr id="20" name="図 19">
          <a:extLst>
            <a:ext uri="{FF2B5EF4-FFF2-40B4-BE49-F238E27FC236}">
              <a16:creationId xmlns:a16="http://schemas.microsoft.com/office/drawing/2014/main" id="{D2AE74C2-38CB-4858-9E0D-B6900069F247}"/>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00100" y="800100"/>
          <a:ext cx="9164340" cy="1231900"/>
        </a:xfrm>
        <a:prstGeom prst="rect">
          <a:avLst/>
        </a:prstGeom>
      </xdr:spPr>
    </xdr:pic>
    <xdr:clientData/>
  </xdr:twoCellAnchor>
  <xdr:twoCellAnchor>
    <xdr:from>
      <xdr:col>5</xdr:col>
      <xdr:colOff>209550</xdr:colOff>
      <xdr:row>8</xdr:row>
      <xdr:rowOff>222250</xdr:rowOff>
    </xdr:from>
    <xdr:to>
      <xdr:col>23</xdr:col>
      <xdr:colOff>133350</xdr:colOff>
      <xdr:row>10</xdr:row>
      <xdr:rowOff>38100</xdr:rowOff>
    </xdr:to>
    <xdr:sp macro="" textlink="">
      <xdr:nvSpPr>
        <xdr:cNvPr id="24" name="正方形/長方形 23">
          <a:extLst>
            <a:ext uri="{FF2B5EF4-FFF2-40B4-BE49-F238E27FC236}">
              <a16:creationId xmlns:a16="http://schemas.microsoft.com/office/drawing/2014/main" id="{A53A9FCC-B432-4D4B-BF84-7F8BB99D3E76}"/>
            </a:ext>
          </a:extLst>
        </xdr:cNvPr>
        <xdr:cNvSpPr/>
      </xdr:nvSpPr>
      <xdr:spPr>
        <a:xfrm>
          <a:off x="1543050" y="2355850"/>
          <a:ext cx="4724400" cy="349250"/>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25400</xdr:colOff>
      <xdr:row>5</xdr:row>
      <xdr:rowOff>247650</xdr:rowOff>
    </xdr:from>
    <xdr:to>
      <xdr:col>10</xdr:col>
      <xdr:colOff>0</xdr:colOff>
      <xdr:row>7</xdr:row>
      <xdr:rowOff>25400</xdr:rowOff>
    </xdr:to>
    <xdr:sp macro="" textlink="">
      <xdr:nvSpPr>
        <xdr:cNvPr id="25" name="正方形/長方形 24">
          <a:extLst>
            <a:ext uri="{FF2B5EF4-FFF2-40B4-BE49-F238E27FC236}">
              <a16:creationId xmlns:a16="http://schemas.microsoft.com/office/drawing/2014/main" id="{7EACB5FD-0A27-4B98-9EE2-919D1B8C9A50}"/>
            </a:ext>
          </a:extLst>
        </xdr:cNvPr>
        <xdr:cNvSpPr/>
      </xdr:nvSpPr>
      <xdr:spPr>
        <a:xfrm>
          <a:off x="1625600" y="1581150"/>
          <a:ext cx="1041400" cy="311150"/>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12700</xdr:colOff>
      <xdr:row>7</xdr:row>
      <xdr:rowOff>25400</xdr:rowOff>
    </xdr:from>
    <xdr:to>
      <xdr:col>14</xdr:col>
      <xdr:colOff>171450</xdr:colOff>
      <xdr:row>8</xdr:row>
      <xdr:rowOff>222250</xdr:rowOff>
    </xdr:to>
    <xdr:cxnSp macro="">
      <xdr:nvCxnSpPr>
        <xdr:cNvPr id="31" name="直線コネクタ 30">
          <a:extLst>
            <a:ext uri="{FF2B5EF4-FFF2-40B4-BE49-F238E27FC236}">
              <a16:creationId xmlns:a16="http://schemas.microsoft.com/office/drawing/2014/main" id="{3D13A5AA-F6D2-47D9-ABD5-80B0797C8DE4}"/>
            </a:ext>
          </a:extLst>
        </xdr:cNvPr>
        <xdr:cNvCxnSpPr>
          <a:stCxn id="25" idx="2"/>
          <a:endCxn id="24" idx="0"/>
        </xdr:cNvCxnSpPr>
      </xdr:nvCxnSpPr>
      <xdr:spPr>
        <a:xfrm>
          <a:off x="2146300" y="1892300"/>
          <a:ext cx="1758950" cy="463550"/>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xdr:twoCellAnchor editAs="oneCell">
    <xdr:from>
      <xdr:col>5</xdr:col>
      <xdr:colOff>38100</xdr:colOff>
      <xdr:row>44</xdr:row>
      <xdr:rowOff>47625</xdr:rowOff>
    </xdr:from>
    <xdr:to>
      <xdr:col>14</xdr:col>
      <xdr:colOff>9580</xdr:colOff>
      <xdr:row>52</xdr:row>
      <xdr:rowOff>254000</xdr:rowOff>
    </xdr:to>
    <xdr:pic>
      <xdr:nvPicPr>
        <xdr:cNvPr id="50" name="図 49">
          <a:extLst>
            <a:ext uri="{FF2B5EF4-FFF2-40B4-BE49-F238E27FC236}">
              <a16:creationId xmlns:a16="http://schemas.microsoft.com/office/drawing/2014/main" id="{CEA82BA6-BCF4-4051-8E34-6C081D44DCF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71600" y="9382125"/>
          <a:ext cx="2368605" cy="2343150"/>
        </a:xfrm>
        <a:prstGeom prst="rect">
          <a:avLst/>
        </a:prstGeom>
      </xdr:spPr>
    </xdr:pic>
    <xdr:clientData/>
  </xdr:twoCellAnchor>
  <xdr:twoCellAnchor editAs="oneCell">
    <xdr:from>
      <xdr:col>16</xdr:col>
      <xdr:colOff>0</xdr:colOff>
      <xdr:row>44</xdr:row>
      <xdr:rowOff>0</xdr:rowOff>
    </xdr:from>
    <xdr:to>
      <xdr:col>43</xdr:col>
      <xdr:colOff>208106</xdr:colOff>
      <xdr:row>53</xdr:row>
      <xdr:rowOff>209550</xdr:rowOff>
    </xdr:to>
    <xdr:pic>
      <xdr:nvPicPr>
        <xdr:cNvPr id="8" name="図 7">
          <a:extLst>
            <a:ext uri="{FF2B5EF4-FFF2-40B4-BE49-F238E27FC236}">
              <a16:creationId xmlns:a16="http://schemas.microsoft.com/office/drawing/2014/main" id="{2368C770-D039-4B79-9D91-E5E75DE9BC2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267200" y="9334500"/>
          <a:ext cx="7409006" cy="2609850"/>
        </a:xfrm>
        <a:prstGeom prst="rect">
          <a:avLst/>
        </a:prstGeom>
      </xdr:spPr>
    </xdr:pic>
    <xdr:clientData/>
  </xdr:twoCellAnchor>
  <xdr:twoCellAnchor editAs="oneCell">
    <xdr:from>
      <xdr:col>5</xdr:col>
      <xdr:colOff>0</xdr:colOff>
      <xdr:row>132</xdr:row>
      <xdr:rowOff>0</xdr:rowOff>
    </xdr:from>
    <xdr:to>
      <xdr:col>34</xdr:col>
      <xdr:colOff>123092</xdr:colOff>
      <xdr:row>147</xdr:row>
      <xdr:rowOff>170109</xdr:rowOff>
    </xdr:to>
    <xdr:pic>
      <xdr:nvPicPr>
        <xdr:cNvPr id="40" name="図 39">
          <a:extLst>
            <a:ext uri="{FF2B5EF4-FFF2-40B4-BE49-F238E27FC236}">
              <a16:creationId xmlns:a16="http://schemas.microsoft.com/office/drawing/2014/main" id="{DAD21AC7-4F72-4705-91E5-E1495818A7EE}"/>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318846" y="30333462"/>
          <a:ext cx="7772400" cy="4126647"/>
        </a:xfrm>
        <a:prstGeom prst="rect">
          <a:avLst/>
        </a:prstGeom>
      </xdr:spPr>
    </xdr:pic>
    <xdr:clientData/>
  </xdr:twoCellAnchor>
  <xdr:twoCellAnchor editAs="oneCell">
    <xdr:from>
      <xdr:col>5</xdr:col>
      <xdr:colOff>0</xdr:colOff>
      <xdr:row>76</xdr:row>
      <xdr:rowOff>0</xdr:rowOff>
    </xdr:from>
    <xdr:to>
      <xdr:col>17</xdr:col>
      <xdr:colOff>26133</xdr:colOff>
      <xdr:row>93</xdr:row>
      <xdr:rowOff>26922</xdr:rowOff>
    </xdr:to>
    <xdr:pic>
      <xdr:nvPicPr>
        <xdr:cNvPr id="32" name="図 31">
          <a:extLst>
            <a:ext uri="{FF2B5EF4-FFF2-40B4-BE49-F238E27FC236}">
              <a16:creationId xmlns:a16="http://schemas.microsoft.com/office/drawing/2014/main" id="{6425CD2A-8651-4307-AE03-8AD30F64DBDB}"/>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318846" y="15826154"/>
          <a:ext cx="3191364" cy="4510999"/>
        </a:xfrm>
        <a:prstGeom prst="rect">
          <a:avLst/>
        </a:prstGeom>
      </xdr:spPr>
    </xdr:pic>
    <xdr:clientData/>
  </xdr:twoCellAnchor>
  <xdr:twoCellAnchor editAs="oneCell">
    <xdr:from>
      <xdr:col>5</xdr:col>
      <xdr:colOff>0</xdr:colOff>
      <xdr:row>29</xdr:row>
      <xdr:rowOff>0</xdr:rowOff>
    </xdr:from>
    <xdr:to>
      <xdr:col>34</xdr:col>
      <xdr:colOff>126267</xdr:colOff>
      <xdr:row>33</xdr:row>
      <xdr:rowOff>105561</xdr:rowOff>
    </xdr:to>
    <xdr:pic>
      <xdr:nvPicPr>
        <xdr:cNvPr id="13" name="図 12">
          <a:extLst>
            <a:ext uri="{FF2B5EF4-FFF2-40B4-BE49-F238E27FC236}">
              <a16:creationId xmlns:a16="http://schemas.microsoft.com/office/drawing/2014/main" id="{B54DD9F3-4827-4C05-8E1F-7FE131C837DB}"/>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318846" y="5275385"/>
          <a:ext cx="7775575" cy="1160638"/>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82550</xdr:colOff>
          <xdr:row>127</xdr:row>
          <xdr:rowOff>184150</xdr:rowOff>
        </xdr:from>
        <xdr:to>
          <xdr:col>12</xdr:col>
          <xdr:colOff>139700</xdr:colOff>
          <xdr:row>130</xdr:row>
          <xdr:rowOff>57150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C00-0000016C0000}"/>
                </a:ext>
              </a:extLst>
            </xdr:cNvPr>
            <xdr:cNvSpPr/>
          </xdr:nvSpPr>
          <xdr:spPr bwMode="auto">
            <a:xfrm>
              <a:off x="0" y="0"/>
              <a:ext cx="0" cy="0"/>
            </a:xfrm>
            <a:prstGeom prst="rect">
              <a:avLst/>
            </a:prstGeom>
            <a:noFill/>
            <a:ln w="9525">
              <a:miter lim="800000"/>
              <a:headEnd/>
              <a:tailEnd/>
            </a:ln>
          </xdr:spPr>
          <xdr:txBody>
            <a:bodyPr vertOverflow="clip" wrap="square" lIns="64008" tIns="91440" rIns="64008" bIns="91440" anchor="ctr" upright="1"/>
            <a:lstStyle/>
            <a:p>
              <a:pPr algn="ctr" rtl="0">
                <a:defRPr sz="1000"/>
              </a:pPr>
              <a:r>
                <a:rPr lang="ja-JP" altLang="en-US" sz="2000" b="0" i="0" u="none" strike="noStrike" baseline="0">
                  <a:solidFill>
                    <a:srgbClr val="000000"/>
                  </a:solidFill>
                  <a:latin typeface="游ゴシック"/>
                  <a:ea typeface="游ゴシック"/>
                </a:rPr>
                <a:t>自動生成</a:t>
              </a:r>
            </a:p>
          </xdr:txBody>
        </xdr:sp>
        <xdr:clientData fPrintsWithSheet="0"/>
      </xdr:twoCellAnchor>
    </mc:Choice>
    <mc:Fallback/>
  </mc:AlternateContent>
  <xdr:twoCellAnchor editAs="oneCell">
    <xdr:from>
      <xdr:col>5</xdr:col>
      <xdr:colOff>0</xdr:colOff>
      <xdr:row>14</xdr:row>
      <xdr:rowOff>0</xdr:rowOff>
    </xdr:from>
    <xdr:to>
      <xdr:col>31</xdr:col>
      <xdr:colOff>102572</xdr:colOff>
      <xdr:row>18</xdr:row>
      <xdr:rowOff>154767</xdr:rowOff>
    </xdr:to>
    <xdr:pic>
      <xdr:nvPicPr>
        <xdr:cNvPr id="2" name="図 1">
          <a:extLst>
            <a:ext uri="{FF2B5EF4-FFF2-40B4-BE49-F238E27FC236}">
              <a16:creationId xmlns:a16="http://schemas.microsoft.com/office/drawing/2014/main" id="{6C6BAEE7-EC8C-4A44-932E-C22BBDA8AEFB}"/>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18846" y="1318846"/>
          <a:ext cx="6960572" cy="1209844"/>
        </a:xfrm>
        <a:prstGeom prst="rect">
          <a:avLst/>
        </a:prstGeom>
      </xdr:spPr>
    </xdr:pic>
    <xdr:clientData/>
  </xdr:twoCellAnchor>
  <xdr:twoCellAnchor>
    <xdr:from>
      <xdr:col>4</xdr:col>
      <xdr:colOff>249116</xdr:colOff>
      <xdr:row>19</xdr:row>
      <xdr:rowOff>263769</xdr:rowOff>
    </xdr:from>
    <xdr:to>
      <xdr:col>20</xdr:col>
      <xdr:colOff>119430</xdr:colOff>
      <xdr:row>22</xdr:row>
      <xdr:rowOff>0</xdr:rowOff>
    </xdr:to>
    <xdr:sp macro="" textlink="">
      <xdr:nvSpPr>
        <xdr:cNvPr id="3" name="正方形/長方形 2">
          <a:extLst>
            <a:ext uri="{FF2B5EF4-FFF2-40B4-BE49-F238E27FC236}">
              <a16:creationId xmlns:a16="http://schemas.microsoft.com/office/drawing/2014/main" id="{1509860A-82BB-41E4-A102-2EB3FE29B496}"/>
            </a:ext>
          </a:extLst>
        </xdr:cNvPr>
        <xdr:cNvSpPr/>
      </xdr:nvSpPr>
      <xdr:spPr>
        <a:xfrm>
          <a:off x="1304193" y="2901461"/>
          <a:ext cx="4090622" cy="527539"/>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18</xdr:col>
      <xdr:colOff>43962</xdr:colOff>
      <xdr:row>16</xdr:row>
      <xdr:rowOff>117230</xdr:rowOff>
    </xdr:from>
    <xdr:to>
      <xdr:col>23</xdr:col>
      <xdr:colOff>36636</xdr:colOff>
      <xdr:row>17</xdr:row>
      <xdr:rowOff>167542</xdr:rowOff>
    </xdr:to>
    <xdr:sp macro="" textlink="">
      <xdr:nvSpPr>
        <xdr:cNvPr id="4" name="正方形/長方形 3">
          <a:extLst>
            <a:ext uri="{FF2B5EF4-FFF2-40B4-BE49-F238E27FC236}">
              <a16:creationId xmlns:a16="http://schemas.microsoft.com/office/drawing/2014/main" id="{9D657145-C66D-4816-8D35-03BF724D9D96}"/>
            </a:ext>
          </a:extLst>
        </xdr:cNvPr>
        <xdr:cNvSpPr/>
      </xdr:nvSpPr>
      <xdr:spPr>
        <a:xfrm>
          <a:off x="4791808" y="1963615"/>
          <a:ext cx="1311520" cy="314081"/>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185861</xdr:colOff>
      <xdr:row>17</xdr:row>
      <xdr:rowOff>164367</xdr:rowOff>
    </xdr:from>
    <xdr:to>
      <xdr:col>20</xdr:col>
      <xdr:colOff>173771</xdr:colOff>
      <xdr:row>19</xdr:row>
      <xdr:rowOff>263769</xdr:rowOff>
    </xdr:to>
    <xdr:cxnSp macro="">
      <xdr:nvCxnSpPr>
        <xdr:cNvPr id="5" name="直線コネクタ 4">
          <a:extLst>
            <a:ext uri="{FF2B5EF4-FFF2-40B4-BE49-F238E27FC236}">
              <a16:creationId xmlns:a16="http://schemas.microsoft.com/office/drawing/2014/main" id="{B20860CD-24C2-4478-8354-6FAB0A6C913E}"/>
            </a:ext>
          </a:extLst>
        </xdr:cNvPr>
        <xdr:cNvCxnSpPr>
          <a:stCxn id="4" idx="2"/>
          <a:endCxn id="3" idx="0"/>
        </xdr:cNvCxnSpPr>
      </xdr:nvCxnSpPr>
      <xdr:spPr>
        <a:xfrm flipH="1">
          <a:off x="3351092" y="2274521"/>
          <a:ext cx="2098064" cy="626940"/>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234462</xdr:colOff>
      <xdr:row>34</xdr:row>
      <xdr:rowOff>7327</xdr:rowOff>
    </xdr:from>
    <xdr:to>
      <xdr:col>11</xdr:col>
      <xdr:colOff>230310</xdr:colOff>
      <xdr:row>36</xdr:row>
      <xdr:rowOff>15631</xdr:rowOff>
    </xdr:to>
    <xdr:sp macro="" textlink="">
      <xdr:nvSpPr>
        <xdr:cNvPr id="9" name="正方形/長方形 8">
          <a:extLst>
            <a:ext uri="{FF2B5EF4-FFF2-40B4-BE49-F238E27FC236}">
              <a16:creationId xmlns:a16="http://schemas.microsoft.com/office/drawing/2014/main" id="{56CE7965-6898-40C6-BDD8-0CBE2D53BFB7}"/>
            </a:ext>
          </a:extLst>
        </xdr:cNvPr>
        <xdr:cNvSpPr/>
      </xdr:nvSpPr>
      <xdr:spPr>
        <a:xfrm>
          <a:off x="1553308" y="6601558"/>
          <a:ext cx="1578464" cy="535842"/>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24</xdr:col>
      <xdr:colOff>11480</xdr:colOff>
      <xdr:row>32</xdr:row>
      <xdr:rowOff>1</xdr:rowOff>
    </xdr:from>
    <xdr:to>
      <xdr:col>26</xdr:col>
      <xdr:colOff>212481</xdr:colOff>
      <xdr:row>32</xdr:row>
      <xdr:rowOff>219808</xdr:rowOff>
    </xdr:to>
    <xdr:sp macro="" textlink="">
      <xdr:nvSpPr>
        <xdr:cNvPr id="10" name="正方形/長方形 9">
          <a:extLst>
            <a:ext uri="{FF2B5EF4-FFF2-40B4-BE49-F238E27FC236}">
              <a16:creationId xmlns:a16="http://schemas.microsoft.com/office/drawing/2014/main" id="{4399F02D-D2F3-4B85-BED7-8ADF79C6B05B}"/>
            </a:ext>
          </a:extLst>
        </xdr:cNvPr>
        <xdr:cNvSpPr/>
      </xdr:nvSpPr>
      <xdr:spPr>
        <a:xfrm>
          <a:off x="6341942" y="6066693"/>
          <a:ext cx="728539" cy="219807"/>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233974</xdr:colOff>
      <xdr:row>32</xdr:row>
      <xdr:rowOff>219808</xdr:rowOff>
    </xdr:from>
    <xdr:to>
      <xdr:col>25</xdr:col>
      <xdr:colOff>111981</xdr:colOff>
      <xdr:row>34</xdr:row>
      <xdr:rowOff>10502</xdr:rowOff>
    </xdr:to>
    <xdr:cxnSp macro="">
      <xdr:nvCxnSpPr>
        <xdr:cNvPr id="11" name="直線コネクタ 10">
          <a:extLst>
            <a:ext uri="{FF2B5EF4-FFF2-40B4-BE49-F238E27FC236}">
              <a16:creationId xmlns:a16="http://schemas.microsoft.com/office/drawing/2014/main" id="{50B393AA-192B-4489-ABC1-716A15FC104C}"/>
            </a:ext>
          </a:extLst>
        </xdr:cNvPr>
        <xdr:cNvCxnSpPr>
          <a:stCxn id="10" idx="2"/>
          <a:endCxn id="9" idx="0"/>
        </xdr:cNvCxnSpPr>
      </xdr:nvCxnSpPr>
      <xdr:spPr>
        <a:xfrm flipH="1">
          <a:off x="2344128" y="6286500"/>
          <a:ext cx="4362084" cy="318233"/>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234461</xdr:colOff>
      <xdr:row>53</xdr:row>
      <xdr:rowOff>234462</xdr:rowOff>
    </xdr:from>
    <xdr:to>
      <xdr:col>14</xdr:col>
      <xdr:colOff>977</xdr:colOff>
      <xdr:row>55</xdr:row>
      <xdr:rowOff>37611</xdr:rowOff>
    </xdr:to>
    <xdr:sp macro="" textlink="">
      <xdr:nvSpPr>
        <xdr:cNvPr id="16" name="正方形/長方形 15">
          <a:extLst>
            <a:ext uri="{FF2B5EF4-FFF2-40B4-BE49-F238E27FC236}">
              <a16:creationId xmlns:a16="http://schemas.microsoft.com/office/drawing/2014/main" id="{51CBD21E-420B-460B-8651-9CAD4DDC4FFF}"/>
            </a:ext>
          </a:extLst>
        </xdr:cNvPr>
        <xdr:cNvSpPr/>
      </xdr:nvSpPr>
      <xdr:spPr>
        <a:xfrm>
          <a:off x="1289538" y="11840308"/>
          <a:ext cx="2404208" cy="330688"/>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219074</xdr:colOff>
      <xdr:row>45</xdr:row>
      <xdr:rowOff>190500</xdr:rowOff>
    </xdr:from>
    <xdr:to>
      <xdr:col>9</xdr:col>
      <xdr:colOff>120649</xdr:colOff>
      <xdr:row>48</xdr:row>
      <xdr:rowOff>114300</xdr:rowOff>
    </xdr:to>
    <xdr:sp macro="" textlink="">
      <xdr:nvSpPr>
        <xdr:cNvPr id="17" name="正方形/長方形 16">
          <a:extLst>
            <a:ext uri="{FF2B5EF4-FFF2-40B4-BE49-F238E27FC236}">
              <a16:creationId xmlns:a16="http://schemas.microsoft.com/office/drawing/2014/main" id="{4EB40768-D72C-42AA-984B-25B8B45DC2E6}"/>
            </a:ext>
          </a:extLst>
        </xdr:cNvPr>
        <xdr:cNvSpPr/>
      </xdr:nvSpPr>
      <xdr:spPr>
        <a:xfrm>
          <a:off x="1819274" y="9791700"/>
          <a:ext cx="701675" cy="723900"/>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36512</xdr:colOff>
      <xdr:row>48</xdr:row>
      <xdr:rowOff>114300</xdr:rowOff>
    </xdr:from>
    <xdr:to>
      <xdr:col>9</xdr:col>
      <xdr:colOff>119307</xdr:colOff>
      <xdr:row>53</xdr:row>
      <xdr:rowOff>237637</xdr:rowOff>
    </xdr:to>
    <xdr:cxnSp macro="">
      <xdr:nvCxnSpPr>
        <xdr:cNvPr id="18" name="直線コネクタ 17">
          <a:extLst>
            <a:ext uri="{FF2B5EF4-FFF2-40B4-BE49-F238E27FC236}">
              <a16:creationId xmlns:a16="http://schemas.microsoft.com/office/drawing/2014/main" id="{EAA986F6-44EB-4C38-83C8-8E2EB73D132E}"/>
            </a:ext>
          </a:extLst>
        </xdr:cNvPr>
        <xdr:cNvCxnSpPr>
          <a:stCxn id="17" idx="2"/>
          <a:endCxn id="16" idx="0"/>
        </xdr:cNvCxnSpPr>
      </xdr:nvCxnSpPr>
      <xdr:spPr>
        <a:xfrm>
          <a:off x="2170112" y="10515600"/>
          <a:ext cx="349495" cy="1456837"/>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229088</xdr:colOff>
      <xdr:row>44</xdr:row>
      <xdr:rowOff>216387</xdr:rowOff>
    </xdr:from>
    <xdr:to>
      <xdr:col>43</xdr:col>
      <xdr:colOff>247650</xdr:colOff>
      <xdr:row>45</xdr:row>
      <xdr:rowOff>200025</xdr:rowOff>
    </xdr:to>
    <xdr:sp macro="" textlink="">
      <xdr:nvSpPr>
        <xdr:cNvPr id="21" name="正方形/長方形 20">
          <a:extLst>
            <a:ext uri="{FF2B5EF4-FFF2-40B4-BE49-F238E27FC236}">
              <a16:creationId xmlns:a16="http://schemas.microsoft.com/office/drawing/2014/main" id="{962CA42D-9E2B-4CA1-A4EE-203DBA4EBD7A}"/>
            </a:ext>
          </a:extLst>
        </xdr:cNvPr>
        <xdr:cNvSpPr/>
      </xdr:nvSpPr>
      <xdr:spPr>
        <a:xfrm>
          <a:off x="4496288" y="9550887"/>
          <a:ext cx="7219462" cy="250338"/>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201980</xdr:colOff>
      <xdr:row>54</xdr:row>
      <xdr:rowOff>212480</xdr:rowOff>
    </xdr:from>
    <xdr:to>
      <xdr:col>25</xdr:col>
      <xdr:colOff>36634</xdr:colOff>
      <xdr:row>56</xdr:row>
      <xdr:rowOff>256442</xdr:rowOff>
    </xdr:to>
    <xdr:sp macro="" textlink="">
      <xdr:nvSpPr>
        <xdr:cNvPr id="22" name="正方形/長方形 21">
          <a:extLst>
            <a:ext uri="{FF2B5EF4-FFF2-40B4-BE49-F238E27FC236}">
              <a16:creationId xmlns:a16="http://schemas.microsoft.com/office/drawing/2014/main" id="{91C0E2EC-23BE-4B2B-953D-E90A6464BA50}"/>
            </a:ext>
          </a:extLst>
        </xdr:cNvPr>
        <xdr:cNvSpPr/>
      </xdr:nvSpPr>
      <xdr:spPr>
        <a:xfrm>
          <a:off x="3932605" y="12213980"/>
          <a:ext cx="2771529" cy="580537"/>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19</xdr:col>
      <xdr:colOff>251070</xdr:colOff>
      <xdr:row>45</xdr:row>
      <xdr:rowOff>200025</xdr:rowOff>
    </xdr:from>
    <xdr:to>
      <xdr:col>30</xdr:col>
      <xdr:colOff>105019</xdr:colOff>
      <xdr:row>54</xdr:row>
      <xdr:rowOff>212480</xdr:rowOff>
    </xdr:to>
    <xdr:cxnSp macro="">
      <xdr:nvCxnSpPr>
        <xdr:cNvPr id="23" name="直線コネクタ 22">
          <a:extLst>
            <a:ext uri="{FF2B5EF4-FFF2-40B4-BE49-F238E27FC236}">
              <a16:creationId xmlns:a16="http://schemas.microsoft.com/office/drawing/2014/main" id="{125078B9-3D1C-4EFF-B94D-A18EA7D6E49C}"/>
            </a:ext>
          </a:extLst>
        </xdr:cNvPr>
        <xdr:cNvCxnSpPr>
          <a:stCxn id="21" idx="2"/>
          <a:endCxn id="22" idx="0"/>
        </xdr:cNvCxnSpPr>
      </xdr:nvCxnSpPr>
      <xdr:spPr>
        <a:xfrm flipH="1">
          <a:off x="5318370" y="9801225"/>
          <a:ext cx="2787649" cy="2412755"/>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160216</xdr:colOff>
      <xdr:row>80</xdr:row>
      <xdr:rowOff>263768</xdr:rowOff>
    </xdr:from>
    <xdr:to>
      <xdr:col>15</xdr:col>
      <xdr:colOff>175848</xdr:colOff>
      <xdr:row>90</xdr:row>
      <xdr:rowOff>65941</xdr:rowOff>
    </xdr:to>
    <xdr:sp macro="" textlink="">
      <xdr:nvSpPr>
        <xdr:cNvPr id="27" name="正方形/長方形 26">
          <a:extLst>
            <a:ext uri="{FF2B5EF4-FFF2-40B4-BE49-F238E27FC236}">
              <a16:creationId xmlns:a16="http://schemas.microsoft.com/office/drawing/2014/main" id="{C9400993-9BE1-4085-96D1-8A049C11624C}"/>
            </a:ext>
          </a:extLst>
        </xdr:cNvPr>
        <xdr:cNvSpPr/>
      </xdr:nvSpPr>
      <xdr:spPr>
        <a:xfrm>
          <a:off x="3061678" y="17144999"/>
          <a:ext cx="1070708" cy="2439865"/>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254000</xdr:colOff>
      <xdr:row>94</xdr:row>
      <xdr:rowOff>14654</xdr:rowOff>
    </xdr:from>
    <xdr:to>
      <xdr:col>14</xdr:col>
      <xdr:colOff>171450</xdr:colOff>
      <xdr:row>95</xdr:row>
      <xdr:rowOff>31749</xdr:rowOff>
    </xdr:to>
    <xdr:sp macro="" textlink="">
      <xdr:nvSpPr>
        <xdr:cNvPr id="28" name="正方形/長方形 27">
          <a:extLst>
            <a:ext uri="{FF2B5EF4-FFF2-40B4-BE49-F238E27FC236}">
              <a16:creationId xmlns:a16="http://schemas.microsoft.com/office/drawing/2014/main" id="{CADDB756-2168-4DA9-8E55-317018D6B687}"/>
            </a:ext>
          </a:extLst>
        </xdr:cNvPr>
        <xdr:cNvSpPr/>
      </xdr:nvSpPr>
      <xdr:spPr>
        <a:xfrm>
          <a:off x="1854200" y="20817254"/>
          <a:ext cx="2051050" cy="283795"/>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212725</xdr:colOff>
      <xdr:row>90</xdr:row>
      <xdr:rowOff>65941</xdr:rowOff>
    </xdr:from>
    <xdr:to>
      <xdr:col>13</xdr:col>
      <xdr:colOff>168032</xdr:colOff>
      <xdr:row>94</xdr:row>
      <xdr:rowOff>14654</xdr:rowOff>
    </xdr:to>
    <xdr:cxnSp macro="">
      <xdr:nvCxnSpPr>
        <xdr:cNvPr id="29" name="直線コネクタ 28">
          <a:extLst>
            <a:ext uri="{FF2B5EF4-FFF2-40B4-BE49-F238E27FC236}">
              <a16:creationId xmlns:a16="http://schemas.microsoft.com/office/drawing/2014/main" id="{F70162EA-0D10-4AE6-9A73-3FDE9A96674D}"/>
            </a:ext>
          </a:extLst>
        </xdr:cNvPr>
        <xdr:cNvCxnSpPr>
          <a:stCxn id="27" idx="2"/>
          <a:endCxn id="28" idx="0"/>
        </xdr:cNvCxnSpPr>
      </xdr:nvCxnSpPr>
      <xdr:spPr>
        <a:xfrm flipH="1">
          <a:off x="2879725" y="19801741"/>
          <a:ext cx="755407" cy="1015513"/>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189524</xdr:colOff>
      <xdr:row>146</xdr:row>
      <xdr:rowOff>161192</xdr:rowOff>
    </xdr:from>
    <xdr:to>
      <xdr:col>25</xdr:col>
      <xdr:colOff>201980</xdr:colOff>
      <xdr:row>147</xdr:row>
      <xdr:rowOff>84748</xdr:rowOff>
    </xdr:to>
    <xdr:sp macro="" textlink="">
      <xdr:nvSpPr>
        <xdr:cNvPr id="34" name="正方形/長方形 33">
          <a:extLst>
            <a:ext uri="{FF2B5EF4-FFF2-40B4-BE49-F238E27FC236}">
              <a16:creationId xmlns:a16="http://schemas.microsoft.com/office/drawing/2014/main" id="{A29446E3-A73D-43B4-85FA-96990AB7FF51}"/>
            </a:ext>
          </a:extLst>
        </xdr:cNvPr>
        <xdr:cNvSpPr/>
      </xdr:nvSpPr>
      <xdr:spPr>
        <a:xfrm>
          <a:off x="6256216" y="34187423"/>
          <a:ext cx="539995" cy="187325"/>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249116</xdr:colOff>
      <xdr:row>149</xdr:row>
      <xdr:rowOff>14654</xdr:rowOff>
    </xdr:from>
    <xdr:to>
      <xdr:col>16</xdr:col>
      <xdr:colOff>149713</xdr:colOff>
      <xdr:row>149</xdr:row>
      <xdr:rowOff>243987</xdr:rowOff>
    </xdr:to>
    <xdr:sp macro="" textlink="">
      <xdr:nvSpPr>
        <xdr:cNvPr id="35" name="正方形/長方形 34">
          <a:extLst>
            <a:ext uri="{FF2B5EF4-FFF2-40B4-BE49-F238E27FC236}">
              <a16:creationId xmlns:a16="http://schemas.microsoft.com/office/drawing/2014/main" id="{4798F234-C9DD-4AF1-804C-27286C9DCB8D}"/>
            </a:ext>
          </a:extLst>
        </xdr:cNvPr>
        <xdr:cNvSpPr/>
      </xdr:nvSpPr>
      <xdr:spPr>
        <a:xfrm>
          <a:off x="1831731" y="34832192"/>
          <a:ext cx="2538290" cy="229333"/>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199414</xdr:colOff>
      <xdr:row>147</xdr:row>
      <xdr:rowOff>84748</xdr:rowOff>
    </xdr:from>
    <xdr:to>
      <xdr:col>24</xdr:col>
      <xdr:colOff>195752</xdr:colOff>
      <xdr:row>149</xdr:row>
      <xdr:rowOff>11479</xdr:rowOff>
    </xdr:to>
    <xdr:cxnSp macro="">
      <xdr:nvCxnSpPr>
        <xdr:cNvPr id="36" name="直線コネクタ 35">
          <a:extLst>
            <a:ext uri="{FF2B5EF4-FFF2-40B4-BE49-F238E27FC236}">
              <a16:creationId xmlns:a16="http://schemas.microsoft.com/office/drawing/2014/main" id="{C9C16B6C-6A44-410F-BD89-00B3288000E9}"/>
            </a:ext>
          </a:extLst>
        </xdr:cNvPr>
        <xdr:cNvCxnSpPr>
          <a:stCxn id="34" idx="2"/>
          <a:endCxn id="35" idx="0"/>
        </xdr:cNvCxnSpPr>
      </xdr:nvCxnSpPr>
      <xdr:spPr>
        <a:xfrm flipH="1">
          <a:off x="3100876" y="34374748"/>
          <a:ext cx="3425338" cy="454269"/>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186346</xdr:colOff>
      <xdr:row>81</xdr:row>
      <xdr:rowOff>21981</xdr:rowOff>
    </xdr:from>
    <xdr:to>
      <xdr:col>12</xdr:col>
      <xdr:colOff>178286</xdr:colOff>
      <xdr:row>82</xdr:row>
      <xdr:rowOff>28575</xdr:rowOff>
    </xdr:to>
    <xdr:sp macro="" textlink="">
      <xdr:nvSpPr>
        <xdr:cNvPr id="6" name="正方形/長方形 5">
          <a:extLst>
            <a:ext uri="{FF2B5EF4-FFF2-40B4-BE49-F238E27FC236}">
              <a16:creationId xmlns:a16="http://schemas.microsoft.com/office/drawing/2014/main" id="{DE54A841-8FEA-4B3A-BDC9-C12FC31C949A}"/>
            </a:ext>
          </a:extLst>
        </xdr:cNvPr>
        <xdr:cNvSpPr/>
      </xdr:nvSpPr>
      <xdr:spPr>
        <a:xfrm>
          <a:off x="3087808" y="17166981"/>
          <a:ext cx="255709" cy="270363"/>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210038</xdr:colOff>
      <xdr:row>96</xdr:row>
      <xdr:rowOff>53731</xdr:rowOff>
    </xdr:from>
    <xdr:to>
      <xdr:col>19</xdr:col>
      <xdr:colOff>185616</xdr:colOff>
      <xdr:row>98</xdr:row>
      <xdr:rowOff>73269</xdr:rowOff>
    </xdr:to>
    <xdr:sp macro="" textlink="">
      <xdr:nvSpPr>
        <xdr:cNvPr id="7" name="正方形/長方形 6">
          <a:extLst>
            <a:ext uri="{FF2B5EF4-FFF2-40B4-BE49-F238E27FC236}">
              <a16:creationId xmlns:a16="http://schemas.microsoft.com/office/drawing/2014/main" id="{44EF7FD6-F2EB-4355-AC9F-2B1ECB2D6A66}"/>
            </a:ext>
          </a:extLst>
        </xdr:cNvPr>
        <xdr:cNvSpPr/>
      </xdr:nvSpPr>
      <xdr:spPr>
        <a:xfrm>
          <a:off x="5583115" y="22083346"/>
          <a:ext cx="1050193" cy="556846"/>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48966</xdr:colOff>
      <xdr:row>82</xdr:row>
      <xdr:rowOff>28575</xdr:rowOff>
    </xdr:from>
    <xdr:to>
      <xdr:col>17</xdr:col>
      <xdr:colOff>197827</xdr:colOff>
      <xdr:row>96</xdr:row>
      <xdr:rowOff>53731</xdr:rowOff>
    </xdr:to>
    <xdr:cxnSp macro="">
      <xdr:nvCxnSpPr>
        <xdr:cNvPr id="12" name="直線コネクタ 11">
          <a:extLst>
            <a:ext uri="{FF2B5EF4-FFF2-40B4-BE49-F238E27FC236}">
              <a16:creationId xmlns:a16="http://schemas.microsoft.com/office/drawing/2014/main" id="{272434DE-7D7B-4B5A-AECC-E8434BF1BB2A}"/>
            </a:ext>
          </a:extLst>
        </xdr:cNvPr>
        <xdr:cNvCxnSpPr>
          <a:stCxn id="6" idx="2"/>
          <a:endCxn id="7" idx="0"/>
        </xdr:cNvCxnSpPr>
      </xdr:nvCxnSpPr>
      <xdr:spPr>
        <a:xfrm>
          <a:off x="3249366" y="17630775"/>
          <a:ext cx="1482361" cy="4025656"/>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254000</xdr:colOff>
      <xdr:row>98</xdr:row>
      <xdr:rowOff>228600</xdr:rowOff>
    </xdr:from>
    <xdr:to>
      <xdr:col>25</xdr:col>
      <xdr:colOff>76200</xdr:colOff>
      <xdr:row>100</xdr:row>
      <xdr:rowOff>31750</xdr:rowOff>
    </xdr:to>
    <xdr:sp macro="" textlink="">
      <xdr:nvSpPr>
        <xdr:cNvPr id="25" name="正方形/長方形 24">
          <a:extLst>
            <a:ext uri="{FF2B5EF4-FFF2-40B4-BE49-F238E27FC236}">
              <a16:creationId xmlns:a16="http://schemas.microsoft.com/office/drawing/2014/main" id="{F43EFA59-D344-4CF9-B51D-845A7FD3F831}"/>
            </a:ext>
          </a:extLst>
        </xdr:cNvPr>
        <xdr:cNvSpPr/>
      </xdr:nvSpPr>
      <xdr:spPr>
        <a:xfrm>
          <a:off x="1587500" y="22364700"/>
          <a:ext cx="5156200" cy="33655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212725</xdr:colOff>
      <xdr:row>95</xdr:row>
      <xdr:rowOff>31749</xdr:rowOff>
    </xdr:from>
    <xdr:to>
      <xdr:col>15</xdr:col>
      <xdr:colOff>165100</xdr:colOff>
      <xdr:row>98</xdr:row>
      <xdr:rowOff>228600</xdr:rowOff>
    </xdr:to>
    <xdr:cxnSp macro="">
      <xdr:nvCxnSpPr>
        <xdr:cNvPr id="26" name="直線コネクタ 25">
          <a:extLst>
            <a:ext uri="{FF2B5EF4-FFF2-40B4-BE49-F238E27FC236}">
              <a16:creationId xmlns:a16="http://schemas.microsoft.com/office/drawing/2014/main" id="{912CB32C-A547-4157-8D75-F766F560ED02}"/>
            </a:ext>
          </a:extLst>
        </xdr:cNvPr>
        <xdr:cNvCxnSpPr>
          <a:stCxn id="28" idx="2"/>
          <a:endCxn id="25" idx="0"/>
        </xdr:cNvCxnSpPr>
      </xdr:nvCxnSpPr>
      <xdr:spPr>
        <a:xfrm>
          <a:off x="2879725" y="21101049"/>
          <a:ext cx="1285875" cy="996951"/>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215900</xdr:colOff>
      <xdr:row>101</xdr:row>
      <xdr:rowOff>241300</xdr:rowOff>
    </xdr:from>
    <xdr:to>
      <xdr:col>11</xdr:col>
      <xdr:colOff>25400</xdr:colOff>
      <xdr:row>114</xdr:row>
      <xdr:rowOff>0</xdr:rowOff>
    </xdr:to>
    <xdr:sp macro="" textlink="">
      <xdr:nvSpPr>
        <xdr:cNvPr id="33" name="正方形/長方形 32">
          <a:extLst>
            <a:ext uri="{FF2B5EF4-FFF2-40B4-BE49-F238E27FC236}">
              <a16:creationId xmlns:a16="http://schemas.microsoft.com/office/drawing/2014/main" id="{AB55614C-3F43-4C7A-B7EC-7101D914D4DC}"/>
            </a:ext>
          </a:extLst>
        </xdr:cNvPr>
        <xdr:cNvSpPr/>
      </xdr:nvSpPr>
      <xdr:spPr>
        <a:xfrm>
          <a:off x="1549400" y="22910800"/>
          <a:ext cx="1409700" cy="325755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177800</xdr:colOff>
      <xdr:row>119</xdr:row>
      <xdr:rowOff>50800</xdr:rowOff>
    </xdr:from>
    <xdr:to>
      <xdr:col>14</xdr:col>
      <xdr:colOff>107950</xdr:colOff>
      <xdr:row>121</xdr:row>
      <xdr:rowOff>209550</xdr:rowOff>
    </xdr:to>
    <xdr:sp macro="" textlink="">
      <xdr:nvSpPr>
        <xdr:cNvPr id="37" name="正方形/長方形 36">
          <a:extLst>
            <a:ext uri="{FF2B5EF4-FFF2-40B4-BE49-F238E27FC236}">
              <a16:creationId xmlns:a16="http://schemas.microsoft.com/office/drawing/2014/main" id="{15AEB948-2966-4BD5-86BB-6F89CD4FFAF1}"/>
            </a:ext>
          </a:extLst>
        </xdr:cNvPr>
        <xdr:cNvSpPr/>
      </xdr:nvSpPr>
      <xdr:spPr>
        <a:xfrm>
          <a:off x="1244600" y="29387800"/>
          <a:ext cx="2597150" cy="69215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120650</xdr:colOff>
      <xdr:row>114</xdr:row>
      <xdr:rowOff>0</xdr:rowOff>
    </xdr:from>
    <xdr:to>
      <xdr:col>9</xdr:col>
      <xdr:colOff>142875</xdr:colOff>
      <xdr:row>119</xdr:row>
      <xdr:rowOff>50800</xdr:rowOff>
    </xdr:to>
    <xdr:cxnSp macro="">
      <xdr:nvCxnSpPr>
        <xdr:cNvPr id="38" name="直線コネクタ 37">
          <a:extLst>
            <a:ext uri="{FF2B5EF4-FFF2-40B4-BE49-F238E27FC236}">
              <a16:creationId xmlns:a16="http://schemas.microsoft.com/office/drawing/2014/main" id="{B8A84D35-CAC3-4E48-AB11-BAFEC91A2DFD}"/>
            </a:ext>
          </a:extLst>
        </xdr:cNvPr>
        <xdr:cNvCxnSpPr>
          <a:stCxn id="33" idx="2"/>
          <a:endCxn id="37" idx="0"/>
        </xdr:cNvCxnSpPr>
      </xdr:nvCxnSpPr>
      <xdr:spPr>
        <a:xfrm>
          <a:off x="2254250" y="26168350"/>
          <a:ext cx="288925" cy="3752850"/>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254000</xdr:colOff>
      <xdr:row>101</xdr:row>
      <xdr:rowOff>222250</xdr:rowOff>
    </xdr:from>
    <xdr:to>
      <xdr:col>13</xdr:col>
      <xdr:colOff>25400</xdr:colOff>
      <xdr:row>114</xdr:row>
      <xdr:rowOff>0</xdr:rowOff>
    </xdr:to>
    <xdr:sp macro="" textlink="">
      <xdr:nvSpPr>
        <xdr:cNvPr id="15" name="正方形/長方形 14">
          <a:extLst>
            <a:ext uri="{FF2B5EF4-FFF2-40B4-BE49-F238E27FC236}">
              <a16:creationId xmlns:a16="http://schemas.microsoft.com/office/drawing/2014/main" id="{662A95AF-B360-4D45-A712-2BA9A1C3A3ED}"/>
            </a:ext>
          </a:extLst>
        </xdr:cNvPr>
        <xdr:cNvSpPr/>
      </xdr:nvSpPr>
      <xdr:spPr>
        <a:xfrm>
          <a:off x="1320800" y="22891750"/>
          <a:ext cx="2171700" cy="3314700"/>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203200</xdr:colOff>
      <xdr:row>116</xdr:row>
      <xdr:rowOff>44450</xdr:rowOff>
    </xdr:from>
    <xdr:to>
      <xdr:col>25</xdr:col>
      <xdr:colOff>57150</xdr:colOff>
      <xdr:row>118</xdr:row>
      <xdr:rowOff>228600</xdr:rowOff>
    </xdr:to>
    <xdr:sp macro="" textlink="">
      <xdr:nvSpPr>
        <xdr:cNvPr id="19" name="正方形/長方形 18">
          <a:extLst>
            <a:ext uri="{FF2B5EF4-FFF2-40B4-BE49-F238E27FC236}">
              <a16:creationId xmlns:a16="http://schemas.microsoft.com/office/drawing/2014/main" id="{A1016942-762C-41E7-982D-4A93BA93D93B}"/>
            </a:ext>
          </a:extLst>
        </xdr:cNvPr>
        <xdr:cNvSpPr/>
      </xdr:nvSpPr>
      <xdr:spPr>
        <a:xfrm>
          <a:off x="4203700" y="29114750"/>
          <a:ext cx="2520950" cy="717550"/>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114300</xdr:colOff>
      <xdr:row>114</xdr:row>
      <xdr:rowOff>0</xdr:rowOff>
    </xdr:from>
    <xdr:to>
      <xdr:col>20</xdr:col>
      <xdr:colOff>130175</xdr:colOff>
      <xdr:row>116</xdr:row>
      <xdr:rowOff>44450</xdr:rowOff>
    </xdr:to>
    <xdr:cxnSp macro="">
      <xdr:nvCxnSpPr>
        <xdr:cNvPr id="20" name="直線コネクタ 19">
          <a:extLst>
            <a:ext uri="{FF2B5EF4-FFF2-40B4-BE49-F238E27FC236}">
              <a16:creationId xmlns:a16="http://schemas.microsoft.com/office/drawing/2014/main" id="{30E15486-C891-4419-9B91-12406133D3A0}"/>
            </a:ext>
          </a:extLst>
        </xdr:cNvPr>
        <xdr:cNvCxnSpPr>
          <a:cxnSpLocks/>
          <a:stCxn id="47" idx="2"/>
          <a:endCxn id="19" idx="0"/>
        </xdr:cNvCxnSpPr>
      </xdr:nvCxnSpPr>
      <xdr:spPr>
        <a:xfrm>
          <a:off x="3314700" y="26155650"/>
          <a:ext cx="2149475" cy="2959100"/>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113</xdr:row>
      <xdr:rowOff>12700</xdr:rowOff>
    </xdr:from>
    <xdr:to>
      <xdr:col>12</xdr:col>
      <xdr:colOff>228600</xdr:colOff>
      <xdr:row>114</xdr:row>
      <xdr:rowOff>0</xdr:rowOff>
    </xdr:to>
    <xdr:sp macro="" textlink="">
      <xdr:nvSpPr>
        <xdr:cNvPr id="47" name="正方形/長方形 46">
          <a:extLst>
            <a:ext uri="{FF2B5EF4-FFF2-40B4-BE49-F238E27FC236}">
              <a16:creationId xmlns:a16="http://schemas.microsoft.com/office/drawing/2014/main" id="{B45CC08D-738E-47CB-ACB1-B36D2FB94FC7}"/>
            </a:ext>
          </a:extLst>
        </xdr:cNvPr>
        <xdr:cNvSpPr/>
      </xdr:nvSpPr>
      <xdr:spPr>
        <a:xfrm>
          <a:off x="3200400" y="25882600"/>
          <a:ext cx="228600" cy="273050"/>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247649</xdr:colOff>
      <xdr:row>61</xdr:row>
      <xdr:rowOff>215900</xdr:rowOff>
    </xdr:from>
    <xdr:to>
      <xdr:col>9</xdr:col>
      <xdr:colOff>57148</xdr:colOff>
      <xdr:row>66</xdr:row>
      <xdr:rowOff>57150</xdr:rowOff>
    </xdr:to>
    <xdr:sp macro="" textlink="">
      <xdr:nvSpPr>
        <xdr:cNvPr id="53" name="正方形/長方形 52">
          <a:extLst>
            <a:ext uri="{FF2B5EF4-FFF2-40B4-BE49-F238E27FC236}">
              <a16:creationId xmlns:a16="http://schemas.microsoft.com/office/drawing/2014/main" id="{C95301B2-E440-4BAD-A97C-CD9E69884FDC}"/>
            </a:ext>
          </a:extLst>
        </xdr:cNvPr>
        <xdr:cNvSpPr/>
      </xdr:nvSpPr>
      <xdr:spPr>
        <a:xfrm>
          <a:off x="1314449" y="14084300"/>
          <a:ext cx="1142999" cy="1174750"/>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19049</xdr:colOff>
      <xdr:row>55</xdr:row>
      <xdr:rowOff>37611</xdr:rowOff>
    </xdr:from>
    <xdr:to>
      <xdr:col>9</xdr:col>
      <xdr:colOff>119307</xdr:colOff>
      <xdr:row>61</xdr:row>
      <xdr:rowOff>215900</xdr:rowOff>
    </xdr:to>
    <xdr:cxnSp macro="">
      <xdr:nvCxnSpPr>
        <xdr:cNvPr id="54" name="直線コネクタ 53">
          <a:extLst>
            <a:ext uri="{FF2B5EF4-FFF2-40B4-BE49-F238E27FC236}">
              <a16:creationId xmlns:a16="http://schemas.microsoft.com/office/drawing/2014/main" id="{942B96EC-486D-4761-A589-200F2FCB412D}"/>
            </a:ext>
          </a:extLst>
        </xdr:cNvPr>
        <xdr:cNvCxnSpPr>
          <a:stCxn id="16" idx="2"/>
          <a:endCxn id="53" idx="0"/>
        </xdr:cNvCxnSpPr>
      </xdr:nvCxnSpPr>
      <xdr:spPr>
        <a:xfrm flipH="1">
          <a:off x="1885949" y="12305811"/>
          <a:ext cx="633658" cy="1778489"/>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234950</xdr:colOff>
      <xdr:row>71</xdr:row>
      <xdr:rowOff>0</xdr:rowOff>
    </xdr:from>
    <xdr:to>
      <xdr:col>24</xdr:col>
      <xdr:colOff>9525</xdr:colOff>
      <xdr:row>72</xdr:row>
      <xdr:rowOff>0</xdr:rowOff>
    </xdr:to>
    <xdr:sp macro="" textlink="">
      <xdr:nvSpPr>
        <xdr:cNvPr id="57" name="正方形/長方形 56">
          <a:extLst>
            <a:ext uri="{FF2B5EF4-FFF2-40B4-BE49-F238E27FC236}">
              <a16:creationId xmlns:a16="http://schemas.microsoft.com/office/drawing/2014/main" id="{C845F79F-23CE-476B-8ED8-96FA032F942B}"/>
            </a:ext>
          </a:extLst>
        </xdr:cNvPr>
        <xdr:cNvSpPr/>
      </xdr:nvSpPr>
      <xdr:spPr>
        <a:xfrm>
          <a:off x="1568450" y="15201900"/>
          <a:ext cx="4841875" cy="26670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1587</xdr:colOff>
      <xdr:row>65</xdr:row>
      <xdr:rowOff>12699</xdr:rowOff>
    </xdr:from>
    <xdr:to>
      <xdr:col>14</xdr:col>
      <xdr:colOff>255588</xdr:colOff>
      <xdr:row>71</xdr:row>
      <xdr:rowOff>0</xdr:rowOff>
    </xdr:to>
    <xdr:cxnSp macro="">
      <xdr:nvCxnSpPr>
        <xdr:cNvPr id="58" name="直線コネクタ 57">
          <a:extLst>
            <a:ext uri="{FF2B5EF4-FFF2-40B4-BE49-F238E27FC236}">
              <a16:creationId xmlns:a16="http://schemas.microsoft.com/office/drawing/2014/main" id="{5457E5E7-DEDE-4A8A-B15D-870E7BF466E9}"/>
            </a:ext>
          </a:extLst>
        </xdr:cNvPr>
        <xdr:cNvCxnSpPr>
          <a:stCxn id="27654" idx="2"/>
          <a:endCxn id="57" idx="0"/>
        </xdr:cNvCxnSpPr>
      </xdr:nvCxnSpPr>
      <xdr:spPr>
        <a:xfrm>
          <a:off x="1868487" y="14947899"/>
          <a:ext cx="2120901" cy="1854201"/>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19049</xdr:colOff>
      <xdr:row>56</xdr:row>
      <xdr:rowOff>259617</xdr:rowOff>
    </xdr:from>
    <xdr:to>
      <xdr:col>19</xdr:col>
      <xdr:colOff>251070</xdr:colOff>
      <xdr:row>61</xdr:row>
      <xdr:rowOff>215900</xdr:rowOff>
    </xdr:to>
    <xdr:cxnSp macro="">
      <xdr:nvCxnSpPr>
        <xdr:cNvPr id="61" name="直線コネクタ 60">
          <a:extLst>
            <a:ext uri="{FF2B5EF4-FFF2-40B4-BE49-F238E27FC236}">
              <a16:creationId xmlns:a16="http://schemas.microsoft.com/office/drawing/2014/main" id="{817223E6-0431-42DE-9C16-3513CBF37A58}"/>
            </a:ext>
          </a:extLst>
        </xdr:cNvPr>
        <xdr:cNvCxnSpPr>
          <a:stCxn id="22" idx="2"/>
          <a:endCxn id="53" idx="0"/>
        </xdr:cNvCxnSpPr>
      </xdr:nvCxnSpPr>
      <xdr:spPr>
        <a:xfrm flipH="1">
          <a:off x="1885949" y="12794517"/>
          <a:ext cx="3432421" cy="1289783"/>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254001</xdr:colOff>
      <xdr:row>45</xdr:row>
      <xdr:rowOff>209551</xdr:rowOff>
    </xdr:from>
    <xdr:to>
      <xdr:col>7</xdr:col>
      <xdr:colOff>190501</xdr:colOff>
      <xdr:row>46</xdr:row>
      <xdr:rowOff>152401</xdr:rowOff>
    </xdr:to>
    <xdr:sp macro="" textlink="">
      <xdr:nvSpPr>
        <xdr:cNvPr id="27648" name="正方形/長方形 27647">
          <a:extLst>
            <a:ext uri="{FF2B5EF4-FFF2-40B4-BE49-F238E27FC236}">
              <a16:creationId xmlns:a16="http://schemas.microsoft.com/office/drawing/2014/main" id="{98768D20-9758-4115-86B0-CA4082583A4D}"/>
            </a:ext>
          </a:extLst>
        </xdr:cNvPr>
        <xdr:cNvSpPr/>
      </xdr:nvSpPr>
      <xdr:spPr>
        <a:xfrm>
          <a:off x="1854201" y="9810751"/>
          <a:ext cx="203200" cy="20955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90489</xdr:colOff>
      <xdr:row>46</xdr:row>
      <xdr:rowOff>152401</xdr:rowOff>
    </xdr:from>
    <xdr:to>
      <xdr:col>17</xdr:col>
      <xdr:colOff>14288</xdr:colOff>
      <xdr:row>58</xdr:row>
      <xdr:rowOff>38100</xdr:rowOff>
    </xdr:to>
    <xdr:cxnSp macro="">
      <xdr:nvCxnSpPr>
        <xdr:cNvPr id="27651" name="直線コネクタ 27650">
          <a:extLst>
            <a:ext uri="{FF2B5EF4-FFF2-40B4-BE49-F238E27FC236}">
              <a16:creationId xmlns:a16="http://schemas.microsoft.com/office/drawing/2014/main" id="{2A772F23-4C03-411A-B8A1-3C867D6403A0}"/>
            </a:ext>
          </a:extLst>
        </xdr:cNvPr>
        <xdr:cNvCxnSpPr>
          <a:cxnSpLocks/>
          <a:stCxn id="27648" idx="2"/>
        </xdr:cNvCxnSpPr>
      </xdr:nvCxnSpPr>
      <xdr:spPr>
        <a:xfrm>
          <a:off x="1957389" y="10020301"/>
          <a:ext cx="2590799" cy="3086099"/>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63499</xdr:colOff>
      <xdr:row>63</xdr:row>
      <xdr:rowOff>253999</xdr:rowOff>
    </xdr:from>
    <xdr:to>
      <xdr:col>8</xdr:col>
      <xdr:colOff>200024</xdr:colOff>
      <xdr:row>65</xdr:row>
      <xdr:rowOff>9524</xdr:rowOff>
    </xdr:to>
    <xdr:sp macro="" textlink="">
      <xdr:nvSpPr>
        <xdr:cNvPr id="27654" name="正方形/長方形 27653">
          <a:extLst>
            <a:ext uri="{FF2B5EF4-FFF2-40B4-BE49-F238E27FC236}">
              <a16:creationId xmlns:a16="http://schemas.microsoft.com/office/drawing/2014/main" id="{E224A103-07D1-4EB7-9530-595859D1C0FB}"/>
            </a:ext>
          </a:extLst>
        </xdr:cNvPr>
        <xdr:cNvSpPr/>
      </xdr:nvSpPr>
      <xdr:spPr>
        <a:xfrm>
          <a:off x="1396999" y="14655799"/>
          <a:ext cx="936625" cy="288925"/>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215900</xdr:colOff>
      <xdr:row>67</xdr:row>
      <xdr:rowOff>63499</xdr:rowOff>
    </xdr:from>
    <xdr:to>
      <xdr:col>25</xdr:col>
      <xdr:colOff>123825</xdr:colOff>
      <xdr:row>69</xdr:row>
      <xdr:rowOff>200024</xdr:rowOff>
    </xdr:to>
    <xdr:sp macro="" textlink="">
      <xdr:nvSpPr>
        <xdr:cNvPr id="27661" name="正方形/長方形 27660">
          <a:extLst>
            <a:ext uri="{FF2B5EF4-FFF2-40B4-BE49-F238E27FC236}">
              <a16:creationId xmlns:a16="http://schemas.microsoft.com/office/drawing/2014/main" id="{B0F59F44-5312-4476-99FF-E0996331737C}"/>
            </a:ext>
          </a:extLst>
        </xdr:cNvPr>
        <xdr:cNvSpPr/>
      </xdr:nvSpPr>
      <xdr:spPr>
        <a:xfrm>
          <a:off x="4216400" y="15532099"/>
          <a:ext cx="2574925" cy="669925"/>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238126</xdr:colOff>
      <xdr:row>65</xdr:row>
      <xdr:rowOff>47626</xdr:rowOff>
    </xdr:from>
    <xdr:to>
      <xdr:col>8</xdr:col>
      <xdr:colOff>200025</xdr:colOff>
      <xdr:row>65</xdr:row>
      <xdr:rowOff>219076</xdr:rowOff>
    </xdr:to>
    <xdr:sp macro="" textlink="">
      <xdr:nvSpPr>
        <xdr:cNvPr id="27662" name="正方形/長方形 27661">
          <a:extLst>
            <a:ext uri="{FF2B5EF4-FFF2-40B4-BE49-F238E27FC236}">
              <a16:creationId xmlns:a16="http://schemas.microsoft.com/office/drawing/2014/main" id="{43027C57-B505-4F7B-9325-20C3A0B3C287}"/>
            </a:ext>
          </a:extLst>
        </xdr:cNvPr>
        <xdr:cNvSpPr/>
      </xdr:nvSpPr>
      <xdr:spPr>
        <a:xfrm>
          <a:off x="2105026" y="14982826"/>
          <a:ext cx="228599" cy="17145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82551</xdr:colOff>
      <xdr:row>65</xdr:row>
      <xdr:rowOff>215901</xdr:rowOff>
    </xdr:from>
    <xdr:to>
      <xdr:col>20</xdr:col>
      <xdr:colOff>169863</xdr:colOff>
      <xdr:row>67</xdr:row>
      <xdr:rowOff>66674</xdr:rowOff>
    </xdr:to>
    <xdr:cxnSp macro="">
      <xdr:nvCxnSpPr>
        <xdr:cNvPr id="27663" name="直線コネクタ 27662">
          <a:extLst>
            <a:ext uri="{FF2B5EF4-FFF2-40B4-BE49-F238E27FC236}">
              <a16:creationId xmlns:a16="http://schemas.microsoft.com/office/drawing/2014/main" id="{84E09742-2010-444C-8C44-7C15B4627764}"/>
            </a:ext>
          </a:extLst>
        </xdr:cNvPr>
        <xdr:cNvCxnSpPr>
          <a:stCxn id="27662" idx="2"/>
          <a:endCxn id="27661" idx="0"/>
        </xdr:cNvCxnSpPr>
      </xdr:nvCxnSpPr>
      <xdr:spPr>
        <a:xfrm>
          <a:off x="2216151" y="15151101"/>
          <a:ext cx="3287712" cy="384173"/>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0</xdr:colOff>
      <xdr:row>3</xdr:row>
      <xdr:rowOff>0</xdr:rowOff>
    </xdr:from>
    <xdr:to>
      <xdr:col>37</xdr:col>
      <xdr:colOff>96540</xdr:colOff>
      <xdr:row>7</xdr:row>
      <xdr:rowOff>165100</xdr:rowOff>
    </xdr:to>
    <xdr:pic>
      <xdr:nvPicPr>
        <xdr:cNvPr id="14" name="図 13">
          <a:extLst>
            <a:ext uri="{FF2B5EF4-FFF2-40B4-BE49-F238E27FC236}">
              <a16:creationId xmlns:a16="http://schemas.microsoft.com/office/drawing/2014/main" id="{D0955E80-7328-4F91-9D28-03627A434C0A}"/>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00100" y="800100"/>
          <a:ext cx="9164340" cy="1231900"/>
        </a:xfrm>
        <a:prstGeom prst="rect">
          <a:avLst/>
        </a:prstGeom>
      </xdr:spPr>
    </xdr:pic>
    <xdr:clientData/>
  </xdr:twoCellAnchor>
  <xdr:twoCellAnchor>
    <xdr:from>
      <xdr:col>5</xdr:col>
      <xdr:colOff>209550</xdr:colOff>
      <xdr:row>8</xdr:row>
      <xdr:rowOff>222250</xdr:rowOff>
    </xdr:from>
    <xdr:to>
      <xdr:col>23</xdr:col>
      <xdr:colOff>133350</xdr:colOff>
      <xdr:row>10</xdr:row>
      <xdr:rowOff>38100</xdr:rowOff>
    </xdr:to>
    <xdr:sp macro="" textlink="">
      <xdr:nvSpPr>
        <xdr:cNvPr id="24" name="正方形/長方形 23">
          <a:extLst>
            <a:ext uri="{FF2B5EF4-FFF2-40B4-BE49-F238E27FC236}">
              <a16:creationId xmlns:a16="http://schemas.microsoft.com/office/drawing/2014/main" id="{181D89E3-57AC-47A5-8EEE-C4859C0C91E3}"/>
            </a:ext>
          </a:extLst>
        </xdr:cNvPr>
        <xdr:cNvSpPr/>
      </xdr:nvSpPr>
      <xdr:spPr>
        <a:xfrm>
          <a:off x="1543050" y="2355850"/>
          <a:ext cx="4724400" cy="349250"/>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31750</xdr:colOff>
      <xdr:row>5</xdr:row>
      <xdr:rowOff>247650</xdr:rowOff>
    </xdr:from>
    <xdr:to>
      <xdr:col>10</xdr:col>
      <xdr:colOff>6350</xdr:colOff>
      <xdr:row>7</xdr:row>
      <xdr:rowOff>25400</xdr:rowOff>
    </xdr:to>
    <xdr:sp macro="" textlink="">
      <xdr:nvSpPr>
        <xdr:cNvPr id="30" name="正方形/長方形 29">
          <a:extLst>
            <a:ext uri="{FF2B5EF4-FFF2-40B4-BE49-F238E27FC236}">
              <a16:creationId xmlns:a16="http://schemas.microsoft.com/office/drawing/2014/main" id="{851DA919-C41E-4AAE-8BFE-8A3BA0943501}"/>
            </a:ext>
          </a:extLst>
        </xdr:cNvPr>
        <xdr:cNvSpPr/>
      </xdr:nvSpPr>
      <xdr:spPr>
        <a:xfrm>
          <a:off x="1631950" y="1581150"/>
          <a:ext cx="1041400" cy="311150"/>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19050</xdr:colOff>
      <xdr:row>7</xdr:row>
      <xdr:rowOff>25400</xdr:rowOff>
    </xdr:from>
    <xdr:to>
      <xdr:col>14</xdr:col>
      <xdr:colOff>171450</xdr:colOff>
      <xdr:row>8</xdr:row>
      <xdr:rowOff>222250</xdr:rowOff>
    </xdr:to>
    <xdr:cxnSp macro="">
      <xdr:nvCxnSpPr>
        <xdr:cNvPr id="31" name="直線コネクタ 30">
          <a:extLst>
            <a:ext uri="{FF2B5EF4-FFF2-40B4-BE49-F238E27FC236}">
              <a16:creationId xmlns:a16="http://schemas.microsoft.com/office/drawing/2014/main" id="{8F0FB016-6654-4556-B3F2-9C1A16DCE134}"/>
            </a:ext>
          </a:extLst>
        </xdr:cNvPr>
        <xdr:cNvCxnSpPr>
          <a:stCxn id="30" idx="2"/>
          <a:endCxn id="24" idx="0"/>
        </xdr:cNvCxnSpPr>
      </xdr:nvCxnSpPr>
      <xdr:spPr>
        <a:xfrm>
          <a:off x="2152650" y="1892300"/>
          <a:ext cx="1752600" cy="463550"/>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209550</xdr:colOff>
      <xdr:row>58</xdr:row>
      <xdr:rowOff>76200</xdr:rowOff>
    </xdr:from>
    <xdr:to>
      <xdr:col>18</xdr:col>
      <xdr:colOff>85725</xdr:colOff>
      <xdr:row>60</xdr:row>
      <xdr:rowOff>85725</xdr:rowOff>
    </xdr:to>
    <xdr:sp macro="" textlink="">
      <xdr:nvSpPr>
        <xdr:cNvPr id="42" name="正方形/長方形 41">
          <a:extLst>
            <a:ext uri="{FF2B5EF4-FFF2-40B4-BE49-F238E27FC236}">
              <a16:creationId xmlns:a16="http://schemas.microsoft.com/office/drawing/2014/main" id="{BDBE7AC5-1C59-4231-A2EC-9376EC391498}"/>
            </a:ext>
          </a:extLst>
        </xdr:cNvPr>
        <xdr:cNvSpPr/>
      </xdr:nvSpPr>
      <xdr:spPr>
        <a:xfrm>
          <a:off x="4210050" y="15544800"/>
          <a:ext cx="676275" cy="542925"/>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5</xdr:col>
      <xdr:colOff>28575</xdr:colOff>
      <xdr:row>44</xdr:row>
      <xdr:rowOff>28575</xdr:rowOff>
    </xdr:from>
    <xdr:to>
      <xdr:col>13</xdr:col>
      <xdr:colOff>263580</xdr:colOff>
      <xdr:row>52</xdr:row>
      <xdr:rowOff>238125</xdr:rowOff>
    </xdr:to>
    <xdr:pic>
      <xdr:nvPicPr>
        <xdr:cNvPr id="2" name="図 1">
          <a:extLst>
            <a:ext uri="{FF2B5EF4-FFF2-40B4-BE49-F238E27FC236}">
              <a16:creationId xmlns:a16="http://schemas.microsoft.com/office/drawing/2014/main" id="{C66A2CC0-E325-4ECD-B817-36A2082D087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62075" y="9363075"/>
          <a:ext cx="2368605" cy="2343150"/>
        </a:xfrm>
        <a:prstGeom prst="rect">
          <a:avLst/>
        </a:prstGeom>
      </xdr:spPr>
    </xdr:pic>
    <xdr:clientData/>
  </xdr:twoCellAnchor>
  <xdr:twoCellAnchor editAs="oneCell">
    <xdr:from>
      <xdr:col>16</xdr:col>
      <xdr:colOff>0</xdr:colOff>
      <xdr:row>44</xdr:row>
      <xdr:rowOff>0</xdr:rowOff>
    </xdr:from>
    <xdr:to>
      <xdr:col>43</xdr:col>
      <xdr:colOff>208106</xdr:colOff>
      <xdr:row>53</xdr:row>
      <xdr:rowOff>209550</xdr:rowOff>
    </xdr:to>
    <xdr:pic>
      <xdr:nvPicPr>
        <xdr:cNvPr id="3" name="図 2">
          <a:extLst>
            <a:ext uri="{FF2B5EF4-FFF2-40B4-BE49-F238E27FC236}">
              <a16:creationId xmlns:a16="http://schemas.microsoft.com/office/drawing/2014/main" id="{AF5A7152-165C-4884-8673-5C5E20BD757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267200" y="9334500"/>
          <a:ext cx="7409006" cy="2609850"/>
        </a:xfrm>
        <a:prstGeom prst="rect">
          <a:avLst/>
        </a:prstGeom>
      </xdr:spPr>
    </xdr:pic>
    <xdr:clientData/>
  </xdr:twoCellAnchor>
  <xdr:twoCellAnchor editAs="oneCell">
    <xdr:from>
      <xdr:col>5</xdr:col>
      <xdr:colOff>0</xdr:colOff>
      <xdr:row>133</xdr:row>
      <xdr:rowOff>0</xdr:rowOff>
    </xdr:from>
    <xdr:to>
      <xdr:col>34</xdr:col>
      <xdr:colOff>126267</xdr:colOff>
      <xdr:row>148</xdr:row>
      <xdr:rowOff>170109</xdr:rowOff>
    </xdr:to>
    <xdr:pic>
      <xdr:nvPicPr>
        <xdr:cNvPr id="4" name="図 3">
          <a:extLst>
            <a:ext uri="{FF2B5EF4-FFF2-40B4-BE49-F238E27FC236}">
              <a16:creationId xmlns:a16="http://schemas.microsoft.com/office/drawing/2014/main" id="{21081E21-C94F-4F89-847A-1F391F04F834}"/>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333500" y="33070800"/>
          <a:ext cx="7860567" cy="4170609"/>
        </a:xfrm>
        <a:prstGeom prst="rect">
          <a:avLst/>
        </a:prstGeom>
      </xdr:spPr>
    </xdr:pic>
    <xdr:clientData/>
  </xdr:twoCellAnchor>
  <xdr:twoCellAnchor editAs="oneCell">
    <xdr:from>
      <xdr:col>5</xdr:col>
      <xdr:colOff>0</xdr:colOff>
      <xdr:row>76</xdr:row>
      <xdr:rowOff>0</xdr:rowOff>
    </xdr:from>
    <xdr:to>
      <xdr:col>17</xdr:col>
      <xdr:colOff>29308</xdr:colOff>
      <xdr:row>93</xdr:row>
      <xdr:rowOff>30097</xdr:rowOff>
    </xdr:to>
    <xdr:pic>
      <xdr:nvPicPr>
        <xdr:cNvPr id="5" name="図 4">
          <a:extLst>
            <a:ext uri="{FF2B5EF4-FFF2-40B4-BE49-F238E27FC236}">
              <a16:creationId xmlns:a16="http://schemas.microsoft.com/office/drawing/2014/main" id="{671060B0-A9EA-45EE-AC57-7E5EBADF6419}"/>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333500" y="17868900"/>
          <a:ext cx="3229708" cy="4563997"/>
        </a:xfrm>
        <a:prstGeom prst="rect">
          <a:avLst/>
        </a:prstGeom>
      </xdr:spPr>
    </xdr:pic>
    <xdr:clientData/>
  </xdr:twoCellAnchor>
  <xdr:twoCellAnchor editAs="oneCell">
    <xdr:from>
      <xdr:col>5</xdr:col>
      <xdr:colOff>1</xdr:colOff>
      <xdr:row>29</xdr:row>
      <xdr:rowOff>14654</xdr:rowOff>
    </xdr:from>
    <xdr:to>
      <xdr:col>34</xdr:col>
      <xdr:colOff>123093</xdr:colOff>
      <xdr:row>33</xdr:row>
      <xdr:rowOff>117040</xdr:rowOff>
    </xdr:to>
    <xdr:pic>
      <xdr:nvPicPr>
        <xdr:cNvPr id="6" name="図 5">
          <a:extLst>
            <a:ext uri="{FF2B5EF4-FFF2-40B4-BE49-F238E27FC236}">
              <a16:creationId xmlns:a16="http://schemas.microsoft.com/office/drawing/2014/main" id="{8167AFA1-C887-4BC4-B1F2-34692D46EF7D}"/>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333501" y="5348654"/>
          <a:ext cx="7857392" cy="1169186"/>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82550</xdr:colOff>
          <xdr:row>128</xdr:row>
          <xdr:rowOff>184150</xdr:rowOff>
        </xdr:from>
        <xdr:to>
          <xdr:col>12</xdr:col>
          <xdr:colOff>139700</xdr:colOff>
          <xdr:row>131</xdr:row>
          <xdr:rowOff>57150</xdr:rowOff>
        </xdr:to>
        <xdr:sp macro="" textlink="">
          <xdr:nvSpPr>
            <xdr:cNvPr id="134145" name="Button 1" hidden="1">
              <a:extLst>
                <a:ext uri="{63B3BB69-23CF-44E3-9099-C40C66FF867C}">
                  <a14:compatExt spid="_x0000_s134145"/>
                </a:ext>
                <a:ext uri="{FF2B5EF4-FFF2-40B4-BE49-F238E27FC236}">
                  <a16:creationId xmlns:a16="http://schemas.microsoft.com/office/drawing/2014/main" id="{00000000-0008-0000-0E00-0000010C0200}"/>
                </a:ext>
              </a:extLst>
            </xdr:cNvPr>
            <xdr:cNvSpPr/>
          </xdr:nvSpPr>
          <xdr:spPr bwMode="auto">
            <a:xfrm>
              <a:off x="0" y="0"/>
              <a:ext cx="0" cy="0"/>
            </a:xfrm>
            <a:prstGeom prst="rect">
              <a:avLst/>
            </a:prstGeom>
            <a:noFill/>
            <a:ln w="9525">
              <a:miter lim="800000"/>
              <a:headEnd/>
              <a:tailEnd/>
            </a:ln>
          </xdr:spPr>
          <xdr:txBody>
            <a:bodyPr vertOverflow="clip" wrap="square" lIns="64008" tIns="91440" rIns="64008" bIns="91440" anchor="ctr" upright="1"/>
            <a:lstStyle/>
            <a:p>
              <a:pPr algn="ctr" rtl="0">
                <a:defRPr sz="1000"/>
              </a:pPr>
              <a:r>
                <a:rPr lang="ja-JP" altLang="en-US" sz="2000" b="0" i="0" u="none" strike="noStrike" baseline="0">
                  <a:solidFill>
                    <a:srgbClr val="000000"/>
                  </a:solidFill>
                  <a:latin typeface="游ゴシック"/>
                  <a:ea typeface="游ゴシック"/>
                </a:rPr>
                <a:t>自動生成</a:t>
              </a:r>
            </a:p>
          </xdr:txBody>
        </xdr:sp>
        <xdr:clientData fPrintsWithSheet="0"/>
      </xdr:twoCellAnchor>
    </mc:Choice>
    <mc:Fallback/>
  </mc:AlternateContent>
  <xdr:twoCellAnchor editAs="oneCell">
    <xdr:from>
      <xdr:col>5</xdr:col>
      <xdr:colOff>0</xdr:colOff>
      <xdr:row>14</xdr:row>
      <xdr:rowOff>0</xdr:rowOff>
    </xdr:from>
    <xdr:to>
      <xdr:col>31</xdr:col>
      <xdr:colOff>105747</xdr:colOff>
      <xdr:row>18</xdr:row>
      <xdr:rowOff>154767</xdr:rowOff>
    </xdr:to>
    <xdr:pic>
      <xdr:nvPicPr>
        <xdr:cNvPr id="7" name="図 6">
          <a:extLst>
            <a:ext uri="{FF2B5EF4-FFF2-40B4-BE49-F238E27FC236}">
              <a16:creationId xmlns:a16="http://schemas.microsoft.com/office/drawing/2014/main" id="{BD41BE6A-D6C2-4918-8928-3AC222417A49}"/>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33500" y="1333500"/>
          <a:ext cx="7039947" cy="1221567"/>
        </a:xfrm>
        <a:prstGeom prst="rect">
          <a:avLst/>
        </a:prstGeom>
      </xdr:spPr>
    </xdr:pic>
    <xdr:clientData/>
  </xdr:twoCellAnchor>
  <xdr:twoCellAnchor>
    <xdr:from>
      <xdr:col>5</xdr:col>
      <xdr:colOff>0</xdr:colOff>
      <xdr:row>20</xdr:row>
      <xdr:rowOff>7326</xdr:rowOff>
    </xdr:from>
    <xdr:to>
      <xdr:col>20</xdr:col>
      <xdr:colOff>134083</xdr:colOff>
      <xdr:row>22</xdr:row>
      <xdr:rowOff>13677</xdr:rowOff>
    </xdr:to>
    <xdr:sp macro="" textlink="">
      <xdr:nvSpPr>
        <xdr:cNvPr id="8" name="正方形/長方形 7">
          <a:extLst>
            <a:ext uri="{FF2B5EF4-FFF2-40B4-BE49-F238E27FC236}">
              <a16:creationId xmlns:a16="http://schemas.microsoft.com/office/drawing/2014/main" id="{F6023456-5000-4BD5-A280-FD232D4099DE}"/>
            </a:ext>
          </a:extLst>
        </xdr:cNvPr>
        <xdr:cNvSpPr/>
      </xdr:nvSpPr>
      <xdr:spPr>
        <a:xfrm>
          <a:off x="1333500" y="2941026"/>
          <a:ext cx="4134583" cy="539751"/>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18</xdr:col>
      <xdr:colOff>36634</xdr:colOff>
      <xdr:row>16</xdr:row>
      <xdr:rowOff>117230</xdr:rowOff>
    </xdr:from>
    <xdr:to>
      <xdr:col>23</xdr:col>
      <xdr:colOff>22958</xdr:colOff>
      <xdr:row>17</xdr:row>
      <xdr:rowOff>167542</xdr:rowOff>
    </xdr:to>
    <xdr:sp macro="" textlink="">
      <xdr:nvSpPr>
        <xdr:cNvPr id="9" name="正方形/長方形 8">
          <a:extLst>
            <a:ext uri="{FF2B5EF4-FFF2-40B4-BE49-F238E27FC236}">
              <a16:creationId xmlns:a16="http://schemas.microsoft.com/office/drawing/2014/main" id="{99A71BB7-073A-4386-983E-32C0F25DFE1B}"/>
            </a:ext>
          </a:extLst>
        </xdr:cNvPr>
        <xdr:cNvSpPr/>
      </xdr:nvSpPr>
      <xdr:spPr>
        <a:xfrm>
          <a:off x="4837234" y="1984130"/>
          <a:ext cx="1319824" cy="317012"/>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198926</xdr:colOff>
      <xdr:row>17</xdr:row>
      <xdr:rowOff>164367</xdr:rowOff>
    </xdr:from>
    <xdr:to>
      <xdr:col>20</xdr:col>
      <xdr:colOff>163268</xdr:colOff>
      <xdr:row>20</xdr:row>
      <xdr:rowOff>10501</xdr:rowOff>
    </xdr:to>
    <xdr:cxnSp macro="">
      <xdr:nvCxnSpPr>
        <xdr:cNvPr id="10" name="直線コネクタ 9">
          <a:extLst>
            <a:ext uri="{FF2B5EF4-FFF2-40B4-BE49-F238E27FC236}">
              <a16:creationId xmlns:a16="http://schemas.microsoft.com/office/drawing/2014/main" id="{B6F3D9B6-655E-46E5-8FC6-80F25A2BB17C}"/>
            </a:ext>
          </a:extLst>
        </xdr:cNvPr>
        <xdr:cNvCxnSpPr>
          <a:stCxn id="9" idx="2"/>
          <a:endCxn id="8" idx="0"/>
        </xdr:cNvCxnSpPr>
      </xdr:nvCxnSpPr>
      <xdr:spPr>
        <a:xfrm flipH="1">
          <a:off x="3399326" y="2297967"/>
          <a:ext cx="2097942" cy="646234"/>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227135</xdr:colOff>
      <xdr:row>33</xdr:row>
      <xdr:rowOff>256442</xdr:rowOff>
    </xdr:from>
    <xdr:to>
      <xdr:col>11</xdr:col>
      <xdr:colOff>222983</xdr:colOff>
      <xdr:row>36</xdr:row>
      <xdr:rowOff>4152</xdr:rowOff>
    </xdr:to>
    <xdr:sp macro="" textlink="">
      <xdr:nvSpPr>
        <xdr:cNvPr id="11" name="正方形/長方形 10">
          <a:extLst>
            <a:ext uri="{FF2B5EF4-FFF2-40B4-BE49-F238E27FC236}">
              <a16:creationId xmlns:a16="http://schemas.microsoft.com/office/drawing/2014/main" id="{903B1C0A-69DC-4061-A839-5B3F68ADB29A}"/>
            </a:ext>
          </a:extLst>
        </xdr:cNvPr>
        <xdr:cNvSpPr/>
      </xdr:nvSpPr>
      <xdr:spPr>
        <a:xfrm>
          <a:off x="1560635" y="6657242"/>
          <a:ext cx="1596048" cy="54781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18</xdr:col>
      <xdr:colOff>201979</xdr:colOff>
      <xdr:row>32</xdr:row>
      <xdr:rowOff>10502</xdr:rowOff>
    </xdr:from>
    <xdr:to>
      <xdr:col>22</xdr:col>
      <xdr:colOff>36635</xdr:colOff>
      <xdr:row>32</xdr:row>
      <xdr:rowOff>234462</xdr:rowOff>
    </xdr:to>
    <xdr:sp macro="" textlink="">
      <xdr:nvSpPr>
        <xdr:cNvPr id="12" name="正方形/長方形 11">
          <a:extLst>
            <a:ext uri="{FF2B5EF4-FFF2-40B4-BE49-F238E27FC236}">
              <a16:creationId xmlns:a16="http://schemas.microsoft.com/office/drawing/2014/main" id="{0AA7034F-5F1E-4460-8064-3E2E6FA1E155}"/>
            </a:ext>
          </a:extLst>
        </xdr:cNvPr>
        <xdr:cNvSpPr/>
      </xdr:nvSpPr>
      <xdr:spPr>
        <a:xfrm>
          <a:off x="5002579" y="6144602"/>
          <a:ext cx="901456" cy="22396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223472</xdr:colOff>
      <xdr:row>32</xdr:row>
      <xdr:rowOff>234462</xdr:rowOff>
    </xdr:from>
    <xdr:to>
      <xdr:col>20</xdr:col>
      <xdr:colOff>119307</xdr:colOff>
      <xdr:row>33</xdr:row>
      <xdr:rowOff>259617</xdr:rowOff>
    </xdr:to>
    <xdr:cxnSp macro="">
      <xdr:nvCxnSpPr>
        <xdr:cNvPr id="13" name="直線コネクタ 12">
          <a:extLst>
            <a:ext uri="{FF2B5EF4-FFF2-40B4-BE49-F238E27FC236}">
              <a16:creationId xmlns:a16="http://schemas.microsoft.com/office/drawing/2014/main" id="{C989E9CF-4573-48D0-B54F-91F6D36D5481}"/>
            </a:ext>
          </a:extLst>
        </xdr:cNvPr>
        <xdr:cNvCxnSpPr>
          <a:stCxn id="12" idx="2"/>
          <a:endCxn id="11" idx="0"/>
        </xdr:cNvCxnSpPr>
      </xdr:nvCxnSpPr>
      <xdr:spPr>
        <a:xfrm flipH="1">
          <a:off x="2357072" y="6368562"/>
          <a:ext cx="3096235" cy="291855"/>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241789</xdr:colOff>
      <xdr:row>53</xdr:row>
      <xdr:rowOff>219808</xdr:rowOff>
    </xdr:from>
    <xdr:to>
      <xdr:col>14</xdr:col>
      <xdr:colOff>8305</xdr:colOff>
      <xdr:row>55</xdr:row>
      <xdr:rowOff>22957</xdr:rowOff>
    </xdr:to>
    <xdr:sp macro="" textlink="">
      <xdr:nvSpPr>
        <xdr:cNvPr id="14" name="正方形/長方形 13">
          <a:extLst>
            <a:ext uri="{FF2B5EF4-FFF2-40B4-BE49-F238E27FC236}">
              <a16:creationId xmlns:a16="http://schemas.microsoft.com/office/drawing/2014/main" id="{84DC37CA-942A-433C-9F27-A649E1167CCD}"/>
            </a:ext>
          </a:extLst>
        </xdr:cNvPr>
        <xdr:cNvSpPr/>
      </xdr:nvSpPr>
      <xdr:spPr>
        <a:xfrm>
          <a:off x="1308589" y="11954608"/>
          <a:ext cx="2433516" cy="336549"/>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209550</xdr:colOff>
      <xdr:row>45</xdr:row>
      <xdr:rowOff>190499</xdr:rowOff>
    </xdr:from>
    <xdr:to>
      <xdr:col>9</xdr:col>
      <xdr:colOff>122361</xdr:colOff>
      <xdr:row>48</xdr:row>
      <xdr:rowOff>95250</xdr:rowOff>
    </xdr:to>
    <xdr:sp macro="" textlink="">
      <xdr:nvSpPr>
        <xdr:cNvPr id="15" name="正方形/長方形 14">
          <a:extLst>
            <a:ext uri="{FF2B5EF4-FFF2-40B4-BE49-F238E27FC236}">
              <a16:creationId xmlns:a16="http://schemas.microsoft.com/office/drawing/2014/main" id="{2C4EDADB-E150-41D6-81CB-9704A101BE8F}"/>
            </a:ext>
          </a:extLst>
        </xdr:cNvPr>
        <xdr:cNvSpPr/>
      </xdr:nvSpPr>
      <xdr:spPr>
        <a:xfrm>
          <a:off x="1809750" y="9791699"/>
          <a:ext cx="712911" cy="704851"/>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32606</xdr:colOff>
      <xdr:row>48</xdr:row>
      <xdr:rowOff>95250</xdr:rowOff>
    </xdr:from>
    <xdr:to>
      <xdr:col>9</xdr:col>
      <xdr:colOff>125047</xdr:colOff>
      <xdr:row>53</xdr:row>
      <xdr:rowOff>216633</xdr:rowOff>
    </xdr:to>
    <xdr:cxnSp macro="">
      <xdr:nvCxnSpPr>
        <xdr:cNvPr id="16" name="直線コネクタ 15">
          <a:extLst>
            <a:ext uri="{FF2B5EF4-FFF2-40B4-BE49-F238E27FC236}">
              <a16:creationId xmlns:a16="http://schemas.microsoft.com/office/drawing/2014/main" id="{F309830D-32A4-456D-9476-BA990A28C496}"/>
            </a:ext>
          </a:extLst>
        </xdr:cNvPr>
        <xdr:cNvCxnSpPr>
          <a:stCxn id="15" idx="2"/>
          <a:endCxn id="14" idx="0"/>
        </xdr:cNvCxnSpPr>
      </xdr:nvCxnSpPr>
      <xdr:spPr>
        <a:xfrm>
          <a:off x="2166206" y="10496550"/>
          <a:ext cx="359141" cy="1454883"/>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217365</xdr:colOff>
      <xdr:row>44</xdr:row>
      <xdr:rowOff>212237</xdr:rowOff>
    </xdr:from>
    <xdr:to>
      <xdr:col>43</xdr:col>
      <xdr:colOff>257175</xdr:colOff>
      <xdr:row>45</xdr:row>
      <xdr:rowOff>209550</xdr:rowOff>
    </xdr:to>
    <xdr:sp macro="" textlink="">
      <xdr:nvSpPr>
        <xdr:cNvPr id="17" name="正方形/長方形 16">
          <a:extLst>
            <a:ext uri="{FF2B5EF4-FFF2-40B4-BE49-F238E27FC236}">
              <a16:creationId xmlns:a16="http://schemas.microsoft.com/office/drawing/2014/main" id="{92AECCDB-A6EE-4C8C-A1ED-41A02A0EEA95}"/>
            </a:ext>
          </a:extLst>
        </xdr:cNvPr>
        <xdr:cNvSpPr/>
      </xdr:nvSpPr>
      <xdr:spPr>
        <a:xfrm>
          <a:off x="4484565" y="9546737"/>
          <a:ext cx="7240710" cy="264013"/>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201980</xdr:colOff>
      <xdr:row>54</xdr:row>
      <xdr:rowOff>212480</xdr:rowOff>
    </xdr:from>
    <xdr:to>
      <xdr:col>25</xdr:col>
      <xdr:colOff>36634</xdr:colOff>
      <xdr:row>56</xdr:row>
      <xdr:rowOff>256442</xdr:rowOff>
    </xdr:to>
    <xdr:sp macro="" textlink="">
      <xdr:nvSpPr>
        <xdr:cNvPr id="18" name="正方形/長方形 17">
          <a:extLst>
            <a:ext uri="{FF2B5EF4-FFF2-40B4-BE49-F238E27FC236}">
              <a16:creationId xmlns:a16="http://schemas.microsoft.com/office/drawing/2014/main" id="{A1C649DA-12C0-47B2-B955-CD8E2A0643C5}"/>
            </a:ext>
          </a:extLst>
        </xdr:cNvPr>
        <xdr:cNvSpPr/>
      </xdr:nvSpPr>
      <xdr:spPr>
        <a:xfrm>
          <a:off x="3935780" y="12213980"/>
          <a:ext cx="2768354" cy="577362"/>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19</xdr:col>
      <xdr:colOff>251070</xdr:colOff>
      <xdr:row>45</xdr:row>
      <xdr:rowOff>209550</xdr:rowOff>
    </xdr:from>
    <xdr:to>
      <xdr:col>30</xdr:col>
      <xdr:colOff>103920</xdr:colOff>
      <xdr:row>54</xdr:row>
      <xdr:rowOff>212480</xdr:rowOff>
    </xdr:to>
    <xdr:cxnSp macro="">
      <xdr:nvCxnSpPr>
        <xdr:cNvPr id="19" name="直線コネクタ 18">
          <a:extLst>
            <a:ext uri="{FF2B5EF4-FFF2-40B4-BE49-F238E27FC236}">
              <a16:creationId xmlns:a16="http://schemas.microsoft.com/office/drawing/2014/main" id="{5CE05898-3111-42CE-AEB5-AB7D76E42296}"/>
            </a:ext>
          </a:extLst>
        </xdr:cNvPr>
        <xdr:cNvCxnSpPr>
          <a:stCxn id="17" idx="2"/>
          <a:endCxn id="18" idx="0"/>
        </xdr:cNvCxnSpPr>
      </xdr:nvCxnSpPr>
      <xdr:spPr>
        <a:xfrm flipH="1">
          <a:off x="5318370" y="9810750"/>
          <a:ext cx="2786550" cy="2403230"/>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153867</xdr:colOff>
      <xdr:row>80</xdr:row>
      <xdr:rowOff>263768</xdr:rowOff>
    </xdr:from>
    <xdr:to>
      <xdr:col>15</xdr:col>
      <xdr:colOff>183175</xdr:colOff>
      <xdr:row>90</xdr:row>
      <xdr:rowOff>80595</xdr:rowOff>
    </xdr:to>
    <xdr:sp macro="" textlink="">
      <xdr:nvSpPr>
        <xdr:cNvPr id="20" name="正方形/長方形 19">
          <a:extLst>
            <a:ext uri="{FF2B5EF4-FFF2-40B4-BE49-F238E27FC236}">
              <a16:creationId xmlns:a16="http://schemas.microsoft.com/office/drawing/2014/main" id="{EDE28BD2-5CAF-4878-BC8B-79E9F48C189E}"/>
            </a:ext>
          </a:extLst>
        </xdr:cNvPr>
        <xdr:cNvSpPr/>
      </xdr:nvSpPr>
      <xdr:spPr>
        <a:xfrm>
          <a:off x="3087567" y="19199468"/>
          <a:ext cx="1096108" cy="2483827"/>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234950</xdr:colOff>
      <xdr:row>94</xdr:row>
      <xdr:rowOff>10503</xdr:rowOff>
    </xdr:from>
    <xdr:to>
      <xdr:col>14</xdr:col>
      <xdr:colOff>171450</xdr:colOff>
      <xdr:row>94</xdr:row>
      <xdr:rowOff>247650</xdr:rowOff>
    </xdr:to>
    <xdr:sp macro="" textlink="">
      <xdr:nvSpPr>
        <xdr:cNvPr id="21" name="正方形/長方形 20">
          <a:extLst>
            <a:ext uri="{FF2B5EF4-FFF2-40B4-BE49-F238E27FC236}">
              <a16:creationId xmlns:a16="http://schemas.microsoft.com/office/drawing/2014/main" id="{BE659618-E53C-4AF2-8AD4-0C39E446F6DF}"/>
            </a:ext>
          </a:extLst>
        </xdr:cNvPr>
        <xdr:cNvSpPr/>
      </xdr:nvSpPr>
      <xdr:spPr>
        <a:xfrm>
          <a:off x="1835150" y="22680003"/>
          <a:ext cx="2070100" cy="237147"/>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203200</xdr:colOff>
      <xdr:row>90</xdr:row>
      <xdr:rowOff>80595</xdr:rowOff>
    </xdr:from>
    <xdr:to>
      <xdr:col>13</xdr:col>
      <xdr:colOff>168521</xdr:colOff>
      <xdr:row>94</xdr:row>
      <xdr:rowOff>10503</xdr:rowOff>
    </xdr:to>
    <xdr:cxnSp macro="">
      <xdr:nvCxnSpPr>
        <xdr:cNvPr id="22" name="直線コネクタ 21">
          <a:extLst>
            <a:ext uri="{FF2B5EF4-FFF2-40B4-BE49-F238E27FC236}">
              <a16:creationId xmlns:a16="http://schemas.microsoft.com/office/drawing/2014/main" id="{EB514F3A-A541-4225-A48F-3CEC8B10E2AA}"/>
            </a:ext>
          </a:extLst>
        </xdr:cNvPr>
        <xdr:cNvCxnSpPr>
          <a:stCxn id="20" idx="2"/>
          <a:endCxn id="21" idx="0"/>
        </xdr:cNvCxnSpPr>
      </xdr:nvCxnSpPr>
      <xdr:spPr>
        <a:xfrm flipH="1">
          <a:off x="2870200" y="21683295"/>
          <a:ext cx="765421" cy="996708"/>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26133</xdr:colOff>
      <xdr:row>147</xdr:row>
      <xdr:rowOff>180973</xdr:rowOff>
    </xdr:from>
    <xdr:to>
      <xdr:col>22</xdr:col>
      <xdr:colOff>139212</xdr:colOff>
      <xdr:row>148</xdr:row>
      <xdr:rowOff>102577</xdr:rowOff>
    </xdr:to>
    <xdr:sp macro="" textlink="">
      <xdr:nvSpPr>
        <xdr:cNvPr id="23" name="正方形/長方形 22">
          <a:extLst>
            <a:ext uri="{FF2B5EF4-FFF2-40B4-BE49-F238E27FC236}">
              <a16:creationId xmlns:a16="http://schemas.microsoft.com/office/drawing/2014/main" id="{85834633-260E-466E-A175-F804A30EAE83}"/>
            </a:ext>
          </a:extLst>
        </xdr:cNvPr>
        <xdr:cNvSpPr/>
      </xdr:nvSpPr>
      <xdr:spPr>
        <a:xfrm>
          <a:off x="5360133" y="36985573"/>
          <a:ext cx="646479" cy="188304"/>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256443</xdr:colOff>
      <xdr:row>150</xdr:row>
      <xdr:rowOff>21981</xdr:rowOff>
    </xdr:from>
    <xdr:to>
      <xdr:col>16</xdr:col>
      <xdr:colOff>157040</xdr:colOff>
      <xdr:row>150</xdr:row>
      <xdr:rowOff>251314</xdr:rowOff>
    </xdr:to>
    <xdr:sp macro="" textlink="">
      <xdr:nvSpPr>
        <xdr:cNvPr id="24" name="正方形/長方形 23">
          <a:extLst>
            <a:ext uri="{FF2B5EF4-FFF2-40B4-BE49-F238E27FC236}">
              <a16:creationId xmlns:a16="http://schemas.microsoft.com/office/drawing/2014/main" id="{4BEB5E03-4706-4BF4-B9A7-4B0D3BC24D0B}"/>
            </a:ext>
          </a:extLst>
        </xdr:cNvPr>
        <xdr:cNvSpPr/>
      </xdr:nvSpPr>
      <xdr:spPr>
        <a:xfrm>
          <a:off x="1856643" y="37626681"/>
          <a:ext cx="2567597" cy="229333"/>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209916</xdr:colOff>
      <xdr:row>148</xdr:row>
      <xdr:rowOff>102577</xdr:rowOff>
    </xdr:from>
    <xdr:to>
      <xdr:col>21</xdr:col>
      <xdr:colOff>82673</xdr:colOff>
      <xdr:row>150</xdr:row>
      <xdr:rowOff>21981</xdr:rowOff>
    </xdr:to>
    <xdr:cxnSp macro="">
      <xdr:nvCxnSpPr>
        <xdr:cNvPr id="25" name="直線コネクタ 24">
          <a:extLst>
            <a:ext uri="{FF2B5EF4-FFF2-40B4-BE49-F238E27FC236}">
              <a16:creationId xmlns:a16="http://schemas.microsoft.com/office/drawing/2014/main" id="{84C5D729-FBF0-4A6E-A0A2-796C563CFB1E}"/>
            </a:ext>
          </a:extLst>
        </xdr:cNvPr>
        <xdr:cNvCxnSpPr>
          <a:stCxn id="23" idx="2"/>
          <a:endCxn id="24" idx="0"/>
        </xdr:cNvCxnSpPr>
      </xdr:nvCxnSpPr>
      <xdr:spPr>
        <a:xfrm flipH="1">
          <a:off x="3143616" y="37173877"/>
          <a:ext cx="2539757" cy="452804"/>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181463</xdr:colOff>
      <xdr:row>81</xdr:row>
      <xdr:rowOff>21249</xdr:rowOff>
    </xdr:from>
    <xdr:to>
      <xdr:col>12</xdr:col>
      <xdr:colOff>176578</xdr:colOff>
      <xdr:row>82</xdr:row>
      <xdr:rowOff>34193</xdr:rowOff>
    </xdr:to>
    <xdr:sp macro="" textlink="">
      <xdr:nvSpPr>
        <xdr:cNvPr id="26" name="正方形/長方形 25">
          <a:extLst>
            <a:ext uri="{FF2B5EF4-FFF2-40B4-BE49-F238E27FC236}">
              <a16:creationId xmlns:a16="http://schemas.microsoft.com/office/drawing/2014/main" id="{3738B7ED-12FB-4AA7-AA24-70C8FD058BAE}"/>
            </a:ext>
          </a:extLst>
        </xdr:cNvPr>
        <xdr:cNvSpPr/>
      </xdr:nvSpPr>
      <xdr:spPr>
        <a:xfrm>
          <a:off x="3115163" y="19223649"/>
          <a:ext cx="261815" cy="279644"/>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205154</xdr:colOff>
      <xdr:row>96</xdr:row>
      <xdr:rowOff>73269</xdr:rowOff>
    </xdr:from>
    <xdr:to>
      <xdr:col>19</xdr:col>
      <xdr:colOff>180732</xdr:colOff>
      <xdr:row>98</xdr:row>
      <xdr:rowOff>92807</xdr:rowOff>
    </xdr:to>
    <xdr:sp macro="" textlink="">
      <xdr:nvSpPr>
        <xdr:cNvPr id="27" name="正方形/長方形 26">
          <a:extLst>
            <a:ext uri="{FF2B5EF4-FFF2-40B4-BE49-F238E27FC236}">
              <a16:creationId xmlns:a16="http://schemas.microsoft.com/office/drawing/2014/main" id="{D1D136CB-48F0-4721-B582-D060E96EC40C}"/>
            </a:ext>
          </a:extLst>
        </xdr:cNvPr>
        <xdr:cNvSpPr/>
      </xdr:nvSpPr>
      <xdr:spPr>
        <a:xfrm>
          <a:off x="4205654" y="23276169"/>
          <a:ext cx="1042378" cy="552938"/>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45671</xdr:colOff>
      <xdr:row>82</xdr:row>
      <xdr:rowOff>34193</xdr:rowOff>
    </xdr:from>
    <xdr:to>
      <xdr:col>17</xdr:col>
      <xdr:colOff>192943</xdr:colOff>
      <xdr:row>96</xdr:row>
      <xdr:rowOff>73269</xdr:rowOff>
    </xdr:to>
    <xdr:cxnSp macro="">
      <xdr:nvCxnSpPr>
        <xdr:cNvPr id="28" name="直線コネクタ 27">
          <a:extLst>
            <a:ext uri="{FF2B5EF4-FFF2-40B4-BE49-F238E27FC236}">
              <a16:creationId xmlns:a16="http://schemas.microsoft.com/office/drawing/2014/main" id="{3CFB437D-4C06-4C85-A627-006B8E4EABD3}"/>
            </a:ext>
          </a:extLst>
        </xdr:cNvPr>
        <xdr:cNvCxnSpPr>
          <a:stCxn id="26" idx="2"/>
          <a:endCxn id="27" idx="0"/>
        </xdr:cNvCxnSpPr>
      </xdr:nvCxnSpPr>
      <xdr:spPr>
        <a:xfrm>
          <a:off x="3246071" y="19503293"/>
          <a:ext cx="1480772" cy="3772876"/>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241300</xdr:colOff>
      <xdr:row>98</xdr:row>
      <xdr:rowOff>241300</xdr:rowOff>
    </xdr:from>
    <xdr:to>
      <xdr:col>25</xdr:col>
      <xdr:colOff>114300</xdr:colOff>
      <xdr:row>100</xdr:row>
      <xdr:rowOff>12700</xdr:rowOff>
    </xdr:to>
    <xdr:sp macro="" textlink="">
      <xdr:nvSpPr>
        <xdr:cNvPr id="29" name="正方形/長方形 28">
          <a:extLst>
            <a:ext uri="{FF2B5EF4-FFF2-40B4-BE49-F238E27FC236}">
              <a16:creationId xmlns:a16="http://schemas.microsoft.com/office/drawing/2014/main" id="{D33A2EAA-83CA-439A-84E1-864BC7A116E7}"/>
            </a:ext>
          </a:extLst>
        </xdr:cNvPr>
        <xdr:cNvSpPr/>
      </xdr:nvSpPr>
      <xdr:spPr>
        <a:xfrm>
          <a:off x="1574800" y="23977600"/>
          <a:ext cx="5207000" cy="30480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203200</xdr:colOff>
      <xdr:row>94</xdr:row>
      <xdr:rowOff>247650</xdr:rowOff>
    </xdr:from>
    <xdr:to>
      <xdr:col>15</xdr:col>
      <xdr:colOff>177800</xdr:colOff>
      <xdr:row>98</xdr:row>
      <xdr:rowOff>241300</xdr:rowOff>
    </xdr:to>
    <xdr:cxnSp macro="">
      <xdr:nvCxnSpPr>
        <xdr:cNvPr id="30" name="直線コネクタ 29">
          <a:extLst>
            <a:ext uri="{FF2B5EF4-FFF2-40B4-BE49-F238E27FC236}">
              <a16:creationId xmlns:a16="http://schemas.microsoft.com/office/drawing/2014/main" id="{128A084E-869F-49A9-98E9-45878C1F905E}"/>
            </a:ext>
          </a:extLst>
        </xdr:cNvPr>
        <xdr:cNvCxnSpPr>
          <a:stCxn id="21" idx="2"/>
          <a:endCxn id="29" idx="0"/>
        </xdr:cNvCxnSpPr>
      </xdr:nvCxnSpPr>
      <xdr:spPr>
        <a:xfrm>
          <a:off x="2870200" y="22917150"/>
          <a:ext cx="1308100" cy="1060450"/>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228600</xdr:colOff>
      <xdr:row>101</xdr:row>
      <xdr:rowOff>247650</xdr:rowOff>
    </xdr:from>
    <xdr:to>
      <xdr:col>11</xdr:col>
      <xdr:colOff>44450</xdr:colOff>
      <xdr:row>115</xdr:row>
      <xdr:rowOff>12700</xdr:rowOff>
    </xdr:to>
    <xdr:sp macro="" textlink="">
      <xdr:nvSpPr>
        <xdr:cNvPr id="31" name="正方形/長方形 30">
          <a:extLst>
            <a:ext uri="{FF2B5EF4-FFF2-40B4-BE49-F238E27FC236}">
              <a16:creationId xmlns:a16="http://schemas.microsoft.com/office/drawing/2014/main" id="{84CA0649-E877-4163-96E1-9CFBE04C65BB}"/>
            </a:ext>
          </a:extLst>
        </xdr:cNvPr>
        <xdr:cNvSpPr/>
      </xdr:nvSpPr>
      <xdr:spPr>
        <a:xfrm>
          <a:off x="1562100" y="24784050"/>
          <a:ext cx="1416050" cy="349885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177800</xdr:colOff>
      <xdr:row>120</xdr:row>
      <xdr:rowOff>50800</xdr:rowOff>
    </xdr:from>
    <xdr:to>
      <xdr:col>14</xdr:col>
      <xdr:colOff>107950</xdr:colOff>
      <xdr:row>122</xdr:row>
      <xdr:rowOff>209550</xdr:rowOff>
    </xdr:to>
    <xdr:sp macro="" textlink="">
      <xdr:nvSpPr>
        <xdr:cNvPr id="32" name="正方形/長方形 31">
          <a:extLst>
            <a:ext uri="{FF2B5EF4-FFF2-40B4-BE49-F238E27FC236}">
              <a16:creationId xmlns:a16="http://schemas.microsoft.com/office/drawing/2014/main" id="{B15143E1-3125-4581-A209-93FD7C6690DB}"/>
            </a:ext>
          </a:extLst>
        </xdr:cNvPr>
        <xdr:cNvSpPr/>
      </xdr:nvSpPr>
      <xdr:spPr>
        <a:xfrm>
          <a:off x="1244600" y="29654500"/>
          <a:ext cx="2597150" cy="69215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136525</xdr:colOff>
      <xdr:row>115</xdr:row>
      <xdr:rowOff>12700</xdr:rowOff>
    </xdr:from>
    <xdr:to>
      <xdr:col>9</xdr:col>
      <xdr:colOff>142875</xdr:colOff>
      <xdr:row>120</xdr:row>
      <xdr:rowOff>50800</xdr:rowOff>
    </xdr:to>
    <xdr:cxnSp macro="">
      <xdr:nvCxnSpPr>
        <xdr:cNvPr id="33" name="直線コネクタ 32">
          <a:extLst>
            <a:ext uri="{FF2B5EF4-FFF2-40B4-BE49-F238E27FC236}">
              <a16:creationId xmlns:a16="http://schemas.microsoft.com/office/drawing/2014/main" id="{EE91DBA7-BDE6-44B8-B975-4421BF05AA08}"/>
            </a:ext>
          </a:extLst>
        </xdr:cNvPr>
        <xdr:cNvCxnSpPr>
          <a:stCxn id="31" idx="2"/>
          <a:endCxn id="32" idx="0"/>
        </xdr:cNvCxnSpPr>
      </xdr:nvCxnSpPr>
      <xdr:spPr>
        <a:xfrm>
          <a:off x="2270125" y="28282900"/>
          <a:ext cx="273050" cy="1371600"/>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184150</xdr:colOff>
      <xdr:row>117</xdr:row>
      <xdr:rowOff>57150</xdr:rowOff>
    </xdr:from>
    <xdr:to>
      <xdr:col>25</xdr:col>
      <xdr:colOff>88900</xdr:colOff>
      <xdr:row>119</xdr:row>
      <xdr:rowOff>215900</xdr:rowOff>
    </xdr:to>
    <xdr:sp macro="" textlink="">
      <xdr:nvSpPr>
        <xdr:cNvPr id="34" name="正方形/長方形 33">
          <a:extLst>
            <a:ext uri="{FF2B5EF4-FFF2-40B4-BE49-F238E27FC236}">
              <a16:creationId xmlns:a16="http://schemas.microsoft.com/office/drawing/2014/main" id="{CE7A425D-3CD9-4304-B1C0-A7E45AE39984}"/>
            </a:ext>
          </a:extLst>
        </xdr:cNvPr>
        <xdr:cNvSpPr/>
      </xdr:nvSpPr>
      <xdr:spPr>
        <a:xfrm>
          <a:off x="4184650" y="28860750"/>
          <a:ext cx="2571750" cy="692150"/>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158750</xdr:colOff>
      <xdr:row>114</xdr:row>
      <xdr:rowOff>254000</xdr:rowOff>
    </xdr:from>
    <xdr:to>
      <xdr:col>20</xdr:col>
      <xdr:colOff>136525</xdr:colOff>
      <xdr:row>117</xdr:row>
      <xdr:rowOff>57150</xdr:rowOff>
    </xdr:to>
    <xdr:cxnSp macro="">
      <xdr:nvCxnSpPr>
        <xdr:cNvPr id="35" name="直線コネクタ 34">
          <a:extLst>
            <a:ext uri="{FF2B5EF4-FFF2-40B4-BE49-F238E27FC236}">
              <a16:creationId xmlns:a16="http://schemas.microsoft.com/office/drawing/2014/main" id="{5D7C06E1-E0AA-4AE8-BDB6-8958D171EC3D}"/>
            </a:ext>
          </a:extLst>
        </xdr:cNvPr>
        <xdr:cNvCxnSpPr>
          <a:stCxn id="36" idx="2"/>
          <a:endCxn id="34" idx="0"/>
        </xdr:cNvCxnSpPr>
      </xdr:nvCxnSpPr>
      <xdr:spPr>
        <a:xfrm>
          <a:off x="3359150" y="28257500"/>
          <a:ext cx="2111375" cy="603250"/>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57150</xdr:colOff>
      <xdr:row>114</xdr:row>
      <xdr:rowOff>19050</xdr:rowOff>
    </xdr:from>
    <xdr:to>
      <xdr:col>12</xdr:col>
      <xdr:colOff>260350</xdr:colOff>
      <xdr:row>114</xdr:row>
      <xdr:rowOff>254000</xdr:rowOff>
    </xdr:to>
    <xdr:sp macro="" textlink="">
      <xdr:nvSpPr>
        <xdr:cNvPr id="36" name="正方形/長方形 35">
          <a:extLst>
            <a:ext uri="{FF2B5EF4-FFF2-40B4-BE49-F238E27FC236}">
              <a16:creationId xmlns:a16="http://schemas.microsoft.com/office/drawing/2014/main" id="{DBFF085D-B11E-4341-97D5-A8EE6331DCB4}"/>
            </a:ext>
          </a:extLst>
        </xdr:cNvPr>
        <xdr:cNvSpPr/>
      </xdr:nvSpPr>
      <xdr:spPr>
        <a:xfrm>
          <a:off x="3257550" y="28022550"/>
          <a:ext cx="203200" cy="234950"/>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209550</xdr:colOff>
      <xdr:row>61</xdr:row>
      <xdr:rowOff>215900</xdr:rowOff>
    </xdr:from>
    <xdr:to>
      <xdr:col>9</xdr:col>
      <xdr:colOff>38100</xdr:colOff>
      <xdr:row>66</xdr:row>
      <xdr:rowOff>47625</xdr:rowOff>
    </xdr:to>
    <xdr:sp macro="" textlink="">
      <xdr:nvSpPr>
        <xdr:cNvPr id="37" name="正方形/長方形 36">
          <a:extLst>
            <a:ext uri="{FF2B5EF4-FFF2-40B4-BE49-F238E27FC236}">
              <a16:creationId xmlns:a16="http://schemas.microsoft.com/office/drawing/2014/main" id="{E867ABCB-F0B5-4B9E-AD3F-77AAA3B0206C}"/>
            </a:ext>
          </a:extLst>
        </xdr:cNvPr>
        <xdr:cNvSpPr/>
      </xdr:nvSpPr>
      <xdr:spPr>
        <a:xfrm>
          <a:off x="1276350" y="14084300"/>
          <a:ext cx="1162050" cy="1165225"/>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257175</xdr:colOff>
      <xdr:row>55</xdr:row>
      <xdr:rowOff>26132</xdr:rowOff>
    </xdr:from>
    <xdr:to>
      <xdr:col>9</xdr:col>
      <xdr:colOff>125047</xdr:colOff>
      <xdr:row>61</xdr:row>
      <xdr:rowOff>219075</xdr:rowOff>
    </xdr:to>
    <xdr:cxnSp macro="">
      <xdr:nvCxnSpPr>
        <xdr:cNvPr id="38" name="直線コネクタ 37">
          <a:extLst>
            <a:ext uri="{FF2B5EF4-FFF2-40B4-BE49-F238E27FC236}">
              <a16:creationId xmlns:a16="http://schemas.microsoft.com/office/drawing/2014/main" id="{583A01E1-5B01-4B61-8D38-3FBFF474EDBF}"/>
            </a:ext>
          </a:extLst>
        </xdr:cNvPr>
        <xdr:cNvCxnSpPr>
          <a:stCxn id="14" idx="2"/>
          <a:endCxn id="37" idx="0"/>
        </xdr:cNvCxnSpPr>
      </xdr:nvCxnSpPr>
      <xdr:spPr>
        <a:xfrm flipH="1">
          <a:off x="1857375" y="12294332"/>
          <a:ext cx="667972" cy="1793143"/>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247650</xdr:colOff>
      <xdr:row>71</xdr:row>
      <xdr:rowOff>0</xdr:rowOff>
    </xdr:from>
    <xdr:to>
      <xdr:col>24</xdr:col>
      <xdr:colOff>38100</xdr:colOff>
      <xdr:row>72</xdr:row>
      <xdr:rowOff>1</xdr:rowOff>
    </xdr:to>
    <xdr:sp macro="" textlink="">
      <xdr:nvSpPr>
        <xdr:cNvPr id="39" name="正方形/長方形 38">
          <a:extLst>
            <a:ext uri="{FF2B5EF4-FFF2-40B4-BE49-F238E27FC236}">
              <a16:creationId xmlns:a16="http://schemas.microsoft.com/office/drawing/2014/main" id="{8DDF639D-C470-4681-A138-D5D9542517AA}"/>
            </a:ext>
          </a:extLst>
        </xdr:cNvPr>
        <xdr:cNvSpPr/>
      </xdr:nvSpPr>
      <xdr:spPr>
        <a:xfrm>
          <a:off x="1581150" y="16535400"/>
          <a:ext cx="4857750" cy="266701"/>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261938</xdr:colOff>
      <xdr:row>64</xdr:row>
      <xdr:rowOff>28575</xdr:rowOff>
    </xdr:from>
    <xdr:to>
      <xdr:col>15</xdr:col>
      <xdr:colOff>9525</xdr:colOff>
      <xdr:row>71</xdr:row>
      <xdr:rowOff>0</xdr:rowOff>
    </xdr:to>
    <xdr:cxnSp macro="">
      <xdr:nvCxnSpPr>
        <xdr:cNvPr id="40" name="直線コネクタ 39">
          <a:extLst>
            <a:ext uri="{FF2B5EF4-FFF2-40B4-BE49-F238E27FC236}">
              <a16:creationId xmlns:a16="http://schemas.microsoft.com/office/drawing/2014/main" id="{3DE34945-8059-49BD-B9B8-26992089A2CC}"/>
            </a:ext>
          </a:extLst>
        </xdr:cNvPr>
        <xdr:cNvCxnSpPr>
          <a:stCxn id="45" idx="2"/>
          <a:endCxn id="39" idx="0"/>
        </xdr:cNvCxnSpPr>
      </xdr:nvCxnSpPr>
      <xdr:spPr>
        <a:xfrm>
          <a:off x="1862138" y="14697075"/>
          <a:ext cx="2147887" cy="1838325"/>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257175</xdr:colOff>
      <xdr:row>56</xdr:row>
      <xdr:rowOff>259617</xdr:rowOff>
    </xdr:from>
    <xdr:to>
      <xdr:col>19</xdr:col>
      <xdr:colOff>251070</xdr:colOff>
      <xdr:row>61</xdr:row>
      <xdr:rowOff>219075</xdr:rowOff>
    </xdr:to>
    <xdr:cxnSp macro="">
      <xdr:nvCxnSpPr>
        <xdr:cNvPr id="41" name="直線コネクタ 40">
          <a:extLst>
            <a:ext uri="{FF2B5EF4-FFF2-40B4-BE49-F238E27FC236}">
              <a16:creationId xmlns:a16="http://schemas.microsoft.com/office/drawing/2014/main" id="{48F8FF37-A352-412E-9FBE-5EE4B30774B9}"/>
            </a:ext>
          </a:extLst>
        </xdr:cNvPr>
        <xdr:cNvCxnSpPr>
          <a:stCxn id="18" idx="2"/>
          <a:endCxn id="37" idx="0"/>
        </xdr:cNvCxnSpPr>
      </xdr:nvCxnSpPr>
      <xdr:spPr>
        <a:xfrm flipH="1">
          <a:off x="1857375" y="12794517"/>
          <a:ext cx="3460995" cy="1292958"/>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200025</xdr:colOff>
      <xdr:row>58</xdr:row>
      <xdr:rowOff>76199</xdr:rowOff>
    </xdr:from>
    <xdr:to>
      <xdr:col>18</xdr:col>
      <xdr:colOff>101600</xdr:colOff>
      <xdr:row>60</xdr:row>
      <xdr:rowOff>107948</xdr:rowOff>
    </xdr:to>
    <xdr:sp macro="" textlink="">
      <xdr:nvSpPr>
        <xdr:cNvPr id="42" name="正方形/長方形 41">
          <a:extLst>
            <a:ext uri="{FF2B5EF4-FFF2-40B4-BE49-F238E27FC236}">
              <a16:creationId xmlns:a16="http://schemas.microsoft.com/office/drawing/2014/main" id="{1C9D1271-0B05-482A-9F9E-37E41FBD107A}"/>
            </a:ext>
          </a:extLst>
        </xdr:cNvPr>
        <xdr:cNvSpPr/>
      </xdr:nvSpPr>
      <xdr:spPr>
        <a:xfrm>
          <a:off x="4200525" y="13144499"/>
          <a:ext cx="701675" cy="565149"/>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228600</xdr:colOff>
      <xdr:row>45</xdr:row>
      <xdr:rowOff>200025</xdr:rowOff>
    </xdr:from>
    <xdr:to>
      <xdr:col>7</xdr:col>
      <xdr:colOff>158750</xdr:colOff>
      <xdr:row>46</xdr:row>
      <xdr:rowOff>142875</xdr:rowOff>
    </xdr:to>
    <xdr:sp macro="" textlink="">
      <xdr:nvSpPr>
        <xdr:cNvPr id="43" name="正方形/長方形 42">
          <a:extLst>
            <a:ext uri="{FF2B5EF4-FFF2-40B4-BE49-F238E27FC236}">
              <a16:creationId xmlns:a16="http://schemas.microsoft.com/office/drawing/2014/main" id="{A22A8B01-A8E8-478A-939B-102F8F4A2137}"/>
            </a:ext>
          </a:extLst>
        </xdr:cNvPr>
        <xdr:cNvSpPr/>
      </xdr:nvSpPr>
      <xdr:spPr>
        <a:xfrm>
          <a:off x="1828800" y="9801225"/>
          <a:ext cx="196850" cy="20955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61913</xdr:colOff>
      <xdr:row>46</xdr:row>
      <xdr:rowOff>139700</xdr:rowOff>
    </xdr:from>
    <xdr:to>
      <xdr:col>17</xdr:col>
      <xdr:colOff>17463</xdr:colOff>
      <xdr:row>58</xdr:row>
      <xdr:rowOff>76199</xdr:rowOff>
    </xdr:to>
    <xdr:cxnSp macro="">
      <xdr:nvCxnSpPr>
        <xdr:cNvPr id="44" name="直線コネクタ 43">
          <a:extLst>
            <a:ext uri="{FF2B5EF4-FFF2-40B4-BE49-F238E27FC236}">
              <a16:creationId xmlns:a16="http://schemas.microsoft.com/office/drawing/2014/main" id="{78902754-1260-4987-9B39-3A3BE9B76070}"/>
            </a:ext>
          </a:extLst>
        </xdr:cNvPr>
        <xdr:cNvCxnSpPr>
          <a:stCxn id="43" idx="2"/>
          <a:endCxn id="42" idx="0"/>
        </xdr:cNvCxnSpPr>
      </xdr:nvCxnSpPr>
      <xdr:spPr>
        <a:xfrm>
          <a:off x="1928813" y="10007600"/>
          <a:ext cx="2622550" cy="3136899"/>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57150</xdr:colOff>
      <xdr:row>63</xdr:row>
      <xdr:rowOff>0</xdr:rowOff>
    </xdr:from>
    <xdr:to>
      <xdr:col>8</xdr:col>
      <xdr:colOff>196850</xdr:colOff>
      <xdr:row>64</xdr:row>
      <xdr:rowOff>25400</xdr:rowOff>
    </xdr:to>
    <xdr:sp macro="" textlink="">
      <xdr:nvSpPr>
        <xdr:cNvPr id="45" name="正方形/長方形 44">
          <a:extLst>
            <a:ext uri="{FF2B5EF4-FFF2-40B4-BE49-F238E27FC236}">
              <a16:creationId xmlns:a16="http://schemas.microsoft.com/office/drawing/2014/main" id="{ACB3D3C8-33E5-4027-A078-B9729AAD9F71}"/>
            </a:ext>
          </a:extLst>
        </xdr:cNvPr>
        <xdr:cNvSpPr/>
      </xdr:nvSpPr>
      <xdr:spPr>
        <a:xfrm>
          <a:off x="1390650" y="14401800"/>
          <a:ext cx="939800" cy="29210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219075</xdr:colOff>
      <xdr:row>67</xdr:row>
      <xdr:rowOff>66675</xdr:rowOff>
    </xdr:from>
    <xdr:to>
      <xdr:col>25</xdr:col>
      <xdr:colOff>120650</xdr:colOff>
      <xdr:row>69</xdr:row>
      <xdr:rowOff>206375</xdr:rowOff>
    </xdr:to>
    <xdr:sp macro="" textlink="">
      <xdr:nvSpPr>
        <xdr:cNvPr id="46" name="正方形/長方形 45">
          <a:extLst>
            <a:ext uri="{FF2B5EF4-FFF2-40B4-BE49-F238E27FC236}">
              <a16:creationId xmlns:a16="http://schemas.microsoft.com/office/drawing/2014/main" id="{28158D73-844F-4502-9B28-2556A01FFDFC}"/>
            </a:ext>
          </a:extLst>
        </xdr:cNvPr>
        <xdr:cNvSpPr/>
      </xdr:nvSpPr>
      <xdr:spPr>
        <a:xfrm>
          <a:off x="4219575" y="15535275"/>
          <a:ext cx="2568575" cy="67310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0</xdr:colOff>
      <xdr:row>65</xdr:row>
      <xdr:rowOff>38100</xdr:rowOff>
    </xdr:from>
    <xdr:to>
      <xdr:col>8</xdr:col>
      <xdr:colOff>228599</xdr:colOff>
      <xdr:row>65</xdr:row>
      <xdr:rowOff>209550</xdr:rowOff>
    </xdr:to>
    <xdr:sp macro="" textlink="">
      <xdr:nvSpPr>
        <xdr:cNvPr id="47" name="正方形/長方形 46">
          <a:extLst>
            <a:ext uri="{FF2B5EF4-FFF2-40B4-BE49-F238E27FC236}">
              <a16:creationId xmlns:a16="http://schemas.microsoft.com/office/drawing/2014/main" id="{6FDAA919-9B52-445A-B4EC-EFF50FA61C2D}"/>
            </a:ext>
          </a:extLst>
        </xdr:cNvPr>
        <xdr:cNvSpPr/>
      </xdr:nvSpPr>
      <xdr:spPr>
        <a:xfrm>
          <a:off x="2133600" y="14973300"/>
          <a:ext cx="228599" cy="17145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114300</xdr:colOff>
      <xdr:row>65</xdr:row>
      <xdr:rowOff>209550</xdr:rowOff>
    </xdr:from>
    <xdr:to>
      <xdr:col>20</xdr:col>
      <xdr:colOff>169863</xdr:colOff>
      <xdr:row>67</xdr:row>
      <xdr:rowOff>63500</xdr:rowOff>
    </xdr:to>
    <xdr:cxnSp macro="">
      <xdr:nvCxnSpPr>
        <xdr:cNvPr id="48" name="直線コネクタ 47">
          <a:extLst>
            <a:ext uri="{FF2B5EF4-FFF2-40B4-BE49-F238E27FC236}">
              <a16:creationId xmlns:a16="http://schemas.microsoft.com/office/drawing/2014/main" id="{EB28D91A-1B5D-49A9-9A33-F0547DA61D83}"/>
            </a:ext>
          </a:extLst>
        </xdr:cNvPr>
        <xdr:cNvCxnSpPr>
          <a:stCxn id="47" idx="2"/>
          <a:endCxn id="46" idx="0"/>
        </xdr:cNvCxnSpPr>
      </xdr:nvCxnSpPr>
      <xdr:spPr>
        <a:xfrm>
          <a:off x="2247900" y="15144750"/>
          <a:ext cx="3255963" cy="387350"/>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4</xdr:col>
      <xdr:colOff>0</xdr:colOff>
      <xdr:row>61</xdr:row>
      <xdr:rowOff>0</xdr:rowOff>
    </xdr:from>
    <xdr:to>
      <xdr:col>5</xdr:col>
      <xdr:colOff>9525</xdr:colOff>
      <xdr:row>67</xdr:row>
      <xdr:rowOff>9525</xdr:rowOff>
    </xdr:to>
    <xdr:pic>
      <xdr:nvPicPr>
        <xdr:cNvPr id="49" name="図 48">
          <a:extLst>
            <a:ext uri="{FF2B5EF4-FFF2-40B4-BE49-F238E27FC236}">
              <a16:creationId xmlns:a16="http://schemas.microsoft.com/office/drawing/2014/main" id="{D82505AB-2F1E-4340-88A8-4AD13FD6FB65}"/>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066800" y="13868400"/>
          <a:ext cx="276225" cy="1609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37</xdr:col>
      <xdr:colOff>96540</xdr:colOff>
      <xdr:row>7</xdr:row>
      <xdr:rowOff>165100</xdr:rowOff>
    </xdr:to>
    <xdr:pic>
      <xdr:nvPicPr>
        <xdr:cNvPr id="50" name="図 49">
          <a:extLst>
            <a:ext uri="{FF2B5EF4-FFF2-40B4-BE49-F238E27FC236}">
              <a16:creationId xmlns:a16="http://schemas.microsoft.com/office/drawing/2014/main" id="{ACD30D1C-3604-44CA-8310-0CAF968BB548}"/>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00100" y="800100"/>
          <a:ext cx="9164340" cy="1231900"/>
        </a:xfrm>
        <a:prstGeom prst="rect">
          <a:avLst/>
        </a:prstGeom>
      </xdr:spPr>
    </xdr:pic>
    <xdr:clientData/>
  </xdr:twoCellAnchor>
  <xdr:twoCellAnchor>
    <xdr:from>
      <xdr:col>5</xdr:col>
      <xdr:colOff>209550</xdr:colOff>
      <xdr:row>8</xdr:row>
      <xdr:rowOff>222250</xdr:rowOff>
    </xdr:from>
    <xdr:to>
      <xdr:col>23</xdr:col>
      <xdr:colOff>133350</xdr:colOff>
      <xdr:row>10</xdr:row>
      <xdr:rowOff>38100</xdr:rowOff>
    </xdr:to>
    <xdr:sp macro="" textlink="">
      <xdr:nvSpPr>
        <xdr:cNvPr id="51" name="正方形/長方形 50">
          <a:extLst>
            <a:ext uri="{FF2B5EF4-FFF2-40B4-BE49-F238E27FC236}">
              <a16:creationId xmlns:a16="http://schemas.microsoft.com/office/drawing/2014/main" id="{924D4426-5A66-40BE-BDDA-5EC47A689AD9}"/>
            </a:ext>
          </a:extLst>
        </xdr:cNvPr>
        <xdr:cNvSpPr/>
      </xdr:nvSpPr>
      <xdr:spPr>
        <a:xfrm>
          <a:off x="1543050" y="2355850"/>
          <a:ext cx="4724400" cy="349250"/>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25400</xdr:colOff>
      <xdr:row>5</xdr:row>
      <xdr:rowOff>247650</xdr:rowOff>
    </xdr:from>
    <xdr:to>
      <xdr:col>10</xdr:col>
      <xdr:colOff>0</xdr:colOff>
      <xdr:row>7</xdr:row>
      <xdr:rowOff>25400</xdr:rowOff>
    </xdr:to>
    <xdr:sp macro="" textlink="">
      <xdr:nvSpPr>
        <xdr:cNvPr id="52" name="正方形/長方形 51">
          <a:extLst>
            <a:ext uri="{FF2B5EF4-FFF2-40B4-BE49-F238E27FC236}">
              <a16:creationId xmlns:a16="http://schemas.microsoft.com/office/drawing/2014/main" id="{6ADE3372-A934-4C50-94BE-94BC433194E9}"/>
            </a:ext>
          </a:extLst>
        </xdr:cNvPr>
        <xdr:cNvSpPr/>
      </xdr:nvSpPr>
      <xdr:spPr>
        <a:xfrm>
          <a:off x="1625600" y="1581150"/>
          <a:ext cx="1041400" cy="311150"/>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12700</xdr:colOff>
      <xdr:row>7</xdr:row>
      <xdr:rowOff>25400</xdr:rowOff>
    </xdr:from>
    <xdr:to>
      <xdr:col>14</xdr:col>
      <xdr:colOff>171450</xdr:colOff>
      <xdr:row>8</xdr:row>
      <xdr:rowOff>222250</xdr:rowOff>
    </xdr:to>
    <xdr:cxnSp macro="">
      <xdr:nvCxnSpPr>
        <xdr:cNvPr id="53" name="直線コネクタ 52">
          <a:extLst>
            <a:ext uri="{FF2B5EF4-FFF2-40B4-BE49-F238E27FC236}">
              <a16:creationId xmlns:a16="http://schemas.microsoft.com/office/drawing/2014/main" id="{B3B5309E-095B-4EF5-B033-B78CA98AC600}"/>
            </a:ext>
          </a:extLst>
        </xdr:cNvPr>
        <xdr:cNvCxnSpPr>
          <a:stCxn id="52" idx="2"/>
          <a:endCxn id="51" idx="0"/>
        </xdr:cNvCxnSpPr>
      </xdr:nvCxnSpPr>
      <xdr:spPr>
        <a:xfrm>
          <a:off x="2146300" y="1892300"/>
          <a:ext cx="1758950" cy="463550"/>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5</xdr:col>
      <xdr:colOff>28575</xdr:colOff>
      <xdr:row>44</xdr:row>
      <xdr:rowOff>28575</xdr:rowOff>
    </xdr:from>
    <xdr:to>
      <xdr:col>13</xdr:col>
      <xdr:colOff>263580</xdr:colOff>
      <xdr:row>52</xdr:row>
      <xdr:rowOff>238125</xdr:rowOff>
    </xdr:to>
    <xdr:pic>
      <xdr:nvPicPr>
        <xdr:cNvPr id="2" name="図 1">
          <a:extLst>
            <a:ext uri="{FF2B5EF4-FFF2-40B4-BE49-F238E27FC236}">
              <a16:creationId xmlns:a16="http://schemas.microsoft.com/office/drawing/2014/main" id="{B9A886F2-A88E-47B7-B15D-414F28775DA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62075" y="9363075"/>
          <a:ext cx="2368605" cy="2343150"/>
        </a:xfrm>
        <a:prstGeom prst="rect">
          <a:avLst/>
        </a:prstGeom>
      </xdr:spPr>
    </xdr:pic>
    <xdr:clientData/>
  </xdr:twoCellAnchor>
  <xdr:twoCellAnchor editAs="oneCell">
    <xdr:from>
      <xdr:col>16</xdr:col>
      <xdr:colOff>0</xdr:colOff>
      <xdr:row>44</xdr:row>
      <xdr:rowOff>0</xdr:rowOff>
    </xdr:from>
    <xdr:to>
      <xdr:col>43</xdr:col>
      <xdr:colOff>208106</xdr:colOff>
      <xdr:row>53</xdr:row>
      <xdr:rowOff>209550</xdr:rowOff>
    </xdr:to>
    <xdr:pic>
      <xdr:nvPicPr>
        <xdr:cNvPr id="3" name="図 2">
          <a:extLst>
            <a:ext uri="{FF2B5EF4-FFF2-40B4-BE49-F238E27FC236}">
              <a16:creationId xmlns:a16="http://schemas.microsoft.com/office/drawing/2014/main" id="{A4C175D7-BEAD-40BC-ABF9-42E9BEB3CFE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267200" y="9334500"/>
          <a:ext cx="7409006" cy="2609850"/>
        </a:xfrm>
        <a:prstGeom prst="rect">
          <a:avLst/>
        </a:prstGeom>
      </xdr:spPr>
    </xdr:pic>
    <xdr:clientData/>
  </xdr:twoCellAnchor>
  <xdr:twoCellAnchor editAs="oneCell">
    <xdr:from>
      <xdr:col>5</xdr:col>
      <xdr:colOff>0</xdr:colOff>
      <xdr:row>131</xdr:row>
      <xdr:rowOff>0</xdr:rowOff>
    </xdr:from>
    <xdr:to>
      <xdr:col>34</xdr:col>
      <xdr:colOff>126267</xdr:colOff>
      <xdr:row>146</xdr:row>
      <xdr:rowOff>170109</xdr:rowOff>
    </xdr:to>
    <xdr:pic>
      <xdr:nvPicPr>
        <xdr:cNvPr id="4" name="図 3">
          <a:extLst>
            <a:ext uri="{FF2B5EF4-FFF2-40B4-BE49-F238E27FC236}">
              <a16:creationId xmlns:a16="http://schemas.microsoft.com/office/drawing/2014/main" id="{853E0F0F-EE2F-4981-A37E-04554424CC23}"/>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333500" y="33070800"/>
          <a:ext cx="7860567" cy="4170609"/>
        </a:xfrm>
        <a:prstGeom prst="rect">
          <a:avLst/>
        </a:prstGeom>
      </xdr:spPr>
    </xdr:pic>
    <xdr:clientData/>
  </xdr:twoCellAnchor>
  <xdr:twoCellAnchor editAs="oneCell">
    <xdr:from>
      <xdr:col>5</xdr:col>
      <xdr:colOff>0</xdr:colOff>
      <xdr:row>76</xdr:row>
      <xdr:rowOff>0</xdr:rowOff>
    </xdr:from>
    <xdr:to>
      <xdr:col>17</xdr:col>
      <xdr:colOff>29308</xdr:colOff>
      <xdr:row>93</xdr:row>
      <xdr:rowOff>30097</xdr:rowOff>
    </xdr:to>
    <xdr:pic>
      <xdr:nvPicPr>
        <xdr:cNvPr id="5" name="図 4">
          <a:extLst>
            <a:ext uri="{FF2B5EF4-FFF2-40B4-BE49-F238E27FC236}">
              <a16:creationId xmlns:a16="http://schemas.microsoft.com/office/drawing/2014/main" id="{CBC6EAFB-5F06-4EE1-BD19-66884FDD552E}"/>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333500" y="17868900"/>
          <a:ext cx="3229708" cy="4563997"/>
        </a:xfrm>
        <a:prstGeom prst="rect">
          <a:avLst/>
        </a:prstGeom>
      </xdr:spPr>
    </xdr:pic>
    <xdr:clientData/>
  </xdr:twoCellAnchor>
  <xdr:twoCellAnchor editAs="oneCell">
    <xdr:from>
      <xdr:col>5</xdr:col>
      <xdr:colOff>1</xdr:colOff>
      <xdr:row>29</xdr:row>
      <xdr:rowOff>14654</xdr:rowOff>
    </xdr:from>
    <xdr:to>
      <xdr:col>34</xdr:col>
      <xdr:colOff>123093</xdr:colOff>
      <xdr:row>33</xdr:row>
      <xdr:rowOff>117040</xdr:rowOff>
    </xdr:to>
    <xdr:pic>
      <xdr:nvPicPr>
        <xdr:cNvPr id="6" name="図 5">
          <a:extLst>
            <a:ext uri="{FF2B5EF4-FFF2-40B4-BE49-F238E27FC236}">
              <a16:creationId xmlns:a16="http://schemas.microsoft.com/office/drawing/2014/main" id="{805102AF-A8E0-45C0-8D22-27B11367BDC5}"/>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333501" y="5348654"/>
          <a:ext cx="7857392" cy="1169186"/>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82550</xdr:colOff>
          <xdr:row>126</xdr:row>
          <xdr:rowOff>184150</xdr:rowOff>
        </xdr:from>
        <xdr:to>
          <xdr:col>12</xdr:col>
          <xdr:colOff>139700</xdr:colOff>
          <xdr:row>129</xdr:row>
          <xdr:rowOff>57150</xdr:rowOff>
        </xdr:to>
        <xdr:sp macro="" textlink="">
          <xdr:nvSpPr>
            <xdr:cNvPr id="143361" name="Button 1" hidden="1">
              <a:extLst>
                <a:ext uri="{63B3BB69-23CF-44E3-9099-C40C66FF867C}">
                  <a14:compatExt spid="_x0000_s143361"/>
                </a:ext>
                <a:ext uri="{FF2B5EF4-FFF2-40B4-BE49-F238E27FC236}">
                  <a16:creationId xmlns:a16="http://schemas.microsoft.com/office/drawing/2014/main" id="{00000000-0008-0000-1000-000001300200}"/>
                </a:ext>
              </a:extLst>
            </xdr:cNvPr>
            <xdr:cNvSpPr/>
          </xdr:nvSpPr>
          <xdr:spPr bwMode="auto">
            <a:xfrm>
              <a:off x="0" y="0"/>
              <a:ext cx="0" cy="0"/>
            </a:xfrm>
            <a:prstGeom prst="rect">
              <a:avLst/>
            </a:prstGeom>
            <a:noFill/>
            <a:ln w="9525">
              <a:miter lim="800000"/>
              <a:headEnd/>
              <a:tailEnd/>
            </a:ln>
          </xdr:spPr>
          <xdr:txBody>
            <a:bodyPr vertOverflow="clip" wrap="square" lIns="64008" tIns="91440" rIns="64008" bIns="91440" anchor="ctr" upright="1"/>
            <a:lstStyle/>
            <a:p>
              <a:pPr algn="ctr" rtl="0">
                <a:defRPr sz="1000"/>
              </a:pPr>
              <a:r>
                <a:rPr lang="ja-JP" altLang="en-US" sz="2000" b="0" i="0" u="none" strike="noStrike" baseline="0">
                  <a:solidFill>
                    <a:srgbClr val="000000"/>
                  </a:solidFill>
                  <a:latin typeface="游ゴシック"/>
                  <a:ea typeface="游ゴシック"/>
                </a:rPr>
                <a:t>自動生成</a:t>
              </a:r>
            </a:p>
          </xdr:txBody>
        </xdr:sp>
        <xdr:clientData fPrintsWithSheet="0"/>
      </xdr:twoCellAnchor>
    </mc:Choice>
    <mc:Fallback/>
  </mc:AlternateContent>
  <xdr:twoCellAnchor editAs="oneCell">
    <xdr:from>
      <xdr:col>5</xdr:col>
      <xdr:colOff>0</xdr:colOff>
      <xdr:row>14</xdr:row>
      <xdr:rowOff>0</xdr:rowOff>
    </xdr:from>
    <xdr:to>
      <xdr:col>31</xdr:col>
      <xdr:colOff>105747</xdr:colOff>
      <xdr:row>18</xdr:row>
      <xdr:rowOff>154767</xdr:rowOff>
    </xdr:to>
    <xdr:pic>
      <xdr:nvPicPr>
        <xdr:cNvPr id="7" name="図 6">
          <a:extLst>
            <a:ext uri="{FF2B5EF4-FFF2-40B4-BE49-F238E27FC236}">
              <a16:creationId xmlns:a16="http://schemas.microsoft.com/office/drawing/2014/main" id="{3ACAD626-BF0F-4CE7-B8AE-029DF3696C48}"/>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33500" y="1333500"/>
          <a:ext cx="7039947" cy="1221567"/>
        </a:xfrm>
        <a:prstGeom prst="rect">
          <a:avLst/>
        </a:prstGeom>
      </xdr:spPr>
    </xdr:pic>
    <xdr:clientData/>
  </xdr:twoCellAnchor>
  <xdr:twoCellAnchor>
    <xdr:from>
      <xdr:col>5</xdr:col>
      <xdr:colOff>0</xdr:colOff>
      <xdr:row>20</xdr:row>
      <xdr:rowOff>7326</xdr:rowOff>
    </xdr:from>
    <xdr:to>
      <xdr:col>20</xdr:col>
      <xdr:colOff>134083</xdr:colOff>
      <xdr:row>22</xdr:row>
      <xdr:rowOff>13677</xdr:rowOff>
    </xdr:to>
    <xdr:sp macro="" textlink="">
      <xdr:nvSpPr>
        <xdr:cNvPr id="8" name="正方形/長方形 7">
          <a:extLst>
            <a:ext uri="{FF2B5EF4-FFF2-40B4-BE49-F238E27FC236}">
              <a16:creationId xmlns:a16="http://schemas.microsoft.com/office/drawing/2014/main" id="{C3C7B8C8-5834-4561-8011-1F636158F035}"/>
            </a:ext>
          </a:extLst>
        </xdr:cNvPr>
        <xdr:cNvSpPr/>
      </xdr:nvSpPr>
      <xdr:spPr>
        <a:xfrm>
          <a:off x="1333500" y="2941026"/>
          <a:ext cx="4134583" cy="539751"/>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18</xdr:col>
      <xdr:colOff>36634</xdr:colOff>
      <xdr:row>16</xdr:row>
      <xdr:rowOff>117230</xdr:rowOff>
    </xdr:from>
    <xdr:to>
      <xdr:col>23</xdr:col>
      <xdr:colOff>22958</xdr:colOff>
      <xdr:row>17</xdr:row>
      <xdr:rowOff>167542</xdr:rowOff>
    </xdr:to>
    <xdr:sp macro="" textlink="">
      <xdr:nvSpPr>
        <xdr:cNvPr id="9" name="正方形/長方形 8">
          <a:extLst>
            <a:ext uri="{FF2B5EF4-FFF2-40B4-BE49-F238E27FC236}">
              <a16:creationId xmlns:a16="http://schemas.microsoft.com/office/drawing/2014/main" id="{6DD9C1BC-FD0B-4E16-BABA-80AAE92620EA}"/>
            </a:ext>
          </a:extLst>
        </xdr:cNvPr>
        <xdr:cNvSpPr/>
      </xdr:nvSpPr>
      <xdr:spPr>
        <a:xfrm>
          <a:off x="4837234" y="1984130"/>
          <a:ext cx="1319824" cy="317012"/>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198926</xdr:colOff>
      <xdr:row>17</xdr:row>
      <xdr:rowOff>164367</xdr:rowOff>
    </xdr:from>
    <xdr:to>
      <xdr:col>20</xdr:col>
      <xdr:colOff>163268</xdr:colOff>
      <xdr:row>20</xdr:row>
      <xdr:rowOff>10501</xdr:rowOff>
    </xdr:to>
    <xdr:cxnSp macro="">
      <xdr:nvCxnSpPr>
        <xdr:cNvPr id="10" name="直線コネクタ 9">
          <a:extLst>
            <a:ext uri="{FF2B5EF4-FFF2-40B4-BE49-F238E27FC236}">
              <a16:creationId xmlns:a16="http://schemas.microsoft.com/office/drawing/2014/main" id="{CEFEC10A-F7F8-42C7-9AE4-3A17E5712B99}"/>
            </a:ext>
          </a:extLst>
        </xdr:cNvPr>
        <xdr:cNvCxnSpPr>
          <a:stCxn id="9" idx="2"/>
          <a:endCxn id="8" idx="0"/>
        </xdr:cNvCxnSpPr>
      </xdr:nvCxnSpPr>
      <xdr:spPr>
        <a:xfrm flipH="1">
          <a:off x="3399326" y="2297967"/>
          <a:ext cx="2097942" cy="646234"/>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227135</xdr:colOff>
      <xdr:row>33</xdr:row>
      <xdr:rowOff>256442</xdr:rowOff>
    </xdr:from>
    <xdr:to>
      <xdr:col>11</xdr:col>
      <xdr:colOff>222983</xdr:colOff>
      <xdr:row>36</xdr:row>
      <xdr:rowOff>4152</xdr:rowOff>
    </xdr:to>
    <xdr:sp macro="" textlink="">
      <xdr:nvSpPr>
        <xdr:cNvPr id="11" name="正方形/長方形 10">
          <a:extLst>
            <a:ext uri="{FF2B5EF4-FFF2-40B4-BE49-F238E27FC236}">
              <a16:creationId xmlns:a16="http://schemas.microsoft.com/office/drawing/2014/main" id="{00CF0D56-C427-425D-B2DA-89C044A25556}"/>
            </a:ext>
          </a:extLst>
        </xdr:cNvPr>
        <xdr:cNvSpPr/>
      </xdr:nvSpPr>
      <xdr:spPr>
        <a:xfrm>
          <a:off x="1560635" y="6657242"/>
          <a:ext cx="1596048" cy="54781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18</xdr:col>
      <xdr:colOff>201979</xdr:colOff>
      <xdr:row>32</xdr:row>
      <xdr:rowOff>10502</xdr:rowOff>
    </xdr:from>
    <xdr:to>
      <xdr:col>22</xdr:col>
      <xdr:colOff>36635</xdr:colOff>
      <xdr:row>32</xdr:row>
      <xdr:rowOff>234462</xdr:rowOff>
    </xdr:to>
    <xdr:sp macro="" textlink="">
      <xdr:nvSpPr>
        <xdr:cNvPr id="12" name="正方形/長方形 11">
          <a:extLst>
            <a:ext uri="{FF2B5EF4-FFF2-40B4-BE49-F238E27FC236}">
              <a16:creationId xmlns:a16="http://schemas.microsoft.com/office/drawing/2014/main" id="{D6B619DF-EB95-4EC6-A42C-4F731215A288}"/>
            </a:ext>
          </a:extLst>
        </xdr:cNvPr>
        <xdr:cNvSpPr/>
      </xdr:nvSpPr>
      <xdr:spPr>
        <a:xfrm>
          <a:off x="5002579" y="6144602"/>
          <a:ext cx="901456" cy="22396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223472</xdr:colOff>
      <xdr:row>32</xdr:row>
      <xdr:rowOff>234462</xdr:rowOff>
    </xdr:from>
    <xdr:to>
      <xdr:col>20</xdr:col>
      <xdr:colOff>119307</xdr:colOff>
      <xdr:row>33</xdr:row>
      <xdr:rowOff>259617</xdr:rowOff>
    </xdr:to>
    <xdr:cxnSp macro="">
      <xdr:nvCxnSpPr>
        <xdr:cNvPr id="13" name="直線コネクタ 12">
          <a:extLst>
            <a:ext uri="{FF2B5EF4-FFF2-40B4-BE49-F238E27FC236}">
              <a16:creationId xmlns:a16="http://schemas.microsoft.com/office/drawing/2014/main" id="{1CDF7B29-784B-47A3-803E-39FC50EAEFB6}"/>
            </a:ext>
          </a:extLst>
        </xdr:cNvPr>
        <xdr:cNvCxnSpPr>
          <a:stCxn id="12" idx="2"/>
          <a:endCxn id="11" idx="0"/>
        </xdr:cNvCxnSpPr>
      </xdr:nvCxnSpPr>
      <xdr:spPr>
        <a:xfrm flipH="1">
          <a:off x="2357072" y="6368562"/>
          <a:ext cx="3096235" cy="291855"/>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241789</xdr:colOff>
      <xdr:row>53</xdr:row>
      <xdr:rowOff>219808</xdr:rowOff>
    </xdr:from>
    <xdr:to>
      <xdr:col>14</xdr:col>
      <xdr:colOff>8305</xdr:colOff>
      <xdr:row>55</xdr:row>
      <xdr:rowOff>22957</xdr:rowOff>
    </xdr:to>
    <xdr:sp macro="" textlink="">
      <xdr:nvSpPr>
        <xdr:cNvPr id="14" name="正方形/長方形 13">
          <a:extLst>
            <a:ext uri="{FF2B5EF4-FFF2-40B4-BE49-F238E27FC236}">
              <a16:creationId xmlns:a16="http://schemas.microsoft.com/office/drawing/2014/main" id="{FB626EDF-CB11-4632-BCED-3AE8D5A6AF5D}"/>
            </a:ext>
          </a:extLst>
        </xdr:cNvPr>
        <xdr:cNvSpPr/>
      </xdr:nvSpPr>
      <xdr:spPr>
        <a:xfrm>
          <a:off x="1308589" y="11954608"/>
          <a:ext cx="2433516" cy="336549"/>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209550</xdr:colOff>
      <xdr:row>45</xdr:row>
      <xdr:rowOff>190499</xdr:rowOff>
    </xdr:from>
    <xdr:to>
      <xdr:col>9</xdr:col>
      <xdr:colOff>122361</xdr:colOff>
      <xdr:row>48</xdr:row>
      <xdr:rowOff>95250</xdr:rowOff>
    </xdr:to>
    <xdr:sp macro="" textlink="">
      <xdr:nvSpPr>
        <xdr:cNvPr id="15" name="正方形/長方形 14">
          <a:extLst>
            <a:ext uri="{FF2B5EF4-FFF2-40B4-BE49-F238E27FC236}">
              <a16:creationId xmlns:a16="http://schemas.microsoft.com/office/drawing/2014/main" id="{B1C6A960-8A22-4C00-B9A8-CF1B10167B69}"/>
            </a:ext>
          </a:extLst>
        </xdr:cNvPr>
        <xdr:cNvSpPr/>
      </xdr:nvSpPr>
      <xdr:spPr>
        <a:xfrm>
          <a:off x="1809750" y="9791699"/>
          <a:ext cx="712911" cy="704851"/>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32606</xdr:colOff>
      <xdr:row>48</xdr:row>
      <xdr:rowOff>95250</xdr:rowOff>
    </xdr:from>
    <xdr:to>
      <xdr:col>9</xdr:col>
      <xdr:colOff>125047</xdr:colOff>
      <xdr:row>53</xdr:row>
      <xdr:rowOff>216633</xdr:rowOff>
    </xdr:to>
    <xdr:cxnSp macro="">
      <xdr:nvCxnSpPr>
        <xdr:cNvPr id="16" name="直線コネクタ 15">
          <a:extLst>
            <a:ext uri="{FF2B5EF4-FFF2-40B4-BE49-F238E27FC236}">
              <a16:creationId xmlns:a16="http://schemas.microsoft.com/office/drawing/2014/main" id="{FE71460E-601D-4FCA-BFB8-E3DCB828AD59}"/>
            </a:ext>
          </a:extLst>
        </xdr:cNvPr>
        <xdr:cNvCxnSpPr>
          <a:stCxn id="15" idx="2"/>
          <a:endCxn id="14" idx="0"/>
        </xdr:cNvCxnSpPr>
      </xdr:nvCxnSpPr>
      <xdr:spPr>
        <a:xfrm>
          <a:off x="2166206" y="10496550"/>
          <a:ext cx="359141" cy="1454883"/>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217365</xdr:colOff>
      <xdr:row>44</xdr:row>
      <xdr:rowOff>212237</xdr:rowOff>
    </xdr:from>
    <xdr:to>
      <xdr:col>43</xdr:col>
      <xdr:colOff>257175</xdr:colOff>
      <xdr:row>45</xdr:row>
      <xdr:rowOff>209550</xdr:rowOff>
    </xdr:to>
    <xdr:sp macro="" textlink="">
      <xdr:nvSpPr>
        <xdr:cNvPr id="17" name="正方形/長方形 16">
          <a:extLst>
            <a:ext uri="{FF2B5EF4-FFF2-40B4-BE49-F238E27FC236}">
              <a16:creationId xmlns:a16="http://schemas.microsoft.com/office/drawing/2014/main" id="{0B2F4C6C-4F99-4942-8D18-C601C9B4A947}"/>
            </a:ext>
          </a:extLst>
        </xdr:cNvPr>
        <xdr:cNvSpPr/>
      </xdr:nvSpPr>
      <xdr:spPr>
        <a:xfrm>
          <a:off x="4484565" y="9546737"/>
          <a:ext cx="7240710" cy="264013"/>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201980</xdr:colOff>
      <xdr:row>54</xdr:row>
      <xdr:rowOff>212480</xdr:rowOff>
    </xdr:from>
    <xdr:to>
      <xdr:col>25</xdr:col>
      <xdr:colOff>36634</xdr:colOff>
      <xdr:row>56</xdr:row>
      <xdr:rowOff>256442</xdr:rowOff>
    </xdr:to>
    <xdr:sp macro="" textlink="">
      <xdr:nvSpPr>
        <xdr:cNvPr id="18" name="正方形/長方形 17">
          <a:extLst>
            <a:ext uri="{FF2B5EF4-FFF2-40B4-BE49-F238E27FC236}">
              <a16:creationId xmlns:a16="http://schemas.microsoft.com/office/drawing/2014/main" id="{837769FF-6D3D-4354-9CBD-44E7EE8FFFB8}"/>
            </a:ext>
          </a:extLst>
        </xdr:cNvPr>
        <xdr:cNvSpPr/>
      </xdr:nvSpPr>
      <xdr:spPr>
        <a:xfrm>
          <a:off x="3935780" y="12213980"/>
          <a:ext cx="2768354" cy="577362"/>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19</xdr:col>
      <xdr:colOff>251070</xdr:colOff>
      <xdr:row>45</xdr:row>
      <xdr:rowOff>209550</xdr:rowOff>
    </xdr:from>
    <xdr:to>
      <xdr:col>30</xdr:col>
      <xdr:colOff>103920</xdr:colOff>
      <xdr:row>54</xdr:row>
      <xdr:rowOff>212480</xdr:rowOff>
    </xdr:to>
    <xdr:cxnSp macro="">
      <xdr:nvCxnSpPr>
        <xdr:cNvPr id="19" name="直線コネクタ 18">
          <a:extLst>
            <a:ext uri="{FF2B5EF4-FFF2-40B4-BE49-F238E27FC236}">
              <a16:creationId xmlns:a16="http://schemas.microsoft.com/office/drawing/2014/main" id="{7999221C-3CD1-4560-823B-A179409E9248}"/>
            </a:ext>
          </a:extLst>
        </xdr:cNvPr>
        <xdr:cNvCxnSpPr>
          <a:stCxn id="17" idx="2"/>
          <a:endCxn id="18" idx="0"/>
        </xdr:cNvCxnSpPr>
      </xdr:nvCxnSpPr>
      <xdr:spPr>
        <a:xfrm flipH="1">
          <a:off x="5318370" y="9810750"/>
          <a:ext cx="2786550" cy="2403230"/>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153867</xdr:colOff>
      <xdr:row>80</xdr:row>
      <xdr:rowOff>263768</xdr:rowOff>
    </xdr:from>
    <xdr:to>
      <xdr:col>15</xdr:col>
      <xdr:colOff>183175</xdr:colOff>
      <xdr:row>90</xdr:row>
      <xdr:rowOff>80595</xdr:rowOff>
    </xdr:to>
    <xdr:sp macro="" textlink="">
      <xdr:nvSpPr>
        <xdr:cNvPr id="20" name="正方形/長方形 19">
          <a:extLst>
            <a:ext uri="{FF2B5EF4-FFF2-40B4-BE49-F238E27FC236}">
              <a16:creationId xmlns:a16="http://schemas.microsoft.com/office/drawing/2014/main" id="{17C4F01D-A26F-428F-8580-75E7519E7F9B}"/>
            </a:ext>
          </a:extLst>
        </xdr:cNvPr>
        <xdr:cNvSpPr/>
      </xdr:nvSpPr>
      <xdr:spPr>
        <a:xfrm>
          <a:off x="3087567" y="19199468"/>
          <a:ext cx="1096108" cy="2483827"/>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234950</xdr:colOff>
      <xdr:row>94</xdr:row>
      <xdr:rowOff>10503</xdr:rowOff>
    </xdr:from>
    <xdr:to>
      <xdr:col>14</xdr:col>
      <xdr:colOff>171450</xdr:colOff>
      <xdr:row>94</xdr:row>
      <xdr:rowOff>247650</xdr:rowOff>
    </xdr:to>
    <xdr:sp macro="" textlink="">
      <xdr:nvSpPr>
        <xdr:cNvPr id="21" name="正方形/長方形 20">
          <a:extLst>
            <a:ext uri="{FF2B5EF4-FFF2-40B4-BE49-F238E27FC236}">
              <a16:creationId xmlns:a16="http://schemas.microsoft.com/office/drawing/2014/main" id="{26454BF2-CD5C-44DE-A0AD-30B256357C81}"/>
            </a:ext>
          </a:extLst>
        </xdr:cNvPr>
        <xdr:cNvSpPr/>
      </xdr:nvSpPr>
      <xdr:spPr>
        <a:xfrm>
          <a:off x="1835150" y="22680003"/>
          <a:ext cx="2070100" cy="237147"/>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203200</xdr:colOff>
      <xdr:row>90</xdr:row>
      <xdr:rowOff>80595</xdr:rowOff>
    </xdr:from>
    <xdr:to>
      <xdr:col>13</xdr:col>
      <xdr:colOff>168521</xdr:colOff>
      <xdr:row>94</xdr:row>
      <xdr:rowOff>10503</xdr:rowOff>
    </xdr:to>
    <xdr:cxnSp macro="">
      <xdr:nvCxnSpPr>
        <xdr:cNvPr id="22" name="直線コネクタ 21">
          <a:extLst>
            <a:ext uri="{FF2B5EF4-FFF2-40B4-BE49-F238E27FC236}">
              <a16:creationId xmlns:a16="http://schemas.microsoft.com/office/drawing/2014/main" id="{E1C120D8-0651-4583-9B58-C866C7F38319}"/>
            </a:ext>
          </a:extLst>
        </xdr:cNvPr>
        <xdr:cNvCxnSpPr>
          <a:stCxn id="20" idx="2"/>
          <a:endCxn id="21" idx="0"/>
        </xdr:cNvCxnSpPr>
      </xdr:nvCxnSpPr>
      <xdr:spPr>
        <a:xfrm flipH="1">
          <a:off x="2870200" y="21683295"/>
          <a:ext cx="765421" cy="996708"/>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26133</xdr:colOff>
      <xdr:row>145</xdr:row>
      <xdr:rowOff>180973</xdr:rowOff>
    </xdr:from>
    <xdr:to>
      <xdr:col>22</xdr:col>
      <xdr:colOff>139212</xdr:colOff>
      <xdr:row>146</xdr:row>
      <xdr:rowOff>102577</xdr:rowOff>
    </xdr:to>
    <xdr:sp macro="" textlink="">
      <xdr:nvSpPr>
        <xdr:cNvPr id="23" name="正方形/長方形 22">
          <a:extLst>
            <a:ext uri="{FF2B5EF4-FFF2-40B4-BE49-F238E27FC236}">
              <a16:creationId xmlns:a16="http://schemas.microsoft.com/office/drawing/2014/main" id="{E3098C91-F0C0-4829-A55D-AFB4D4B92A2E}"/>
            </a:ext>
          </a:extLst>
        </xdr:cNvPr>
        <xdr:cNvSpPr/>
      </xdr:nvSpPr>
      <xdr:spPr>
        <a:xfrm>
          <a:off x="5360133" y="36985573"/>
          <a:ext cx="646479" cy="188304"/>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256443</xdr:colOff>
      <xdr:row>148</xdr:row>
      <xdr:rowOff>21981</xdr:rowOff>
    </xdr:from>
    <xdr:to>
      <xdr:col>16</xdr:col>
      <xdr:colOff>157040</xdr:colOff>
      <xdr:row>148</xdr:row>
      <xdr:rowOff>251314</xdr:rowOff>
    </xdr:to>
    <xdr:sp macro="" textlink="">
      <xdr:nvSpPr>
        <xdr:cNvPr id="24" name="正方形/長方形 23">
          <a:extLst>
            <a:ext uri="{FF2B5EF4-FFF2-40B4-BE49-F238E27FC236}">
              <a16:creationId xmlns:a16="http://schemas.microsoft.com/office/drawing/2014/main" id="{D4ECD671-2672-456C-97AC-41865A4239C6}"/>
            </a:ext>
          </a:extLst>
        </xdr:cNvPr>
        <xdr:cNvSpPr/>
      </xdr:nvSpPr>
      <xdr:spPr>
        <a:xfrm>
          <a:off x="1856643" y="37626681"/>
          <a:ext cx="2567597" cy="229333"/>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209916</xdr:colOff>
      <xdr:row>146</xdr:row>
      <xdr:rowOff>102577</xdr:rowOff>
    </xdr:from>
    <xdr:to>
      <xdr:col>21</xdr:col>
      <xdr:colOff>82673</xdr:colOff>
      <xdr:row>148</xdr:row>
      <xdr:rowOff>21981</xdr:rowOff>
    </xdr:to>
    <xdr:cxnSp macro="">
      <xdr:nvCxnSpPr>
        <xdr:cNvPr id="25" name="直線コネクタ 24">
          <a:extLst>
            <a:ext uri="{FF2B5EF4-FFF2-40B4-BE49-F238E27FC236}">
              <a16:creationId xmlns:a16="http://schemas.microsoft.com/office/drawing/2014/main" id="{8602EABF-4A26-4DA1-9546-6F9BF783DB48}"/>
            </a:ext>
          </a:extLst>
        </xdr:cNvPr>
        <xdr:cNvCxnSpPr>
          <a:stCxn id="23" idx="2"/>
          <a:endCxn id="24" idx="0"/>
        </xdr:cNvCxnSpPr>
      </xdr:nvCxnSpPr>
      <xdr:spPr>
        <a:xfrm flipH="1">
          <a:off x="3143616" y="37173877"/>
          <a:ext cx="2539757" cy="452804"/>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181463</xdr:colOff>
      <xdr:row>81</xdr:row>
      <xdr:rowOff>21249</xdr:rowOff>
    </xdr:from>
    <xdr:to>
      <xdr:col>12</xdr:col>
      <xdr:colOff>176578</xdr:colOff>
      <xdr:row>82</xdr:row>
      <xdr:rowOff>34193</xdr:rowOff>
    </xdr:to>
    <xdr:sp macro="" textlink="">
      <xdr:nvSpPr>
        <xdr:cNvPr id="26" name="正方形/長方形 25">
          <a:extLst>
            <a:ext uri="{FF2B5EF4-FFF2-40B4-BE49-F238E27FC236}">
              <a16:creationId xmlns:a16="http://schemas.microsoft.com/office/drawing/2014/main" id="{62D1D8D6-881C-4B2F-9A9C-86489B4E8D3F}"/>
            </a:ext>
          </a:extLst>
        </xdr:cNvPr>
        <xdr:cNvSpPr/>
      </xdr:nvSpPr>
      <xdr:spPr>
        <a:xfrm>
          <a:off x="3115163" y="19223649"/>
          <a:ext cx="261815" cy="279644"/>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205154</xdr:colOff>
      <xdr:row>96</xdr:row>
      <xdr:rowOff>73269</xdr:rowOff>
    </xdr:from>
    <xdr:to>
      <xdr:col>19</xdr:col>
      <xdr:colOff>180732</xdr:colOff>
      <xdr:row>98</xdr:row>
      <xdr:rowOff>92807</xdr:rowOff>
    </xdr:to>
    <xdr:sp macro="" textlink="">
      <xdr:nvSpPr>
        <xdr:cNvPr id="27" name="正方形/長方形 26">
          <a:extLst>
            <a:ext uri="{FF2B5EF4-FFF2-40B4-BE49-F238E27FC236}">
              <a16:creationId xmlns:a16="http://schemas.microsoft.com/office/drawing/2014/main" id="{46A04B6F-D664-447B-BED5-A59F3C27C94B}"/>
            </a:ext>
          </a:extLst>
        </xdr:cNvPr>
        <xdr:cNvSpPr/>
      </xdr:nvSpPr>
      <xdr:spPr>
        <a:xfrm>
          <a:off x="4205654" y="23276169"/>
          <a:ext cx="1042378" cy="552938"/>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45671</xdr:colOff>
      <xdr:row>82</xdr:row>
      <xdr:rowOff>34193</xdr:rowOff>
    </xdr:from>
    <xdr:to>
      <xdr:col>17</xdr:col>
      <xdr:colOff>192943</xdr:colOff>
      <xdr:row>96</xdr:row>
      <xdr:rowOff>73269</xdr:rowOff>
    </xdr:to>
    <xdr:cxnSp macro="">
      <xdr:nvCxnSpPr>
        <xdr:cNvPr id="28" name="直線コネクタ 27">
          <a:extLst>
            <a:ext uri="{FF2B5EF4-FFF2-40B4-BE49-F238E27FC236}">
              <a16:creationId xmlns:a16="http://schemas.microsoft.com/office/drawing/2014/main" id="{63D9AC32-5F24-42C0-BE99-8BE35B68C14B}"/>
            </a:ext>
          </a:extLst>
        </xdr:cNvPr>
        <xdr:cNvCxnSpPr>
          <a:stCxn id="26" idx="2"/>
          <a:endCxn id="27" idx="0"/>
        </xdr:cNvCxnSpPr>
      </xdr:nvCxnSpPr>
      <xdr:spPr>
        <a:xfrm>
          <a:off x="3246071" y="19503293"/>
          <a:ext cx="1480772" cy="3772876"/>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241300</xdr:colOff>
      <xdr:row>98</xdr:row>
      <xdr:rowOff>241300</xdr:rowOff>
    </xdr:from>
    <xdr:to>
      <xdr:col>25</xdr:col>
      <xdr:colOff>114300</xdr:colOff>
      <xdr:row>100</xdr:row>
      <xdr:rowOff>12700</xdr:rowOff>
    </xdr:to>
    <xdr:sp macro="" textlink="">
      <xdr:nvSpPr>
        <xdr:cNvPr id="29" name="正方形/長方形 28">
          <a:extLst>
            <a:ext uri="{FF2B5EF4-FFF2-40B4-BE49-F238E27FC236}">
              <a16:creationId xmlns:a16="http://schemas.microsoft.com/office/drawing/2014/main" id="{1859BC80-4C22-434C-8E63-68E1734FDA0F}"/>
            </a:ext>
          </a:extLst>
        </xdr:cNvPr>
        <xdr:cNvSpPr/>
      </xdr:nvSpPr>
      <xdr:spPr>
        <a:xfrm>
          <a:off x="1574800" y="23977600"/>
          <a:ext cx="5207000" cy="30480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203200</xdr:colOff>
      <xdr:row>94</xdr:row>
      <xdr:rowOff>247650</xdr:rowOff>
    </xdr:from>
    <xdr:to>
      <xdr:col>15</xdr:col>
      <xdr:colOff>177800</xdr:colOff>
      <xdr:row>98</xdr:row>
      <xdr:rowOff>241300</xdr:rowOff>
    </xdr:to>
    <xdr:cxnSp macro="">
      <xdr:nvCxnSpPr>
        <xdr:cNvPr id="30" name="直線コネクタ 29">
          <a:extLst>
            <a:ext uri="{FF2B5EF4-FFF2-40B4-BE49-F238E27FC236}">
              <a16:creationId xmlns:a16="http://schemas.microsoft.com/office/drawing/2014/main" id="{833F9CEF-E153-4622-A3A7-2B9D95549227}"/>
            </a:ext>
          </a:extLst>
        </xdr:cNvPr>
        <xdr:cNvCxnSpPr>
          <a:stCxn id="21" idx="2"/>
          <a:endCxn id="29" idx="0"/>
        </xdr:cNvCxnSpPr>
      </xdr:nvCxnSpPr>
      <xdr:spPr>
        <a:xfrm>
          <a:off x="2870200" y="22917150"/>
          <a:ext cx="1308100" cy="1060450"/>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228600</xdr:colOff>
      <xdr:row>101</xdr:row>
      <xdr:rowOff>247650</xdr:rowOff>
    </xdr:from>
    <xdr:to>
      <xdr:col>11</xdr:col>
      <xdr:colOff>44450</xdr:colOff>
      <xdr:row>113</xdr:row>
      <xdr:rowOff>50800</xdr:rowOff>
    </xdr:to>
    <xdr:sp macro="" textlink="">
      <xdr:nvSpPr>
        <xdr:cNvPr id="31" name="正方形/長方形 30">
          <a:extLst>
            <a:ext uri="{FF2B5EF4-FFF2-40B4-BE49-F238E27FC236}">
              <a16:creationId xmlns:a16="http://schemas.microsoft.com/office/drawing/2014/main" id="{B0B22943-5B4F-45FE-A380-0B9982C13FEA}"/>
            </a:ext>
          </a:extLst>
        </xdr:cNvPr>
        <xdr:cNvSpPr/>
      </xdr:nvSpPr>
      <xdr:spPr>
        <a:xfrm>
          <a:off x="1562100" y="24784050"/>
          <a:ext cx="1416050" cy="300355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177800</xdr:colOff>
      <xdr:row>118</xdr:row>
      <xdr:rowOff>50800</xdr:rowOff>
    </xdr:from>
    <xdr:to>
      <xdr:col>14</xdr:col>
      <xdr:colOff>107950</xdr:colOff>
      <xdr:row>120</xdr:row>
      <xdr:rowOff>209550</xdr:rowOff>
    </xdr:to>
    <xdr:sp macro="" textlink="">
      <xdr:nvSpPr>
        <xdr:cNvPr id="32" name="正方形/長方形 31">
          <a:extLst>
            <a:ext uri="{FF2B5EF4-FFF2-40B4-BE49-F238E27FC236}">
              <a16:creationId xmlns:a16="http://schemas.microsoft.com/office/drawing/2014/main" id="{6378F269-4709-46EF-A9FC-A42E99C3A51A}"/>
            </a:ext>
          </a:extLst>
        </xdr:cNvPr>
        <xdr:cNvSpPr/>
      </xdr:nvSpPr>
      <xdr:spPr>
        <a:xfrm>
          <a:off x="1244600" y="29654500"/>
          <a:ext cx="2597150" cy="69215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136525</xdr:colOff>
      <xdr:row>113</xdr:row>
      <xdr:rowOff>50800</xdr:rowOff>
    </xdr:from>
    <xdr:to>
      <xdr:col>9</xdr:col>
      <xdr:colOff>142875</xdr:colOff>
      <xdr:row>118</xdr:row>
      <xdr:rowOff>50800</xdr:rowOff>
    </xdr:to>
    <xdr:cxnSp macro="">
      <xdr:nvCxnSpPr>
        <xdr:cNvPr id="33" name="直線コネクタ 32">
          <a:extLst>
            <a:ext uri="{FF2B5EF4-FFF2-40B4-BE49-F238E27FC236}">
              <a16:creationId xmlns:a16="http://schemas.microsoft.com/office/drawing/2014/main" id="{08FB4850-9686-4EFB-9955-CA98A91CA637}"/>
            </a:ext>
          </a:extLst>
        </xdr:cNvPr>
        <xdr:cNvCxnSpPr>
          <a:stCxn id="31" idx="2"/>
          <a:endCxn id="32" idx="0"/>
        </xdr:cNvCxnSpPr>
      </xdr:nvCxnSpPr>
      <xdr:spPr>
        <a:xfrm>
          <a:off x="2270125" y="27787600"/>
          <a:ext cx="273050" cy="1333500"/>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184150</xdr:colOff>
      <xdr:row>115</xdr:row>
      <xdr:rowOff>57150</xdr:rowOff>
    </xdr:from>
    <xdr:to>
      <xdr:col>25</xdr:col>
      <xdr:colOff>88900</xdr:colOff>
      <xdr:row>117</xdr:row>
      <xdr:rowOff>215900</xdr:rowOff>
    </xdr:to>
    <xdr:sp macro="" textlink="">
      <xdr:nvSpPr>
        <xdr:cNvPr id="34" name="正方形/長方形 33">
          <a:extLst>
            <a:ext uri="{FF2B5EF4-FFF2-40B4-BE49-F238E27FC236}">
              <a16:creationId xmlns:a16="http://schemas.microsoft.com/office/drawing/2014/main" id="{BC5124E7-C3F3-4814-AA60-218F86151BA6}"/>
            </a:ext>
          </a:extLst>
        </xdr:cNvPr>
        <xdr:cNvSpPr/>
      </xdr:nvSpPr>
      <xdr:spPr>
        <a:xfrm>
          <a:off x="4184650" y="28860750"/>
          <a:ext cx="2571750" cy="692150"/>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171450</xdr:colOff>
      <xdr:row>112</xdr:row>
      <xdr:rowOff>241300</xdr:rowOff>
    </xdr:from>
    <xdr:to>
      <xdr:col>20</xdr:col>
      <xdr:colOff>136525</xdr:colOff>
      <xdr:row>115</xdr:row>
      <xdr:rowOff>57150</xdr:rowOff>
    </xdr:to>
    <xdr:cxnSp macro="">
      <xdr:nvCxnSpPr>
        <xdr:cNvPr id="35" name="直線コネクタ 34">
          <a:extLst>
            <a:ext uri="{FF2B5EF4-FFF2-40B4-BE49-F238E27FC236}">
              <a16:creationId xmlns:a16="http://schemas.microsoft.com/office/drawing/2014/main" id="{EFF11947-22BE-4B68-B66A-2D697618829E}"/>
            </a:ext>
          </a:extLst>
        </xdr:cNvPr>
        <xdr:cNvCxnSpPr>
          <a:stCxn id="36" idx="2"/>
          <a:endCxn id="34" idx="0"/>
        </xdr:cNvCxnSpPr>
      </xdr:nvCxnSpPr>
      <xdr:spPr>
        <a:xfrm>
          <a:off x="3371850" y="27711400"/>
          <a:ext cx="2098675" cy="1149350"/>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69850</xdr:colOff>
      <xdr:row>112</xdr:row>
      <xdr:rowOff>6350</xdr:rowOff>
    </xdr:from>
    <xdr:to>
      <xdr:col>13</xdr:col>
      <xdr:colOff>6350</xdr:colOff>
      <xdr:row>112</xdr:row>
      <xdr:rowOff>241300</xdr:rowOff>
    </xdr:to>
    <xdr:sp macro="" textlink="">
      <xdr:nvSpPr>
        <xdr:cNvPr id="36" name="正方形/長方形 35">
          <a:extLst>
            <a:ext uri="{FF2B5EF4-FFF2-40B4-BE49-F238E27FC236}">
              <a16:creationId xmlns:a16="http://schemas.microsoft.com/office/drawing/2014/main" id="{2C0FED39-B6F5-433C-97C5-67DF8A1D48EF}"/>
            </a:ext>
          </a:extLst>
        </xdr:cNvPr>
        <xdr:cNvSpPr/>
      </xdr:nvSpPr>
      <xdr:spPr>
        <a:xfrm>
          <a:off x="3270250" y="27476450"/>
          <a:ext cx="203200" cy="234950"/>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209550</xdr:colOff>
      <xdr:row>61</xdr:row>
      <xdr:rowOff>215900</xdr:rowOff>
    </xdr:from>
    <xdr:to>
      <xdr:col>9</xdr:col>
      <xdr:colOff>38100</xdr:colOff>
      <xdr:row>66</xdr:row>
      <xdr:rowOff>47625</xdr:rowOff>
    </xdr:to>
    <xdr:sp macro="" textlink="">
      <xdr:nvSpPr>
        <xdr:cNvPr id="37" name="正方形/長方形 36">
          <a:extLst>
            <a:ext uri="{FF2B5EF4-FFF2-40B4-BE49-F238E27FC236}">
              <a16:creationId xmlns:a16="http://schemas.microsoft.com/office/drawing/2014/main" id="{A0194EE4-4FE8-497D-BBF6-F5AF5167E565}"/>
            </a:ext>
          </a:extLst>
        </xdr:cNvPr>
        <xdr:cNvSpPr/>
      </xdr:nvSpPr>
      <xdr:spPr>
        <a:xfrm>
          <a:off x="1276350" y="14084300"/>
          <a:ext cx="1162050" cy="1165225"/>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257175</xdr:colOff>
      <xdr:row>55</xdr:row>
      <xdr:rowOff>26132</xdr:rowOff>
    </xdr:from>
    <xdr:to>
      <xdr:col>9</xdr:col>
      <xdr:colOff>125047</xdr:colOff>
      <xdr:row>61</xdr:row>
      <xdr:rowOff>219075</xdr:rowOff>
    </xdr:to>
    <xdr:cxnSp macro="">
      <xdr:nvCxnSpPr>
        <xdr:cNvPr id="38" name="直線コネクタ 37">
          <a:extLst>
            <a:ext uri="{FF2B5EF4-FFF2-40B4-BE49-F238E27FC236}">
              <a16:creationId xmlns:a16="http://schemas.microsoft.com/office/drawing/2014/main" id="{234B337E-9B55-45DE-9CD7-840682A5E382}"/>
            </a:ext>
          </a:extLst>
        </xdr:cNvPr>
        <xdr:cNvCxnSpPr>
          <a:stCxn id="14" idx="2"/>
          <a:endCxn id="37" idx="0"/>
        </xdr:cNvCxnSpPr>
      </xdr:nvCxnSpPr>
      <xdr:spPr>
        <a:xfrm flipH="1">
          <a:off x="1857375" y="12294332"/>
          <a:ext cx="667972" cy="1793143"/>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247650</xdr:colOff>
      <xdr:row>71</xdr:row>
      <xdr:rowOff>0</xdr:rowOff>
    </xdr:from>
    <xdr:to>
      <xdr:col>24</xdr:col>
      <xdr:colOff>38100</xdr:colOff>
      <xdr:row>72</xdr:row>
      <xdr:rowOff>1</xdr:rowOff>
    </xdr:to>
    <xdr:sp macro="" textlink="">
      <xdr:nvSpPr>
        <xdr:cNvPr id="39" name="正方形/長方形 38">
          <a:extLst>
            <a:ext uri="{FF2B5EF4-FFF2-40B4-BE49-F238E27FC236}">
              <a16:creationId xmlns:a16="http://schemas.microsoft.com/office/drawing/2014/main" id="{86C98246-AA5D-4A25-9109-00B5B9B66469}"/>
            </a:ext>
          </a:extLst>
        </xdr:cNvPr>
        <xdr:cNvSpPr/>
      </xdr:nvSpPr>
      <xdr:spPr>
        <a:xfrm>
          <a:off x="1581150" y="16535400"/>
          <a:ext cx="4857750" cy="266701"/>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261938</xdr:colOff>
      <xdr:row>64</xdr:row>
      <xdr:rowOff>28575</xdr:rowOff>
    </xdr:from>
    <xdr:to>
      <xdr:col>15</xdr:col>
      <xdr:colOff>9525</xdr:colOff>
      <xdr:row>71</xdr:row>
      <xdr:rowOff>0</xdr:rowOff>
    </xdr:to>
    <xdr:cxnSp macro="">
      <xdr:nvCxnSpPr>
        <xdr:cNvPr id="40" name="直線コネクタ 39">
          <a:extLst>
            <a:ext uri="{FF2B5EF4-FFF2-40B4-BE49-F238E27FC236}">
              <a16:creationId xmlns:a16="http://schemas.microsoft.com/office/drawing/2014/main" id="{85CCCC25-BDE7-4F9D-8514-0A59C0824087}"/>
            </a:ext>
          </a:extLst>
        </xdr:cNvPr>
        <xdr:cNvCxnSpPr>
          <a:stCxn id="45" idx="2"/>
          <a:endCxn id="39" idx="0"/>
        </xdr:cNvCxnSpPr>
      </xdr:nvCxnSpPr>
      <xdr:spPr>
        <a:xfrm>
          <a:off x="1862138" y="14697075"/>
          <a:ext cx="2147887" cy="1838325"/>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257175</xdr:colOff>
      <xdr:row>56</xdr:row>
      <xdr:rowOff>259617</xdr:rowOff>
    </xdr:from>
    <xdr:to>
      <xdr:col>19</xdr:col>
      <xdr:colOff>251070</xdr:colOff>
      <xdr:row>61</xdr:row>
      <xdr:rowOff>219075</xdr:rowOff>
    </xdr:to>
    <xdr:cxnSp macro="">
      <xdr:nvCxnSpPr>
        <xdr:cNvPr id="41" name="直線コネクタ 40">
          <a:extLst>
            <a:ext uri="{FF2B5EF4-FFF2-40B4-BE49-F238E27FC236}">
              <a16:creationId xmlns:a16="http://schemas.microsoft.com/office/drawing/2014/main" id="{65F1FAE7-26A6-4218-81A0-F272B001E69E}"/>
            </a:ext>
          </a:extLst>
        </xdr:cNvPr>
        <xdr:cNvCxnSpPr>
          <a:stCxn id="18" idx="2"/>
          <a:endCxn id="37" idx="0"/>
        </xdr:cNvCxnSpPr>
      </xdr:nvCxnSpPr>
      <xdr:spPr>
        <a:xfrm flipH="1">
          <a:off x="1857375" y="12794517"/>
          <a:ext cx="3460995" cy="1292958"/>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187325</xdr:colOff>
      <xdr:row>58</xdr:row>
      <xdr:rowOff>69849</xdr:rowOff>
    </xdr:from>
    <xdr:to>
      <xdr:col>18</xdr:col>
      <xdr:colOff>88900</xdr:colOff>
      <xdr:row>60</xdr:row>
      <xdr:rowOff>101598</xdr:rowOff>
    </xdr:to>
    <xdr:sp macro="" textlink="">
      <xdr:nvSpPr>
        <xdr:cNvPr id="42" name="正方形/長方形 41">
          <a:extLst>
            <a:ext uri="{FF2B5EF4-FFF2-40B4-BE49-F238E27FC236}">
              <a16:creationId xmlns:a16="http://schemas.microsoft.com/office/drawing/2014/main" id="{A2CB56E8-63AD-42FC-A83C-BD75EA45C2C6}"/>
            </a:ext>
          </a:extLst>
        </xdr:cNvPr>
        <xdr:cNvSpPr/>
      </xdr:nvSpPr>
      <xdr:spPr>
        <a:xfrm>
          <a:off x="4187825" y="15538449"/>
          <a:ext cx="701675" cy="565149"/>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228600</xdr:colOff>
      <xdr:row>45</xdr:row>
      <xdr:rowOff>200025</xdr:rowOff>
    </xdr:from>
    <xdr:to>
      <xdr:col>7</xdr:col>
      <xdr:colOff>158750</xdr:colOff>
      <xdr:row>46</xdr:row>
      <xdr:rowOff>142875</xdr:rowOff>
    </xdr:to>
    <xdr:sp macro="" textlink="">
      <xdr:nvSpPr>
        <xdr:cNvPr id="43" name="正方形/長方形 42">
          <a:extLst>
            <a:ext uri="{FF2B5EF4-FFF2-40B4-BE49-F238E27FC236}">
              <a16:creationId xmlns:a16="http://schemas.microsoft.com/office/drawing/2014/main" id="{82810B99-A233-4175-8A28-9BEEE3B69A5D}"/>
            </a:ext>
          </a:extLst>
        </xdr:cNvPr>
        <xdr:cNvSpPr/>
      </xdr:nvSpPr>
      <xdr:spPr>
        <a:xfrm>
          <a:off x="1828800" y="9801225"/>
          <a:ext cx="196850" cy="20955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60325</xdr:colOff>
      <xdr:row>46</xdr:row>
      <xdr:rowOff>142875</xdr:rowOff>
    </xdr:from>
    <xdr:to>
      <xdr:col>17</xdr:col>
      <xdr:colOff>4763</xdr:colOff>
      <xdr:row>58</xdr:row>
      <xdr:rowOff>69849</xdr:rowOff>
    </xdr:to>
    <xdr:cxnSp macro="">
      <xdr:nvCxnSpPr>
        <xdr:cNvPr id="44" name="直線コネクタ 43">
          <a:extLst>
            <a:ext uri="{FF2B5EF4-FFF2-40B4-BE49-F238E27FC236}">
              <a16:creationId xmlns:a16="http://schemas.microsoft.com/office/drawing/2014/main" id="{EFF7E151-8691-47D6-85D7-758D5622EA1A}"/>
            </a:ext>
          </a:extLst>
        </xdr:cNvPr>
        <xdr:cNvCxnSpPr>
          <a:stCxn id="43" idx="2"/>
          <a:endCxn id="42" idx="0"/>
        </xdr:cNvCxnSpPr>
      </xdr:nvCxnSpPr>
      <xdr:spPr>
        <a:xfrm>
          <a:off x="1927225" y="12411075"/>
          <a:ext cx="2611438" cy="3127374"/>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57150</xdr:colOff>
      <xdr:row>63</xdr:row>
      <xdr:rowOff>0</xdr:rowOff>
    </xdr:from>
    <xdr:to>
      <xdr:col>8</xdr:col>
      <xdr:colOff>196850</xdr:colOff>
      <xdr:row>64</xdr:row>
      <xdr:rowOff>25400</xdr:rowOff>
    </xdr:to>
    <xdr:sp macro="" textlink="">
      <xdr:nvSpPr>
        <xdr:cNvPr id="45" name="正方形/長方形 44">
          <a:extLst>
            <a:ext uri="{FF2B5EF4-FFF2-40B4-BE49-F238E27FC236}">
              <a16:creationId xmlns:a16="http://schemas.microsoft.com/office/drawing/2014/main" id="{68905423-9716-4F43-B424-F5D6F27B486A}"/>
            </a:ext>
          </a:extLst>
        </xdr:cNvPr>
        <xdr:cNvSpPr/>
      </xdr:nvSpPr>
      <xdr:spPr>
        <a:xfrm>
          <a:off x="1390650" y="14401800"/>
          <a:ext cx="939800" cy="29210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219075</xdr:colOff>
      <xdr:row>67</xdr:row>
      <xdr:rowOff>66675</xdr:rowOff>
    </xdr:from>
    <xdr:to>
      <xdr:col>25</xdr:col>
      <xdr:colOff>120650</xdr:colOff>
      <xdr:row>69</xdr:row>
      <xdr:rowOff>206375</xdr:rowOff>
    </xdr:to>
    <xdr:sp macro="" textlink="">
      <xdr:nvSpPr>
        <xdr:cNvPr id="46" name="正方形/長方形 45">
          <a:extLst>
            <a:ext uri="{FF2B5EF4-FFF2-40B4-BE49-F238E27FC236}">
              <a16:creationId xmlns:a16="http://schemas.microsoft.com/office/drawing/2014/main" id="{ABAD9E5D-C0A7-4916-83B1-69629E138B99}"/>
            </a:ext>
          </a:extLst>
        </xdr:cNvPr>
        <xdr:cNvSpPr/>
      </xdr:nvSpPr>
      <xdr:spPr>
        <a:xfrm>
          <a:off x="4219575" y="15535275"/>
          <a:ext cx="2568575" cy="67310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0</xdr:colOff>
      <xdr:row>65</xdr:row>
      <xdr:rowOff>38100</xdr:rowOff>
    </xdr:from>
    <xdr:to>
      <xdr:col>8</xdr:col>
      <xdr:colOff>228599</xdr:colOff>
      <xdr:row>65</xdr:row>
      <xdr:rowOff>209550</xdr:rowOff>
    </xdr:to>
    <xdr:sp macro="" textlink="">
      <xdr:nvSpPr>
        <xdr:cNvPr id="47" name="正方形/長方形 46">
          <a:extLst>
            <a:ext uri="{FF2B5EF4-FFF2-40B4-BE49-F238E27FC236}">
              <a16:creationId xmlns:a16="http://schemas.microsoft.com/office/drawing/2014/main" id="{4E778EC8-0972-4EB6-B18A-8AF5EB6673A5}"/>
            </a:ext>
          </a:extLst>
        </xdr:cNvPr>
        <xdr:cNvSpPr/>
      </xdr:nvSpPr>
      <xdr:spPr>
        <a:xfrm>
          <a:off x="2133600" y="14973300"/>
          <a:ext cx="228599" cy="17145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114300</xdr:colOff>
      <xdr:row>65</xdr:row>
      <xdr:rowOff>209550</xdr:rowOff>
    </xdr:from>
    <xdr:to>
      <xdr:col>20</xdr:col>
      <xdr:colOff>169863</xdr:colOff>
      <xdr:row>67</xdr:row>
      <xdr:rowOff>63500</xdr:rowOff>
    </xdr:to>
    <xdr:cxnSp macro="">
      <xdr:nvCxnSpPr>
        <xdr:cNvPr id="48" name="直線コネクタ 47">
          <a:extLst>
            <a:ext uri="{FF2B5EF4-FFF2-40B4-BE49-F238E27FC236}">
              <a16:creationId xmlns:a16="http://schemas.microsoft.com/office/drawing/2014/main" id="{A3BEBCF0-72CC-4928-A2FD-171B3CAD4142}"/>
            </a:ext>
          </a:extLst>
        </xdr:cNvPr>
        <xdr:cNvCxnSpPr>
          <a:stCxn id="47" idx="2"/>
          <a:endCxn id="46" idx="0"/>
        </xdr:cNvCxnSpPr>
      </xdr:nvCxnSpPr>
      <xdr:spPr>
        <a:xfrm>
          <a:off x="2247900" y="15144750"/>
          <a:ext cx="3255963" cy="387350"/>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4</xdr:col>
      <xdr:colOff>0</xdr:colOff>
      <xdr:row>61</xdr:row>
      <xdr:rowOff>0</xdr:rowOff>
    </xdr:from>
    <xdr:to>
      <xdr:col>5</xdr:col>
      <xdr:colOff>9525</xdr:colOff>
      <xdr:row>67</xdr:row>
      <xdr:rowOff>9525</xdr:rowOff>
    </xdr:to>
    <xdr:pic>
      <xdr:nvPicPr>
        <xdr:cNvPr id="49" name="図 48">
          <a:extLst>
            <a:ext uri="{FF2B5EF4-FFF2-40B4-BE49-F238E27FC236}">
              <a16:creationId xmlns:a16="http://schemas.microsoft.com/office/drawing/2014/main" id="{5A8A397A-9868-470E-B9ED-A3ABE25C25D5}"/>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066800" y="13868400"/>
          <a:ext cx="276225" cy="1609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37</xdr:col>
      <xdr:colOff>96540</xdr:colOff>
      <xdr:row>7</xdr:row>
      <xdr:rowOff>165100</xdr:rowOff>
    </xdr:to>
    <xdr:pic>
      <xdr:nvPicPr>
        <xdr:cNvPr id="50" name="図 49">
          <a:extLst>
            <a:ext uri="{FF2B5EF4-FFF2-40B4-BE49-F238E27FC236}">
              <a16:creationId xmlns:a16="http://schemas.microsoft.com/office/drawing/2014/main" id="{B0270BD9-8F81-4CC6-82F2-A5F857BDC9E9}"/>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00100" y="800100"/>
          <a:ext cx="9164340" cy="1231900"/>
        </a:xfrm>
        <a:prstGeom prst="rect">
          <a:avLst/>
        </a:prstGeom>
      </xdr:spPr>
    </xdr:pic>
    <xdr:clientData/>
  </xdr:twoCellAnchor>
  <xdr:twoCellAnchor>
    <xdr:from>
      <xdr:col>5</xdr:col>
      <xdr:colOff>209550</xdr:colOff>
      <xdr:row>8</xdr:row>
      <xdr:rowOff>222250</xdr:rowOff>
    </xdr:from>
    <xdr:to>
      <xdr:col>23</xdr:col>
      <xdr:colOff>133350</xdr:colOff>
      <xdr:row>10</xdr:row>
      <xdr:rowOff>38100</xdr:rowOff>
    </xdr:to>
    <xdr:sp macro="" textlink="">
      <xdr:nvSpPr>
        <xdr:cNvPr id="51" name="正方形/長方形 50">
          <a:extLst>
            <a:ext uri="{FF2B5EF4-FFF2-40B4-BE49-F238E27FC236}">
              <a16:creationId xmlns:a16="http://schemas.microsoft.com/office/drawing/2014/main" id="{49BEA0B3-7984-40E6-855B-5E487B5C2F40}"/>
            </a:ext>
          </a:extLst>
        </xdr:cNvPr>
        <xdr:cNvSpPr/>
      </xdr:nvSpPr>
      <xdr:spPr>
        <a:xfrm>
          <a:off x="1543050" y="2355850"/>
          <a:ext cx="4724400" cy="349250"/>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31750</xdr:colOff>
      <xdr:row>5</xdr:row>
      <xdr:rowOff>241300</xdr:rowOff>
    </xdr:from>
    <xdr:to>
      <xdr:col>10</xdr:col>
      <xdr:colOff>6350</xdr:colOff>
      <xdr:row>7</xdr:row>
      <xdr:rowOff>19050</xdr:rowOff>
    </xdr:to>
    <xdr:sp macro="" textlink="">
      <xdr:nvSpPr>
        <xdr:cNvPr id="52" name="正方形/長方形 51">
          <a:extLst>
            <a:ext uri="{FF2B5EF4-FFF2-40B4-BE49-F238E27FC236}">
              <a16:creationId xmlns:a16="http://schemas.microsoft.com/office/drawing/2014/main" id="{66B1FF6A-5BA2-4B1D-AF5B-F2A1B473C0C2}"/>
            </a:ext>
          </a:extLst>
        </xdr:cNvPr>
        <xdr:cNvSpPr/>
      </xdr:nvSpPr>
      <xdr:spPr>
        <a:xfrm>
          <a:off x="1631950" y="1574800"/>
          <a:ext cx="1041400" cy="311150"/>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19050</xdr:colOff>
      <xdr:row>7</xdr:row>
      <xdr:rowOff>19050</xdr:rowOff>
    </xdr:from>
    <xdr:to>
      <xdr:col>14</xdr:col>
      <xdr:colOff>171450</xdr:colOff>
      <xdr:row>8</xdr:row>
      <xdr:rowOff>222250</xdr:rowOff>
    </xdr:to>
    <xdr:cxnSp macro="">
      <xdr:nvCxnSpPr>
        <xdr:cNvPr id="53" name="直線コネクタ 52">
          <a:extLst>
            <a:ext uri="{FF2B5EF4-FFF2-40B4-BE49-F238E27FC236}">
              <a16:creationId xmlns:a16="http://schemas.microsoft.com/office/drawing/2014/main" id="{26AF5414-A672-4D86-A91E-0A9D48AB83C3}"/>
            </a:ext>
          </a:extLst>
        </xdr:cNvPr>
        <xdr:cNvCxnSpPr>
          <a:stCxn id="52" idx="2"/>
          <a:endCxn id="51" idx="0"/>
        </xdr:cNvCxnSpPr>
      </xdr:nvCxnSpPr>
      <xdr:spPr>
        <a:xfrm>
          <a:off x="2152650" y="1885950"/>
          <a:ext cx="1752600" cy="469900"/>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5</xdr:col>
      <xdr:colOff>28575</xdr:colOff>
      <xdr:row>44</xdr:row>
      <xdr:rowOff>28575</xdr:rowOff>
    </xdr:from>
    <xdr:to>
      <xdr:col>13</xdr:col>
      <xdr:colOff>263580</xdr:colOff>
      <xdr:row>52</xdr:row>
      <xdr:rowOff>238125</xdr:rowOff>
    </xdr:to>
    <xdr:pic>
      <xdr:nvPicPr>
        <xdr:cNvPr id="2" name="図 1">
          <a:extLst>
            <a:ext uri="{FF2B5EF4-FFF2-40B4-BE49-F238E27FC236}">
              <a16:creationId xmlns:a16="http://schemas.microsoft.com/office/drawing/2014/main" id="{82A4FF8E-30E1-42E0-B2FE-BE767C928F3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62075" y="9363075"/>
          <a:ext cx="2368605" cy="2343150"/>
        </a:xfrm>
        <a:prstGeom prst="rect">
          <a:avLst/>
        </a:prstGeom>
      </xdr:spPr>
    </xdr:pic>
    <xdr:clientData/>
  </xdr:twoCellAnchor>
  <xdr:twoCellAnchor editAs="oneCell">
    <xdr:from>
      <xdr:col>16</xdr:col>
      <xdr:colOff>0</xdr:colOff>
      <xdr:row>44</xdr:row>
      <xdr:rowOff>0</xdr:rowOff>
    </xdr:from>
    <xdr:to>
      <xdr:col>43</xdr:col>
      <xdr:colOff>208106</xdr:colOff>
      <xdr:row>53</xdr:row>
      <xdr:rowOff>209550</xdr:rowOff>
    </xdr:to>
    <xdr:pic>
      <xdr:nvPicPr>
        <xdr:cNvPr id="3" name="図 2">
          <a:extLst>
            <a:ext uri="{FF2B5EF4-FFF2-40B4-BE49-F238E27FC236}">
              <a16:creationId xmlns:a16="http://schemas.microsoft.com/office/drawing/2014/main" id="{ABC7A8D1-63F6-495D-B653-C51D5952592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267200" y="9334500"/>
          <a:ext cx="7409006" cy="2609850"/>
        </a:xfrm>
        <a:prstGeom prst="rect">
          <a:avLst/>
        </a:prstGeom>
      </xdr:spPr>
    </xdr:pic>
    <xdr:clientData/>
  </xdr:twoCellAnchor>
  <xdr:twoCellAnchor editAs="oneCell">
    <xdr:from>
      <xdr:col>5</xdr:col>
      <xdr:colOff>0</xdr:colOff>
      <xdr:row>133</xdr:row>
      <xdr:rowOff>0</xdr:rowOff>
    </xdr:from>
    <xdr:to>
      <xdr:col>34</xdr:col>
      <xdr:colOff>126267</xdr:colOff>
      <xdr:row>148</xdr:row>
      <xdr:rowOff>170109</xdr:rowOff>
    </xdr:to>
    <xdr:pic>
      <xdr:nvPicPr>
        <xdr:cNvPr id="4" name="図 3">
          <a:extLst>
            <a:ext uri="{FF2B5EF4-FFF2-40B4-BE49-F238E27FC236}">
              <a16:creationId xmlns:a16="http://schemas.microsoft.com/office/drawing/2014/main" id="{BE114E9E-0A7A-4178-8DD5-2808B641C3B2}"/>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333500" y="32537400"/>
          <a:ext cx="7860567" cy="4170609"/>
        </a:xfrm>
        <a:prstGeom prst="rect">
          <a:avLst/>
        </a:prstGeom>
      </xdr:spPr>
    </xdr:pic>
    <xdr:clientData/>
  </xdr:twoCellAnchor>
  <xdr:twoCellAnchor editAs="oneCell">
    <xdr:from>
      <xdr:col>5</xdr:col>
      <xdr:colOff>0</xdr:colOff>
      <xdr:row>76</xdr:row>
      <xdr:rowOff>0</xdr:rowOff>
    </xdr:from>
    <xdr:to>
      <xdr:col>17</xdr:col>
      <xdr:colOff>29308</xdr:colOff>
      <xdr:row>93</xdr:row>
      <xdr:rowOff>30097</xdr:rowOff>
    </xdr:to>
    <xdr:pic>
      <xdr:nvPicPr>
        <xdr:cNvPr id="5" name="図 4">
          <a:extLst>
            <a:ext uri="{FF2B5EF4-FFF2-40B4-BE49-F238E27FC236}">
              <a16:creationId xmlns:a16="http://schemas.microsoft.com/office/drawing/2014/main" id="{6ECA911E-7DDB-4C8E-8CD1-9370C1CEEC2E}"/>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333500" y="17868900"/>
          <a:ext cx="3229708" cy="4563997"/>
        </a:xfrm>
        <a:prstGeom prst="rect">
          <a:avLst/>
        </a:prstGeom>
      </xdr:spPr>
    </xdr:pic>
    <xdr:clientData/>
  </xdr:twoCellAnchor>
  <xdr:twoCellAnchor editAs="oneCell">
    <xdr:from>
      <xdr:col>5</xdr:col>
      <xdr:colOff>1</xdr:colOff>
      <xdr:row>29</xdr:row>
      <xdr:rowOff>14654</xdr:rowOff>
    </xdr:from>
    <xdr:to>
      <xdr:col>34</xdr:col>
      <xdr:colOff>123093</xdr:colOff>
      <xdr:row>33</xdr:row>
      <xdr:rowOff>117040</xdr:rowOff>
    </xdr:to>
    <xdr:pic>
      <xdr:nvPicPr>
        <xdr:cNvPr id="6" name="図 5">
          <a:extLst>
            <a:ext uri="{FF2B5EF4-FFF2-40B4-BE49-F238E27FC236}">
              <a16:creationId xmlns:a16="http://schemas.microsoft.com/office/drawing/2014/main" id="{73CFEA0C-FEB3-4700-93E9-05319FA533F6}"/>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333501" y="5348654"/>
          <a:ext cx="7857392" cy="1169186"/>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82550</xdr:colOff>
          <xdr:row>128</xdr:row>
          <xdr:rowOff>184150</xdr:rowOff>
        </xdr:from>
        <xdr:to>
          <xdr:col>12</xdr:col>
          <xdr:colOff>139700</xdr:colOff>
          <xdr:row>131</xdr:row>
          <xdr:rowOff>57150</xdr:rowOff>
        </xdr:to>
        <xdr:sp macro="" textlink="">
          <xdr:nvSpPr>
            <xdr:cNvPr id="122881" name="Button 1" hidden="1">
              <a:extLst>
                <a:ext uri="{63B3BB69-23CF-44E3-9099-C40C66FF867C}">
                  <a14:compatExt spid="_x0000_s122881"/>
                </a:ext>
                <a:ext uri="{FF2B5EF4-FFF2-40B4-BE49-F238E27FC236}">
                  <a16:creationId xmlns:a16="http://schemas.microsoft.com/office/drawing/2014/main" id="{00000000-0008-0000-1200-000001E00100}"/>
                </a:ext>
              </a:extLst>
            </xdr:cNvPr>
            <xdr:cNvSpPr/>
          </xdr:nvSpPr>
          <xdr:spPr bwMode="auto">
            <a:xfrm>
              <a:off x="0" y="0"/>
              <a:ext cx="0" cy="0"/>
            </a:xfrm>
            <a:prstGeom prst="rect">
              <a:avLst/>
            </a:prstGeom>
            <a:noFill/>
            <a:ln w="9525">
              <a:miter lim="800000"/>
              <a:headEnd/>
              <a:tailEnd/>
            </a:ln>
          </xdr:spPr>
          <xdr:txBody>
            <a:bodyPr vertOverflow="clip" wrap="square" lIns="64008" tIns="91440" rIns="64008" bIns="91440" anchor="ctr" upright="1"/>
            <a:lstStyle/>
            <a:p>
              <a:pPr algn="ctr" rtl="0">
                <a:defRPr sz="1000"/>
              </a:pPr>
              <a:r>
                <a:rPr lang="ja-JP" altLang="en-US" sz="2000" b="0" i="0" u="none" strike="noStrike" baseline="0">
                  <a:solidFill>
                    <a:srgbClr val="000000"/>
                  </a:solidFill>
                  <a:latin typeface="游ゴシック"/>
                  <a:ea typeface="游ゴシック"/>
                </a:rPr>
                <a:t>自動生成</a:t>
              </a:r>
            </a:p>
          </xdr:txBody>
        </xdr:sp>
        <xdr:clientData fPrintsWithSheet="0"/>
      </xdr:twoCellAnchor>
    </mc:Choice>
    <mc:Fallback/>
  </mc:AlternateContent>
  <xdr:twoCellAnchor editAs="oneCell">
    <xdr:from>
      <xdr:col>5</xdr:col>
      <xdr:colOff>0</xdr:colOff>
      <xdr:row>14</xdr:row>
      <xdr:rowOff>0</xdr:rowOff>
    </xdr:from>
    <xdr:to>
      <xdr:col>31</xdr:col>
      <xdr:colOff>105747</xdr:colOff>
      <xdr:row>18</xdr:row>
      <xdr:rowOff>154767</xdr:rowOff>
    </xdr:to>
    <xdr:pic>
      <xdr:nvPicPr>
        <xdr:cNvPr id="7" name="図 6">
          <a:extLst>
            <a:ext uri="{FF2B5EF4-FFF2-40B4-BE49-F238E27FC236}">
              <a16:creationId xmlns:a16="http://schemas.microsoft.com/office/drawing/2014/main" id="{B8F9A15C-6579-4DE5-9501-C75A704FA016}"/>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33500" y="1333500"/>
          <a:ext cx="7039947" cy="1221567"/>
        </a:xfrm>
        <a:prstGeom prst="rect">
          <a:avLst/>
        </a:prstGeom>
      </xdr:spPr>
    </xdr:pic>
    <xdr:clientData/>
  </xdr:twoCellAnchor>
  <xdr:twoCellAnchor>
    <xdr:from>
      <xdr:col>5</xdr:col>
      <xdr:colOff>0</xdr:colOff>
      <xdr:row>20</xdr:row>
      <xdr:rowOff>7326</xdr:rowOff>
    </xdr:from>
    <xdr:to>
      <xdr:col>20</xdr:col>
      <xdr:colOff>134083</xdr:colOff>
      <xdr:row>22</xdr:row>
      <xdr:rowOff>13677</xdr:rowOff>
    </xdr:to>
    <xdr:sp macro="" textlink="">
      <xdr:nvSpPr>
        <xdr:cNvPr id="8" name="正方形/長方形 7">
          <a:extLst>
            <a:ext uri="{FF2B5EF4-FFF2-40B4-BE49-F238E27FC236}">
              <a16:creationId xmlns:a16="http://schemas.microsoft.com/office/drawing/2014/main" id="{14F43CD1-2018-4ED0-A64C-8D65C60F6345}"/>
            </a:ext>
          </a:extLst>
        </xdr:cNvPr>
        <xdr:cNvSpPr/>
      </xdr:nvSpPr>
      <xdr:spPr>
        <a:xfrm>
          <a:off x="1333500" y="2941026"/>
          <a:ext cx="4134583" cy="539751"/>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18</xdr:col>
      <xdr:colOff>36634</xdr:colOff>
      <xdr:row>16</xdr:row>
      <xdr:rowOff>117230</xdr:rowOff>
    </xdr:from>
    <xdr:to>
      <xdr:col>23</xdr:col>
      <xdr:colOff>22958</xdr:colOff>
      <xdr:row>17</xdr:row>
      <xdr:rowOff>167542</xdr:rowOff>
    </xdr:to>
    <xdr:sp macro="" textlink="">
      <xdr:nvSpPr>
        <xdr:cNvPr id="9" name="正方形/長方形 8">
          <a:extLst>
            <a:ext uri="{FF2B5EF4-FFF2-40B4-BE49-F238E27FC236}">
              <a16:creationId xmlns:a16="http://schemas.microsoft.com/office/drawing/2014/main" id="{3A61B53A-266D-46F9-88E8-9AA5B5BB48C6}"/>
            </a:ext>
          </a:extLst>
        </xdr:cNvPr>
        <xdr:cNvSpPr/>
      </xdr:nvSpPr>
      <xdr:spPr>
        <a:xfrm>
          <a:off x="4837234" y="1984130"/>
          <a:ext cx="1319824" cy="317012"/>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198926</xdr:colOff>
      <xdr:row>17</xdr:row>
      <xdr:rowOff>164367</xdr:rowOff>
    </xdr:from>
    <xdr:to>
      <xdr:col>20</xdr:col>
      <xdr:colOff>163268</xdr:colOff>
      <xdr:row>20</xdr:row>
      <xdr:rowOff>10501</xdr:rowOff>
    </xdr:to>
    <xdr:cxnSp macro="">
      <xdr:nvCxnSpPr>
        <xdr:cNvPr id="10" name="直線コネクタ 9">
          <a:extLst>
            <a:ext uri="{FF2B5EF4-FFF2-40B4-BE49-F238E27FC236}">
              <a16:creationId xmlns:a16="http://schemas.microsoft.com/office/drawing/2014/main" id="{0C03283F-86A9-4EFE-A582-6A3256262255}"/>
            </a:ext>
          </a:extLst>
        </xdr:cNvPr>
        <xdr:cNvCxnSpPr>
          <a:stCxn id="9" idx="2"/>
          <a:endCxn id="8" idx="0"/>
        </xdr:cNvCxnSpPr>
      </xdr:nvCxnSpPr>
      <xdr:spPr>
        <a:xfrm flipH="1">
          <a:off x="3399326" y="2297967"/>
          <a:ext cx="2097942" cy="646234"/>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227135</xdr:colOff>
      <xdr:row>33</xdr:row>
      <xdr:rowOff>256442</xdr:rowOff>
    </xdr:from>
    <xdr:to>
      <xdr:col>11</xdr:col>
      <xdr:colOff>222983</xdr:colOff>
      <xdr:row>36</xdr:row>
      <xdr:rowOff>4152</xdr:rowOff>
    </xdr:to>
    <xdr:sp macro="" textlink="">
      <xdr:nvSpPr>
        <xdr:cNvPr id="11" name="正方形/長方形 10">
          <a:extLst>
            <a:ext uri="{FF2B5EF4-FFF2-40B4-BE49-F238E27FC236}">
              <a16:creationId xmlns:a16="http://schemas.microsoft.com/office/drawing/2014/main" id="{FC733CF5-2601-4358-9F9F-EBF765A549F7}"/>
            </a:ext>
          </a:extLst>
        </xdr:cNvPr>
        <xdr:cNvSpPr/>
      </xdr:nvSpPr>
      <xdr:spPr>
        <a:xfrm>
          <a:off x="1560635" y="6657242"/>
          <a:ext cx="1596048" cy="54781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18</xdr:col>
      <xdr:colOff>201979</xdr:colOff>
      <xdr:row>32</xdr:row>
      <xdr:rowOff>10502</xdr:rowOff>
    </xdr:from>
    <xdr:to>
      <xdr:col>22</xdr:col>
      <xdr:colOff>36635</xdr:colOff>
      <xdr:row>32</xdr:row>
      <xdr:rowOff>234462</xdr:rowOff>
    </xdr:to>
    <xdr:sp macro="" textlink="">
      <xdr:nvSpPr>
        <xdr:cNvPr id="12" name="正方形/長方形 11">
          <a:extLst>
            <a:ext uri="{FF2B5EF4-FFF2-40B4-BE49-F238E27FC236}">
              <a16:creationId xmlns:a16="http://schemas.microsoft.com/office/drawing/2014/main" id="{8446BB58-BA53-4572-BF8B-DF360D2FFC20}"/>
            </a:ext>
          </a:extLst>
        </xdr:cNvPr>
        <xdr:cNvSpPr/>
      </xdr:nvSpPr>
      <xdr:spPr>
        <a:xfrm>
          <a:off x="5002579" y="6144602"/>
          <a:ext cx="901456" cy="22396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223472</xdr:colOff>
      <xdr:row>32</xdr:row>
      <xdr:rowOff>234462</xdr:rowOff>
    </xdr:from>
    <xdr:to>
      <xdr:col>20</xdr:col>
      <xdr:colOff>119307</xdr:colOff>
      <xdr:row>33</xdr:row>
      <xdr:rowOff>259617</xdr:rowOff>
    </xdr:to>
    <xdr:cxnSp macro="">
      <xdr:nvCxnSpPr>
        <xdr:cNvPr id="13" name="直線コネクタ 12">
          <a:extLst>
            <a:ext uri="{FF2B5EF4-FFF2-40B4-BE49-F238E27FC236}">
              <a16:creationId xmlns:a16="http://schemas.microsoft.com/office/drawing/2014/main" id="{2A80CBA8-FD17-4D42-B403-920D02454147}"/>
            </a:ext>
          </a:extLst>
        </xdr:cNvPr>
        <xdr:cNvCxnSpPr>
          <a:stCxn id="12" idx="2"/>
          <a:endCxn id="11" idx="0"/>
        </xdr:cNvCxnSpPr>
      </xdr:nvCxnSpPr>
      <xdr:spPr>
        <a:xfrm flipH="1">
          <a:off x="2357072" y="6368562"/>
          <a:ext cx="3096235" cy="291855"/>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241789</xdr:colOff>
      <xdr:row>53</xdr:row>
      <xdr:rowOff>219808</xdr:rowOff>
    </xdr:from>
    <xdr:to>
      <xdr:col>14</xdr:col>
      <xdr:colOff>8305</xdr:colOff>
      <xdr:row>55</xdr:row>
      <xdr:rowOff>22957</xdr:rowOff>
    </xdr:to>
    <xdr:sp macro="" textlink="">
      <xdr:nvSpPr>
        <xdr:cNvPr id="14" name="正方形/長方形 13">
          <a:extLst>
            <a:ext uri="{FF2B5EF4-FFF2-40B4-BE49-F238E27FC236}">
              <a16:creationId xmlns:a16="http://schemas.microsoft.com/office/drawing/2014/main" id="{A0A47B04-7AFB-4A3D-8CAA-E9D145ED07E0}"/>
            </a:ext>
          </a:extLst>
        </xdr:cNvPr>
        <xdr:cNvSpPr/>
      </xdr:nvSpPr>
      <xdr:spPr>
        <a:xfrm>
          <a:off x="1308589" y="11954608"/>
          <a:ext cx="2433516" cy="336549"/>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209550</xdr:colOff>
      <xdr:row>45</xdr:row>
      <xdr:rowOff>190499</xdr:rowOff>
    </xdr:from>
    <xdr:to>
      <xdr:col>9</xdr:col>
      <xdr:colOff>122361</xdr:colOff>
      <xdr:row>48</xdr:row>
      <xdr:rowOff>95250</xdr:rowOff>
    </xdr:to>
    <xdr:sp macro="" textlink="">
      <xdr:nvSpPr>
        <xdr:cNvPr id="15" name="正方形/長方形 14">
          <a:extLst>
            <a:ext uri="{FF2B5EF4-FFF2-40B4-BE49-F238E27FC236}">
              <a16:creationId xmlns:a16="http://schemas.microsoft.com/office/drawing/2014/main" id="{C91A2581-3A6C-4A0C-B5BC-D3EF59058F14}"/>
            </a:ext>
          </a:extLst>
        </xdr:cNvPr>
        <xdr:cNvSpPr/>
      </xdr:nvSpPr>
      <xdr:spPr>
        <a:xfrm>
          <a:off x="1809750" y="9791699"/>
          <a:ext cx="712911" cy="704851"/>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32606</xdr:colOff>
      <xdr:row>48</xdr:row>
      <xdr:rowOff>95250</xdr:rowOff>
    </xdr:from>
    <xdr:to>
      <xdr:col>9</xdr:col>
      <xdr:colOff>125047</xdr:colOff>
      <xdr:row>53</xdr:row>
      <xdr:rowOff>216633</xdr:rowOff>
    </xdr:to>
    <xdr:cxnSp macro="">
      <xdr:nvCxnSpPr>
        <xdr:cNvPr id="16" name="直線コネクタ 15">
          <a:extLst>
            <a:ext uri="{FF2B5EF4-FFF2-40B4-BE49-F238E27FC236}">
              <a16:creationId xmlns:a16="http://schemas.microsoft.com/office/drawing/2014/main" id="{09BDFB92-1847-4E8E-9A0C-4B723763B544}"/>
            </a:ext>
          </a:extLst>
        </xdr:cNvPr>
        <xdr:cNvCxnSpPr>
          <a:stCxn id="15" idx="2"/>
          <a:endCxn id="14" idx="0"/>
        </xdr:cNvCxnSpPr>
      </xdr:nvCxnSpPr>
      <xdr:spPr>
        <a:xfrm>
          <a:off x="2166206" y="10496550"/>
          <a:ext cx="359141" cy="1454883"/>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217365</xdr:colOff>
      <xdr:row>44</xdr:row>
      <xdr:rowOff>212237</xdr:rowOff>
    </xdr:from>
    <xdr:to>
      <xdr:col>43</xdr:col>
      <xdr:colOff>257175</xdr:colOff>
      <xdr:row>45</xdr:row>
      <xdr:rowOff>209550</xdr:rowOff>
    </xdr:to>
    <xdr:sp macro="" textlink="">
      <xdr:nvSpPr>
        <xdr:cNvPr id="17" name="正方形/長方形 16">
          <a:extLst>
            <a:ext uri="{FF2B5EF4-FFF2-40B4-BE49-F238E27FC236}">
              <a16:creationId xmlns:a16="http://schemas.microsoft.com/office/drawing/2014/main" id="{9D29CC70-B6DD-441B-B9FB-1E18A37EF288}"/>
            </a:ext>
          </a:extLst>
        </xdr:cNvPr>
        <xdr:cNvSpPr/>
      </xdr:nvSpPr>
      <xdr:spPr>
        <a:xfrm>
          <a:off x="4484565" y="9546737"/>
          <a:ext cx="7240710" cy="264013"/>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201980</xdr:colOff>
      <xdr:row>54</xdr:row>
      <xdr:rowOff>212480</xdr:rowOff>
    </xdr:from>
    <xdr:to>
      <xdr:col>25</xdr:col>
      <xdr:colOff>36634</xdr:colOff>
      <xdr:row>56</xdr:row>
      <xdr:rowOff>256442</xdr:rowOff>
    </xdr:to>
    <xdr:sp macro="" textlink="">
      <xdr:nvSpPr>
        <xdr:cNvPr id="18" name="正方形/長方形 17">
          <a:extLst>
            <a:ext uri="{FF2B5EF4-FFF2-40B4-BE49-F238E27FC236}">
              <a16:creationId xmlns:a16="http://schemas.microsoft.com/office/drawing/2014/main" id="{C27324EA-0F70-44A4-BC5A-59F4BD7A8DEF}"/>
            </a:ext>
          </a:extLst>
        </xdr:cNvPr>
        <xdr:cNvSpPr/>
      </xdr:nvSpPr>
      <xdr:spPr>
        <a:xfrm>
          <a:off x="3935780" y="12213980"/>
          <a:ext cx="2768354" cy="577362"/>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19</xdr:col>
      <xdr:colOff>251070</xdr:colOff>
      <xdr:row>45</xdr:row>
      <xdr:rowOff>209550</xdr:rowOff>
    </xdr:from>
    <xdr:to>
      <xdr:col>30</xdr:col>
      <xdr:colOff>103920</xdr:colOff>
      <xdr:row>54</xdr:row>
      <xdr:rowOff>212480</xdr:rowOff>
    </xdr:to>
    <xdr:cxnSp macro="">
      <xdr:nvCxnSpPr>
        <xdr:cNvPr id="19" name="直線コネクタ 18">
          <a:extLst>
            <a:ext uri="{FF2B5EF4-FFF2-40B4-BE49-F238E27FC236}">
              <a16:creationId xmlns:a16="http://schemas.microsoft.com/office/drawing/2014/main" id="{B516EED0-9A21-4196-8372-D3FC4381A339}"/>
            </a:ext>
          </a:extLst>
        </xdr:cNvPr>
        <xdr:cNvCxnSpPr>
          <a:stCxn id="17" idx="2"/>
          <a:endCxn id="18" idx="0"/>
        </xdr:cNvCxnSpPr>
      </xdr:nvCxnSpPr>
      <xdr:spPr>
        <a:xfrm flipH="1">
          <a:off x="5318370" y="9810750"/>
          <a:ext cx="2786550" cy="2403230"/>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153867</xdr:colOff>
      <xdr:row>80</xdr:row>
      <xdr:rowOff>263768</xdr:rowOff>
    </xdr:from>
    <xdr:to>
      <xdr:col>15</xdr:col>
      <xdr:colOff>183175</xdr:colOff>
      <xdr:row>90</xdr:row>
      <xdr:rowOff>80595</xdr:rowOff>
    </xdr:to>
    <xdr:sp macro="" textlink="">
      <xdr:nvSpPr>
        <xdr:cNvPr id="20" name="正方形/長方形 19">
          <a:extLst>
            <a:ext uri="{FF2B5EF4-FFF2-40B4-BE49-F238E27FC236}">
              <a16:creationId xmlns:a16="http://schemas.microsoft.com/office/drawing/2014/main" id="{E24D85F3-18D1-4EDF-8180-66F3291E71B5}"/>
            </a:ext>
          </a:extLst>
        </xdr:cNvPr>
        <xdr:cNvSpPr/>
      </xdr:nvSpPr>
      <xdr:spPr>
        <a:xfrm>
          <a:off x="3087567" y="19199468"/>
          <a:ext cx="1096108" cy="2483827"/>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234950</xdr:colOff>
      <xdr:row>94</xdr:row>
      <xdr:rowOff>10503</xdr:rowOff>
    </xdr:from>
    <xdr:to>
      <xdr:col>14</xdr:col>
      <xdr:colOff>171450</xdr:colOff>
      <xdr:row>94</xdr:row>
      <xdr:rowOff>247650</xdr:rowOff>
    </xdr:to>
    <xdr:sp macro="" textlink="">
      <xdr:nvSpPr>
        <xdr:cNvPr id="21" name="正方形/長方形 20">
          <a:extLst>
            <a:ext uri="{FF2B5EF4-FFF2-40B4-BE49-F238E27FC236}">
              <a16:creationId xmlns:a16="http://schemas.microsoft.com/office/drawing/2014/main" id="{B11F4A13-CBDB-4532-A559-89E353458973}"/>
            </a:ext>
          </a:extLst>
        </xdr:cNvPr>
        <xdr:cNvSpPr/>
      </xdr:nvSpPr>
      <xdr:spPr>
        <a:xfrm>
          <a:off x="1835150" y="22680003"/>
          <a:ext cx="2070100" cy="237147"/>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203200</xdr:colOff>
      <xdr:row>90</xdr:row>
      <xdr:rowOff>80595</xdr:rowOff>
    </xdr:from>
    <xdr:to>
      <xdr:col>13</xdr:col>
      <xdr:colOff>168521</xdr:colOff>
      <xdr:row>94</xdr:row>
      <xdr:rowOff>10503</xdr:rowOff>
    </xdr:to>
    <xdr:cxnSp macro="">
      <xdr:nvCxnSpPr>
        <xdr:cNvPr id="22" name="直線コネクタ 21">
          <a:extLst>
            <a:ext uri="{FF2B5EF4-FFF2-40B4-BE49-F238E27FC236}">
              <a16:creationId xmlns:a16="http://schemas.microsoft.com/office/drawing/2014/main" id="{90BD19BD-0289-4563-8A2F-DDD95DB7DFA0}"/>
            </a:ext>
          </a:extLst>
        </xdr:cNvPr>
        <xdr:cNvCxnSpPr>
          <a:stCxn id="20" idx="2"/>
          <a:endCxn id="21" idx="0"/>
        </xdr:cNvCxnSpPr>
      </xdr:nvCxnSpPr>
      <xdr:spPr>
        <a:xfrm flipH="1">
          <a:off x="2870200" y="21683295"/>
          <a:ext cx="765421" cy="996708"/>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26133</xdr:colOff>
      <xdr:row>147</xdr:row>
      <xdr:rowOff>180973</xdr:rowOff>
    </xdr:from>
    <xdr:to>
      <xdr:col>22</xdr:col>
      <xdr:colOff>139212</xdr:colOff>
      <xdr:row>148</xdr:row>
      <xdr:rowOff>102577</xdr:rowOff>
    </xdr:to>
    <xdr:sp macro="" textlink="">
      <xdr:nvSpPr>
        <xdr:cNvPr id="23" name="正方形/長方形 22">
          <a:extLst>
            <a:ext uri="{FF2B5EF4-FFF2-40B4-BE49-F238E27FC236}">
              <a16:creationId xmlns:a16="http://schemas.microsoft.com/office/drawing/2014/main" id="{876C4366-13E1-4FCB-8800-472B9661EE7B}"/>
            </a:ext>
          </a:extLst>
        </xdr:cNvPr>
        <xdr:cNvSpPr/>
      </xdr:nvSpPr>
      <xdr:spPr>
        <a:xfrm>
          <a:off x="5360133" y="36452173"/>
          <a:ext cx="646479" cy="188304"/>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256443</xdr:colOff>
      <xdr:row>150</xdr:row>
      <xdr:rowOff>21981</xdr:rowOff>
    </xdr:from>
    <xdr:to>
      <xdr:col>16</xdr:col>
      <xdr:colOff>157040</xdr:colOff>
      <xdr:row>150</xdr:row>
      <xdr:rowOff>251314</xdr:rowOff>
    </xdr:to>
    <xdr:sp macro="" textlink="">
      <xdr:nvSpPr>
        <xdr:cNvPr id="24" name="正方形/長方形 23">
          <a:extLst>
            <a:ext uri="{FF2B5EF4-FFF2-40B4-BE49-F238E27FC236}">
              <a16:creationId xmlns:a16="http://schemas.microsoft.com/office/drawing/2014/main" id="{A2FF84DD-A793-46B6-8059-2156EC40BAB4}"/>
            </a:ext>
          </a:extLst>
        </xdr:cNvPr>
        <xdr:cNvSpPr/>
      </xdr:nvSpPr>
      <xdr:spPr>
        <a:xfrm>
          <a:off x="1856643" y="37093281"/>
          <a:ext cx="2567597" cy="229333"/>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209916</xdr:colOff>
      <xdr:row>148</xdr:row>
      <xdr:rowOff>102577</xdr:rowOff>
    </xdr:from>
    <xdr:to>
      <xdr:col>21</xdr:col>
      <xdr:colOff>82673</xdr:colOff>
      <xdr:row>150</xdr:row>
      <xdr:rowOff>21981</xdr:rowOff>
    </xdr:to>
    <xdr:cxnSp macro="">
      <xdr:nvCxnSpPr>
        <xdr:cNvPr id="25" name="直線コネクタ 24">
          <a:extLst>
            <a:ext uri="{FF2B5EF4-FFF2-40B4-BE49-F238E27FC236}">
              <a16:creationId xmlns:a16="http://schemas.microsoft.com/office/drawing/2014/main" id="{CA550232-5E0A-4065-9AF2-5FB79E21B17D}"/>
            </a:ext>
          </a:extLst>
        </xdr:cNvPr>
        <xdr:cNvCxnSpPr>
          <a:stCxn id="23" idx="2"/>
          <a:endCxn id="24" idx="0"/>
        </xdr:cNvCxnSpPr>
      </xdr:nvCxnSpPr>
      <xdr:spPr>
        <a:xfrm flipH="1">
          <a:off x="3143616" y="36640477"/>
          <a:ext cx="2539757" cy="452804"/>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181463</xdr:colOff>
      <xdr:row>81</xdr:row>
      <xdr:rowOff>21249</xdr:rowOff>
    </xdr:from>
    <xdr:to>
      <xdr:col>12</xdr:col>
      <xdr:colOff>176578</xdr:colOff>
      <xdr:row>82</xdr:row>
      <xdr:rowOff>34193</xdr:rowOff>
    </xdr:to>
    <xdr:sp macro="" textlink="">
      <xdr:nvSpPr>
        <xdr:cNvPr id="26" name="正方形/長方形 25">
          <a:extLst>
            <a:ext uri="{FF2B5EF4-FFF2-40B4-BE49-F238E27FC236}">
              <a16:creationId xmlns:a16="http://schemas.microsoft.com/office/drawing/2014/main" id="{43BC744A-C092-4EBD-810C-2A628C59F1EC}"/>
            </a:ext>
          </a:extLst>
        </xdr:cNvPr>
        <xdr:cNvSpPr/>
      </xdr:nvSpPr>
      <xdr:spPr>
        <a:xfrm>
          <a:off x="3115163" y="19223649"/>
          <a:ext cx="261815" cy="279644"/>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205154</xdr:colOff>
      <xdr:row>96</xdr:row>
      <xdr:rowOff>73269</xdr:rowOff>
    </xdr:from>
    <xdr:to>
      <xdr:col>19</xdr:col>
      <xdr:colOff>180732</xdr:colOff>
      <xdr:row>98</xdr:row>
      <xdr:rowOff>92807</xdr:rowOff>
    </xdr:to>
    <xdr:sp macro="" textlink="">
      <xdr:nvSpPr>
        <xdr:cNvPr id="27" name="正方形/長方形 26">
          <a:extLst>
            <a:ext uri="{FF2B5EF4-FFF2-40B4-BE49-F238E27FC236}">
              <a16:creationId xmlns:a16="http://schemas.microsoft.com/office/drawing/2014/main" id="{60BCBEDD-8E93-4F04-B647-991DC104CF3E}"/>
            </a:ext>
          </a:extLst>
        </xdr:cNvPr>
        <xdr:cNvSpPr/>
      </xdr:nvSpPr>
      <xdr:spPr>
        <a:xfrm>
          <a:off x="4205654" y="23276169"/>
          <a:ext cx="1042378" cy="552938"/>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45671</xdr:colOff>
      <xdr:row>82</xdr:row>
      <xdr:rowOff>34193</xdr:rowOff>
    </xdr:from>
    <xdr:to>
      <xdr:col>17</xdr:col>
      <xdr:colOff>192943</xdr:colOff>
      <xdr:row>96</xdr:row>
      <xdr:rowOff>73269</xdr:rowOff>
    </xdr:to>
    <xdr:cxnSp macro="">
      <xdr:nvCxnSpPr>
        <xdr:cNvPr id="28" name="直線コネクタ 27">
          <a:extLst>
            <a:ext uri="{FF2B5EF4-FFF2-40B4-BE49-F238E27FC236}">
              <a16:creationId xmlns:a16="http://schemas.microsoft.com/office/drawing/2014/main" id="{7C63BD9C-FFBB-44B4-8B51-AD123793D257}"/>
            </a:ext>
          </a:extLst>
        </xdr:cNvPr>
        <xdr:cNvCxnSpPr>
          <a:stCxn id="26" idx="2"/>
          <a:endCxn id="27" idx="0"/>
        </xdr:cNvCxnSpPr>
      </xdr:nvCxnSpPr>
      <xdr:spPr>
        <a:xfrm>
          <a:off x="3246071" y="19503293"/>
          <a:ext cx="1480772" cy="3772876"/>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241300</xdr:colOff>
      <xdr:row>98</xdr:row>
      <xdr:rowOff>241300</xdr:rowOff>
    </xdr:from>
    <xdr:to>
      <xdr:col>25</xdr:col>
      <xdr:colOff>114300</xdr:colOff>
      <xdr:row>100</xdr:row>
      <xdr:rowOff>12700</xdr:rowOff>
    </xdr:to>
    <xdr:sp macro="" textlink="">
      <xdr:nvSpPr>
        <xdr:cNvPr id="29" name="正方形/長方形 28">
          <a:extLst>
            <a:ext uri="{FF2B5EF4-FFF2-40B4-BE49-F238E27FC236}">
              <a16:creationId xmlns:a16="http://schemas.microsoft.com/office/drawing/2014/main" id="{579AE991-94E2-46B8-8B3F-739C2734251F}"/>
            </a:ext>
          </a:extLst>
        </xdr:cNvPr>
        <xdr:cNvSpPr/>
      </xdr:nvSpPr>
      <xdr:spPr>
        <a:xfrm>
          <a:off x="1574800" y="23977600"/>
          <a:ext cx="5207000" cy="30480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203200</xdr:colOff>
      <xdr:row>94</xdr:row>
      <xdr:rowOff>247650</xdr:rowOff>
    </xdr:from>
    <xdr:to>
      <xdr:col>15</xdr:col>
      <xdr:colOff>177800</xdr:colOff>
      <xdr:row>98</xdr:row>
      <xdr:rowOff>241300</xdr:rowOff>
    </xdr:to>
    <xdr:cxnSp macro="">
      <xdr:nvCxnSpPr>
        <xdr:cNvPr id="30" name="直線コネクタ 29">
          <a:extLst>
            <a:ext uri="{FF2B5EF4-FFF2-40B4-BE49-F238E27FC236}">
              <a16:creationId xmlns:a16="http://schemas.microsoft.com/office/drawing/2014/main" id="{3E14A102-EF38-4E38-9BBE-1781891290A3}"/>
            </a:ext>
          </a:extLst>
        </xdr:cNvPr>
        <xdr:cNvCxnSpPr>
          <a:stCxn id="21" idx="2"/>
          <a:endCxn id="29" idx="0"/>
        </xdr:cNvCxnSpPr>
      </xdr:nvCxnSpPr>
      <xdr:spPr>
        <a:xfrm>
          <a:off x="2870200" y="22917150"/>
          <a:ext cx="1308100" cy="1060450"/>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228600</xdr:colOff>
      <xdr:row>101</xdr:row>
      <xdr:rowOff>247650</xdr:rowOff>
    </xdr:from>
    <xdr:to>
      <xdr:col>11</xdr:col>
      <xdr:colOff>44450</xdr:colOff>
      <xdr:row>115</xdr:row>
      <xdr:rowOff>57150</xdr:rowOff>
    </xdr:to>
    <xdr:sp macro="" textlink="">
      <xdr:nvSpPr>
        <xdr:cNvPr id="31" name="正方形/長方形 30">
          <a:extLst>
            <a:ext uri="{FF2B5EF4-FFF2-40B4-BE49-F238E27FC236}">
              <a16:creationId xmlns:a16="http://schemas.microsoft.com/office/drawing/2014/main" id="{2D21610B-13E1-41BF-9739-7AAE940263CF}"/>
            </a:ext>
          </a:extLst>
        </xdr:cNvPr>
        <xdr:cNvSpPr/>
      </xdr:nvSpPr>
      <xdr:spPr>
        <a:xfrm>
          <a:off x="1562100" y="24784050"/>
          <a:ext cx="1416050" cy="354330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177800</xdr:colOff>
      <xdr:row>120</xdr:row>
      <xdr:rowOff>50800</xdr:rowOff>
    </xdr:from>
    <xdr:to>
      <xdr:col>14</xdr:col>
      <xdr:colOff>107950</xdr:colOff>
      <xdr:row>122</xdr:row>
      <xdr:rowOff>209550</xdr:rowOff>
    </xdr:to>
    <xdr:sp macro="" textlink="">
      <xdr:nvSpPr>
        <xdr:cNvPr id="32" name="正方形/長方形 31">
          <a:extLst>
            <a:ext uri="{FF2B5EF4-FFF2-40B4-BE49-F238E27FC236}">
              <a16:creationId xmlns:a16="http://schemas.microsoft.com/office/drawing/2014/main" id="{F10C9CBC-78E2-4E42-A9E5-44F1F4AA0EC1}"/>
            </a:ext>
          </a:extLst>
        </xdr:cNvPr>
        <xdr:cNvSpPr/>
      </xdr:nvSpPr>
      <xdr:spPr>
        <a:xfrm>
          <a:off x="1244600" y="29121100"/>
          <a:ext cx="2597150" cy="69215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136525</xdr:colOff>
      <xdr:row>115</xdr:row>
      <xdr:rowOff>57150</xdr:rowOff>
    </xdr:from>
    <xdr:to>
      <xdr:col>9</xdr:col>
      <xdr:colOff>142875</xdr:colOff>
      <xdr:row>120</xdr:row>
      <xdr:rowOff>50800</xdr:rowOff>
    </xdr:to>
    <xdr:cxnSp macro="">
      <xdr:nvCxnSpPr>
        <xdr:cNvPr id="33" name="直線コネクタ 32">
          <a:extLst>
            <a:ext uri="{FF2B5EF4-FFF2-40B4-BE49-F238E27FC236}">
              <a16:creationId xmlns:a16="http://schemas.microsoft.com/office/drawing/2014/main" id="{2B3A14F2-4911-45CF-BAD9-5D973B9458A9}"/>
            </a:ext>
          </a:extLst>
        </xdr:cNvPr>
        <xdr:cNvCxnSpPr>
          <a:stCxn id="31" idx="2"/>
          <a:endCxn id="32" idx="0"/>
        </xdr:cNvCxnSpPr>
      </xdr:nvCxnSpPr>
      <xdr:spPr>
        <a:xfrm>
          <a:off x="2270125" y="28327350"/>
          <a:ext cx="273050" cy="1327150"/>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184150</xdr:colOff>
      <xdr:row>117</xdr:row>
      <xdr:rowOff>57150</xdr:rowOff>
    </xdr:from>
    <xdr:to>
      <xdr:col>25</xdr:col>
      <xdr:colOff>88900</xdr:colOff>
      <xdr:row>119</xdr:row>
      <xdr:rowOff>215900</xdr:rowOff>
    </xdr:to>
    <xdr:sp macro="" textlink="">
      <xdr:nvSpPr>
        <xdr:cNvPr id="34" name="正方形/長方形 33">
          <a:extLst>
            <a:ext uri="{FF2B5EF4-FFF2-40B4-BE49-F238E27FC236}">
              <a16:creationId xmlns:a16="http://schemas.microsoft.com/office/drawing/2014/main" id="{2064FFDA-7A61-4150-A57D-A32C1DBB19FF}"/>
            </a:ext>
          </a:extLst>
        </xdr:cNvPr>
        <xdr:cNvSpPr/>
      </xdr:nvSpPr>
      <xdr:spPr>
        <a:xfrm>
          <a:off x="4184650" y="28327350"/>
          <a:ext cx="2571750" cy="692150"/>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158750</xdr:colOff>
      <xdr:row>114</xdr:row>
      <xdr:rowOff>254000</xdr:rowOff>
    </xdr:from>
    <xdr:to>
      <xdr:col>20</xdr:col>
      <xdr:colOff>136525</xdr:colOff>
      <xdr:row>117</xdr:row>
      <xdr:rowOff>57150</xdr:rowOff>
    </xdr:to>
    <xdr:cxnSp macro="">
      <xdr:nvCxnSpPr>
        <xdr:cNvPr id="35" name="直線コネクタ 34">
          <a:extLst>
            <a:ext uri="{FF2B5EF4-FFF2-40B4-BE49-F238E27FC236}">
              <a16:creationId xmlns:a16="http://schemas.microsoft.com/office/drawing/2014/main" id="{2E03C67C-4428-403F-9F9F-E5089E15A208}"/>
            </a:ext>
          </a:extLst>
        </xdr:cNvPr>
        <xdr:cNvCxnSpPr>
          <a:stCxn id="36" idx="2"/>
          <a:endCxn id="34" idx="0"/>
        </xdr:cNvCxnSpPr>
      </xdr:nvCxnSpPr>
      <xdr:spPr>
        <a:xfrm>
          <a:off x="3359150" y="28257500"/>
          <a:ext cx="2111375" cy="603250"/>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57150</xdr:colOff>
      <xdr:row>114</xdr:row>
      <xdr:rowOff>19050</xdr:rowOff>
    </xdr:from>
    <xdr:to>
      <xdr:col>12</xdr:col>
      <xdr:colOff>260350</xdr:colOff>
      <xdr:row>114</xdr:row>
      <xdr:rowOff>254000</xdr:rowOff>
    </xdr:to>
    <xdr:sp macro="" textlink="">
      <xdr:nvSpPr>
        <xdr:cNvPr id="36" name="正方形/長方形 35">
          <a:extLst>
            <a:ext uri="{FF2B5EF4-FFF2-40B4-BE49-F238E27FC236}">
              <a16:creationId xmlns:a16="http://schemas.microsoft.com/office/drawing/2014/main" id="{CE03FABF-4476-4713-B3AC-882BAEFECAFE}"/>
            </a:ext>
          </a:extLst>
        </xdr:cNvPr>
        <xdr:cNvSpPr/>
      </xdr:nvSpPr>
      <xdr:spPr>
        <a:xfrm>
          <a:off x="3257550" y="28022550"/>
          <a:ext cx="203200" cy="234950"/>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209550</xdr:colOff>
      <xdr:row>61</xdr:row>
      <xdr:rowOff>215900</xdr:rowOff>
    </xdr:from>
    <xdr:to>
      <xdr:col>9</xdr:col>
      <xdr:colOff>38100</xdr:colOff>
      <xdr:row>66</xdr:row>
      <xdr:rowOff>47625</xdr:rowOff>
    </xdr:to>
    <xdr:sp macro="" textlink="">
      <xdr:nvSpPr>
        <xdr:cNvPr id="37" name="正方形/長方形 36">
          <a:extLst>
            <a:ext uri="{FF2B5EF4-FFF2-40B4-BE49-F238E27FC236}">
              <a16:creationId xmlns:a16="http://schemas.microsoft.com/office/drawing/2014/main" id="{26117BF9-2D67-4588-A73C-CCCD6617B011}"/>
            </a:ext>
          </a:extLst>
        </xdr:cNvPr>
        <xdr:cNvSpPr/>
      </xdr:nvSpPr>
      <xdr:spPr>
        <a:xfrm>
          <a:off x="1276350" y="14084300"/>
          <a:ext cx="1162050" cy="1165225"/>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257175</xdr:colOff>
      <xdr:row>55</xdr:row>
      <xdr:rowOff>26132</xdr:rowOff>
    </xdr:from>
    <xdr:to>
      <xdr:col>9</xdr:col>
      <xdr:colOff>125047</xdr:colOff>
      <xdr:row>61</xdr:row>
      <xdr:rowOff>219075</xdr:rowOff>
    </xdr:to>
    <xdr:cxnSp macro="">
      <xdr:nvCxnSpPr>
        <xdr:cNvPr id="38" name="直線コネクタ 37">
          <a:extLst>
            <a:ext uri="{FF2B5EF4-FFF2-40B4-BE49-F238E27FC236}">
              <a16:creationId xmlns:a16="http://schemas.microsoft.com/office/drawing/2014/main" id="{7BBE2840-EBB7-4380-B0DE-DC03F4D5C12F}"/>
            </a:ext>
          </a:extLst>
        </xdr:cNvPr>
        <xdr:cNvCxnSpPr>
          <a:stCxn id="14" idx="2"/>
          <a:endCxn id="37" idx="0"/>
        </xdr:cNvCxnSpPr>
      </xdr:nvCxnSpPr>
      <xdr:spPr>
        <a:xfrm flipH="1">
          <a:off x="1857375" y="12294332"/>
          <a:ext cx="667972" cy="1793143"/>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247650</xdr:colOff>
      <xdr:row>71</xdr:row>
      <xdr:rowOff>0</xdr:rowOff>
    </xdr:from>
    <xdr:to>
      <xdr:col>24</xdr:col>
      <xdr:colOff>38100</xdr:colOff>
      <xdr:row>72</xdr:row>
      <xdr:rowOff>1</xdr:rowOff>
    </xdr:to>
    <xdr:sp macro="" textlink="">
      <xdr:nvSpPr>
        <xdr:cNvPr id="39" name="正方形/長方形 38">
          <a:extLst>
            <a:ext uri="{FF2B5EF4-FFF2-40B4-BE49-F238E27FC236}">
              <a16:creationId xmlns:a16="http://schemas.microsoft.com/office/drawing/2014/main" id="{750AED82-5D5D-4F82-9511-E1D6B4842C8C}"/>
            </a:ext>
          </a:extLst>
        </xdr:cNvPr>
        <xdr:cNvSpPr/>
      </xdr:nvSpPr>
      <xdr:spPr>
        <a:xfrm>
          <a:off x="1581150" y="16535400"/>
          <a:ext cx="4857750" cy="266701"/>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261938</xdr:colOff>
      <xdr:row>64</xdr:row>
      <xdr:rowOff>28575</xdr:rowOff>
    </xdr:from>
    <xdr:to>
      <xdr:col>15</xdr:col>
      <xdr:colOff>9525</xdr:colOff>
      <xdr:row>71</xdr:row>
      <xdr:rowOff>0</xdr:rowOff>
    </xdr:to>
    <xdr:cxnSp macro="">
      <xdr:nvCxnSpPr>
        <xdr:cNvPr id="40" name="直線コネクタ 39">
          <a:extLst>
            <a:ext uri="{FF2B5EF4-FFF2-40B4-BE49-F238E27FC236}">
              <a16:creationId xmlns:a16="http://schemas.microsoft.com/office/drawing/2014/main" id="{65B766C7-AD5E-4205-8E68-C67CDAF86791}"/>
            </a:ext>
          </a:extLst>
        </xdr:cNvPr>
        <xdr:cNvCxnSpPr>
          <a:stCxn id="45" idx="2"/>
          <a:endCxn id="39" idx="0"/>
        </xdr:cNvCxnSpPr>
      </xdr:nvCxnSpPr>
      <xdr:spPr>
        <a:xfrm>
          <a:off x="1862138" y="14697075"/>
          <a:ext cx="2147887" cy="1838325"/>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257175</xdr:colOff>
      <xdr:row>56</xdr:row>
      <xdr:rowOff>259617</xdr:rowOff>
    </xdr:from>
    <xdr:to>
      <xdr:col>19</xdr:col>
      <xdr:colOff>251070</xdr:colOff>
      <xdr:row>61</xdr:row>
      <xdr:rowOff>219075</xdr:rowOff>
    </xdr:to>
    <xdr:cxnSp macro="">
      <xdr:nvCxnSpPr>
        <xdr:cNvPr id="41" name="直線コネクタ 40">
          <a:extLst>
            <a:ext uri="{FF2B5EF4-FFF2-40B4-BE49-F238E27FC236}">
              <a16:creationId xmlns:a16="http://schemas.microsoft.com/office/drawing/2014/main" id="{C31CBF51-C2CB-4DD7-A63D-A82924C6589C}"/>
            </a:ext>
          </a:extLst>
        </xdr:cNvPr>
        <xdr:cNvCxnSpPr>
          <a:stCxn id="18" idx="2"/>
          <a:endCxn id="37" idx="0"/>
        </xdr:cNvCxnSpPr>
      </xdr:nvCxnSpPr>
      <xdr:spPr>
        <a:xfrm flipH="1">
          <a:off x="1857375" y="12794517"/>
          <a:ext cx="3460995" cy="1292958"/>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200025</xdr:colOff>
      <xdr:row>58</xdr:row>
      <xdr:rowOff>76199</xdr:rowOff>
    </xdr:from>
    <xdr:to>
      <xdr:col>18</xdr:col>
      <xdr:colOff>101600</xdr:colOff>
      <xdr:row>60</xdr:row>
      <xdr:rowOff>107948</xdr:rowOff>
    </xdr:to>
    <xdr:sp macro="" textlink="">
      <xdr:nvSpPr>
        <xdr:cNvPr id="42" name="正方形/長方形 41">
          <a:extLst>
            <a:ext uri="{FF2B5EF4-FFF2-40B4-BE49-F238E27FC236}">
              <a16:creationId xmlns:a16="http://schemas.microsoft.com/office/drawing/2014/main" id="{40BC0F19-39EC-4AC7-BEE2-A95A0D8E1BDD}"/>
            </a:ext>
          </a:extLst>
        </xdr:cNvPr>
        <xdr:cNvSpPr/>
      </xdr:nvSpPr>
      <xdr:spPr>
        <a:xfrm>
          <a:off x="4200525" y="15544799"/>
          <a:ext cx="701675" cy="565149"/>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228600</xdr:colOff>
      <xdr:row>45</xdr:row>
      <xdr:rowOff>200025</xdr:rowOff>
    </xdr:from>
    <xdr:to>
      <xdr:col>7</xdr:col>
      <xdr:colOff>158750</xdr:colOff>
      <xdr:row>46</xdr:row>
      <xdr:rowOff>142875</xdr:rowOff>
    </xdr:to>
    <xdr:sp macro="" textlink="">
      <xdr:nvSpPr>
        <xdr:cNvPr id="43" name="正方形/長方形 42">
          <a:extLst>
            <a:ext uri="{FF2B5EF4-FFF2-40B4-BE49-F238E27FC236}">
              <a16:creationId xmlns:a16="http://schemas.microsoft.com/office/drawing/2014/main" id="{3CBFD170-FA51-443F-A5BC-332175FBAD74}"/>
            </a:ext>
          </a:extLst>
        </xdr:cNvPr>
        <xdr:cNvSpPr/>
      </xdr:nvSpPr>
      <xdr:spPr>
        <a:xfrm>
          <a:off x="1828800" y="9801225"/>
          <a:ext cx="196850" cy="20955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61913</xdr:colOff>
      <xdr:row>46</xdr:row>
      <xdr:rowOff>139700</xdr:rowOff>
    </xdr:from>
    <xdr:to>
      <xdr:col>17</xdr:col>
      <xdr:colOff>17463</xdr:colOff>
      <xdr:row>58</xdr:row>
      <xdr:rowOff>76199</xdr:rowOff>
    </xdr:to>
    <xdr:cxnSp macro="">
      <xdr:nvCxnSpPr>
        <xdr:cNvPr id="44" name="直線コネクタ 43">
          <a:extLst>
            <a:ext uri="{FF2B5EF4-FFF2-40B4-BE49-F238E27FC236}">
              <a16:creationId xmlns:a16="http://schemas.microsoft.com/office/drawing/2014/main" id="{7663E2BD-2F6F-4649-B981-B7F9A3BE17FC}"/>
            </a:ext>
          </a:extLst>
        </xdr:cNvPr>
        <xdr:cNvCxnSpPr>
          <a:cxnSpLocks/>
          <a:stCxn id="43" idx="2"/>
          <a:endCxn id="42" idx="0"/>
        </xdr:cNvCxnSpPr>
      </xdr:nvCxnSpPr>
      <xdr:spPr>
        <a:xfrm>
          <a:off x="1928813" y="10007600"/>
          <a:ext cx="2622550" cy="3136899"/>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57150</xdr:colOff>
      <xdr:row>63</xdr:row>
      <xdr:rowOff>0</xdr:rowOff>
    </xdr:from>
    <xdr:to>
      <xdr:col>8</xdr:col>
      <xdr:colOff>196850</xdr:colOff>
      <xdr:row>64</xdr:row>
      <xdr:rowOff>25400</xdr:rowOff>
    </xdr:to>
    <xdr:sp macro="" textlink="">
      <xdr:nvSpPr>
        <xdr:cNvPr id="45" name="正方形/長方形 44">
          <a:extLst>
            <a:ext uri="{FF2B5EF4-FFF2-40B4-BE49-F238E27FC236}">
              <a16:creationId xmlns:a16="http://schemas.microsoft.com/office/drawing/2014/main" id="{8950C4AB-EC55-44F1-B4E6-15E4B4ACC928}"/>
            </a:ext>
          </a:extLst>
        </xdr:cNvPr>
        <xdr:cNvSpPr/>
      </xdr:nvSpPr>
      <xdr:spPr>
        <a:xfrm>
          <a:off x="1390650" y="14401800"/>
          <a:ext cx="939800" cy="29210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219075</xdr:colOff>
      <xdr:row>67</xdr:row>
      <xdr:rowOff>66675</xdr:rowOff>
    </xdr:from>
    <xdr:to>
      <xdr:col>25</xdr:col>
      <xdr:colOff>120650</xdr:colOff>
      <xdr:row>69</xdr:row>
      <xdr:rowOff>206375</xdr:rowOff>
    </xdr:to>
    <xdr:sp macro="" textlink="">
      <xdr:nvSpPr>
        <xdr:cNvPr id="46" name="正方形/長方形 45">
          <a:extLst>
            <a:ext uri="{FF2B5EF4-FFF2-40B4-BE49-F238E27FC236}">
              <a16:creationId xmlns:a16="http://schemas.microsoft.com/office/drawing/2014/main" id="{9647E89C-6AAB-434C-BE0D-D535A307F3B7}"/>
            </a:ext>
          </a:extLst>
        </xdr:cNvPr>
        <xdr:cNvSpPr/>
      </xdr:nvSpPr>
      <xdr:spPr>
        <a:xfrm>
          <a:off x="4219575" y="15535275"/>
          <a:ext cx="2568575" cy="67310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0</xdr:colOff>
      <xdr:row>65</xdr:row>
      <xdr:rowOff>38100</xdr:rowOff>
    </xdr:from>
    <xdr:to>
      <xdr:col>8</xdr:col>
      <xdr:colOff>228599</xdr:colOff>
      <xdr:row>65</xdr:row>
      <xdr:rowOff>209550</xdr:rowOff>
    </xdr:to>
    <xdr:sp macro="" textlink="">
      <xdr:nvSpPr>
        <xdr:cNvPr id="47" name="正方形/長方形 46">
          <a:extLst>
            <a:ext uri="{FF2B5EF4-FFF2-40B4-BE49-F238E27FC236}">
              <a16:creationId xmlns:a16="http://schemas.microsoft.com/office/drawing/2014/main" id="{BD803706-3E27-4C68-B6E1-B9EA60920199}"/>
            </a:ext>
          </a:extLst>
        </xdr:cNvPr>
        <xdr:cNvSpPr/>
      </xdr:nvSpPr>
      <xdr:spPr>
        <a:xfrm>
          <a:off x="2133600" y="14973300"/>
          <a:ext cx="228599" cy="17145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114300</xdr:colOff>
      <xdr:row>65</xdr:row>
      <xdr:rowOff>209550</xdr:rowOff>
    </xdr:from>
    <xdr:to>
      <xdr:col>20</xdr:col>
      <xdr:colOff>169863</xdr:colOff>
      <xdr:row>67</xdr:row>
      <xdr:rowOff>63500</xdr:rowOff>
    </xdr:to>
    <xdr:cxnSp macro="">
      <xdr:nvCxnSpPr>
        <xdr:cNvPr id="48" name="直線コネクタ 47">
          <a:extLst>
            <a:ext uri="{FF2B5EF4-FFF2-40B4-BE49-F238E27FC236}">
              <a16:creationId xmlns:a16="http://schemas.microsoft.com/office/drawing/2014/main" id="{314C44D0-5698-4158-A9F1-00541AAF83CD}"/>
            </a:ext>
          </a:extLst>
        </xdr:cNvPr>
        <xdr:cNvCxnSpPr>
          <a:stCxn id="47" idx="2"/>
          <a:endCxn id="46" idx="0"/>
        </xdr:cNvCxnSpPr>
      </xdr:nvCxnSpPr>
      <xdr:spPr>
        <a:xfrm>
          <a:off x="2247900" y="15144750"/>
          <a:ext cx="3255963" cy="387350"/>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4</xdr:col>
      <xdr:colOff>0</xdr:colOff>
      <xdr:row>61</xdr:row>
      <xdr:rowOff>0</xdr:rowOff>
    </xdr:from>
    <xdr:to>
      <xdr:col>5</xdr:col>
      <xdr:colOff>9525</xdr:colOff>
      <xdr:row>67</xdr:row>
      <xdr:rowOff>9525</xdr:rowOff>
    </xdr:to>
    <xdr:pic>
      <xdr:nvPicPr>
        <xdr:cNvPr id="49" name="図 48">
          <a:extLst>
            <a:ext uri="{FF2B5EF4-FFF2-40B4-BE49-F238E27FC236}">
              <a16:creationId xmlns:a16="http://schemas.microsoft.com/office/drawing/2014/main" id="{809623EB-A8C2-4211-9E0B-DCF0C905EFDE}"/>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066800" y="13868400"/>
          <a:ext cx="276225" cy="1609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37</xdr:col>
      <xdr:colOff>96540</xdr:colOff>
      <xdr:row>7</xdr:row>
      <xdr:rowOff>165100</xdr:rowOff>
    </xdr:to>
    <xdr:pic>
      <xdr:nvPicPr>
        <xdr:cNvPr id="50" name="図 49">
          <a:extLst>
            <a:ext uri="{FF2B5EF4-FFF2-40B4-BE49-F238E27FC236}">
              <a16:creationId xmlns:a16="http://schemas.microsoft.com/office/drawing/2014/main" id="{012A743D-D4BD-44F5-9D6B-AC1B0A07D829}"/>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00100" y="800100"/>
          <a:ext cx="9164340" cy="1231900"/>
        </a:xfrm>
        <a:prstGeom prst="rect">
          <a:avLst/>
        </a:prstGeom>
      </xdr:spPr>
    </xdr:pic>
    <xdr:clientData/>
  </xdr:twoCellAnchor>
  <xdr:twoCellAnchor>
    <xdr:from>
      <xdr:col>5</xdr:col>
      <xdr:colOff>209550</xdr:colOff>
      <xdr:row>8</xdr:row>
      <xdr:rowOff>222250</xdr:rowOff>
    </xdr:from>
    <xdr:to>
      <xdr:col>23</xdr:col>
      <xdr:colOff>133350</xdr:colOff>
      <xdr:row>10</xdr:row>
      <xdr:rowOff>38100</xdr:rowOff>
    </xdr:to>
    <xdr:sp macro="" textlink="">
      <xdr:nvSpPr>
        <xdr:cNvPr id="51" name="正方形/長方形 50">
          <a:extLst>
            <a:ext uri="{FF2B5EF4-FFF2-40B4-BE49-F238E27FC236}">
              <a16:creationId xmlns:a16="http://schemas.microsoft.com/office/drawing/2014/main" id="{B0774C5E-E8AF-4090-8F47-E498396AE7B3}"/>
            </a:ext>
          </a:extLst>
        </xdr:cNvPr>
        <xdr:cNvSpPr/>
      </xdr:nvSpPr>
      <xdr:spPr>
        <a:xfrm>
          <a:off x="1543050" y="2355850"/>
          <a:ext cx="4724400" cy="349250"/>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25400</xdr:colOff>
      <xdr:row>5</xdr:row>
      <xdr:rowOff>241300</xdr:rowOff>
    </xdr:from>
    <xdr:to>
      <xdr:col>10</xdr:col>
      <xdr:colOff>0</xdr:colOff>
      <xdr:row>7</xdr:row>
      <xdr:rowOff>19050</xdr:rowOff>
    </xdr:to>
    <xdr:sp macro="" textlink="">
      <xdr:nvSpPr>
        <xdr:cNvPr id="52" name="正方形/長方形 51">
          <a:extLst>
            <a:ext uri="{FF2B5EF4-FFF2-40B4-BE49-F238E27FC236}">
              <a16:creationId xmlns:a16="http://schemas.microsoft.com/office/drawing/2014/main" id="{939DFB4E-3506-49C9-A761-649D0BF652A3}"/>
            </a:ext>
          </a:extLst>
        </xdr:cNvPr>
        <xdr:cNvSpPr/>
      </xdr:nvSpPr>
      <xdr:spPr>
        <a:xfrm>
          <a:off x="1625600" y="1574800"/>
          <a:ext cx="1041400" cy="311150"/>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12700</xdr:colOff>
      <xdr:row>7</xdr:row>
      <xdr:rowOff>19050</xdr:rowOff>
    </xdr:from>
    <xdr:to>
      <xdr:col>14</xdr:col>
      <xdr:colOff>171450</xdr:colOff>
      <xdr:row>8</xdr:row>
      <xdr:rowOff>222250</xdr:rowOff>
    </xdr:to>
    <xdr:cxnSp macro="">
      <xdr:nvCxnSpPr>
        <xdr:cNvPr id="53" name="直線コネクタ 52">
          <a:extLst>
            <a:ext uri="{FF2B5EF4-FFF2-40B4-BE49-F238E27FC236}">
              <a16:creationId xmlns:a16="http://schemas.microsoft.com/office/drawing/2014/main" id="{7B6B29A2-4B32-44A8-93BB-F6DF7113CEB5}"/>
            </a:ext>
          </a:extLst>
        </xdr:cNvPr>
        <xdr:cNvCxnSpPr>
          <a:stCxn id="52" idx="2"/>
          <a:endCxn id="51" idx="0"/>
        </xdr:cNvCxnSpPr>
      </xdr:nvCxnSpPr>
      <xdr:spPr>
        <a:xfrm>
          <a:off x="2146300" y="1885950"/>
          <a:ext cx="1758950" cy="469900"/>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0.xml><?xml version="1.0" encoding="utf-8"?>
<xdr:wsDr xmlns:xdr="http://schemas.openxmlformats.org/drawingml/2006/spreadsheetDrawing" xmlns:a="http://schemas.openxmlformats.org/drawingml/2006/main">
  <xdr:twoCellAnchor editAs="oneCell">
    <xdr:from>
      <xdr:col>5</xdr:col>
      <xdr:colOff>28575</xdr:colOff>
      <xdr:row>44</xdr:row>
      <xdr:rowOff>28575</xdr:rowOff>
    </xdr:from>
    <xdr:to>
      <xdr:col>13</xdr:col>
      <xdr:colOff>263580</xdr:colOff>
      <xdr:row>52</xdr:row>
      <xdr:rowOff>238125</xdr:rowOff>
    </xdr:to>
    <xdr:pic>
      <xdr:nvPicPr>
        <xdr:cNvPr id="2" name="図 1">
          <a:extLst>
            <a:ext uri="{FF2B5EF4-FFF2-40B4-BE49-F238E27FC236}">
              <a16:creationId xmlns:a16="http://schemas.microsoft.com/office/drawing/2014/main" id="{B3AFF0AF-2C1D-474B-8FF6-24DEFB174AE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62075" y="9363075"/>
          <a:ext cx="2368605" cy="2343150"/>
        </a:xfrm>
        <a:prstGeom prst="rect">
          <a:avLst/>
        </a:prstGeom>
      </xdr:spPr>
    </xdr:pic>
    <xdr:clientData/>
  </xdr:twoCellAnchor>
  <xdr:twoCellAnchor editAs="oneCell">
    <xdr:from>
      <xdr:col>16</xdr:col>
      <xdr:colOff>0</xdr:colOff>
      <xdr:row>44</xdr:row>
      <xdr:rowOff>0</xdr:rowOff>
    </xdr:from>
    <xdr:to>
      <xdr:col>43</xdr:col>
      <xdr:colOff>208106</xdr:colOff>
      <xdr:row>53</xdr:row>
      <xdr:rowOff>209550</xdr:rowOff>
    </xdr:to>
    <xdr:pic>
      <xdr:nvPicPr>
        <xdr:cNvPr id="3" name="図 2">
          <a:extLst>
            <a:ext uri="{FF2B5EF4-FFF2-40B4-BE49-F238E27FC236}">
              <a16:creationId xmlns:a16="http://schemas.microsoft.com/office/drawing/2014/main" id="{7AAAB4ED-9268-4B43-9768-E03671A33FA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267200" y="9334500"/>
          <a:ext cx="7409006" cy="2609850"/>
        </a:xfrm>
        <a:prstGeom prst="rect">
          <a:avLst/>
        </a:prstGeom>
      </xdr:spPr>
    </xdr:pic>
    <xdr:clientData/>
  </xdr:twoCellAnchor>
  <xdr:twoCellAnchor editAs="oneCell">
    <xdr:from>
      <xdr:col>5</xdr:col>
      <xdr:colOff>0</xdr:colOff>
      <xdr:row>133</xdr:row>
      <xdr:rowOff>0</xdr:rowOff>
    </xdr:from>
    <xdr:to>
      <xdr:col>34</xdr:col>
      <xdr:colOff>126267</xdr:colOff>
      <xdr:row>148</xdr:row>
      <xdr:rowOff>170109</xdr:rowOff>
    </xdr:to>
    <xdr:pic>
      <xdr:nvPicPr>
        <xdr:cNvPr id="4" name="図 3">
          <a:extLst>
            <a:ext uri="{FF2B5EF4-FFF2-40B4-BE49-F238E27FC236}">
              <a16:creationId xmlns:a16="http://schemas.microsoft.com/office/drawing/2014/main" id="{15DDFDC4-5987-4008-9C2E-2D776AAFA65F}"/>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333500" y="33070800"/>
          <a:ext cx="7860567" cy="4170609"/>
        </a:xfrm>
        <a:prstGeom prst="rect">
          <a:avLst/>
        </a:prstGeom>
      </xdr:spPr>
    </xdr:pic>
    <xdr:clientData/>
  </xdr:twoCellAnchor>
  <xdr:twoCellAnchor editAs="oneCell">
    <xdr:from>
      <xdr:col>5</xdr:col>
      <xdr:colOff>0</xdr:colOff>
      <xdr:row>76</xdr:row>
      <xdr:rowOff>0</xdr:rowOff>
    </xdr:from>
    <xdr:to>
      <xdr:col>17</xdr:col>
      <xdr:colOff>29308</xdr:colOff>
      <xdr:row>93</xdr:row>
      <xdr:rowOff>30097</xdr:rowOff>
    </xdr:to>
    <xdr:pic>
      <xdr:nvPicPr>
        <xdr:cNvPr id="5" name="図 4">
          <a:extLst>
            <a:ext uri="{FF2B5EF4-FFF2-40B4-BE49-F238E27FC236}">
              <a16:creationId xmlns:a16="http://schemas.microsoft.com/office/drawing/2014/main" id="{82EC523E-C1EB-4E57-A34D-2CEBF05E59DC}"/>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333500" y="17868900"/>
          <a:ext cx="3229708" cy="4563997"/>
        </a:xfrm>
        <a:prstGeom prst="rect">
          <a:avLst/>
        </a:prstGeom>
      </xdr:spPr>
    </xdr:pic>
    <xdr:clientData/>
  </xdr:twoCellAnchor>
  <xdr:twoCellAnchor editAs="oneCell">
    <xdr:from>
      <xdr:col>5</xdr:col>
      <xdr:colOff>1</xdr:colOff>
      <xdr:row>29</xdr:row>
      <xdr:rowOff>14654</xdr:rowOff>
    </xdr:from>
    <xdr:to>
      <xdr:col>34</xdr:col>
      <xdr:colOff>123093</xdr:colOff>
      <xdr:row>33</xdr:row>
      <xdr:rowOff>117040</xdr:rowOff>
    </xdr:to>
    <xdr:pic>
      <xdr:nvPicPr>
        <xdr:cNvPr id="6" name="図 5">
          <a:extLst>
            <a:ext uri="{FF2B5EF4-FFF2-40B4-BE49-F238E27FC236}">
              <a16:creationId xmlns:a16="http://schemas.microsoft.com/office/drawing/2014/main" id="{7BCF7699-FA16-42E4-97D2-1AEE00885A11}"/>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333501" y="5348654"/>
          <a:ext cx="7857392" cy="1169186"/>
        </a:xfrm>
        <a:prstGeom prst="rect">
          <a:avLst/>
        </a:prstGeom>
      </xdr:spPr>
    </xdr:pic>
    <xdr:clientData/>
  </xdr:twoCellAnchor>
  <mc:AlternateContent xmlns:mc="http://schemas.openxmlformats.org/markup-compatibility/2006">
    <mc:Choice xmlns:a14="http://schemas.microsoft.com/office/drawing/2010/main" Requires="a14">
      <xdr:twoCellAnchor>
        <xdr:from>
          <xdr:col>6</xdr:col>
          <xdr:colOff>82550</xdr:colOff>
          <xdr:row>128</xdr:row>
          <xdr:rowOff>184150</xdr:rowOff>
        </xdr:from>
        <xdr:to>
          <xdr:col>12</xdr:col>
          <xdr:colOff>139700</xdr:colOff>
          <xdr:row>131</xdr:row>
          <xdr:rowOff>57150</xdr:rowOff>
        </xdr:to>
        <xdr:sp macro="" textlink="">
          <xdr:nvSpPr>
            <xdr:cNvPr id="140289" name="Button 1" hidden="1">
              <a:extLst>
                <a:ext uri="{63B3BB69-23CF-44E3-9099-C40C66FF867C}">
                  <a14:compatExt spid="_x0000_s140289"/>
                </a:ext>
                <a:ext uri="{FF2B5EF4-FFF2-40B4-BE49-F238E27FC236}">
                  <a16:creationId xmlns:a16="http://schemas.microsoft.com/office/drawing/2014/main" id="{00000000-0008-0000-1400-000001240200}"/>
                </a:ext>
              </a:extLst>
            </xdr:cNvPr>
            <xdr:cNvSpPr/>
          </xdr:nvSpPr>
          <xdr:spPr bwMode="auto">
            <a:xfrm>
              <a:off x="0" y="0"/>
              <a:ext cx="0" cy="0"/>
            </a:xfrm>
            <a:prstGeom prst="rect">
              <a:avLst/>
            </a:prstGeom>
            <a:noFill/>
            <a:ln w="9525">
              <a:miter lim="800000"/>
              <a:headEnd/>
              <a:tailEnd/>
            </a:ln>
          </xdr:spPr>
          <xdr:txBody>
            <a:bodyPr vertOverflow="clip" wrap="square" lIns="64008" tIns="91440" rIns="64008" bIns="91440" anchor="ctr" upright="1"/>
            <a:lstStyle/>
            <a:p>
              <a:pPr algn="ctr" rtl="0">
                <a:defRPr sz="1000"/>
              </a:pPr>
              <a:r>
                <a:rPr lang="ja-JP" altLang="en-US" sz="2000" b="0" i="0" u="none" strike="noStrike" baseline="0">
                  <a:solidFill>
                    <a:srgbClr val="000000"/>
                  </a:solidFill>
                  <a:latin typeface="游ゴシック"/>
                  <a:ea typeface="游ゴシック"/>
                </a:rPr>
                <a:t>自動生成</a:t>
              </a:r>
            </a:p>
          </xdr:txBody>
        </xdr:sp>
        <xdr:clientData fPrintsWithSheet="0"/>
      </xdr:twoCellAnchor>
    </mc:Choice>
    <mc:Fallback/>
  </mc:AlternateContent>
  <xdr:twoCellAnchor editAs="oneCell">
    <xdr:from>
      <xdr:col>5</xdr:col>
      <xdr:colOff>0</xdr:colOff>
      <xdr:row>14</xdr:row>
      <xdr:rowOff>0</xdr:rowOff>
    </xdr:from>
    <xdr:to>
      <xdr:col>31</xdr:col>
      <xdr:colOff>105747</xdr:colOff>
      <xdr:row>18</xdr:row>
      <xdr:rowOff>154767</xdr:rowOff>
    </xdr:to>
    <xdr:pic>
      <xdr:nvPicPr>
        <xdr:cNvPr id="7" name="図 6">
          <a:extLst>
            <a:ext uri="{FF2B5EF4-FFF2-40B4-BE49-F238E27FC236}">
              <a16:creationId xmlns:a16="http://schemas.microsoft.com/office/drawing/2014/main" id="{A1237B3C-3442-4641-8384-B1EAC1217CA9}"/>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33500" y="1333500"/>
          <a:ext cx="7039947" cy="1221567"/>
        </a:xfrm>
        <a:prstGeom prst="rect">
          <a:avLst/>
        </a:prstGeom>
      </xdr:spPr>
    </xdr:pic>
    <xdr:clientData/>
  </xdr:twoCellAnchor>
  <xdr:twoCellAnchor>
    <xdr:from>
      <xdr:col>5</xdr:col>
      <xdr:colOff>0</xdr:colOff>
      <xdr:row>20</xdr:row>
      <xdr:rowOff>7326</xdr:rowOff>
    </xdr:from>
    <xdr:to>
      <xdr:col>20</xdr:col>
      <xdr:colOff>134083</xdr:colOff>
      <xdr:row>22</xdr:row>
      <xdr:rowOff>13677</xdr:rowOff>
    </xdr:to>
    <xdr:sp macro="" textlink="">
      <xdr:nvSpPr>
        <xdr:cNvPr id="8" name="正方形/長方形 7">
          <a:extLst>
            <a:ext uri="{FF2B5EF4-FFF2-40B4-BE49-F238E27FC236}">
              <a16:creationId xmlns:a16="http://schemas.microsoft.com/office/drawing/2014/main" id="{803C6369-0903-4884-B2E6-6436E756E564}"/>
            </a:ext>
          </a:extLst>
        </xdr:cNvPr>
        <xdr:cNvSpPr/>
      </xdr:nvSpPr>
      <xdr:spPr>
        <a:xfrm>
          <a:off x="1333500" y="2941026"/>
          <a:ext cx="4134583" cy="539751"/>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18</xdr:col>
      <xdr:colOff>36634</xdr:colOff>
      <xdr:row>16</xdr:row>
      <xdr:rowOff>117230</xdr:rowOff>
    </xdr:from>
    <xdr:to>
      <xdr:col>23</xdr:col>
      <xdr:colOff>22958</xdr:colOff>
      <xdr:row>17</xdr:row>
      <xdr:rowOff>167542</xdr:rowOff>
    </xdr:to>
    <xdr:sp macro="" textlink="">
      <xdr:nvSpPr>
        <xdr:cNvPr id="9" name="正方形/長方形 8">
          <a:extLst>
            <a:ext uri="{FF2B5EF4-FFF2-40B4-BE49-F238E27FC236}">
              <a16:creationId xmlns:a16="http://schemas.microsoft.com/office/drawing/2014/main" id="{3C5886EB-5276-41F8-8D71-4F42058129FB}"/>
            </a:ext>
          </a:extLst>
        </xdr:cNvPr>
        <xdr:cNvSpPr/>
      </xdr:nvSpPr>
      <xdr:spPr>
        <a:xfrm>
          <a:off x="4837234" y="1984130"/>
          <a:ext cx="1319824" cy="317012"/>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198926</xdr:colOff>
      <xdr:row>17</xdr:row>
      <xdr:rowOff>164367</xdr:rowOff>
    </xdr:from>
    <xdr:to>
      <xdr:col>20</xdr:col>
      <xdr:colOff>163268</xdr:colOff>
      <xdr:row>20</xdr:row>
      <xdr:rowOff>10501</xdr:rowOff>
    </xdr:to>
    <xdr:cxnSp macro="">
      <xdr:nvCxnSpPr>
        <xdr:cNvPr id="10" name="直線コネクタ 9">
          <a:extLst>
            <a:ext uri="{FF2B5EF4-FFF2-40B4-BE49-F238E27FC236}">
              <a16:creationId xmlns:a16="http://schemas.microsoft.com/office/drawing/2014/main" id="{A055FDAE-F9B8-461B-890A-8EAC859315BC}"/>
            </a:ext>
          </a:extLst>
        </xdr:cNvPr>
        <xdr:cNvCxnSpPr>
          <a:stCxn id="9" idx="2"/>
          <a:endCxn id="8" idx="0"/>
        </xdr:cNvCxnSpPr>
      </xdr:nvCxnSpPr>
      <xdr:spPr>
        <a:xfrm flipH="1">
          <a:off x="3399326" y="2297967"/>
          <a:ext cx="2097942" cy="646234"/>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227135</xdr:colOff>
      <xdr:row>33</xdr:row>
      <xdr:rowOff>256442</xdr:rowOff>
    </xdr:from>
    <xdr:to>
      <xdr:col>11</xdr:col>
      <xdr:colOff>222983</xdr:colOff>
      <xdr:row>36</xdr:row>
      <xdr:rowOff>4152</xdr:rowOff>
    </xdr:to>
    <xdr:sp macro="" textlink="">
      <xdr:nvSpPr>
        <xdr:cNvPr id="11" name="正方形/長方形 10">
          <a:extLst>
            <a:ext uri="{FF2B5EF4-FFF2-40B4-BE49-F238E27FC236}">
              <a16:creationId xmlns:a16="http://schemas.microsoft.com/office/drawing/2014/main" id="{0D72D422-49AA-4444-B64D-18ABE5878AC6}"/>
            </a:ext>
          </a:extLst>
        </xdr:cNvPr>
        <xdr:cNvSpPr/>
      </xdr:nvSpPr>
      <xdr:spPr>
        <a:xfrm>
          <a:off x="1560635" y="6657242"/>
          <a:ext cx="1596048" cy="54781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18</xdr:col>
      <xdr:colOff>201979</xdr:colOff>
      <xdr:row>32</xdr:row>
      <xdr:rowOff>10502</xdr:rowOff>
    </xdr:from>
    <xdr:to>
      <xdr:col>22</xdr:col>
      <xdr:colOff>36635</xdr:colOff>
      <xdr:row>32</xdr:row>
      <xdr:rowOff>234462</xdr:rowOff>
    </xdr:to>
    <xdr:sp macro="" textlink="">
      <xdr:nvSpPr>
        <xdr:cNvPr id="12" name="正方形/長方形 11">
          <a:extLst>
            <a:ext uri="{FF2B5EF4-FFF2-40B4-BE49-F238E27FC236}">
              <a16:creationId xmlns:a16="http://schemas.microsoft.com/office/drawing/2014/main" id="{8E4315AC-D3F8-4568-97D2-489C24D02E34}"/>
            </a:ext>
          </a:extLst>
        </xdr:cNvPr>
        <xdr:cNvSpPr/>
      </xdr:nvSpPr>
      <xdr:spPr>
        <a:xfrm>
          <a:off x="5002579" y="6144602"/>
          <a:ext cx="901456" cy="22396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223472</xdr:colOff>
      <xdr:row>32</xdr:row>
      <xdr:rowOff>234462</xdr:rowOff>
    </xdr:from>
    <xdr:to>
      <xdr:col>20</xdr:col>
      <xdr:colOff>119307</xdr:colOff>
      <xdr:row>33</xdr:row>
      <xdr:rowOff>259617</xdr:rowOff>
    </xdr:to>
    <xdr:cxnSp macro="">
      <xdr:nvCxnSpPr>
        <xdr:cNvPr id="13" name="直線コネクタ 12">
          <a:extLst>
            <a:ext uri="{FF2B5EF4-FFF2-40B4-BE49-F238E27FC236}">
              <a16:creationId xmlns:a16="http://schemas.microsoft.com/office/drawing/2014/main" id="{F8A0D9F0-58BD-44FD-82FD-B2A85ADA8112}"/>
            </a:ext>
          </a:extLst>
        </xdr:cNvPr>
        <xdr:cNvCxnSpPr>
          <a:stCxn id="12" idx="2"/>
          <a:endCxn id="11" idx="0"/>
        </xdr:cNvCxnSpPr>
      </xdr:nvCxnSpPr>
      <xdr:spPr>
        <a:xfrm flipH="1">
          <a:off x="2357072" y="6368562"/>
          <a:ext cx="3096235" cy="291855"/>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241789</xdr:colOff>
      <xdr:row>53</xdr:row>
      <xdr:rowOff>219808</xdr:rowOff>
    </xdr:from>
    <xdr:to>
      <xdr:col>14</xdr:col>
      <xdr:colOff>8305</xdr:colOff>
      <xdr:row>55</xdr:row>
      <xdr:rowOff>22957</xdr:rowOff>
    </xdr:to>
    <xdr:sp macro="" textlink="">
      <xdr:nvSpPr>
        <xdr:cNvPr id="14" name="正方形/長方形 13">
          <a:extLst>
            <a:ext uri="{FF2B5EF4-FFF2-40B4-BE49-F238E27FC236}">
              <a16:creationId xmlns:a16="http://schemas.microsoft.com/office/drawing/2014/main" id="{262678F6-CC12-4F76-BD60-A775458A235D}"/>
            </a:ext>
          </a:extLst>
        </xdr:cNvPr>
        <xdr:cNvSpPr/>
      </xdr:nvSpPr>
      <xdr:spPr>
        <a:xfrm>
          <a:off x="1308589" y="11954608"/>
          <a:ext cx="2433516" cy="336549"/>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209550</xdr:colOff>
      <xdr:row>45</xdr:row>
      <xdr:rowOff>190499</xdr:rowOff>
    </xdr:from>
    <xdr:to>
      <xdr:col>9</xdr:col>
      <xdr:colOff>122361</xdr:colOff>
      <xdr:row>48</xdr:row>
      <xdr:rowOff>95250</xdr:rowOff>
    </xdr:to>
    <xdr:sp macro="" textlink="">
      <xdr:nvSpPr>
        <xdr:cNvPr id="15" name="正方形/長方形 14">
          <a:extLst>
            <a:ext uri="{FF2B5EF4-FFF2-40B4-BE49-F238E27FC236}">
              <a16:creationId xmlns:a16="http://schemas.microsoft.com/office/drawing/2014/main" id="{04A316E0-EC55-4928-94EB-63B5BAB8D215}"/>
            </a:ext>
          </a:extLst>
        </xdr:cNvPr>
        <xdr:cNvSpPr/>
      </xdr:nvSpPr>
      <xdr:spPr>
        <a:xfrm>
          <a:off x="1809750" y="9791699"/>
          <a:ext cx="712911" cy="704851"/>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32606</xdr:colOff>
      <xdr:row>48</xdr:row>
      <xdr:rowOff>95250</xdr:rowOff>
    </xdr:from>
    <xdr:to>
      <xdr:col>9</xdr:col>
      <xdr:colOff>125047</xdr:colOff>
      <xdr:row>53</xdr:row>
      <xdr:rowOff>216633</xdr:rowOff>
    </xdr:to>
    <xdr:cxnSp macro="">
      <xdr:nvCxnSpPr>
        <xdr:cNvPr id="16" name="直線コネクタ 15">
          <a:extLst>
            <a:ext uri="{FF2B5EF4-FFF2-40B4-BE49-F238E27FC236}">
              <a16:creationId xmlns:a16="http://schemas.microsoft.com/office/drawing/2014/main" id="{06145FFD-7772-4154-9B7B-08CC5D8BF13C}"/>
            </a:ext>
          </a:extLst>
        </xdr:cNvPr>
        <xdr:cNvCxnSpPr>
          <a:stCxn id="15" idx="2"/>
          <a:endCxn id="14" idx="0"/>
        </xdr:cNvCxnSpPr>
      </xdr:nvCxnSpPr>
      <xdr:spPr>
        <a:xfrm>
          <a:off x="2166206" y="10496550"/>
          <a:ext cx="359141" cy="1454883"/>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217365</xdr:colOff>
      <xdr:row>44</xdr:row>
      <xdr:rowOff>212237</xdr:rowOff>
    </xdr:from>
    <xdr:to>
      <xdr:col>43</xdr:col>
      <xdr:colOff>257175</xdr:colOff>
      <xdr:row>45</xdr:row>
      <xdr:rowOff>209550</xdr:rowOff>
    </xdr:to>
    <xdr:sp macro="" textlink="">
      <xdr:nvSpPr>
        <xdr:cNvPr id="17" name="正方形/長方形 16">
          <a:extLst>
            <a:ext uri="{FF2B5EF4-FFF2-40B4-BE49-F238E27FC236}">
              <a16:creationId xmlns:a16="http://schemas.microsoft.com/office/drawing/2014/main" id="{C1C545F1-3981-4B22-B86B-EF70EABCDFEB}"/>
            </a:ext>
          </a:extLst>
        </xdr:cNvPr>
        <xdr:cNvSpPr/>
      </xdr:nvSpPr>
      <xdr:spPr>
        <a:xfrm>
          <a:off x="4484565" y="9546737"/>
          <a:ext cx="7240710" cy="264013"/>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201980</xdr:colOff>
      <xdr:row>54</xdr:row>
      <xdr:rowOff>212480</xdr:rowOff>
    </xdr:from>
    <xdr:to>
      <xdr:col>25</xdr:col>
      <xdr:colOff>36634</xdr:colOff>
      <xdr:row>56</xdr:row>
      <xdr:rowOff>256442</xdr:rowOff>
    </xdr:to>
    <xdr:sp macro="" textlink="">
      <xdr:nvSpPr>
        <xdr:cNvPr id="18" name="正方形/長方形 17">
          <a:extLst>
            <a:ext uri="{FF2B5EF4-FFF2-40B4-BE49-F238E27FC236}">
              <a16:creationId xmlns:a16="http://schemas.microsoft.com/office/drawing/2014/main" id="{21E57966-2495-4F23-9CFF-A9D93FAA4A0C}"/>
            </a:ext>
          </a:extLst>
        </xdr:cNvPr>
        <xdr:cNvSpPr/>
      </xdr:nvSpPr>
      <xdr:spPr>
        <a:xfrm>
          <a:off x="3935780" y="12213980"/>
          <a:ext cx="2768354" cy="577362"/>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19</xdr:col>
      <xdr:colOff>251070</xdr:colOff>
      <xdr:row>45</xdr:row>
      <xdr:rowOff>209550</xdr:rowOff>
    </xdr:from>
    <xdr:to>
      <xdr:col>30</xdr:col>
      <xdr:colOff>103920</xdr:colOff>
      <xdr:row>54</xdr:row>
      <xdr:rowOff>212480</xdr:rowOff>
    </xdr:to>
    <xdr:cxnSp macro="">
      <xdr:nvCxnSpPr>
        <xdr:cNvPr id="19" name="直線コネクタ 18">
          <a:extLst>
            <a:ext uri="{FF2B5EF4-FFF2-40B4-BE49-F238E27FC236}">
              <a16:creationId xmlns:a16="http://schemas.microsoft.com/office/drawing/2014/main" id="{874AD6FD-9D50-4C29-85ED-FDF10F315818}"/>
            </a:ext>
          </a:extLst>
        </xdr:cNvPr>
        <xdr:cNvCxnSpPr>
          <a:stCxn id="17" idx="2"/>
          <a:endCxn id="18" idx="0"/>
        </xdr:cNvCxnSpPr>
      </xdr:nvCxnSpPr>
      <xdr:spPr>
        <a:xfrm flipH="1">
          <a:off x="5318370" y="9810750"/>
          <a:ext cx="2786550" cy="2403230"/>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153867</xdr:colOff>
      <xdr:row>80</xdr:row>
      <xdr:rowOff>263768</xdr:rowOff>
    </xdr:from>
    <xdr:to>
      <xdr:col>15</xdr:col>
      <xdr:colOff>183175</xdr:colOff>
      <xdr:row>90</xdr:row>
      <xdr:rowOff>80595</xdr:rowOff>
    </xdr:to>
    <xdr:sp macro="" textlink="">
      <xdr:nvSpPr>
        <xdr:cNvPr id="20" name="正方形/長方形 19">
          <a:extLst>
            <a:ext uri="{FF2B5EF4-FFF2-40B4-BE49-F238E27FC236}">
              <a16:creationId xmlns:a16="http://schemas.microsoft.com/office/drawing/2014/main" id="{BBB8F23F-A157-4D78-BA96-111727690026}"/>
            </a:ext>
          </a:extLst>
        </xdr:cNvPr>
        <xdr:cNvSpPr/>
      </xdr:nvSpPr>
      <xdr:spPr>
        <a:xfrm>
          <a:off x="3087567" y="19199468"/>
          <a:ext cx="1096108" cy="2483827"/>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234950</xdr:colOff>
      <xdr:row>94</xdr:row>
      <xdr:rowOff>10503</xdr:rowOff>
    </xdr:from>
    <xdr:to>
      <xdr:col>14</xdr:col>
      <xdr:colOff>171450</xdr:colOff>
      <xdr:row>94</xdr:row>
      <xdr:rowOff>247650</xdr:rowOff>
    </xdr:to>
    <xdr:sp macro="" textlink="">
      <xdr:nvSpPr>
        <xdr:cNvPr id="21" name="正方形/長方形 20">
          <a:extLst>
            <a:ext uri="{FF2B5EF4-FFF2-40B4-BE49-F238E27FC236}">
              <a16:creationId xmlns:a16="http://schemas.microsoft.com/office/drawing/2014/main" id="{79BCDE7E-478C-41CC-B06A-7A6268A0D105}"/>
            </a:ext>
          </a:extLst>
        </xdr:cNvPr>
        <xdr:cNvSpPr/>
      </xdr:nvSpPr>
      <xdr:spPr>
        <a:xfrm>
          <a:off x="1835150" y="22680003"/>
          <a:ext cx="2070100" cy="237147"/>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203200</xdr:colOff>
      <xdr:row>90</xdr:row>
      <xdr:rowOff>80595</xdr:rowOff>
    </xdr:from>
    <xdr:to>
      <xdr:col>13</xdr:col>
      <xdr:colOff>168521</xdr:colOff>
      <xdr:row>94</xdr:row>
      <xdr:rowOff>10503</xdr:rowOff>
    </xdr:to>
    <xdr:cxnSp macro="">
      <xdr:nvCxnSpPr>
        <xdr:cNvPr id="22" name="直線コネクタ 21">
          <a:extLst>
            <a:ext uri="{FF2B5EF4-FFF2-40B4-BE49-F238E27FC236}">
              <a16:creationId xmlns:a16="http://schemas.microsoft.com/office/drawing/2014/main" id="{E87FF223-5847-4D64-8978-F963B6BBC1B6}"/>
            </a:ext>
          </a:extLst>
        </xdr:cNvPr>
        <xdr:cNvCxnSpPr>
          <a:stCxn id="20" idx="2"/>
          <a:endCxn id="21" idx="0"/>
        </xdr:cNvCxnSpPr>
      </xdr:nvCxnSpPr>
      <xdr:spPr>
        <a:xfrm flipH="1">
          <a:off x="2870200" y="21683295"/>
          <a:ext cx="765421" cy="996708"/>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26133</xdr:colOff>
      <xdr:row>147</xdr:row>
      <xdr:rowOff>180973</xdr:rowOff>
    </xdr:from>
    <xdr:to>
      <xdr:col>22</xdr:col>
      <xdr:colOff>139212</xdr:colOff>
      <xdr:row>148</xdr:row>
      <xdr:rowOff>102577</xdr:rowOff>
    </xdr:to>
    <xdr:sp macro="" textlink="">
      <xdr:nvSpPr>
        <xdr:cNvPr id="23" name="正方形/長方形 22">
          <a:extLst>
            <a:ext uri="{FF2B5EF4-FFF2-40B4-BE49-F238E27FC236}">
              <a16:creationId xmlns:a16="http://schemas.microsoft.com/office/drawing/2014/main" id="{EC715051-2618-4F43-B817-9FCFED7B2532}"/>
            </a:ext>
          </a:extLst>
        </xdr:cNvPr>
        <xdr:cNvSpPr/>
      </xdr:nvSpPr>
      <xdr:spPr>
        <a:xfrm>
          <a:off x="5360133" y="36985573"/>
          <a:ext cx="646479" cy="188304"/>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256443</xdr:colOff>
      <xdr:row>150</xdr:row>
      <xdr:rowOff>21981</xdr:rowOff>
    </xdr:from>
    <xdr:to>
      <xdr:col>16</xdr:col>
      <xdr:colOff>157040</xdr:colOff>
      <xdr:row>150</xdr:row>
      <xdr:rowOff>251314</xdr:rowOff>
    </xdr:to>
    <xdr:sp macro="" textlink="">
      <xdr:nvSpPr>
        <xdr:cNvPr id="24" name="正方形/長方形 23">
          <a:extLst>
            <a:ext uri="{FF2B5EF4-FFF2-40B4-BE49-F238E27FC236}">
              <a16:creationId xmlns:a16="http://schemas.microsoft.com/office/drawing/2014/main" id="{9A1621FD-B9FE-417D-B3F6-9CD0F35F5AC8}"/>
            </a:ext>
          </a:extLst>
        </xdr:cNvPr>
        <xdr:cNvSpPr/>
      </xdr:nvSpPr>
      <xdr:spPr>
        <a:xfrm>
          <a:off x="1856643" y="37626681"/>
          <a:ext cx="2567597" cy="229333"/>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209916</xdr:colOff>
      <xdr:row>148</xdr:row>
      <xdr:rowOff>102577</xdr:rowOff>
    </xdr:from>
    <xdr:to>
      <xdr:col>21</xdr:col>
      <xdr:colOff>82673</xdr:colOff>
      <xdr:row>150</xdr:row>
      <xdr:rowOff>21981</xdr:rowOff>
    </xdr:to>
    <xdr:cxnSp macro="">
      <xdr:nvCxnSpPr>
        <xdr:cNvPr id="25" name="直線コネクタ 24">
          <a:extLst>
            <a:ext uri="{FF2B5EF4-FFF2-40B4-BE49-F238E27FC236}">
              <a16:creationId xmlns:a16="http://schemas.microsoft.com/office/drawing/2014/main" id="{61BCBC2F-5D5C-4889-8257-8C539E65CC9E}"/>
            </a:ext>
          </a:extLst>
        </xdr:cNvPr>
        <xdr:cNvCxnSpPr>
          <a:stCxn id="23" idx="2"/>
          <a:endCxn id="24" idx="0"/>
        </xdr:cNvCxnSpPr>
      </xdr:nvCxnSpPr>
      <xdr:spPr>
        <a:xfrm flipH="1">
          <a:off x="3143616" y="37173877"/>
          <a:ext cx="2539757" cy="452804"/>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181463</xdr:colOff>
      <xdr:row>81</xdr:row>
      <xdr:rowOff>21249</xdr:rowOff>
    </xdr:from>
    <xdr:to>
      <xdr:col>12</xdr:col>
      <xdr:colOff>176578</xdr:colOff>
      <xdr:row>82</xdr:row>
      <xdr:rowOff>34193</xdr:rowOff>
    </xdr:to>
    <xdr:sp macro="" textlink="">
      <xdr:nvSpPr>
        <xdr:cNvPr id="26" name="正方形/長方形 25">
          <a:extLst>
            <a:ext uri="{FF2B5EF4-FFF2-40B4-BE49-F238E27FC236}">
              <a16:creationId xmlns:a16="http://schemas.microsoft.com/office/drawing/2014/main" id="{8C34F865-45FE-461D-84E4-7D089F6F7FBB}"/>
            </a:ext>
          </a:extLst>
        </xdr:cNvPr>
        <xdr:cNvSpPr/>
      </xdr:nvSpPr>
      <xdr:spPr>
        <a:xfrm>
          <a:off x="3115163" y="19223649"/>
          <a:ext cx="261815" cy="279644"/>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205154</xdr:colOff>
      <xdr:row>96</xdr:row>
      <xdr:rowOff>73269</xdr:rowOff>
    </xdr:from>
    <xdr:to>
      <xdr:col>19</xdr:col>
      <xdr:colOff>180732</xdr:colOff>
      <xdr:row>98</xdr:row>
      <xdr:rowOff>92807</xdr:rowOff>
    </xdr:to>
    <xdr:sp macro="" textlink="">
      <xdr:nvSpPr>
        <xdr:cNvPr id="27" name="正方形/長方形 26">
          <a:extLst>
            <a:ext uri="{FF2B5EF4-FFF2-40B4-BE49-F238E27FC236}">
              <a16:creationId xmlns:a16="http://schemas.microsoft.com/office/drawing/2014/main" id="{26A9BB69-E75A-4CF3-A47B-D1AA74986FB7}"/>
            </a:ext>
          </a:extLst>
        </xdr:cNvPr>
        <xdr:cNvSpPr/>
      </xdr:nvSpPr>
      <xdr:spPr>
        <a:xfrm>
          <a:off x="4205654" y="23276169"/>
          <a:ext cx="1042378" cy="552938"/>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45671</xdr:colOff>
      <xdr:row>82</xdr:row>
      <xdr:rowOff>34193</xdr:rowOff>
    </xdr:from>
    <xdr:to>
      <xdr:col>17</xdr:col>
      <xdr:colOff>192943</xdr:colOff>
      <xdr:row>96</xdr:row>
      <xdr:rowOff>73269</xdr:rowOff>
    </xdr:to>
    <xdr:cxnSp macro="">
      <xdr:nvCxnSpPr>
        <xdr:cNvPr id="28" name="直線コネクタ 27">
          <a:extLst>
            <a:ext uri="{FF2B5EF4-FFF2-40B4-BE49-F238E27FC236}">
              <a16:creationId xmlns:a16="http://schemas.microsoft.com/office/drawing/2014/main" id="{F54F6BB1-DF5E-424F-9AEC-5EFDE55AAB09}"/>
            </a:ext>
          </a:extLst>
        </xdr:cNvPr>
        <xdr:cNvCxnSpPr>
          <a:stCxn id="26" idx="2"/>
          <a:endCxn id="27" idx="0"/>
        </xdr:cNvCxnSpPr>
      </xdr:nvCxnSpPr>
      <xdr:spPr>
        <a:xfrm>
          <a:off x="3246071" y="19503293"/>
          <a:ext cx="1480772" cy="3772876"/>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241300</xdr:colOff>
      <xdr:row>98</xdr:row>
      <xdr:rowOff>241300</xdr:rowOff>
    </xdr:from>
    <xdr:to>
      <xdr:col>25</xdr:col>
      <xdr:colOff>114300</xdr:colOff>
      <xdr:row>100</xdr:row>
      <xdr:rowOff>12700</xdr:rowOff>
    </xdr:to>
    <xdr:sp macro="" textlink="">
      <xdr:nvSpPr>
        <xdr:cNvPr id="29" name="正方形/長方形 28">
          <a:extLst>
            <a:ext uri="{FF2B5EF4-FFF2-40B4-BE49-F238E27FC236}">
              <a16:creationId xmlns:a16="http://schemas.microsoft.com/office/drawing/2014/main" id="{A568FAEC-4840-4D92-9A66-D55C66B4341F}"/>
            </a:ext>
          </a:extLst>
        </xdr:cNvPr>
        <xdr:cNvSpPr/>
      </xdr:nvSpPr>
      <xdr:spPr>
        <a:xfrm>
          <a:off x="1574800" y="23977600"/>
          <a:ext cx="5207000" cy="30480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10</xdr:col>
      <xdr:colOff>203200</xdr:colOff>
      <xdr:row>94</xdr:row>
      <xdr:rowOff>247650</xdr:rowOff>
    </xdr:from>
    <xdr:to>
      <xdr:col>15</xdr:col>
      <xdr:colOff>177800</xdr:colOff>
      <xdr:row>98</xdr:row>
      <xdr:rowOff>241300</xdr:rowOff>
    </xdr:to>
    <xdr:cxnSp macro="">
      <xdr:nvCxnSpPr>
        <xdr:cNvPr id="30" name="直線コネクタ 29">
          <a:extLst>
            <a:ext uri="{FF2B5EF4-FFF2-40B4-BE49-F238E27FC236}">
              <a16:creationId xmlns:a16="http://schemas.microsoft.com/office/drawing/2014/main" id="{C815AF89-C51C-4C5F-84A7-861344D72AE4}"/>
            </a:ext>
          </a:extLst>
        </xdr:cNvPr>
        <xdr:cNvCxnSpPr>
          <a:stCxn id="21" idx="2"/>
          <a:endCxn id="29" idx="0"/>
        </xdr:cNvCxnSpPr>
      </xdr:nvCxnSpPr>
      <xdr:spPr>
        <a:xfrm>
          <a:off x="2870200" y="22917150"/>
          <a:ext cx="1308100" cy="1060450"/>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228600</xdr:colOff>
      <xdr:row>101</xdr:row>
      <xdr:rowOff>247650</xdr:rowOff>
    </xdr:from>
    <xdr:to>
      <xdr:col>11</xdr:col>
      <xdr:colOff>44450</xdr:colOff>
      <xdr:row>115</xdr:row>
      <xdr:rowOff>57150</xdr:rowOff>
    </xdr:to>
    <xdr:sp macro="" textlink="">
      <xdr:nvSpPr>
        <xdr:cNvPr id="31" name="正方形/長方形 30">
          <a:extLst>
            <a:ext uri="{FF2B5EF4-FFF2-40B4-BE49-F238E27FC236}">
              <a16:creationId xmlns:a16="http://schemas.microsoft.com/office/drawing/2014/main" id="{663B6A8A-9251-44EE-9D78-95C8F6D5AEAF}"/>
            </a:ext>
          </a:extLst>
        </xdr:cNvPr>
        <xdr:cNvSpPr/>
      </xdr:nvSpPr>
      <xdr:spPr>
        <a:xfrm>
          <a:off x="1562100" y="24784050"/>
          <a:ext cx="1416050" cy="354330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177800</xdr:colOff>
      <xdr:row>120</xdr:row>
      <xdr:rowOff>50800</xdr:rowOff>
    </xdr:from>
    <xdr:to>
      <xdr:col>14</xdr:col>
      <xdr:colOff>107950</xdr:colOff>
      <xdr:row>122</xdr:row>
      <xdr:rowOff>209550</xdr:rowOff>
    </xdr:to>
    <xdr:sp macro="" textlink="">
      <xdr:nvSpPr>
        <xdr:cNvPr id="32" name="正方形/長方形 31">
          <a:extLst>
            <a:ext uri="{FF2B5EF4-FFF2-40B4-BE49-F238E27FC236}">
              <a16:creationId xmlns:a16="http://schemas.microsoft.com/office/drawing/2014/main" id="{6AAB6983-762B-43C3-A7C6-996C649EA4A5}"/>
            </a:ext>
          </a:extLst>
        </xdr:cNvPr>
        <xdr:cNvSpPr/>
      </xdr:nvSpPr>
      <xdr:spPr>
        <a:xfrm>
          <a:off x="1244600" y="29654500"/>
          <a:ext cx="2597150" cy="69215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136525</xdr:colOff>
      <xdr:row>115</xdr:row>
      <xdr:rowOff>57150</xdr:rowOff>
    </xdr:from>
    <xdr:to>
      <xdr:col>9</xdr:col>
      <xdr:colOff>142875</xdr:colOff>
      <xdr:row>120</xdr:row>
      <xdr:rowOff>50800</xdr:rowOff>
    </xdr:to>
    <xdr:cxnSp macro="">
      <xdr:nvCxnSpPr>
        <xdr:cNvPr id="33" name="直線コネクタ 32">
          <a:extLst>
            <a:ext uri="{FF2B5EF4-FFF2-40B4-BE49-F238E27FC236}">
              <a16:creationId xmlns:a16="http://schemas.microsoft.com/office/drawing/2014/main" id="{44B28057-65FF-4043-9451-2642E2FA9A0C}"/>
            </a:ext>
          </a:extLst>
        </xdr:cNvPr>
        <xdr:cNvCxnSpPr>
          <a:stCxn id="31" idx="2"/>
          <a:endCxn id="32" idx="0"/>
        </xdr:cNvCxnSpPr>
      </xdr:nvCxnSpPr>
      <xdr:spPr>
        <a:xfrm>
          <a:off x="2270125" y="28327350"/>
          <a:ext cx="273050" cy="1327150"/>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184150</xdr:colOff>
      <xdr:row>117</xdr:row>
      <xdr:rowOff>57150</xdr:rowOff>
    </xdr:from>
    <xdr:to>
      <xdr:col>25</xdr:col>
      <xdr:colOff>88900</xdr:colOff>
      <xdr:row>119</xdr:row>
      <xdr:rowOff>215900</xdr:rowOff>
    </xdr:to>
    <xdr:sp macro="" textlink="">
      <xdr:nvSpPr>
        <xdr:cNvPr id="34" name="正方形/長方形 33">
          <a:extLst>
            <a:ext uri="{FF2B5EF4-FFF2-40B4-BE49-F238E27FC236}">
              <a16:creationId xmlns:a16="http://schemas.microsoft.com/office/drawing/2014/main" id="{B4EAE43B-492C-4F82-B4ED-017991A46566}"/>
            </a:ext>
          </a:extLst>
        </xdr:cNvPr>
        <xdr:cNvSpPr/>
      </xdr:nvSpPr>
      <xdr:spPr>
        <a:xfrm>
          <a:off x="4184650" y="28860750"/>
          <a:ext cx="2571750" cy="692150"/>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158750</xdr:colOff>
      <xdr:row>114</xdr:row>
      <xdr:rowOff>254000</xdr:rowOff>
    </xdr:from>
    <xdr:to>
      <xdr:col>20</xdr:col>
      <xdr:colOff>136525</xdr:colOff>
      <xdr:row>117</xdr:row>
      <xdr:rowOff>57150</xdr:rowOff>
    </xdr:to>
    <xdr:cxnSp macro="">
      <xdr:nvCxnSpPr>
        <xdr:cNvPr id="35" name="直線コネクタ 34">
          <a:extLst>
            <a:ext uri="{FF2B5EF4-FFF2-40B4-BE49-F238E27FC236}">
              <a16:creationId xmlns:a16="http://schemas.microsoft.com/office/drawing/2014/main" id="{BA4645D0-00B1-44B1-A7DB-1B07FC259BF4}"/>
            </a:ext>
          </a:extLst>
        </xdr:cNvPr>
        <xdr:cNvCxnSpPr>
          <a:stCxn id="36" idx="2"/>
          <a:endCxn id="34" idx="0"/>
        </xdr:cNvCxnSpPr>
      </xdr:nvCxnSpPr>
      <xdr:spPr>
        <a:xfrm>
          <a:off x="3359150" y="28257500"/>
          <a:ext cx="2111375" cy="603250"/>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57150</xdr:colOff>
      <xdr:row>114</xdr:row>
      <xdr:rowOff>19050</xdr:rowOff>
    </xdr:from>
    <xdr:to>
      <xdr:col>12</xdr:col>
      <xdr:colOff>260350</xdr:colOff>
      <xdr:row>114</xdr:row>
      <xdr:rowOff>254000</xdr:rowOff>
    </xdr:to>
    <xdr:sp macro="" textlink="">
      <xdr:nvSpPr>
        <xdr:cNvPr id="36" name="正方形/長方形 35">
          <a:extLst>
            <a:ext uri="{FF2B5EF4-FFF2-40B4-BE49-F238E27FC236}">
              <a16:creationId xmlns:a16="http://schemas.microsoft.com/office/drawing/2014/main" id="{ED76E147-7546-421C-88FD-97BFDFABAC05}"/>
            </a:ext>
          </a:extLst>
        </xdr:cNvPr>
        <xdr:cNvSpPr/>
      </xdr:nvSpPr>
      <xdr:spPr>
        <a:xfrm>
          <a:off x="3257550" y="28022550"/>
          <a:ext cx="203200" cy="234950"/>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209550</xdr:colOff>
      <xdr:row>61</xdr:row>
      <xdr:rowOff>215900</xdr:rowOff>
    </xdr:from>
    <xdr:to>
      <xdr:col>9</xdr:col>
      <xdr:colOff>38100</xdr:colOff>
      <xdr:row>66</xdr:row>
      <xdr:rowOff>47625</xdr:rowOff>
    </xdr:to>
    <xdr:sp macro="" textlink="">
      <xdr:nvSpPr>
        <xdr:cNvPr id="37" name="正方形/長方形 36">
          <a:extLst>
            <a:ext uri="{FF2B5EF4-FFF2-40B4-BE49-F238E27FC236}">
              <a16:creationId xmlns:a16="http://schemas.microsoft.com/office/drawing/2014/main" id="{3B948D1D-B641-4346-A621-72A3D04AFCA1}"/>
            </a:ext>
          </a:extLst>
        </xdr:cNvPr>
        <xdr:cNvSpPr/>
      </xdr:nvSpPr>
      <xdr:spPr>
        <a:xfrm>
          <a:off x="1276350" y="14084300"/>
          <a:ext cx="1162050" cy="1165225"/>
        </a:xfrm>
        <a:prstGeom prst="rect">
          <a:avLst/>
        </a:prstGeom>
        <a:noFill/>
        <a:ln w="38100">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257175</xdr:colOff>
      <xdr:row>55</xdr:row>
      <xdr:rowOff>26132</xdr:rowOff>
    </xdr:from>
    <xdr:to>
      <xdr:col>9</xdr:col>
      <xdr:colOff>125047</xdr:colOff>
      <xdr:row>61</xdr:row>
      <xdr:rowOff>219075</xdr:rowOff>
    </xdr:to>
    <xdr:cxnSp macro="">
      <xdr:nvCxnSpPr>
        <xdr:cNvPr id="38" name="直線コネクタ 37">
          <a:extLst>
            <a:ext uri="{FF2B5EF4-FFF2-40B4-BE49-F238E27FC236}">
              <a16:creationId xmlns:a16="http://schemas.microsoft.com/office/drawing/2014/main" id="{2559E11D-B155-433A-B6F0-BB9E6E31D210}"/>
            </a:ext>
          </a:extLst>
        </xdr:cNvPr>
        <xdr:cNvCxnSpPr>
          <a:stCxn id="14" idx="2"/>
          <a:endCxn id="37" idx="0"/>
        </xdr:cNvCxnSpPr>
      </xdr:nvCxnSpPr>
      <xdr:spPr>
        <a:xfrm flipH="1">
          <a:off x="1857375" y="12294332"/>
          <a:ext cx="667972" cy="1793143"/>
        </a:xfrm>
        <a:prstGeom prst="line">
          <a:avLst/>
        </a:prstGeom>
        <a:ln w="38100">
          <a:solidFill>
            <a:srgbClr val="FFC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247650</xdr:colOff>
      <xdr:row>71</xdr:row>
      <xdr:rowOff>0</xdr:rowOff>
    </xdr:from>
    <xdr:to>
      <xdr:col>24</xdr:col>
      <xdr:colOff>38100</xdr:colOff>
      <xdr:row>72</xdr:row>
      <xdr:rowOff>1</xdr:rowOff>
    </xdr:to>
    <xdr:sp macro="" textlink="">
      <xdr:nvSpPr>
        <xdr:cNvPr id="39" name="正方形/長方形 38">
          <a:extLst>
            <a:ext uri="{FF2B5EF4-FFF2-40B4-BE49-F238E27FC236}">
              <a16:creationId xmlns:a16="http://schemas.microsoft.com/office/drawing/2014/main" id="{533D48F7-46BF-4325-B4D1-8E7454F4F35F}"/>
            </a:ext>
          </a:extLst>
        </xdr:cNvPr>
        <xdr:cNvSpPr/>
      </xdr:nvSpPr>
      <xdr:spPr>
        <a:xfrm>
          <a:off x="1581150" y="16535400"/>
          <a:ext cx="4857750" cy="266701"/>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261938</xdr:colOff>
      <xdr:row>64</xdr:row>
      <xdr:rowOff>28575</xdr:rowOff>
    </xdr:from>
    <xdr:to>
      <xdr:col>15</xdr:col>
      <xdr:colOff>9525</xdr:colOff>
      <xdr:row>71</xdr:row>
      <xdr:rowOff>0</xdr:rowOff>
    </xdr:to>
    <xdr:cxnSp macro="">
      <xdr:nvCxnSpPr>
        <xdr:cNvPr id="40" name="直線コネクタ 39">
          <a:extLst>
            <a:ext uri="{FF2B5EF4-FFF2-40B4-BE49-F238E27FC236}">
              <a16:creationId xmlns:a16="http://schemas.microsoft.com/office/drawing/2014/main" id="{B4E87244-C2FC-4208-9C61-C13242AC3033}"/>
            </a:ext>
          </a:extLst>
        </xdr:cNvPr>
        <xdr:cNvCxnSpPr>
          <a:stCxn id="45" idx="2"/>
          <a:endCxn id="39" idx="0"/>
        </xdr:cNvCxnSpPr>
      </xdr:nvCxnSpPr>
      <xdr:spPr>
        <a:xfrm>
          <a:off x="1862138" y="14697075"/>
          <a:ext cx="2147887" cy="1838325"/>
        </a:xfrm>
        <a:prstGeom prst="line">
          <a:avLst/>
        </a:prstGeom>
        <a:ln w="38100">
          <a:solidFill>
            <a:srgbClr val="00B05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257175</xdr:colOff>
      <xdr:row>56</xdr:row>
      <xdr:rowOff>259617</xdr:rowOff>
    </xdr:from>
    <xdr:to>
      <xdr:col>19</xdr:col>
      <xdr:colOff>251070</xdr:colOff>
      <xdr:row>61</xdr:row>
      <xdr:rowOff>219075</xdr:rowOff>
    </xdr:to>
    <xdr:cxnSp macro="">
      <xdr:nvCxnSpPr>
        <xdr:cNvPr id="41" name="直線コネクタ 40">
          <a:extLst>
            <a:ext uri="{FF2B5EF4-FFF2-40B4-BE49-F238E27FC236}">
              <a16:creationId xmlns:a16="http://schemas.microsoft.com/office/drawing/2014/main" id="{255410FF-A755-4257-A74F-EFC19B1C38EC}"/>
            </a:ext>
          </a:extLst>
        </xdr:cNvPr>
        <xdr:cNvCxnSpPr>
          <a:stCxn id="18" idx="2"/>
          <a:endCxn id="37" idx="0"/>
        </xdr:cNvCxnSpPr>
      </xdr:nvCxnSpPr>
      <xdr:spPr>
        <a:xfrm flipH="1">
          <a:off x="1857375" y="12794517"/>
          <a:ext cx="3460995" cy="1292958"/>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200025</xdr:colOff>
      <xdr:row>58</xdr:row>
      <xdr:rowOff>76199</xdr:rowOff>
    </xdr:from>
    <xdr:to>
      <xdr:col>18</xdr:col>
      <xdr:colOff>101600</xdr:colOff>
      <xdr:row>60</xdr:row>
      <xdr:rowOff>107948</xdr:rowOff>
    </xdr:to>
    <xdr:sp macro="" textlink="">
      <xdr:nvSpPr>
        <xdr:cNvPr id="42" name="正方形/長方形 41">
          <a:extLst>
            <a:ext uri="{FF2B5EF4-FFF2-40B4-BE49-F238E27FC236}">
              <a16:creationId xmlns:a16="http://schemas.microsoft.com/office/drawing/2014/main" id="{C0FC7C27-49A8-4936-B0AF-84BAF0E1017E}"/>
            </a:ext>
          </a:extLst>
        </xdr:cNvPr>
        <xdr:cNvSpPr/>
      </xdr:nvSpPr>
      <xdr:spPr>
        <a:xfrm>
          <a:off x="4200525" y="13144499"/>
          <a:ext cx="701675" cy="565149"/>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228600</xdr:colOff>
      <xdr:row>45</xdr:row>
      <xdr:rowOff>200025</xdr:rowOff>
    </xdr:from>
    <xdr:to>
      <xdr:col>7</xdr:col>
      <xdr:colOff>158750</xdr:colOff>
      <xdr:row>46</xdr:row>
      <xdr:rowOff>142875</xdr:rowOff>
    </xdr:to>
    <xdr:sp macro="" textlink="">
      <xdr:nvSpPr>
        <xdr:cNvPr id="43" name="正方形/長方形 42">
          <a:extLst>
            <a:ext uri="{FF2B5EF4-FFF2-40B4-BE49-F238E27FC236}">
              <a16:creationId xmlns:a16="http://schemas.microsoft.com/office/drawing/2014/main" id="{804C5BF5-E1C6-4E50-8BF7-304DFE9173F1}"/>
            </a:ext>
          </a:extLst>
        </xdr:cNvPr>
        <xdr:cNvSpPr/>
      </xdr:nvSpPr>
      <xdr:spPr>
        <a:xfrm>
          <a:off x="1828800" y="9801225"/>
          <a:ext cx="196850" cy="20955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61913</xdr:colOff>
      <xdr:row>46</xdr:row>
      <xdr:rowOff>139700</xdr:rowOff>
    </xdr:from>
    <xdr:to>
      <xdr:col>17</xdr:col>
      <xdr:colOff>17463</xdr:colOff>
      <xdr:row>58</xdr:row>
      <xdr:rowOff>76199</xdr:rowOff>
    </xdr:to>
    <xdr:cxnSp macro="">
      <xdr:nvCxnSpPr>
        <xdr:cNvPr id="44" name="直線コネクタ 43">
          <a:extLst>
            <a:ext uri="{FF2B5EF4-FFF2-40B4-BE49-F238E27FC236}">
              <a16:creationId xmlns:a16="http://schemas.microsoft.com/office/drawing/2014/main" id="{E775D7A4-001F-4812-9578-C0ECEE474CD5}"/>
            </a:ext>
          </a:extLst>
        </xdr:cNvPr>
        <xdr:cNvCxnSpPr>
          <a:cxnSpLocks/>
          <a:stCxn id="43" idx="2"/>
          <a:endCxn id="42" idx="0"/>
        </xdr:cNvCxnSpPr>
      </xdr:nvCxnSpPr>
      <xdr:spPr>
        <a:xfrm>
          <a:off x="1928813" y="10007600"/>
          <a:ext cx="2622550" cy="3136899"/>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57150</xdr:colOff>
      <xdr:row>63</xdr:row>
      <xdr:rowOff>0</xdr:rowOff>
    </xdr:from>
    <xdr:to>
      <xdr:col>8</xdr:col>
      <xdr:colOff>196850</xdr:colOff>
      <xdr:row>64</xdr:row>
      <xdr:rowOff>25400</xdr:rowOff>
    </xdr:to>
    <xdr:sp macro="" textlink="">
      <xdr:nvSpPr>
        <xdr:cNvPr id="45" name="正方形/長方形 44">
          <a:extLst>
            <a:ext uri="{FF2B5EF4-FFF2-40B4-BE49-F238E27FC236}">
              <a16:creationId xmlns:a16="http://schemas.microsoft.com/office/drawing/2014/main" id="{2D8063CA-AE37-47D1-89A9-AE65BA96FF80}"/>
            </a:ext>
          </a:extLst>
        </xdr:cNvPr>
        <xdr:cNvSpPr/>
      </xdr:nvSpPr>
      <xdr:spPr>
        <a:xfrm>
          <a:off x="1390650" y="14401800"/>
          <a:ext cx="939800" cy="292100"/>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219075</xdr:colOff>
      <xdr:row>67</xdr:row>
      <xdr:rowOff>66675</xdr:rowOff>
    </xdr:from>
    <xdr:to>
      <xdr:col>25</xdr:col>
      <xdr:colOff>120650</xdr:colOff>
      <xdr:row>69</xdr:row>
      <xdr:rowOff>206375</xdr:rowOff>
    </xdr:to>
    <xdr:sp macro="" textlink="">
      <xdr:nvSpPr>
        <xdr:cNvPr id="46" name="正方形/長方形 45">
          <a:extLst>
            <a:ext uri="{FF2B5EF4-FFF2-40B4-BE49-F238E27FC236}">
              <a16:creationId xmlns:a16="http://schemas.microsoft.com/office/drawing/2014/main" id="{6D03010A-A565-4FA4-9B0E-39501DFAD46D}"/>
            </a:ext>
          </a:extLst>
        </xdr:cNvPr>
        <xdr:cNvSpPr/>
      </xdr:nvSpPr>
      <xdr:spPr>
        <a:xfrm>
          <a:off x="4219575" y="15535275"/>
          <a:ext cx="2568575" cy="67310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0</xdr:colOff>
      <xdr:row>65</xdr:row>
      <xdr:rowOff>38100</xdr:rowOff>
    </xdr:from>
    <xdr:to>
      <xdr:col>8</xdr:col>
      <xdr:colOff>228599</xdr:colOff>
      <xdr:row>65</xdr:row>
      <xdr:rowOff>209550</xdr:rowOff>
    </xdr:to>
    <xdr:sp macro="" textlink="">
      <xdr:nvSpPr>
        <xdr:cNvPr id="47" name="正方形/長方形 46">
          <a:extLst>
            <a:ext uri="{FF2B5EF4-FFF2-40B4-BE49-F238E27FC236}">
              <a16:creationId xmlns:a16="http://schemas.microsoft.com/office/drawing/2014/main" id="{C1649EA1-53E9-4443-9643-28A35DA3E311}"/>
            </a:ext>
          </a:extLst>
        </xdr:cNvPr>
        <xdr:cNvSpPr/>
      </xdr:nvSpPr>
      <xdr:spPr>
        <a:xfrm>
          <a:off x="2133600" y="14973300"/>
          <a:ext cx="228599" cy="171450"/>
        </a:xfrm>
        <a:prstGeom prst="rect">
          <a:avLst/>
        </a:prstGeom>
        <a:noFill/>
        <a:ln w="38100">
          <a:solidFill>
            <a:srgbClr val="00B0F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114300</xdr:colOff>
      <xdr:row>65</xdr:row>
      <xdr:rowOff>209550</xdr:rowOff>
    </xdr:from>
    <xdr:to>
      <xdr:col>20</xdr:col>
      <xdr:colOff>169863</xdr:colOff>
      <xdr:row>67</xdr:row>
      <xdr:rowOff>63500</xdr:rowOff>
    </xdr:to>
    <xdr:cxnSp macro="">
      <xdr:nvCxnSpPr>
        <xdr:cNvPr id="48" name="直線コネクタ 47">
          <a:extLst>
            <a:ext uri="{FF2B5EF4-FFF2-40B4-BE49-F238E27FC236}">
              <a16:creationId xmlns:a16="http://schemas.microsoft.com/office/drawing/2014/main" id="{31FE7EE3-DE6A-44EB-8656-D26CDA348BC6}"/>
            </a:ext>
          </a:extLst>
        </xdr:cNvPr>
        <xdr:cNvCxnSpPr>
          <a:stCxn id="47" idx="2"/>
          <a:endCxn id="46" idx="0"/>
        </xdr:cNvCxnSpPr>
      </xdr:nvCxnSpPr>
      <xdr:spPr>
        <a:xfrm>
          <a:off x="2247900" y="15144750"/>
          <a:ext cx="3255963" cy="387350"/>
        </a:xfrm>
        <a:prstGeom prst="line">
          <a:avLst/>
        </a:prstGeom>
        <a:ln w="38100">
          <a:solidFill>
            <a:srgbClr val="00B0F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4</xdr:col>
      <xdr:colOff>0</xdr:colOff>
      <xdr:row>61</xdr:row>
      <xdr:rowOff>0</xdr:rowOff>
    </xdr:from>
    <xdr:to>
      <xdr:col>5</xdr:col>
      <xdr:colOff>9525</xdr:colOff>
      <xdr:row>67</xdr:row>
      <xdr:rowOff>9525</xdr:rowOff>
    </xdr:to>
    <xdr:pic>
      <xdr:nvPicPr>
        <xdr:cNvPr id="49" name="図 48">
          <a:extLst>
            <a:ext uri="{FF2B5EF4-FFF2-40B4-BE49-F238E27FC236}">
              <a16:creationId xmlns:a16="http://schemas.microsoft.com/office/drawing/2014/main" id="{97F6F94D-B1A8-49A5-9B5F-C61CBF7C6161}"/>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066800" y="13868400"/>
          <a:ext cx="276225" cy="1609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37</xdr:col>
      <xdr:colOff>96540</xdr:colOff>
      <xdr:row>7</xdr:row>
      <xdr:rowOff>165100</xdr:rowOff>
    </xdr:to>
    <xdr:pic>
      <xdr:nvPicPr>
        <xdr:cNvPr id="50" name="図 49">
          <a:extLst>
            <a:ext uri="{FF2B5EF4-FFF2-40B4-BE49-F238E27FC236}">
              <a16:creationId xmlns:a16="http://schemas.microsoft.com/office/drawing/2014/main" id="{69CDFFD6-132C-4517-BCD8-75655C6C83F9}"/>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00100" y="800100"/>
          <a:ext cx="9164340" cy="1231900"/>
        </a:xfrm>
        <a:prstGeom prst="rect">
          <a:avLst/>
        </a:prstGeom>
      </xdr:spPr>
    </xdr:pic>
    <xdr:clientData/>
  </xdr:twoCellAnchor>
  <xdr:twoCellAnchor>
    <xdr:from>
      <xdr:col>5</xdr:col>
      <xdr:colOff>209550</xdr:colOff>
      <xdr:row>8</xdr:row>
      <xdr:rowOff>222250</xdr:rowOff>
    </xdr:from>
    <xdr:to>
      <xdr:col>23</xdr:col>
      <xdr:colOff>133350</xdr:colOff>
      <xdr:row>10</xdr:row>
      <xdr:rowOff>38100</xdr:rowOff>
    </xdr:to>
    <xdr:sp macro="" textlink="">
      <xdr:nvSpPr>
        <xdr:cNvPr id="51" name="正方形/長方形 50">
          <a:extLst>
            <a:ext uri="{FF2B5EF4-FFF2-40B4-BE49-F238E27FC236}">
              <a16:creationId xmlns:a16="http://schemas.microsoft.com/office/drawing/2014/main" id="{7AC1DECE-7A97-4DCF-A240-A686430B3FF9}"/>
            </a:ext>
          </a:extLst>
        </xdr:cNvPr>
        <xdr:cNvSpPr/>
      </xdr:nvSpPr>
      <xdr:spPr>
        <a:xfrm>
          <a:off x="1543050" y="2355850"/>
          <a:ext cx="4724400" cy="349250"/>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25400</xdr:colOff>
      <xdr:row>5</xdr:row>
      <xdr:rowOff>241300</xdr:rowOff>
    </xdr:from>
    <xdr:to>
      <xdr:col>10</xdr:col>
      <xdr:colOff>0</xdr:colOff>
      <xdr:row>7</xdr:row>
      <xdr:rowOff>19050</xdr:rowOff>
    </xdr:to>
    <xdr:sp macro="" textlink="">
      <xdr:nvSpPr>
        <xdr:cNvPr id="52" name="正方形/長方形 51">
          <a:extLst>
            <a:ext uri="{FF2B5EF4-FFF2-40B4-BE49-F238E27FC236}">
              <a16:creationId xmlns:a16="http://schemas.microsoft.com/office/drawing/2014/main" id="{34FDB2D8-BF1D-44A8-B228-B073C9EE5B0F}"/>
            </a:ext>
          </a:extLst>
        </xdr:cNvPr>
        <xdr:cNvSpPr/>
      </xdr:nvSpPr>
      <xdr:spPr>
        <a:xfrm>
          <a:off x="1625600" y="1574800"/>
          <a:ext cx="1041400" cy="311150"/>
        </a:xfrm>
        <a:prstGeom prst="rect">
          <a:avLst/>
        </a:prstGeom>
        <a:noFill/>
        <a:ln w="38100">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12700</xdr:colOff>
      <xdr:row>7</xdr:row>
      <xdr:rowOff>19050</xdr:rowOff>
    </xdr:from>
    <xdr:to>
      <xdr:col>14</xdr:col>
      <xdr:colOff>171450</xdr:colOff>
      <xdr:row>8</xdr:row>
      <xdr:rowOff>222250</xdr:rowOff>
    </xdr:to>
    <xdr:cxnSp macro="">
      <xdr:nvCxnSpPr>
        <xdr:cNvPr id="53" name="直線コネクタ 52">
          <a:extLst>
            <a:ext uri="{FF2B5EF4-FFF2-40B4-BE49-F238E27FC236}">
              <a16:creationId xmlns:a16="http://schemas.microsoft.com/office/drawing/2014/main" id="{69B9EC9E-2E85-40E5-93A9-EF25562830E0}"/>
            </a:ext>
          </a:extLst>
        </xdr:cNvPr>
        <xdr:cNvCxnSpPr>
          <a:stCxn id="52" idx="2"/>
          <a:endCxn id="51" idx="0"/>
        </xdr:cNvCxnSpPr>
      </xdr:nvCxnSpPr>
      <xdr:spPr>
        <a:xfrm>
          <a:off x="2146300" y="1885950"/>
          <a:ext cx="1758950" cy="469900"/>
        </a:xfrm>
        <a:prstGeom prst="line">
          <a:avLst/>
        </a:prstGeom>
        <a:ln w="38100">
          <a:solidFill>
            <a:srgbClr val="8833AA"/>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7.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8.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9.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B59934-AF2A-469D-B258-61B3AEB4DA98}">
  <sheetPr codeName="Sheet35">
    <tabColor rgb="FF0F8472"/>
  </sheetPr>
  <dimension ref="A1:AG144"/>
  <sheetViews>
    <sheetView tabSelected="1" zoomScaleNormal="100" workbookViewId="0"/>
  </sheetViews>
  <sheetFormatPr defaultColWidth="3.5" defaultRowHeight="21" customHeight="1" x14ac:dyDescent="0.55000000000000004"/>
  <cols>
    <col min="1" max="16384" width="3.5" style="11"/>
  </cols>
  <sheetData>
    <row r="1" spans="1:33" ht="21" customHeight="1" x14ac:dyDescent="0.55000000000000004">
      <c r="A1" s="37"/>
      <c r="G1" s="37" t="s">
        <v>171</v>
      </c>
      <c r="R1" s="37" t="s">
        <v>172</v>
      </c>
      <c r="AF1" s="37" t="s">
        <v>170</v>
      </c>
    </row>
    <row r="2" spans="1:33" ht="21" customHeight="1" x14ac:dyDescent="0.55000000000000004">
      <c r="B2" s="13" t="s">
        <v>781</v>
      </c>
      <c r="C2" s="12"/>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row>
    <row r="4" spans="1:33" ht="21" customHeight="1" x14ac:dyDescent="0.55000000000000004">
      <c r="D4" s="13" t="s">
        <v>135</v>
      </c>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row>
    <row r="22" spans="4:33" ht="21" customHeight="1" x14ac:dyDescent="0.55000000000000004">
      <c r="F22" s="14" t="s">
        <v>136</v>
      </c>
      <c r="G22" s="11" t="s">
        <v>176</v>
      </c>
    </row>
    <row r="23" spans="4:33" ht="21" customHeight="1" x14ac:dyDescent="0.55000000000000004">
      <c r="G23" s="11" t="s">
        <v>175</v>
      </c>
    </row>
    <row r="26" spans="4:33" ht="21" customHeight="1" x14ac:dyDescent="0.55000000000000004">
      <c r="D26" s="13" t="s">
        <v>32</v>
      </c>
      <c r="E26" s="12"/>
      <c r="F26" s="12"/>
      <c r="G26" s="12"/>
      <c r="H26" s="12"/>
      <c r="I26" s="12"/>
      <c r="J26" s="12"/>
      <c r="K26" s="12"/>
      <c r="L26" s="12"/>
      <c r="M26" s="12"/>
      <c r="N26" s="12"/>
      <c r="O26" s="12"/>
      <c r="P26" s="12"/>
      <c r="Q26" s="12"/>
      <c r="R26" s="12"/>
      <c r="S26" s="12"/>
      <c r="T26" s="12"/>
      <c r="U26" s="12"/>
      <c r="V26" s="12"/>
      <c r="W26" s="12"/>
      <c r="X26" s="12"/>
      <c r="Y26" s="12"/>
      <c r="Z26" s="12"/>
      <c r="AA26" s="12"/>
      <c r="AB26" s="12"/>
      <c r="AC26" s="12"/>
      <c r="AD26" s="12"/>
      <c r="AE26" s="12"/>
      <c r="AF26" s="12"/>
      <c r="AG26" s="12"/>
    </row>
    <row r="45" spans="6:15" ht="21" customHeight="1" x14ac:dyDescent="0.55000000000000004">
      <c r="F45" s="14"/>
      <c r="H45" s="29" t="s">
        <v>769</v>
      </c>
      <c r="I45" s="29"/>
      <c r="J45" s="29"/>
      <c r="K45" s="29"/>
      <c r="L45" s="29"/>
      <c r="M45" s="29"/>
      <c r="N45" s="29"/>
      <c r="O45" s="11" t="s">
        <v>137</v>
      </c>
    </row>
    <row r="47" spans="6:15" ht="21" customHeight="1" x14ac:dyDescent="0.55000000000000004">
      <c r="H47" s="11" t="s">
        <v>138</v>
      </c>
    </row>
    <row r="48" spans="6:15" ht="21" customHeight="1" x14ac:dyDescent="0.55000000000000004">
      <c r="K48" s="3">
        <v>1</v>
      </c>
    </row>
    <row r="49" spans="1:33" ht="21" customHeight="1" x14ac:dyDescent="0.55000000000000004">
      <c r="H49" s="11" t="s">
        <v>167</v>
      </c>
    </row>
    <row r="51" spans="1:33" ht="21" customHeight="1" x14ac:dyDescent="0.55000000000000004">
      <c r="F51" s="11" t="s">
        <v>73</v>
      </c>
    </row>
    <row r="52" spans="1:33" ht="21" customHeight="1" x14ac:dyDescent="0.55000000000000004">
      <c r="F52" s="11" t="s">
        <v>139</v>
      </c>
    </row>
    <row r="55" spans="1:33" ht="21" customHeight="1" x14ac:dyDescent="0.55000000000000004">
      <c r="D55" s="13" t="s">
        <v>33</v>
      </c>
      <c r="E55" s="12"/>
      <c r="F55" s="12"/>
      <c r="G55" s="12"/>
      <c r="H55" s="12"/>
      <c r="I55" s="12"/>
      <c r="J55" s="12"/>
      <c r="K55" s="12"/>
      <c r="L55" s="12"/>
      <c r="M55" s="12"/>
      <c r="N55" s="12"/>
      <c r="O55" s="12"/>
      <c r="P55" s="12"/>
      <c r="Q55" s="12"/>
      <c r="R55" s="12"/>
      <c r="S55" s="12"/>
      <c r="T55" s="12"/>
      <c r="U55" s="12"/>
      <c r="V55" s="12"/>
      <c r="W55" s="12"/>
      <c r="X55" s="12"/>
      <c r="Y55" s="12"/>
      <c r="Z55" s="12"/>
      <c r="AA55" s="12"/>
      <c r="AB55" s="12"/>
      <c r="AC55" s="12"/>
      <c r="AD55" s="12"/>
      <c r="AE55" s="12"/>
      <c r="AF55" s="12"/>
      <c r="AG55" s="12"/>
    </row>
    <row r="57" spans="1:33" ht="21" customHeight="1" x14ac:dyDescent="0.55000000000000004">
      <c r="F57" s="14" t="s">
        <v>30</v>
      </c>
      <c r="G57" s="11" t="s">
        <v>82</v>
      </c>
      <c r="I57" s="29" t="s">
        <v>770</v>
      </c>
      <c r="J57" s="29"/>
      <c r="K57" s="29"/>
      <c r="L57" s="29"/>
      <c r="M57" s="29"/>
      <c r="N57" s="29"/>
      <c r="O57" s="29"/>
      <c r="P57" s="11" t="s">
        <v>83</v>
      </c>
    </row>
    <row r="58" spans="1:33" ht="21" customHeight="1" x14ac:dyDescent="0.55000000000000004">
      <c r="F58" s="14"/>
      <c r="G58" s="11" t="s">
        <v>74</v>
      </c>
    </row>
    <row r="59" spans="1:33" ht="21" customHeight="1" thickBot="1" x14ac:dyDescent="0.45">
      <c r="G59" s="26" t="s">
        <v>40</v>
      </c>
      <c r="R59" s="26" t="s">
        <v>41</v>
      </c>
    </row>
    <row r="60" spans="1:33" ht="21" customHeight="1" thickTop="1" thickBot="1" x14ac:dyDescent="0.6">
      <c r="A60" s="37" t="s">
        <v>147</v>
      </c>
      <c r="F60" s="31">
        <v>1</v>
      </c>
      <c r="G60" s="111" t="s">
        <v>758</v>
      </c>
      <c r="H60" s="112"/>
      <c r="I60" s="112"/>
      <c r="J60" s="112"/>
      <c r="K60" s="112"/>
      <c r="L60" s="112"/>
      <c r="M60" s="112"/>
      <c r="N60" s="112"/>
      <c r="O60" s="112"/>
      <c r="P60" s="113"/>
      <c r="R60" s="111" t="s">
        <v>583</v>
      </c>
      <c r="S60" s="112"/>
      <c r="T60" s="112"/>
      <c r="U60" s="113"/>
    </row>
    <row r="61" spans="1:33" ht="21" customHeight="1" thickTop="1" thickBot="1" x14ac:dyDescent="0.45">
      <c r="G61" s="26" t="s">
        <v>40</v>
      </c>
      <c r="R61" s="26" t="s">
        <v>41</v>
      </c>
    </row>
    <row r="62" spans="1:33" ht="21" customHeight="1" thickTop="1" thickBot="1" x14ac:dyDescent="0.6">
      <c r="A62" s="37" t="s">
        <v>148</v>
      </c>
      <c r="F62" s="31">
        <v>2</v>
      </c>
      <c r="G62" s="111" t="s">
        <v>755</v>
      </c>
      <c r="H62" s="112"/>
      <c r="I62" s="112"/>
      <c r="J62" s="112"/>
      <c r="K62" s="112"/>
      <c r="L62" s="112"/>
      <c r="M62" s="112"/>
      <c r="N62" s="112"/>
      <c r="O62" s="112"/>
      <c r="P62" s="113"/>
      <c r="R62" s="111" t="s">
        <v>583</v>
      </c>
      <c r="S62" s="112"/>
      <c r="T62" s="112"/>
      <c r="U62" s="113"/>
    </row>
    <row r="63" spans="1:33" ht="21" customHeight="1" thickTop="1" thickBot="1" x14ac:dyDescent="0.45">
      <c r="G63" s="26" t="s">
        <v>40</v>
      </c>
      <c r="R63" s="26" t="s">
        <v>41</v>
      </c>
    </row>
    <row r="64" spans="1:33" ht="21" customHeight="1" thickTop="1" thickBot="1" x14ac:dyDescent="0.6">
      <c r="A64" s="37" t="s">
        <v>149</v>
      </c>
      <c r="F64" s="31">
        <v>3</v>
      </c>
      <c r="G64" s="111"/>
      <c r="H64" s="112"/>
      <c r="I64" s="112"/>
      <c r="J64" s="112"/>
      <c r="K64" s="112"/>
      <c r="L64" s="112"/>
      <c r="M64" s="112"/>
      <c r="N64" s="112"/>
      <c r="O64" s="112"/>
      <c r="P64" s="113"/>
      <c r="R64" s="111"/>
      <c r="S64" s="112"/>
      <c r="T64" s="112"/>
      <c r="U64" s="113"/>
    </row>
    <row r="65" spans="1:21" ht="21" customHeight="1" thickTop="1" thickBot="1" x14ac:dyDescent="0.45">
      <c r="G65" s="26" t="s">
        <v>40</v>
      </c>
      <c r="R65" s="26" t="s">
        <v>41</v>
      </c>
    </row>
    <row r="66" spans="1:21" ht="21" customHeight="1" thickTop="1" thickBot="1" x14ac:dyDescent="0.6">
      <c r="A66" s="37" t="s">
        <v>150</v>
      </c>
      <c r="F66" s="31">
        <v>4</v>
      </c>
      <c r="G66" s="111"/>
      <c r="H66" s="112"/>
      <c r="I66" s="112"/>
      <c r="J66" s="112"/>
      <c r="K66" s="112"/>
      <c r="L66" s="112"/>
      <c r="M66" s="112"/>
      <c r="N66" s="112"/>
      <c r="O66" s="112"/>
      <c r="P66" s="113"/>
      <c r="R66" s="111"/>
      <c r="S66" s="112"/>
      <c r="T66" s="112"/>
      <c r="U66" s="113"/>
    </row>
    <row r="67" spans="1:21" ht="21" customHeight="1" thickTop="1" thickBot="1" x14ac:dyDescent="0.45">
      <c r="G67" s="26" t="s">
        <v>40</v>
      </c>
      <c r="R67" s="26" t="s">
        <v>41</v>
      </c>
    </row>
    <row r="68" spans="1:21" ht="21" customHeight="1" thickTop="1" thickBot="1" x14ac:dyDescent="0.6">
      <c r="A68" s="37" t="s">
        <v>151</v>
      </c>
      <c r="F68" s="31">
        <v>5</v>
      </c>
      <c r="G68" s="111"/>
      <c r="H68" s="112"/>
      <c r="I68" s="112"/>
      <c r="J68" s="112"/>
      <c r="K68" s="112"/>
      <c r="L68" s="112"/>
      <c r="M68" s="112"/>
      <c r="N68" s="112"/>
      <c r="O68" s="112"/>
      <c r="P68" s="113"/>
      <c r="R68" s="111"/>
      <c r="S68" s="112"/>
      <c r="T68" s="112"/>
      <c r="U68" s="113"/>
    </row>
    <row r="69" spans="1:21" ht="21" customHeight="1" thickTop="1" thickBot="1" x14ac:dyDescent="0.45">
      <c r="G69" s="26" t="s">
        <v>40</v>
      </c>
      <c r="R69" s="26" t="s">
        <v>41</v>
      </c>
    </row>
    <row r="70" spans="1:21" ht="21" customHeight="1" thickTop="1" thickBot="1" x14ac:dyDescent="0.6">
      <c r="A70" s="37" t="s">
        <v>152</v>
      </c>
      <c r="F70" s="31">
        <v>6</v>
      </c>
      <c r="G70" s="111"/>
      <c r="H70" s="112"/>
      <c r="I70" s="112"/>
      <c r="J70" s="112"/>
      <c r="K70" s="112"/>
      <c r="L70" s="112"/>
      <c r="M70" s="112"/>
      <c r="N70" s="112"/>
      <c r="O70" s="112"/>
      <c r="P70" s="113"/>
      <c r="R70" s="111"/>
      <c r="S70" s="112"/>
      <c r="T70" s="112"/>
      <c r="U70" s="113"/>
    </row>
    <row r="71" spans="1:21" ht="21" customHeight="1" thickTop="1" thickBot="1" x14ac:dyDescent="0.45">
      <c r="G71" s="26" t="s">
        <v>40</v>
      </c>
      <c r="R71" s="26" t="s">
        <v>41</v>
      </c>
    </row>
    <row r="72" spans="1:21" ht="21" customHeight="1" thickTop="1" thickBot="1" x14ac:dyDescent="0.6">
      <c r="A72" s="37" t="s">
        <v>153</v>
      </c>
      <c r="F72" s="31">
        <v>7</v>
      </c>
      <c r="G72" s="111"/>
      <c r="H72" s="112"/>
      <c r="I72" s="112"/>
      <c r="J72" s="112"/>
      <c r="K72" s="112"/>
      <c r="L72" s="112"/>
      <c r="M72" s="112"/>
      <c r="N72" s="112"/>
      <c r="O72" s="112"/>
      <c r="P72" s="113"/>
      <c r="R72" s="111"/>
      <c r="S72" s="112"/>
      <c r="T72" s="112"/>
      <c r="U72" s="113"/>
    </row>
    <row r="73" spans="1:21" ht="21" customHeight="1" thickTop="1" thickBot="1" x14ac:dyDescent="0.45">
      <c r="G73" s="26" t="s">
        <v>40</v>
      </c>
      <c r="R73" s="26" t="s">
        <v>41</v>
      </c>
    </row>
    <row r="74" spans="1:21" ht="21" customHeight="1" thickTop="1" thickBot="1" x14ac:dyDescent="0.6">
      <c r="A74" s="37" t="s">
        <v>154</v>
      </c>
      <c r="F74" s="31">
        <v>8</v>
      </c>
      <c r="G74" s="111"/>
      <c r="H74" s="112"/>
      <c r="I74" s="112"/>
      <c r="J74" s="112"/>
      <c r="K74" s="112"/>
      <c r="L74" s="112"/>
      <c r="M74" s="112"/>
      <c r="N74" s="112"/>
      <c r="O74" s="112"/>
      <c r="P74" s="113"/>
      <c r="R74" s="111"/>
      <c r="S74" s="112"/>
      <c r="T74" s="112"/>
      <c r="U74" s="113"/>
    </row>
    <row r="75" spans="1:21" ht="21" customHeight="1" thickTop="1" thickBot="1" x14ac:dyDescent="0.45">
      <c r="G75" s="26" t="s">
        <v>40</v>
      </c>
      <c r="R75" s="26" t="s">
        <v>41</v>
      </c>
    </row>
    <row r="76" spans="1:21" ht="21" customHeight="1" thickTop="1" thickBot="1" x14ac:dyDescent="0.6">
      <c r="A76" s="37" t="s">
        <v>155</v>
      </c>
      <c r="F76" s="31">
        <v>9</v>
      </c>
      <c r="G76" s="111"/>
      <c r="H76" s="112"/>
      <c r="I76" s="112"/>
      <c r="J76" s="112"/>
      <c r="K76" s="112"/>
      <c r="L76" s="112"/>
      <c r="M76" s="112"/>
      <c r="N76" s="112"/>
      <c r="O76" s="112"/>
      <c r="P76" s="113"/>
      <c r="R76" s="111"/>
      <c r="S76" s="112"/>
      <c r="T76" s="112"/>
      <c r="U76" s="113"/>
    </row>
    <row r="77" spans="1:21" ht="21" customHeight="1" thickTop="1" thickBot="1" x14ac:dyDescent="0.45">
      <c r="G77" s="26" t="s">
        <v>40</v>
      </c>
      <c r="R77" s="26" t="s">
        <v>41</v>
      </c>
    </row>
    <row r="78" spans="1:21" ht="21" customHeight="1" thickTop="1" thickBot="1" x14ac:dyDescent="0.6">
      <c r="A78" s="37" t="s">
        <v>156</v>
      </c>
      <c r="F78" s="31">
        <v>10</v>
      </c>
      <c r="G78" s="111"/>
      <c r="H78" s="112"/>
      <c r="I78" s="112"/>
      <c r="J78" s="112"/>
      <c r="K78" s="112"/>
      <c r="L78" s="112"/>
      <c r="M78" s="112"/>
      <c r="N78" s="112"/>
      <c r="O78" s="112"/>
      <c r="P78" s="113"/>
      <c r="R78" s="111"/>
      <c r="S78" s="112"/>
      <c r="T78" s="112"/>
      <c r="U78" s="113"/>
    </row>
    <row r="79" spans="1:21" ht="21" customHeight="1" thickTop="1" x14ac:dyDescent="0.55000000000000004"/>
    <row r="81" spans="4:33" ht="21" customHeight="1" x14ac:dyDescent="0.55000000000000004">
      <c r="D81" s="13" t="s">
        <v>33</v>
      </c>
      <c r="E81" s="12"/>
      <c r="F81" s="12"/>
      <c r="G81" s="12"/>
      <c r="H81" s="12"/>
      <c r="I81" s="12"/>
      <c r="J81" s="12"/>
      <c r="K81" s="12"/>
      <c r="L81" s="12"/>
      <c r="M81" s="12"/>
      <c r="N81" s="12"/>
      <c r="O81" s="12"/>
      <c r="P81" s="12"/>
      <c r="Q81" s="12"/>
      <c r="R81" s="12"/>
      <c r="S81" s="12"/>
      <c r="T81" s="12"/>
      <c r="U81" s="12"/>
      <c r="V81" s="12"/>
      <c r="W81" s="12"/>
      <c r="X81" s="12"/>
      <c r="Y81" s="12"/>
      <c r="Z81" s="12"/>
      <c r="AA81" s="12"/>
      <c r="AB81" s="12"/>
      <c r="AC81" s="12"/>
      <c r="AD81" s="12"/>
      <c r="AE81" s="12"/>
      <c r="AF81" s="12"/>
      <c r="AG81" s="12"/>
    </row>
    <row r="96" spans="4:33" ht="21" customHeight="1" x14ac:dyDescent="0.55000000000000004">
      <c r="G96" s="14"/>
      <c r="H96" s="29" t="s">
        <v>85</v>
      </c>
      <c r="I96" s="29"/>
      <c r="J96" s="29"/>
      <c r="K96" s="29"/>
      <c r="L96" s="11" t="s">
        <v>165</v>
      </c>
    </row>
    <row r="97" spans="4:33" ht="21" customHeight="1" x14ac:dyDescent="0.55000000000000004">
      <c r="G97" s="14"/>
    </row>
    <row r="98" spans="4:33" ht="21" customHeight="1" x14ac:dyDescent="0.55000000000000004">
      <c r="F98" s="11" t="s">
        <v>72</v>
      </c>
    </row>
    <row r="100" spans="4:33" ht="21" customHeight="1" x14ac:dyDescent="0.55000000000000004">
      <c r="F100" s="32" t="s">
        <v>75</v>
      </c>
      <c r="H100" s="11" t="s">
        <v>166</v>
      </c>
    </row>
    <row r="103" spans="4:33" ht="21" customHeight="1" x14ac:dyDescent="0.55000000000000004">
      <c r="D103" s="13" t="s">
        <v>34</v>
      </c>
      <c r="E103" s="12"/>
      <c r="F103" s="12"/>
      <c r="G103" s="12"/>
      <c r="H103" s="12"/>
      <c r="I103" s="12"/>
      <c r="J103" s="12"/>
      <c r="K103" s="12"/>
      <c r="L103" s="12"/>
      <c r="M103" s="12"/>
      <c r="N103" s="12"/>
      <c r="O103" s="12"/>
      <c r="P103" s="12"/>
      <c r="Q103" s="12"/>
      <c r="R103" s="12"/>
      <c r="S103" s="12"/>
      <c r="T103" s="12"/>
      <c r="U103" s="12"/>
      <c r="V103" s="12"/>
      <c r="W103" s="12"/>
      <c r="X103" s="12"/>
      <c r="Y103" s="12"/>
      <c r="Z103" s="12"/>
      <c r="AA103" s="12"/>
      <c r="AB103" s="12"/>
      <c r="AC103" s="12"/>
      <c r="AD103" s="12"/>
      <c r="AE103" s="12"/>
      <c r="AF103" s="12"/>
      <c r="AG103" s="12"/>
    </row>
    <row r="105" spans="4:33" ht="21" customHeight="1" thickBot="1" x14ac:dyDescent="0.6">
      <c r="F105" s="14" t="s">
        <v>30</v>
      </c>
      <c r="G105" s="11" t="s">
        <v>31</v>
      </c>
    </row>
    <row r="106" spans="4:33" ht="21" customHeight="1" x14ac:dyDescent="0.55000000000000004">
      <c r="F106" s="15"/>
      <c r="G106" s="16"/>
      <c r="H106" s="16"/>
      <c r="I106" s="16"/>
      <c r="J106" s="16"/>
      <c r="K106" s="16"/>
      <c r="L106" s="16"/>
      <c r="M106" s="16"/>
      <c r="N106" s="17"/>
    </row>
    <row r="107" spans="4:33" ht="21" customHeight="1" x14ac:dyDescent="0.55000000000000004">
      <c r="F107" s="18"/>
      <c r="N107" s="19"/>
    </row>
    <row r="108" spans="4:33" ht="21" customHeight="1" x14ac:dyDescent="0.55000000000000004">
      <c r="F108" s="18"/>
      <c r="N108" s="19"/>
    </row>
    <row r="109" spans="4:33" ht="21" customHeight="1" thickBot="1" x14ac:dyDescent="0.6">
      <c r="F109" s="20"/>
      <c r="G109" s="21"/>
      <c r="H109" s="21"/>
      <c r="I109" s="21"/>
      <c r="J109" s="21"/>
      <c r="K109" s="21"/>
      <c r="L109" s="21"/>
      <c r="M109" s="21"/>
      <c r="N109" s="22"/>
    </row>
    <row r="126" spans="7:14" ht="21" customHeight="1" x14ac:dyDescent="0.55000000000000004">
      <c r="G126" s="14"/>
      <c r="H126" s="34" t="s">
        <v>84</v>
      </c>
      <c r="I126" s="34"/>
      <c r="J126" s="34"/>
      <c r="K126" s="34"/>
      <c r="L126" s="34"/>
      <c r="M126" s="34"/>
      <c r="N126" s="11" t="s">
        <v>169</v>
      </c>
    </row>
    <row r="129" spans="1:33" ht="21" customHeight="1" x14ac:dyDescent="0.55000000000000004">
      <c r="D129" s="13" t="s">
        <v>35</v>
      </c>
      <c r="E129" s="12"/>
      <c r="F129" s="12"/>
      <c r="G129" s="12"/>
      <c r="H129" s="12"/>
      <c r="I129" s="12"/>
      <c r="J129" s="12"/>
      <c r="K129" s="12"/>
      <c r="L129" s="12"/>
      <c r="M129" s="12"/>
      <c r="N129" s="12"/>
      <c r="O129" s="12"/>
      <c r="P129" s="12"/>
      <c r="Q129" s="12"/>
      <c r="R129" s="12"/>
      <c r="S129" s="12"/>
      <c r="T129" s="12"/>
      <c r="U129" s="12"/>
      <c r="V129" s="12"/>
      <c r="W129" s="12"/>
      <c r="X129" s="12"/>
      <c r="Y129" s="12"/>
      <c r="Z129" s="12"/>
      <c r="AA129" s="12"/>
      <c r="AB129" s="12"/>
      <c r="AC129" s="12"/>
      <c r="AD129" s="12"/>
      <c r="AE129" s="12"/>
      <c r="AF129" s="12"/>
      <c r="AG129" s="12"/>
    </row>
    <row r="137" spans="1:33" ht="21" customHeight="1" x14ac:dyDescent="0.55000000000000004">
      <c r="F137" s="11" t="s">
        <v>76</v>
      </c>
    </row>
    <row r="138" spans="1:33" ht="21" customHeight="1" x14ac:dyDescent="0.55000000000000004">
      <c r="G138" s="33" t="s">
        <v>77</v>
      </c>
      <c r="H138" s="35" t="s">
        <v>86</v>
      </c>
      <c r="I138" s="27"/>
      <c r="J138" s="27"/>
      <c r="K138" s="27"/>
      <c r="L138" s="27"/>
      <c r="M138" s="27"/>
      <c r="N138" s="11" t="s">
        <v>87</v>
      </c>
    </row>
    <row r="139" spans="1:33" ht="21" customHeight="1" x14ac:dyDescent="0.55000000000000004">
      <c r="G139" s="33" t="s">
        <v>77</v>
      </c>
      <c r="H139" s="35" t="s">
        <v>88</v>
      </c>
      <c r="I139" s="36"/>
      <c r="J139" s="36"/>
      <c r="K139" s="36"/>
      <c r="L139" s="36"/>
      <c r="M139" s="11" t="s">
        <v>87</v>
      </c>
    </row>
    <row r="140" spans="1:33" ht="21" customHeight="1" x14ac:dyDescent="0.55000000000000004">
      <c r="G140" s="33" t="s">
        <v>77</v>
      </c>
      <c r="H140" s="35" t="s">
        <v>89</v>
      </c>
      <c r="I140" s="27"/>
      <c r="J140" s="27"/>
      <c r="K140" s="27"/>
      <c r="L140" s="11" t="s">
        <v>87</v>
      </c>
    </row>
    <row r="141" spans="1:33" ht="21" customHeight="1" x14ac:dyDescent="0.55000000000000004">
      <c r="F141" s="11" t="s">
        <v>78</v>
      </c>
    </row>
    <row r="143" spans="1:33" ht="21" customHeight="1" x14ac:dyDescent="0.55000000000000004">
      <c r="B143" s="11" t="s">
        <v>28</v>
      </c>
    </row>
    <row r="144" spans="1:33" ht="21" customHeight="1" x14ac:dyDescent="0.55000000000000004">
      <c r="A144" s="37" t="s">
        <v>133</v>
      </c>
    </row>
  </sheetData>
  <mergeCells count="20">
    <mergeCell ref="G78:P78"/>
    <mergeCell ref="R78:U78"/>
    <mergeCell ref="G72:P72"/>
    <mergeCell ref="R72:U72"/>
    <mergeCell ref="G74:P74"/>
    <mergeCell ref="R74:U74"/>
    <mergeCell ref="G76:P76"/>
    <mergeCell ref="R76:U76"/>
    <mergeCell ref="G66:P66"/>
    <mergeCell ref="R66:U66"/>
    <mergeCell ref="G68:P68"/>
    <mergeCell ref="R68:U68"/>
    <mergeCell ref="G70:P70"/>
    <mergeCell ref="R70:U70"/>
    <mergeCell ref="G62:P62"/>
    <mergeCell ref="R62:U62"/>
    <mergeCell ref="G60:P60"/>
    <mergeCell ref="R60:U60"/>
    <mergeCell ref="G64:P64"/>
    <mergeCell ref="R64:U64"/>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7522" r:id="rId3" name="Button 2">
              <controlPr defaultSize="0" print="0" autoFill="0" autoPict="0" macro="[0]!ボタン2_Click">
                <anchor moveWithCells="1" sizeWithCells="1">
                  <from>
                    <xdr:col>6</xdr:col>
                    <xdr:colOff>0</xdr:colOff>
                    <xdr:row>105</xdr:row>
                    <xdr:rowOff>241300</xdr:rowOff>
                  </from>
                  <to>
                    <xdr:col>12</xdr:col>
                    <xdr:colOff>254000</xdr:colOff>
                    <xdr:row>108</xdr:row>
                    <xdr:rowOff>6350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A042A0-F393-43AC-95F4-9E7A7A80C3CC}">
  <sheetPr codeName="Sheet1"/>
  <dimension ref="A1:B106"/>
  <sheetViews>
    <sheetView workbookViewId="0"/>
  </sheetViews>
  <sheetFormatPr defaultRowHeight="18" x14ac:dyDescent="0.55000000000000004"/>
  <sheetData>
    <row r="1" spans="1:2" x14ac:dyDescent="0.55000000000000004">
      <c r="A1" s="28" t="s">
        <v>168</v>
      </c>
      <c r="B1" s="28" t="s">
        <v>45</v>
      </c>
    </row>
    <row r="2" spans="1:2" x14ac:dyDescent="0.55000000000000004">
      <c r="A2" s="30">
        <v>1</v>
      </c>
      <c r="B2" t="s">
        <v>129</v>
      </c>
    </row>
    <row r="3" spans="1:2" x14ac:dyDescent="0.55000000000000004">
      <c r="A3" s="30">
        <v>2</v>
      </c>
      <c r="B3" t="s">
        <v>130</v>
      </c>
    </row>
    <row r="4" spans="1:2" x14ac:dyDescent="0.55000000000000004">
      <c r="A4" s="30">
        <v>3</v>
      </c>
      <c r="B4" t="s">
        <v>584</v>
      </c>
    </row>
    <row r="5" spans="1:2" x14ac:dyDescent="0.55000000000000004">
      <c r="A5" s="30">
        <v>4</v>
      </c>
      <c r="B5" t="s">
        <v>131</v>
      </c>
    </row>
    <row r="6" spans="1:2" x14ac:dyDescent="0.55000000000000004">
      <c r="A6" s="30">
        <v>5</v>
      </c>
      <c r="B6" t="s">
        <v>585</v>
      </c>
    </row>
    <row r="7" spans="1:2" x14ac:dyDescent="0.55000000000000004">
      <c r="A7" s="30">
        <v>6</v>
      </c>
      <c r="B7" t="s">
        <v>586</v>
      </c>
    </row>
    <row r="8" spans="1:2" x14ac:dyDescent="0.55000000000000004">
      <c r="A8" s="30">
        <v>7</v>
      </c>
      <c r="B8" t="s">
        <v>91</v>
      </c>
    </row>
    <row r="9" spans="1:2" x14ac:dyDescent="0.55000000000000004">
      <c r="A9" s="30">
        <v>8</v>
      </c>
      <c r="B9" t="s">
        <v>587</v>
      </c>
    </row>
    <row r="10" spans="1:2" x14ac:dyDescent="0.55000000000000004">
      <c r="A10" s="30">
        <v>9</v>
      </c>
      <c r="B10" t="s">
        <v>588</v>
      </c>
    </row>
    <row r="11" spans="1:2" x14ac:dyDescent="0.55000000000000004">
      <c r="A11" s="30">
        <v>10</v>
      </c>
      <c r="B11" t="s">
        <v>589</v>
      </c>
    </row>
    <row r="12" spans="1:2" x14ac:dyDescent="0.55000000000000004">
      <c r="A12" s="30">
        <v>11</v>
      </c>
      <c r="B12" t="s">
        <v>590</v>
      </c>
    </row>
    <row r="13" spans="1:2" x14ac:dyDescent="0.55000000000000004">
      <c r="A13" s="30">
        <v>12</v>
      </c>
      <c r="B13" t="s">
        <v>591</v>
      </c>
    </row>
    <row r="14" spans="1:2" x14ac:dyDescent="0.55000000000000004">
      <c r="A14" s="30">
        <v>13</v>
      </c>
      <c r="B14" t="s">
        <v>592</v>
      </c>
    </row>
    <row r="15" spans="1:2" x14ac:dyDescent="0.55000000000000004">
      <c r="A15" s="30">
        <v>14</v>
      </c>
      <c r="B15" t="s">
        <v>593</v>
      </c>
    </row>
    <row r="16" spans="1:2" x14ac:dyDescent="0.55000000000000004">
      <c r="A16" s="30">
        <v>15</v>
      </c>
      <c r="B16" t="s">
        <v>594</v>
      </c>
    </row>
    <row r="17" spans="1:2" x14ac:dyDescent="0.55000000000000004">
      <c r="A17" s="30">
        <v>16</v>
      </c>
      <c r="B17" t="s">
        <v>595</v>
      </c>
    </row>
    <row r="18" spans="1:2" x14ac:dyDescent="0.55000000000000004">
      <c r="A18" s="30">
        <v>17</v>
      </c>
      <c r="B18" t="s">
        <v>92</v>
      </c>
    </row>
    <row r="19" spans="1:2" x14ac:dyDescent="0.55000000000000004">
      <c r="A19" s="30">
        <v>18</v>
      </c>
      <c r="B19" t="s">
        <v>93</v>
      </c>
    </row>
    <row r="20" spans="1:2" x14ac:dyDescent="0.55000000000000004">
      <c r="A20" s="30">
        <v>19</v>
      </c>
      <c r="B20" t="s">
        <v>94</v>
      </c>
    </row>
    <row r="21" spans="1:2" x14ac:dyDescent="0.55000000000000004">
      <c r="A21" s="30">
        <v>20</v>
      </c>
      <c r="B21" t="s">
        <v>95</v>
      </c>
    </row>
    <row r="22" spans="1:2" x14ac:dyDescent="0.55000000000000004">
      <c r="A22" s="30">
        <v>21</v>
      </c>
      <c r="B22" t="s">
        <v>96</v>
      </c>
    </row>
    <row r="23" spans="1:2" x14ac:dyDescent="0.55000000000000004">
      <c r="A23" s="30">
        <v>22</v>
      </c>
      <c r="B23" t="s">
        <v>97</v>
      </c>
    </row>
    <row r="24" spans="1:2" x14ac:dyDescent="0.55000000000000004">
      <c r="A24" s="30">
        <v>23</v>
      </c>
      <c r="B24" t="s">
        <v>98</v>
      </c>
    </row>
    <row r="25" spans="1:2" x14ac:dyDescent="0.55000000000000004">
      <c r="A25" s="30">
        <v>24</v>
      </c>
      <c r="B25" t="s">
        <v>99</v>
      </c>
    </row>
    <row r="26" spans="1:2" x14ac:dyDescent="0.55000000000000004">
      <c r="A26" s="30">
        <v>25</v>
      </c>
      <c r="B26" t="s">
        <v>596</v>
      </c>
    </row>
    <row r="27" spans="1:2" x14ac:dyDescent="0.55000000000000004">
      <c r="A27" s="30">
        <v>26</v>
      </c>
      <c r="B27" t="s">
        <v>100</v>
      </c>
    </row>
    <row r="28" spans="1:2" x14ac:dyDescent="0.55000000000000004">
      <c r="A28" s="30">
        <v>27</v>
      </c>
      <c r="B28" t="s">
        <v>101</v>
      </c>
    </row>
    <row r="29" spans="1:2" x14ac:dyDescent="0.55000000000000004">
      <c r="A29" s="30">
        <v>28</v>
      </c>
      <c r="B29" t="s">
        <v>597</v>
      </c>
    </row>
    <row r="30" spans="1:2" x14ac:dyDescent="0.55000000000000004">
      <c r="A30" s="30">
        <v>29</v>
      </c>
      <c r="B30" t="s">
        <v>102</v>
      </c>
    </row>
    <row r="31" spans="1:2" x14ac:dyDescent="0.55000000000000004">
      <c r="A31" s="30">
        <v>30</v>
      </c>
      <c r="B31" t="s">
        <v>103</v>
      </c>
    </row>
    <row r="32" spans="1:2" x14ac:dyDescent="0.55000000000000004">
      <c r="A32" s="30">
        <v>31</v>
      </c>
      <c r="B32" t="s">
        <v>104</v>
      </c>
    </row>
    <row r="33" spans="1:2" x14ac:dyDescent="0.55000000000000004">
      <c r="A33" s="30">
        <v>32</v>
      </c>
      <c r="B33" t="s">
        <v>598</v>
      </c>
    </row>
    <row r="34" spans="1:2" x14ac:dyDescent="0.55000000000000004">
      <c r="A34" s="30">
        <v>33</v>
      </c>
      <c r="B34" t="s">
        <v>105</v>
      </c>
    </row>
    <row r="35" spans="1:2" x14ac:dyDescent="0.55000000000000004">
      <c r="A35" s="30">
        <v>34</v>
      </c>
      <c r="B35" t="s">
        <v>599</v>
      </c>
    </row>
    <row r="36" spans="1:2" x14ac:dyDescent="0.55000000000000004">
      <c r="A36" s="30">
        <v>35</v>
      </c>
      <c r="B36" t="s">
        <v>106</v>
      </c>
    </row>
    <row r="37" spans="1:2" x14ac:dyDescent="0.55000000000000004">
      <c r="A37" s="30">
        <v>36</v>
      </c>
      <c r="B37" t="s">
        <v>107</v>
      </c>
    </row>
    <row r="38" spans="1:2" x14ac:dyDescent="0.55000000000000004">
      <c r="A38" s="30">
        <v>37</v>
      </c>
      <c r="B38" t="s">
        <v>108</v>
      </c>
    </row>
    <row r="39" spans="1:2" x14ac:dyDescent="0.55000000000000004">
      <c r="A39" s="30">
        <v>38</v>
      </c>
      <c r="B39" t="s">
        <v>109</v>
      </c>
    </row>
    <row r="40" spans="1:2" x14ac:dyDescent="0.55000000000000004">
      <c r="A40" s="30">
        <v>39</v>
      </c>
      <c r="B40" t="s">
        <v>600</v>
      </c>
    </row>
    <row r="41" spans="1:2" x14ac:dyDescent="0.55000000000000004">
      <c r="A41" s="30">
        <v>40</v>
      </c>
      <c r="B41" t="s">
        <v>110</v>
      </c>
    </row>
    <row r="42" spans="1:2" x14ac:dyDescent="0.55000000000000004">
      <c r="A42" s="30">
        <v>41</v>
      </c>
      <c r="B42" t="s">
        <v>111</v>
      </c>
    </row>
    <row r="43" spans="1:2" x14ac:dyDescent="0.55000000000000004">
      <c r="A43" s="30">
        <v>42</v>
      </c>
      <c r="B43" t="s">
        <v>112</v>
      </c>
    </row>
    <row r="44" spans="1:2" x14ac:dyDescent="0.55000000000000004">
      <c r="A44" s="30">
        <v>43</v>
      </c>
      <c r="B44" t="s">
        <v>601</v>
      </c>
    </row>
    <row r="45" spans="1:2" x14ac:dyDescent="0.55000000000000004">
      <c r="A45" s="30">
        <v>44</v>
      </c>
      <c r="B45" t="s">
        <v>602</v>
      </c>
    </row>
    <row r="46" spans="1:2" x14ac:dyDescent="0.55000000000000004">
      <c r="A46" s="30">
        <v>45</v>
      </c>
      <c r="B46" t="s">
        <v>603</v>
      </c>
    </row>
    <row r="47" spans="1:2" x14ac:dyDescent="0.55000000000000004">
      <c r="A47" s="30">
        <v>46</v>
      </c>
      <c r="B47" t="s">
        <v>113</v>
      </c>
    </row>
    <row r="48" spans="1:2" x14ac:dyDescent="0.55000000000000004">
      <c r="A48" s="30">
        <v>47</v>
      </c>
      <c r="B48" t="s">
        <v>114</v>
      </c>
    </row>
    <row r="49" spans="1:2" x14ac:dyDescent="0.55000000000000004">
      <c r="A49" s="30">
        <v>48</v>
      </c>
      <c r="B49" t="s">
        <v>115</v>
      </c>
    </row>
    <row r="50" spans="1:2" x14ac:dyDescent="0.55000000000000004">
      <c r="A50" s="30">
        <v>49</v>
      </c>
      <c r="B50" t="s">
        <v>116</v>
      </c>
    </row>
    <row r="51" spans="1:2" x14ac:dyDescent="0.55000000000000004">
      <c r="A51" s="30">
        <v>50</v>
      </c>
      <c r="B51" t="s">
        <v>117</v>
      </c>
    </row>
    <row r="52" spans="1:2" x14ac:dyDescent="0.55000000000000004">
      <c r="A52" s="30">
        <v>51</v>
      </c>
      <c r="B52" t="s">
        <v>118</v>
      </c>
    </row>
    <row r="53" spans="1:2" x14ac:dyDescent="0.55000000000000004">
      <c r="A53" s="30">
        <v>52</v>
      </c>
      <c r="B53" t="s">
        <v>119</v>
      </c>
    </row>
    <row r="54" spans="1:2" x14ac:dyDescent="0.55000000000000004">
      <c r="A54" s="30">
        <v>53</v>
      </c>
      <c r="B54" t="s">
        <v>120</v>
      </c>
    </row>
    <row r="55" spans="1:2" x14ac:dyDescent="0.55000000000000004">
      <c r="A55" s="30">
        <v>54</v>
      </c>
      <c r="B55" t="s">
        <v>604</v>
      </c>
    </row>
    <row r="56" spans="1:2" x14ac:dyDescent="0.55000000000000004">
      <c r="A56" s="30">
        <v>55</v>
      </c>
      <c r="B56" t="s">
        <v>605</v>
      </c>
    </row>
    <row r="57" spans="1:2" x14ac:dyDescent="0.55000000000000004">
      <c r="A57" s="30">
        <v>56</v>
      </c>
      <c r="B57" t="s">
        <v>606</v>
      </c>
    </row>
    <row r="58" spans="1:2" x14ac:dyDescent="0.55000000000000004">
      <c r="A58" s="30">
        <v>57</v>
      </c>
      <c r="B58" t="s">
        <v>607</v>
      </c>
    </row>
    <row r="59" spans="1:2" x14ac:dyDescent="0.55000000000000004">
      <c r="A59" s="30">
        <v>58</v>
      </c>
      <c r="B59" t="s">
        <v>608</v>
      </c>
    </row>
    <row r="60" spans="1:2" x14ac:dyDescent="0.55000000000000004">
      <c r="A60" s="30">
        <v>59</v>
      </c>
      <c r="B60" t="s">
        <v>609</v>
      </c>
    </row>
    <row r="61" spans="1:2" x14ac:dyDescent="0.55000000000000004">
      <c r="A61" s="30">
        <v>60</v>
      </c>
      <c r="B61" t="s">
        <v>610</v>
      </c>
    </row>
    <row r="62" spans="1:2" x14ac:dyDescent="0.55000000000000004">
      <c r="A62" s="30">
        <v>61</v>
      </c>
      <c r="B62" t="s">
        <v>121</v>
      </c>
    </row>
    <row r="63" spans="1:2" x14ac:dyDescent="0.55000000000000004">
      <c r="A63" s="30">
        <v>62</v>
      </c>
      <c r="B63" t="s">
        <v>122</v>
      </c>
    </row>
    <row r="64" spans="1:2" x14ac:dyDescent="0.55000000000000004">
      <c r="A64" s="30">
        <v>63</v>
      </c>
      <c r="B64" t="s">
        <v>123</v>
      </c>
    </row>
    <row r="65" spans="1:2" x14ac:dyDescent="0.55000000000000004">
      <c r="A65" s="30">
        <v>64</v>
      </c>
      <c r="B65" t="s">
        <v>124</v>
      </c>
    </row>
    <row r="66" spans="1:2" x14ac:dyDescent="0.55000000000000004">
      <c r="A66" s="30">
        <v>65</v>
      </c>
      <c r="B66" t="s">
        <v>125</v>
      </c>
    </row>
    <row r="67" spans="1:2" x14ac:dyDescent="0.55000000000000004">
      <c r="A67" s="30">
        <v>66</v>
      </c>
      <c r="B67" t="s">
        <v>611</v>
      </c>
    </row>
    <row r="68" spans="1:2" x14ac:dyDescent="0.55000000000000004">
      <c r="A68" s="30">
        <v>67</v>
      </c>
      <c r="B68" t="s">
        <v>612</v>
      </c>
    </row>
    <row r="69" spans="1:2" x14ac:dyDescent="0.55000000000000004">
      <c r="A69" s="30">
        <v>68</v>
      </c>
      <c r="B69" t="s">
        <v>613</v>
      </c>
    </row>
    <row r="70" spans="1:2" x14ac:dyDescent="0.55000000000000004">
      <c r="A70" s="30">
        <v>69</v>
      </c>
      <c r="B70" t="s">
        <v>126</v>
      </c>
    </row>
    <row r="71" spans="1:2" x14ac:dyDescent="0.55000000000000004">
      <c r="A71" s="30">
        <v>70</v>
      </c>
      <c r="B71" t="s">
        <v>127</v>
      </c>
    </row>
    <row r="72" spans="1:2" x14ac:dyDescent="0.55000000000000004">
      <c r="A72" s="30">
        <v>71</v>
      </c>
      <c r="B72" t="s">
        <v>128</v>
      </c>
    </row>
    <row r="73" spans="1:2" x14ac:dyDescent="0.55000000000000004">
      <c r="A73" s="30">
        <v>72</v>
      </c>
      <c r="B73" t="s">
        <v>614</v>
      </c>
    </row>
    <row r="74" spans="1:2" x14ac:dyDescent="0.55000000000000004">
      <c r="A74" s="30">
        <v>73</v>
      </c>
      <c r="B74" t="s">
        <v>615</v>
      </c>
    </row>
    <row r="75" spans="1:2" x14ac:dyDescent="0.55000000000000004">
      <c r="A75" s="30">
        <v>74</v>
      </c>
      <c r="B75" t="s">
        <v>616</v>
      </c>
    </row>
    <row r="76" spans="1:2" x14ac:dyDescent="0.55000000000000004">
      <c r="A76" s="30">
        <v>75</v>
      </c>
      <c r="B76" t="s">
        <v>617</v>
      </c>
    </row>
    <row r="77" spans="1:2" x14ac:dyDescent="0.55000000000000004">
      <c r="A77" s="30">
        <v>76</v>
      </c>
      <c r="B77" t="s">
        <v>618</v>
      </c>
    </row>
    <row r="78" spans="1:2" x14ac:dyDescent="0.55000000000000004">
      <c r="A78" s="30">
        <v>77</v>
      </c>
      <c r="B78" t="s">
        <v>619</v>
      </c>
    </row>
    <row r="79" spans="1:2" x14ac:dyDescent="0.55000000000000004">
      <c r="A79" s="30">
        <v>78</v>
      </c>
      <c r="B79" t="s">
        <v>620</v>
      </c>
    </row>
    <row r="80" spans="1:2" x14ac:dyDescent="0.55000000000000004">
      <c r="A80" s="30">
        <v>79</v>
      </c>
      <c r="B80" t="s">
        <v>621</v>
      </c>
    </row>
    <row r="81" spans="1:2" x14ac:dyDescent="0.55000000000000004">
      <c r="A81" s="30">
        <v>80</v>
      </c>
      <c r="B81" t="s">
        <v>622</v>
      </c>
    </row>
    <row r="82" spans="1:2" x14ac:dyDescent="0.55000000000000004">
      <c r="A82" s="30">
        <v>81</v>
      </c>
      <c r="B82" t="s">
        <v>623</v>
      </c>
    </row>
    <row r="83" spans="1:2" x14ac:dyDescent="0.55000000000000004">
      <c r="A83" s="30">
        <v>82</v>
      </c>
      <c r="B83" t="s">
        <v>624</v>
      </c>
    </row>
    <row r="84" spans="1:2" x14ac:dyDescent="0.55000000000000004">
      <c r="A84" s="30" t="s">
        <v>46</v>
      </c>
      <c r="B84" t="s">
        <v>129</v>
      </c>
    </row>
    <row r="85" spans="1:2" x14ac:dyDescent="0.55000000000000004">
      <c r="A85" s="30" t="s">
        <v>63</v>
      </c>
      <c r="B85" t="s">
        <v>131</v>
      </c>
    </row>
    <row r="86" spans="1:2" x14ac:dyDescent="0.55000000000000004">
      <c r="A86" s="30" t="s">
        <v>134</v>
      </c>
      <c r="B86" t="s">
        <v>585</v>
      </c>
    </row>
    <row r="87" spans="1:2" x14ac:dyDescent="0.55000000000000004">
      <c r="A87" s="30" t="s">
        <v>64</v>
      </c>
      <c r="B87" t="s">
        <v>91</v>
      </c>
    </row>
    <row r="88" spans="1:2" x14ac:dyDescent="0.55000000000000004">
      <c r="A88" s="30" t="s">
        <v>65</v>
      </c>
      <c r="B88" t="s">
        <v>587</v>
      </c>
    </row>
    <row r="89" spans="1:2" x14ac:dyDescent="0.55000000000000004">
      <c r="A89" s="30" t="s">
        <v>66</v>
      </c>
      <c r="B89" t="s">
        <v>591</v>
      </c>
    </row>
    <row r="90" spans="1:2" x14ac:dyDescent="0.55000000000000004">
      <c r="A90" s="30" t="s">
        <v>67</v>
      </c>
      <c r="B90" t="s">
        <v>94</v>
      </c>
    </row>
    <row r="91" spans="1:2" x14ac:dyDescent="0.55000000000000004">
      <c r="A91" s="30" t="s">
        <v>68</v>
      </c>
      <c r="B91" t="s">
        <v>98</v>
      </c>
    </row>
    <row r="92" spans="1:2" x14ac:dyDescent="0.55000000000000004">
      <c r="A92" s="30" t="s">
        <v>516</v>
      </c>
      <c r="B92" t="s">
        <v>99</v>
      </c>
    </row>
    <row r="93" spans="1:2" x14ac:dyDescent="0.55000000000000004">
      <c r="A93" s="30" t="s">
        <v>518</v>
      </c>
      <c r="B93" t="s">
        <v>598</v>
      </c>
    </row>
    <row r="94" spans="1:2" x14ac:dyDescent="0.55000000000000004">
      <c r="A94" s="30" t="s">
        <v>520</v>
      </c>
      <c r="B94" t="s">
        <v>106</v>
      </c>
    </row>
    <row r="95" spans="1:2" x14ac:dyDescent="0.55000000000000004">
      <c r="A95" s="30" t="s">
        <v>533</v>
      </c>
      <c r="B95" t="s">
        <v>108</v>
      </c>
    </row>
    <row r="96" spans="1:2" x14ac:dyDescent="0.55000000000000004">
      <c r="A96" s="30" t="s">
        <v>536</v>
      </c>
      <c r="B96" t="s">
        <v>109</v>
      </c>
    </row>
    <row r="97" spans="1:2" x14ac:dyDescent="0.55000000000000004">
      <c r="A97" s="30" t="s">
        <v>539</v>
      </c>
      <c r="B97" t="s">
        <v>110</v>
      </c>
    </row>
    <row r="98" spans="1:2" x14ac:dyDescent="0.55000000000000004">
      <c r="A98" s="30" t="s">
        <v>542</v>
      </c>
      <c r="B98" t="s">
        <v>112</v>
      </c>
    </row>
    <row r="99" spans="1:2" x14ac:dyDescent="0.55000000000000004">
      <c r="A99" s="30" t="s">
        <v>544</v>
      </c>
      <c r="B99" t="s">
        <v>602</v>
      </c>
    </row>
    <row r="100" spans="1:2" x14ac:dyDescent="0.55000000000000004">
      <c r="A100" s="30" t="s">
        <v>546</v>
      </c>
      <c r="B100" t="s">
        <v>116</v>
      </c>
    </row>
    <row r="101" spans="1:2" x14ac:dyDescent="0.55000000000000004">
      <c r="A101" s="30" t="s">
        <v>548</v>
      </c>
      <c r="B101" t="s">
        <v>604</v>
      </c>
    </row>
    <row r="102" spans="1:2" x14ac:dyDescent="0.55000000000000004">
      <c r="A102" s="30" t="s">
        <v>550</v>
      </c>
      <c r="B102" t="s">
        <v>610</v>
      </c>
    </row>
    <row r="103" spans="1:2" x14ac:dyDescent="0.55000000000000004">
      <c r="A103" s="30" t="s">
        <v>552</v>
      </c>
      <c r="B103" t="s">
        <v>122</v>
      </c>
    </row>
    <row r="104" spans="1:2" x14ac:dyDescent="0.55000000000000004">
      <c r="A104" s="30" t="s">
        <v>554</v>
      </c>
      <c r="B104" t="s">
        <v>126</v>
      </c>
    </row>
    <row r="105" spans="1:2" x14ac:dyDescent="0.55000000000000004">
      <c r="A105" s="30" t="s">
        <v>556</v>
      </c>
      <c r="B105" t="s">
        <v>614</v>
      </c>
    </row>
    <row r="106" spans="1:2" x14ac:dyDescent="0.55000000000000004">
      <c r="A106" s="30" t="s">
        <v>558</v>
      </c>
      <c r="B106" t="s">
        <v>619</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B82B19-655F-4574-9B27-F5A733A6BF8F}">
  <sheetPr codeName="Sheet5">
    <tabColor theme="1"/>
  </sheetPr>
  <dimension ref="A1:D7"/>
  <sheetViews>
    <sheetView workbookViewId="0">
      <selection activeCell="A3" sqref="A3:XFD3"/>
    </sheetView>
  </sheetViews>
  <sheetFormatPr defaultRowHeight="18" x14ac:dyDescent="0.55000000000000004"/>
  <cols>
    <col min="1" max="1" width="15.4140625" style="48" bestFit="1" customWidth="1"/>
    <col min="2" max="2" width="10.58203125" style="48" bestFit="1" customWidth="1"/>
    <col min="3" max="3" width="8.6640625" style="48"/>
    <col min="4" max="4" width="145.83203125" bestFit="1" customWidth="1"/>
  </cols>
  <sheetData>
    <row r="1" spans="1:4" x14ac:dyDescent="0.55000000000000004">
      <c r="A1" s="43" t="s">
        <v>177</v>
      </c>
      <c r="B1" s="43" t="s">
        <v>181</v>
      </c>
      <c r="C1" s="43" t="s">
        <v>178</v>
      </c>
      <c r="D1" s="43" t="s">
        <v>180</v>
      </c>
    </row>
    <row r="3" spans="1:4" x14ac:dyDescent="0.55000000000000004">
      <c r="A3" s="47">
        <v>45822.994444444441</v>
      </c>
      <c r="B3" s="48" t="s">
        <v>780</v>
      </c>
      <c r="C3" s="48" t="s">
        <v>179</v>
      </c>
      <c r="D3" t="s">
        <v>765</v>
      </c>
    </row>
    <row r="4" spans="1:4" x14ac:dyDescent="0.55000000000000004">
      <c r="A4" s="47">
        <v>45819.413888888892</v>
      </c>
      <c r="B4" s="48" t="s">
        <v>747</v>
      </c>
      <c r="C4" s="48" t="s">
        <v>179</v>
      </c>
      <c r="D4" t="s">
        <v>748</v>
      </c>
    </row>
    <row r="5" spans="1:4" x14ac:dyDescent="0.55000000000000004">
      <c r="A5" s="47">
        <v>45819.32916666667</v>
      </c>
      <c r="B5" s="48" t="s">
        <v>634</v>
      </c>
      <c r="C5" s="48" t="s">
        <v>179</v>
      </c>
      <c r="D5" t="s">
        <v>633</v>
      </c>
    </row>
    <row r="6" spans="1:4" ht="63" customHeight="1" x14ac:dyDescent="0.55000000000000004">
      <c r="A6" s="47">
        <v>45819.209722222222</v>
      </c>
      <c r="B6" s="48" t="s">
        <v>198</v>
      </c>
      <c r="C6" s="48" t="s">
        <v>179</v>
      </c>
      <c r="D6" s="46" t="s">
        <v>199</v>
      </c>
    </row>
    <row r="7" spans="1:4" ht="36" x14ac:dyDescent="0.55000000000000004">
      <c r="A7" s="47">
        <v>45818.286111111112</v>
      </c>
      <c r="B7" s="47" t="s">
        <v>182</v>
      </c>
      <c r="C7" s="48" t="s">
        <v>179</v>
      </c>
      <c r="D7" s="46" t="s">
        <v>183</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4D291F-F640-4397-AD1D-564D9540B3CC}">
  <sheetPr codeName="Sheet7">
    <tabColor rgb="FF86DFCB"/>
  </sheetPr>
  <dimension ref="A1:BU54"/>
  <sheetViews>
    <sheetView zoomScale="80" zoomScaleNormal="80" workbookViewId="0"/>
  </sheetViews>
  <sheetFormatPr defaultColWidth="3.5" defaultRowHeight="21" customHeight="1" x14ac:dyDescent="0.55000000000000004"/>
  <cols>
    <col min="1" max="16384" width="3.5" style="2"/>
  </cols>
  <sheetData>
    <row r="1" spans="1:73" ht="21" customHeight="1" x14ac:dyDescent="0.55000000000000004">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23"/>
    </row>
    <row r="2" spans="1:73" ht="21" customHeight="1" x14ac:dyDescent="0.55000000000000004">
      <c r="A2" s="5"/>
      <c r="BT2" s="5"/>
      <c r="BU2" s="23"/>
    </row>
    <row r="3" spans="1:73" ht="21" customHeight="1" x14ac:dyDescent="0.55000000000000004">
      <c r="A3" s="5"/>
      <c r="D3" s="71"/>
      <c r="E3" s="71"/>
      <c r="F3" s="71"/>
      <c r="G3" s="1" t="s">
        <v>0</v>
      </c>
      <c r="K3" s="1" t="s">
        <v>1</v>
      </c>
      <c r="O3" s="1" t="s">
        <v>2</v>
      </c>
      <c r="S3" s="1" t="s">
        <v>3</v>
      </c>
      <c r="W3" s="1" t="s">
        <v>4</v>
      </c>
      <c r="AA3" s="1" t="s">
        <v>5</v>
      </c>
      <c r="AE3" s="1" t="s">
        <v>6</v>
      </c>
      <c r="AI3" s="1" t="s">
        <v>7</v>
      </c>
      <c r="AM3" s="1" t="s">
        <v>8</v>
      </c>
      <c r="AQ3" s="1" t="s">
        <v>9</v>
      </c>
      <c r="AU3" s="1" t="s">
        <v>10</v>
      </c>
      <c r="AY3" s="1" t="s">
        <v>11</v>
      </c>
      <c r="BC3" s="1" t="s">
        <v>12</v>
      </c>
      <c r="BG3" s="1" t="s">
        <v>13</v>
      </c>
      <c r="BK3" s="1" t="s">
        <v>14</v>
      </c>
      <c r="BO3" s="1" t="s">
        <v>15</v>
      </c>
      <c r="BT3" s="5"/>
      <c r="BU3" s="23"/>
    </row>
    <row r="4" spans="1:73" ht="21" customHeight="1" x14ac:dyDescent="0.55000000000000004">
      <c r="A4" s="5"/>
      <c r="C4" s="71"/>
      <c r="D4" s="71"/>
      <c r="E4" s="71"/>
      <c r="F4" s="71"/>
      <c r="BT4" s="5"/>
      <c r="BU4" s="23"/>
    </row>
    <row r="5" spans="1:73" ht="21" customHeight="1" x14ac:dyDescent="0.55000000000000004">
      <c r="A5" s="5"/>
      <c r="C5" s="71"/>
      <c r="D5" s="71"/>
      <c r="E5" s="71"/>
      <c r="F5" s="71"/>
      <c r="BT5" s="5"/>
      <c r="BU5" s="23"/>
    </row>
    <row r="6" spans="1:73" ht="21" customHeight="1" thickBot="1" x14ac:dyDescent="0.6">
      <c r="A6" s="5"/>
      <c r="C6" s="71"/>
      <c r="D6" s="71"/>
      <c r="E6" s="71"/>
      <c r="F6" s="71"/>
      <c r="BT6" s="5"/>
      <c r="BU6" s="23"/>
    </row>
    <row r="7" spans="1:73" ht="21" customHeight="1" x14ac:dyDescent="0.55000000000000004">
      <c r="A7" s="5"/>
      <c r="C7" s="1" t="s">
        <v>16</v>
      </c>
      <c r="K7" s="4">
        <v>1</v>
      </c>
      <c r="L7" s="114" t="s">
        <v>231</v>
      </c>
      <c r="M7" s="114"/>
      <c r="N7" s="115"/>
      <c r="O7" s="4">
        <v>2</v>
      </c>
      <c r="P7" s="114" t="s">
        <v>233</v>
      </c>
      <c r="Q7" s="114"/>
      <c r="R7" s="115"/>
      <c r="S7" s="4">
        <v>3</v>
      </c>
      <c r="T7" s="114" t="s">
        <v>235</v>
      </c>
      <c r="U7" s="114"/>
      <c r="V7" s="115"/>
      <c r="W7" s="4">
        <v>4</v>
      </c>
      <c r="X7" s="114" t="s">
        <v>251</v>
      </c>
      <c r="Y7" s="114"/>
      <c r="Z7" s="115"/>
      <c r="AA7" s="4">
        <v>5</v>
      </c>
      <c r="AB7" s="114" t="s">
        <v>253</v>
      </c>
      <c r="AC7" s="114"/>
      <c r="AD7" s="115"/>
      <c r="AE7" s="4">
        <v>6</v>
      </c>
      <c r="AF7" s="114" t="s">
        <v>255</v>
      </c>
      <c r="AG7" s="114"/>
      <c r="AH7" s="115"/>
      <c r="AI7" s="10"/>
      <c r="AJ7" s="10"/>
      <c r="AK7" s="10"/>
      <c r="AL7" s="10"/>
      <c r="AM7" s="53"/>
      <c r="AN7" s="10"/>
      <c r="AO7" s="10"/>
      <c r="AP7" s="10"/>
      <c r="AQ7" s="53"/>
      <c r="AR7" s="10"/>
      <c r="AS7" s="10"/>
      <c r="AT7" s="10"/>
      <c r="AU7" s="10"/>
      <c r="AV7" s="10"/>
      <c r="AW7" s="10"/>
      <c r="AX7" s="10"/>
      <c r="AY7" s="10"/>
      <c r="AZ7" s="10"/>
      <c r="BA7" s="10"/>
      <c r="BB7" s="10"/>
      <c r="BC7" s="10"/>
      <c r="BD7" s="10"/>
      <c r="BE7" s="10"/>
      <c r="BF7" s="10"/>
      <c r="BG7" s="10"/>
      <c r="BH7" s="10"/>
      <c r="BI7" s="10"/>
      <c r="BJ7" s="10"/>
      <c r="BK7" s="53"/>
      <c r="BL7" s="10"/>
      <c r="BM7" s="10"/>
      <c r="BN7" s="10"/>
      <c r="BO7" s="10"/>
      <c r="BT7" s="5"/>
      <c r="BU7" s="23"/>
    </row>
    <row r="8" spans="1:73" ht="21" customHeight="1" x14ac:dyDescent="0.55000000000000004">
      <c r="A8" s="5"/>
      <c r="K8" s="116"/>
      <c r="L8" s="117"/>
      <c r="M8" s="117"/>
      <c r="N8" s="118"/>
      <c r="O8" s="116"/>
      <c r="P8" s="117"/>
      <c r="Q8" s="117"/>
      <c r="R8" s="118"/>
      <c r="S8" s="116"/>
      <c r="T8" s="117"/>
      <c r="U8" s="117"/>
      <c r="V8" s="118"/>
      <c r="W8" s="116"/>
      <c r="X8" s="117"/>
      <c r="Y8" s="117"/>
      <c r="Z8" s="118"/>
      <c r="AA8" s="116"/>
      <c r="AB8" s="117"/>
      <c r="AC8" s="117"/>
      <c r="AD8" s="118"/>
      <c r="AE8" s="116"/>
      <c r="AF8" s="117"/>
      <c r="AG8" s="117"/>
      <c r="AH8" s="118"/>
      <c r="AI8" s="10"/>
      <c r="AJ8" s="10"/>
      <c r="AK8" s="10"/>
      <c r="AL8" s="10"/>
      <c r="AM8" s="54"/>
      <c r="AN8" s="54"/>
      <c r="AO8" s="54"/>
      <c r="AP8" s="54"/>
      <c r="AQ8" s="54"/>
      <c r="AR8" s="54"/>
      <c r="AS8" s="54"/>
      <c r="AT8" s="54"/>
      <c r="AU8" s="10"/>
      <c r="AV8" s="10"/>
      <c r="AW8" s="10"/>
      <c r="AX8" s="10"/>
      <c r="AY8" s="10"/>
      <c r="AZ8" s="10"/>
      <c r="BA8" s="10"/>
      <c r="BB8" s="10"/>
      <c r="BC8" s="10"/>
      <c r="BD8" s="10"/>
      <c r="BE8" s="10"/>
      <c r="BF8" s="10"/>
      <c r="BG8" s="10"/>
      <c r="BH8" s="10"/>
      <c r="BI8" s="10"/>
      <c r="BJ8" s="10"/>
      <c r="BK8" s="10"/>
      <c r="BL8" s="10"/>
      <c r="BM8" s="10"/>
      <c r="BN8" s="10"/>
      <c r="BO8" s="10"/>
      <c r="BS8" s="9"/>
      <c r="BT8" s="5"/>
      <c r="BU8" s="23"/>
    </row>
    <row r="9" spans="1:73" ht="21" customHeight="1" x14ac:dyDescent="0.55000000000000004">
      <c r="A9" s="5"/>
      <c r="K9" s="119"/>
      <c r="L9" s="120"/>
      <c r="M9" s="120"/>
      <c r="N9" s="121"/>
      <c r="O9" s="119"/>
      <c r="P9" s="120"/>
      <c r="Q9" s="120"/>
      <c r="R9" s="121"/>
      <c r="S9" s="119"/>
      <c r="T9" s="120"/>
      <c r="U9" s="120"/>
      <c r="V9" s="121"/>
      <c r="W9" s="119"/>
      <c r="X9" s="120"/>
      <c r="Y9" s="120"/>
      <c r="Z9" s="121"/>
      <c r="AA9" s="119"/>
      <c r="AB9" s="120"/>
      <c r="AC9" s="120"/>
      <c r="AD9" s="121"/>
      <c r="AE9" s="119"/>
      <c r="AF9" s="120"/>
      <c r="AG9" s="120"/>
      <c r="AH9" s="121"/>
      <c r="AI9" s="10"/>
      <c r="AJ9" s="10"/>
      <c r="AK9" s="10"/>
      <c r="AL9" s="10"/>
      <c r="AM9" s="55"/>
      <c r="AN9" s="55"/>
      <c r="AO9" s="55"/>
      <c r="AP9" s="55"/>
      <c r="AQ9" s="55"/>
      <c r="AR9" s="55"/>
      <c r="AS9" s="55"/>
      <c r="AT9" s="55"/>
      <c r="AU9" s="10"/>
      <c r="AV9" s="10"/>
      <c r="AW9" s="10"/>
      <c r="AX9" s="10"/>
      <c r="AY9" s="10"/>
      <c r="AZ9" s="10"/>
      <c r="BA9" s="10"/>
      <c r="BB9" s="10"/>
      <c r="BC9" s="10"/>
      <c r="BD9" s="10"/>
      <c r="BE9" s="10"/>
      <c r="BF9" s="10"/>
      <c r="BG9" s="10"/>
      <c r="BH9" s="10"/>
      <c r="BI9" s="10"/>
      <c r="BJ9" s="10"/>
      <c r="BK9" s="10"/>
      <c r="BL9" s="10"/>
      <c r="BM9" s="10"/>
      <c r="BN9" s="10"/>
      <c r="BO9" s="10"/>
      <c r="BS9" s="9"/>
      <c r="BT9" s="5"/>
      <c r="BU9" s="23"/>
    </row>
    <row r="10" spans="1:73" ht="21" customHeight="1" thickBot="1" x14ac:dyDescent="0.6">
      <c r="A10" s="5"/>
      <c r="K10" s="125"/>
      <c r="L10" s="126"/>
      <c r="M10" s="126"/>
      <c r="N10" s="127"/>
      <c r="O10" s="125"/>
      <c r="P10" s="126"/>
      <c r="Q10" s="126"/>
      <c r="R10" s="127"/>
      <c r="S10" s="122"/>
      <c r="T10" s="123"/>
      <c r="U10" s="123"/>
      <c r="V10" s="124"/>
      <c r="W10" s="122"/>
      <c r="X10" s="123"/>
      <c r="Y10" s="123"/>
      <c r="Z10" s="124"/>
      <c r="AA10" s="122"/>
      <c r="AB10" s="123"/>
      <c r="AC10" s="123"/>
      <c r="AD10" s="124"/>
      <c r="AE10" s="122"/>
      <c r="AF10" s="123"/>
      <c r="AG10" s="123"/>
      <c r="AH10" s="124"/>
      <c r="AI10" s="10"/>
      <c r="AJ10" s="10"/>
      <c r="AK10" s="10"/>
      <c r="AL10" s="10"/>
      <c r="AM10" s="10"/>
      <c r="AN10" s="10"/>
      <c r="AO10" s="10"/>
      <c r="AP10" s="10"/>
      <c r="AQ10" s="10"/>
      <c r="AR10" s="10"/>
      <c r="AS10" s="10"/>
      <c r="AT10" s="10"/>
      <c r="AU10" s="10"/>
      <c r="AV10" s="10"/>
      <c r="AW10" s="10"/>
      <c r="AX10" s="10"/>
      <c r="AY10" s="10"/>
      <c r="AZ10" s="10"/>
      <c r="BA10" s="10"/>
      <c r="BB10" s="10"/>
      <c r="BC10" s="10"/>
      <c r="BD10" s="10"/>
      <c r="BE10" s="10"/>
      <c r="BF10" s="10"/>
      <c r="BG10" s="10"/>
      <c r="BH10" s="10"/>
      <c r="BI10" s="10"/>
      <c r="BJ10" s="10"/>
      <c r="BK10" s="10"/>
      <c r="BL10" s="10"/>
      <c r="BM10" s="10"/>
      <c r="BN10" s="10"/>
      <c r="BO10" s="10"/>
      <c r="BS10" s="9"/>
      <c r="BT10" s="5"/>
      <c r="BU10" s="23"/>
    </row>
    <row r="11" spans="1:73" ht="21" customHeight="1" x14ac:dyDescent="0.55000000000000004">
      <c r="A11" s="5"/>
      <c r="C11" s="1" t="s">
        <v>17</v>
      </c>
      <c r="G11" s="4">
        <v>7</v>
      </c>
      <c r="H11" s="114" t="s">
        <v>229</v>
      </c>
      <c r="I11" s="114"/>
      <c r="J11" s="114"/>
      <c r="K11" s="4">
        <v>8</v>
      </c>
      <c r="L11" s="114" t="s">
        <v>237</v>
      </c>
      <c r="M11" s="114"/>
      <c r="N11" s="114"/>
      <c r="O11" s="56"/>
      <c r="P11" s="56"/>
      <c r="Q11" s="56"/>
      <c r="R11" s="57"/>
      <c r="S11" s="4">
        <v>9</v>
      </c>
      <c r="T11" s="114" t="s">
        <v>239</v>
      </c>
      <c r="U11" s="114"/>
      <c r="V11" s="115"/>
      <c r="W11" s="4">
        <v>10</v>
      </c>
      <c r="X11" s="114" t="s">
        <v>247</v>
      </c>
      <c r="Y11" s="114"/>
      <c r="Z11" s="115"/>
      <c r="AA11" s="4">
        <v>11</v>
      </c>
      <c r="AB11" s="114" t="s">
        <v>249</v>
      </c>
      <c r="AC11" s="114"/>
      <c r="AD11" s="115"/>
      <c r="AE11" s="4">
        <v>12</v>
      </c>
      <c r="AF11" s="114" t="s">
        <v>257</v>
      </c>
      <c r="AG11" s="114"/>
      <c r="AH11" s="115"/>
      <c r="AI11" s="4">
        <v>13</v>
      </c>
      <c r="AJ11" s="114" t="s">
        <v>259</v>
      </c>
      <c r="AK11" s="114"/>
      <c r="AL11" s="115"/>
      <c r="AM11" s="4">
        <v>14</v>
      </c>
      <c r="AN11" s="114" t="s">
        <v>261</v>
      </c>
      <c r="AO11" s="114"/>
      <c r="AP11" s="115"/>
      <c r="AQ11" s="53"/>
      <c r="AR11" s="10"/>
      <c r="AS11" s="10"/>
      <c r="AT11" s="10"/>
      <c r="AU11" s="10"/>
      <c r="AV11" s="10"/>
      <c r="AW11" s="10"/>
      <c r="AX11" s="10"/>
      <c r="AY11" s="10"/>
      <c r="AZ11" s="10"/>
      <c r="BA11" s="10"/>
      <c r="BB11" s="10"/>
      <c r="BC11" s="10"/>
      <c r="BD11" s="10"/>
      <c r="BE11" s="10"/>
      <c r="BF11" s="10"/>
      <c r="BG11" s="10"/>
      <c r="BH11" s="10"/>
      <c r="BI11" s="10"/>
      <c r="BJ11" s="10"/>
      <c r="BK11" s="10"/>
      <c r="BL11" s="10"/>
      <c r="BM11" s="10"/>
      <c r="BN11" s="10"/>
      <c r="BO11" s="10"/>
      <c r="BS11" s="9"/>
      <c r="BT11" s="5"/>
      <c r="BU11" s="23"/>
    </row>
    <row r="12" spans="1:73" ht="21" customHeight="1" x14ac:dyDescent="0.55000000000000004">
      <c r="A12" s="5"/>
      <c r="G12" s="116"/>
      <c r="H12" s="117"/>
      <c r="I12" s="117"/>
      <c r="J12" s="117"/>
      <c r="K12" s="116"/>
      <c r="L12" s="117"/>
      <c r="M12" s="117"/>
      <c r="N12" s="117"/>
      <c r="O12" s="10"/>
      <c r="P12" s="10"/>
      <c r="Q12" s="10"/>
      <c r="R12" s="58"/>
      <c r="S12" s="116"/>
      <c r="T12" s="117"/>
      <c r="U12" s="117"/>
      <c r="V12" s="118"/>
      <c r="W12" s="116"/>
      <c r="X12" s="117"/>
      <c r="Y12" s="117"/>
      <c r="Z12" s="118"/>
      <c r="AA12" s="116"/>
      <c r="AB12" s="117"/>
      <c r="AC12" s="117"/>
      <c r="AD12" s="118"/>
      <c r="AE12" s="116"/>
      <c r="AF12" s="117"/>
      <c r="AG12" s="117"/>
      <c r="AH12" s="118"/>
      <c r="AI12" s="116"/>
      <c r="AJ12" s="117"/>
      <c r="AK12" s="117"/>
      <c r="AL12" s="118"/>
      <c r="AM12" s="116"/>
      <c r="AN12" s="117"/>
      <c r="AO12" s="117"/>
      <c r="AP12" s="118"/>
      <c r="AQ12" s="54"/>
      <c r="AR12" s="54"/>
      <c r="AS12" s="54"/>
      <c r="AT12" s="54"/>
      <c r="AU12" s="10"/>
      <c r="AV12" s="10"/>
      <c r="AW12" s="10"/>
      <c r="AX12" s="10"/>
      <c r="AY12" s="10"/>
      <c r="AZ12" s="10"/>
      <c r="BA12" s="10"/>
      <c r="BB12" s="10"/>
      <c r="BC12" s="10"/>
      <c r="BD12" s="10"/>
      <c r="BE12" s="10"/>
      <c r="BF12" s="10"/>
      <c r="BG12" s="10"/>
      <c r="BH12" s="10"/>
      <c r="BI12" s="10"/>
      <c r="BJ12" s="10"/>
      <c r="BK12" s="10"/>
      <c r="BL12" s="10"/>
      <c r="BM12" s="10"/>
      <c r="BN12" s="10"/>
      <c r="BO12" s="10"/>
      <c r="BS12" s="9"/>
      <c r="BT12" s="5"/>
      <c r="BU12" s="23"/>
    </row>
    <row r="13" spans="1:73" ht="21" customHeight="1" x14ac:dyDescent="0.55000000000000004">
      <c r="A13" s="5"/>
      <c r="G13" s="119"/>
      <c r="H13" s="120"/>
      <c r="I13" s="120"/>
      <c r="J13" s="120"/>
      <c r="K13" s="119"/>
      <c r="L13" s="120"/>
      <c r="M13" s="120"/>
      <c r="N13" s="120"/>
      <c r="O13" s="10"/>
      <c r="P13" s="10"/>
      <c r="Q13" s="10"/>
      <c r="R13" s="58"/>
      <c r="S13" s="119"/>
      <c r="T13" s="120"/>
      <c r="U13" s="120"/>
      <c r="V13" s="121"/>
      <c r="W13" s="119"/>
      <c r="X13" s="120"/>
      <c r="Y13" s="120"/>
      <c r="Z13" s="121"/>
      <c r="AA13" s="119"/>
      <c r="AB13" s="120"/>
      <c r="AC13" s="120"/>
      <c r="AD13" s="121"/>
      <c r="AE13" s="119"/>
      <c r="AF13" s="120"/>
      <c r="AG13" s="120"/>
      <c r="AH13" s="121"/>
      <c r="AI13" s="119"/>
      <c r="AJ13" s="120"/>
      <c r="AK13" s="120"/>
      <c r="AL13" s="121"/>
      <c r="AM13" s="119"/>
      <c r="AN13" s="120"/>
      <c r="AO13" s="120"/>
      <c r="AP13" s="121"/>
      <c r="AQ13" s="55"/>
      <c r="AR13" s="55"/>
      <c r="AS13" s="55"/>
      <c r="AT13" s="55"/>
      <c r="AU13" s="10"/>
      <c r="AV13" s="10"/>
      <c r="AW13" s="10"/>
      <c r="AX13" s="10"/>
      <c r="AY13" s="10"/>
      <c r="AZ13" s="10"/>
      <c r="BA13" s="10"/>
      <c r="BB13" s="10"/>
      <c r="BC13" s="10"/>
      <c r="BD13" s="10"/>
      <c r="BE13" s="10"/>
      <c r="BF13" s="10"/>
      <c r="BG13" s="10"/>
      <c r="BH13" s="10"/>
      <c r="BI13" s="10"/>
      <c r="BJ13" s="10"/>
      <c r="BK13" s="10"/>
      <c r="BL13" s="10"/>
      <c r="BM13" s="10"/>
      <c r="BN13" s="10"/>
      <c r="BO13" s="10"/>
      <c r="BS13" s="9"/>
      <c r="BT13" s="5"/>
      <c r="BU13" s="23"/>
    </row>
    <row r="14" spans="1:73" ht="21" customHeight="1" thickBot="1" x14ac:dyDescent="0.6">
      <c r="A14" s="5"/>
      <c r="G14" s="122"/>
      <c r="H14" s="123"/>
      <c r="I14" s="123"/>
      <c r="J14" s="123"/>
      <c r="K14" s="122"/>
      <c r="L14" s="123"/>
      <c r="M14" s="123"/>
      <c r="N14" s="123"/>
      <c r="O14" s="59"/>
      <c r="P14" s="59"/>
      <c r="Q14" s="59"/>
      <c r="R14" s="60"/>
      <c r="S14" s="122"/>
      <c r="T14" s="123"/>
      <c r="U14" s="123"/>
      <c r="V14" s="124"/>
      <c r="W14" s="122"/>
      <c r="X14" s="123"/>
      <c r="Y14" s="123"/>
      <c r="Z14" s="124"/>
      <c r="AA14" s="122"/>
      <c r="AB14" s="123"/>
      <c r="AC14" s="123"/>
      <c r="AD14" s="124"/>
      <c r="AE14" s="122"/>
      <c r="AF14" s="123"/>
      <c r="AG14" s="123"/>
      <c r="AH14" s="124"/>
      <c r="AI14" s="122"/>
      <c r="AJ14" s="123"/>
      <c r="AK14" s="123"/>
      <c r="AL14" s="124"/>
      <c r="AM14" s="122"/>
      <c r="AN14" s="123"/>
      <c r="AO14" s="123"/>
      <c r="AP14" s="124"/>
      <c r="AQ14" s="10"/>
      <c r="AR14" s="10"/>
      <c r="AS14" s="10"/>
      <c r="AT14" s="10"/>
      <c r="AU14" s="10"/>
      <c r="AV14" s="10"/>
      <c r="AW14" s="10"/>
      <c r="AX14" s="10"/>
      <c r="AY14" s="10"/>
      <c r="AZ14" s="10"/>
      <c r="BA14" s="10"/>
      <c r="BB14" s="10"/>
      <c r="BC14" s="10"/>
      <c r="BD14" s="10"/>
      <c r="BE14" s="10"/>
      <c r="BF14" s="10"/>
      <c r="BG14" s="10"/>
      <c r="BH14" s="10"/>
      <c r="BI14" s="10"/>
      <c r="BJ14" s="10"/>
      <c r="BK14" s="10"/>
      <c r="BL14" s="10"/>
      <c r="BM14" s="10"/>
      <c r="BN14" s="10"/>
      <c r="BO14" s="10"/>
      <c r="BS14" s="9"/>
      <c r="BT14" s="5"/>
      <c r="BU14" s="23"/>
    </row>
    <row r="15" spans="1:73" ht="21" customHeight="1" x14ac:dyDescent="0.55000000000000004">
      <c r="A15" s="5"/>
      <c r="C15" s="1" t="s">
        <v>18</v>
      </c>
      <c r="G15" s="4">
        <v>15</v>
      </c>
      <c r="H15" s="114" t="s">
        <v>227</v>
      </c>
      <c r="I15" s="114"/>
      <c r="J15" s="115"/>
      <c r="K15" s="4">
        <v>16</v>
      </c>
      <c r="L15" s="114" t="s">
        <v>241</v>
      </c>
      <c r="M15" s="114"/>
      <c r="N15" s="115"/>
      <c r="O15" s="4">
        <v>17</v>
      </c>
      <c r="P15" s="114" t="s">
        <v>243</v>
      </c>
      <c r="Q15" s="114"/>
      <c r="R15" s="115"/>
      <c r="S15" s="4">
        <v>18</v>
      </c>
      <c r="T15" s="114" t="s">
        <v>245</v>
      </c>
      <c r="U15" s="114"/>
      <c r="V15" s="115"/>
      <c r="W15" s="4">
        <v>19</v>
      </c>
      <c r="X15" s="114" t="s">
        <v>263</v>
      </c>
      <c r="Y15" s="114"/>
      <c r="Z15" s="115"/>
      <c r="AA15" s="4">
        <v>20</v>
      </c>
      <c r="AB15" s="114" t="s">
        <v>265</v>
      </c>
      <c r="AC15" s="114"/>
      <c r="AD15" s="115"/>
      <c r="AE15" s="4">
        <v>21</v>
      </c>
      <c r="AF15" s="114" t="s">
        <v>267</v>
      </c>
      <c r="AG15" s="114"/>
      <c r="AH15" s="115"/>
      <c r="AI15" s="4">
        <v>22</v>
      </c>
      <c r="AJ15" s="114" t="s">
        <v>269</v>
      </c>
      <c r="AK15" s="114"/>
      <c r="AL15" s="115"/>
      <c r="AM15" s="4">
        <v>23</v>
      </c>
      <c r="AN15" s="114" t="s">
        <v>302</v>
      </c>
      <c r="AO15" s="114"/>
      <c r="AP15" s="115"/>
      <c r="AQ15" s="53"/>
      <c r="AR15" s="10"/>
      <c r="AS15" s="10"/>
      <c r="AT15" s="10"/>
      <c r="AU15" s="10"/>
      <c r="AV15" s="10"/>
      <c r="AW15" s="10"/>
      <c r="AX15" s="10"/>
      <c r="AY15" s="10"/>
      <c r="AZ15" s="10"/>
      <c r="BA15" s="10"/>
      <c r="BB15" s="10"/>
      <c r="BC15" s="10"/>
      <c r="BD15" s="10"/>
      <c r="BE15" s="10"/>
      <c r="BF15" s="10"/>
      <c r="BG15" s="10"/>
      <c r="BH15" s="10"/>
      <c r="BI15" s="10"/>
      <c r="BJ15" s="10"/>
      <c r="BK15" s="53"/>
      <c r="BL15" s="10"/>
      <c r="BM15" s="10"/>
      <c r="BN15" s="10"/>
      <c r="BO15" s="10"/>
      <c r="BS15" s="9"/>
      <c r="BT15" s="5"/>
      <c r="BU15" s="23"/>
    </row>
    <row r="16" spans="1:73" ht="21" customHeight="1" x14ac:dyDescent="0.55000000000000004">
      <c r="A16" s="5"/>
      <c r="G16" s="116"/>
      <c r="H16" s="117"/>
      <c r="I16" s="117"/>
      <c r="J16" s="118"/>
      <c r="K16" s="116"/>
      <c r="L16" s="117"/>
      <c r="M16" s="117"/>
      <c r="N16" s="118"/>
      <c r="O16" s="116"/>
      <c r="P16" s="117"/>
      <c r="Q16" s="117"/>
      <c r="R16" s="118"/>
      <c r="S16" s="116"/>
      <c r="T16" s="117"/>
      <c r="U16" s="117"/>
      <c r="V16" s="118"/>
      <c r="W16" s="116"/>
      <c r="X16" s="117"/>
      <c r="Y16" s="117"/>
      <c r="Z16" s="118"/>
      <c r="AA16" s="116"/>
      <c r="AB16" s="117"/>
      <c r="AC16" s="117"/>
      <c r="AD16" s="118"/>
      <c r="AE16" s="116"/>
      <c r="AF16" s="117"/>
      <c r="AG16" s="117"/>
      <c r="AH16" s="118"/>
      <c r="AI16" s="116"/>
      <c r="AJ16" s="117"/>
      <c r="AK16" s="117"/>
      <c r="AL16" s="118"/>
      <c r="AM16" s="116"/>
      <c r="AN16" s="117"/>
      <c r="AO16" s="117"/>
      <c r="AP16" s="118"/>
      <c r="AQ16" s="54"/>
      <c r="AR16" s="54"/>
      <c r="AS16" s="54"/>
      <c r="AT16" s="54"/>
      <c r="AU16" s="10"/>
      <c r="AV16" s="10"/>
      <c r="AW16" s="10"/>
      <c r="AX16" s="10"/>
      <c r="AY16" s="10"/>
      <c r="AZ16" s="10"/>
      <c r="BA16" s="10"/>
      <c r="BB16" s="10"/>
      <c r="BC16" s="10"/>
      <c r="BD16" s="10"/>
      <c r="BE16" s="10"/>
      <c r="BF16" s="10"/>
      <c r="BG16" s="10"/>
      <c r="BH16" s="10"/>
      <c r="BI16" s="10"/>
      <c r="BJ16" s="10"/>
      <c r="BK16" s="54"/>
      <c r="BL16" s="54"/>
      <c r="BM16" s="54"/>
      <c r="BN16" s="54"/>
      <c r="BO16" s="10"/>
      <c r="BS16" s="9"/>
      <c r="BT16" s="5"/>
      <c r="BU16" s="23"/>
    </row>
    <row r="17" spans="1:73" ht="21" customHeight="1" x14ac:dyDescent="0.55000000000000004">
      <c r="A17" s="5"/>
      <c r="G17" s="119"/>
      <c r="H17" s="120"/>
      <c r="I17" s="120"/>
      <c r="J17" s="121"/>
      <c r="K17" s="119"/>
      <c r="L17" s="120"/>
      <c r="M17" s="120"/>
      <c r="N17" s="121"/>
      <c r="O17" s="119"/>
      <c r="P17" s="120"/>
      <c r="Q17" s="120"/>
      <c r="R17" s="121"/>
      <c r="S17" s="119"/>
      <c r="T17" s="120"/>
      <c r="U17" s="120"/>
      <c r="V17" s="121"/>
      <c r="W17" s="119"/>
      <c r="X17" s="120"/>
      <c r="Y17" s="120"/>
      <c r="Z17" s="121"/>
      <c r="AA17" s="119"/>
      <c r="AB17" s="120"/>
      <c r="AC17" s="120"/>
      <c r="AD17" s="121"/>
      <c r="AE17" s="119"/>
      <c r="AF17" s="120"/>
      <c r="AG17" s="120"/>
      <c r="AH17" s="121"/>
      <c r="AI17" s="119"/>
      <c r="AJ17" s="120"/>
      <c r="AK17" s="120"/>
      <c r="AL17" s="121"/>
      <c r="AM17" s="119"/>
      <c r="AN17" s="120"/>
      <c r="AO17" s="120"/>
      <c r="AP17" s="121"/>
      <c r="AQ17" s="55"/>
      <c r="AR17" s="55"/>
      <c r="AS17" s="55"/>
      <c r="AT17" s="55"/>
      <c r="AU17" s="10"/>
      <c r="AV17" s="10"/>
      <c r="AW17" s="10"/>
      <c r="AX17" s="10"/>
      <c r="AY17" s="10"/>
      <c r="AZ17" s="10"/>
      <c r="BA17" s="10"/>
      <c r="BB17" s="10"/>
      <c r="BC17" s="10"/>
      <c r="BD17" s="10"/>
      <c r="BE17" s="10"/>
      <c r="BF17" s="10"/>
      <c r="BG17" s="10"/>
      <c r="BH17" s="10"/>
      <c r="BI17" s="10"/>
      <c r="BJ17" s="10"/>
      <c r="BK17" s="55"/>
      <c r="BL17" s="55"/>
      <c r="BM17" s="55"/>
      <c r="BN17" s="55"/>
      <c r="BO17" s="10"/>
      <c r="BS17" s="10"/>
      <c r="BT17" s="5"/>
      <c r="BU17" s="23"/>
    </row>
    <row r="18" spans="1:73" ht="21" customHeight="1" thickBot="1" x14ac:dyDescent="0.6">
      <c r="A18" s="5"/>
      <c r="G18" s="122"/>
      <c r="H18" s="123"/>
      <c r="I18" s="123"/>
      <c r="J18" s="124"/>
      <c r="K18" s="122"/>
      <c r="L18" s="123"/>
      <c r="M18" s="123"/>
      <c r="N18" s="124"/>
      <c r="O18" s="122"/>
      <c r="P18" s="123"/>
      <c r="Q18" s="123"/>
      <c r="R18" s="124"/>
      <c r="S18" s="122"/>
      <c r="T18" s="123"/>
      <c r="U18" s="123"/>
      <c r="V18" s="124"/>
      <c r="W18" s="122"/>
      <c r="X18" s="123"/>
      <c r="Y18" s="123"/>
      <c r="Z18" s="124"/>
      <c r="AA18" s="122"/>
      <c r="AB18" s="123"/>
      <c r="AC18" s="123"/>
      <c r="AD18" s="124"/>
      <c r="AE18" s="122"/>
      <c r="AF18" s="123"/>
      <c r="AG18" s="123"/>
      <c r="AH18" s="124"/>
      <c r="AI18" s="122"/>
      <c r="AJ18" s="123"/>
      <c r="AK18" s="123"/>
      <c r="AL18" s="124"/>
      <c r="AM18" s="122"/>
      <c r="AN18" s="123"/>
      <c r="AO18" s="123"/>
      <c r="AP18" s="124"/>
      <c r="AQ18" s="10"/>
      <c r="AR18" s="10"/>
      <c r="AS18" s="10"/>
      <c r="AT18" s="10"/>
      <c r="AU18" s="10"/>
      <c r="AV18" s="10"/>
      <c r="AW18" s="10"/>
      <c r="AX18" s="10"/>
      <c r="AY18" s="10"/>
      <c r="AZ18" s="10"/>
      <c r="BA18" s="10"/>
      <c r="BB18" s="10"/>
      <c r="BC18" s="10"/>
      <c r="BD18" s="10"/>
      <c r="BE18" s="10"/>
      <c r="BF18" s="10"/>
      <c r="BG18" s="10"/>
      <c r="BH18" s="10"/>
      <c r="BI18" s="10"/>
      <c r="BJ18" s="10"/>
      <c r="BK18" s="10"/>
      <c r="BL18" s="10"/>
      <c r="BM18" s="10"/>
      <c r="BN18" s="10"/>
      <c r="BO18" s="10"/>
      <c r="BS18" s="10"/>
      <c r="BT18" s="5"/>
      <c r="BU18" s="23"/>
    </row>
    <row r="19" spans="1:73" ht="21" customHeight="1" x14ac:dyDescent="0.55000000000000004">
      <c r="A19" s="5"/>
      <c r="C19" s="1" t="s">
        <v>19</v>
      </c>
      <c r="G19" s="53"/>
      <c r="H19" s="10"/>
      <c r="I19" s="10"/>
      <c r="J19" s="10"/>
      <c r="K19" s="53"/>
      <c r="L19" s="10"/>
      <c r="M19" s="10"/>
      <c r="N19" s="10"/>
      <c r="O19" s="4">
        <v>24</v>
      </c>
      <c r="P19" s="114" t="s">
        <v>281</v>
      </c>
      <c r="Q19" s="114"/>
      <c r="R19" s="115"/>
      <c r="S19" s="4">
        <v>25</v>
      </c>
      <c r="T19" s="114" t="s">
        <v>279</v>
      </c>
      <c r="U19" s="114"/>
      <c r="V19" s="115"/>
      <c r="W19" s="4">
        <v>26</v>
      </c>
      <c r="X19" s="114" t="s">
        <v>271</v>
      </c>
      <c r="Y19" s="114"/>
      <c r="Z19" s="115"/>
      <c r="AA19" s="4">
        <v>27</v>
      </c>
      <c r="AB19" s="114" t="s">
        <v>273</v>
      </c>
      <c r="AC19" s="114"/>
      <c r="AD19" s="115"/>
      <c r="AE19" s="4">
        <v>28</v>
      </c>
      <c r="AF19" s="114" t="s">
        <v>275</v>
      </c>
      <c r="AG19" s="114"/>
      <c r="AH19" s="115"/>
      <c r="AI19" s="4">
        <v>29</v>
      </c>
      <c r="AJ19" s="114" t="s">
        <v>277</v>
      </c>
      <c r="AK19" s="114"/>
      <c r="AL19" s="115"/>
      <c r="AM19" s="4">
        <v>30</v>
      </c>
      <c r="AN19" s="114" t="s">
        <v>304</v>
      </c>
      <c r="AO19" s="114"/>
      <c r="AP19" s="115"/>
      <c r="AQ19" s="4">
        <v>31</v>
      </c>
      <c r="AR19" s="114" t="s">
        <v>306</v>
      </c>
      <c r="AS19" s="114"/>
      <c r="AT19" s="115"/>
      <c r="AU19" s="53"/>
      <c r="AV19" s="10"/>
      <c r="AW19" s="10"/>
      <c r="AX19" s="10"/>
      <c r="AY19" s="53"/>
      <c r="AZ19" s="10"/>
      <c r="BA19" s="10"/>
      <c r="BB19" s="10"/>
      <c r="BC19" s="53"/>
      <c r="BD19" s="10"/>
      <c r="BE19" s="10"/>
      <c r="BF19" s="10"/>
      <c r="BG19" s="53"/>
      <c r="BH19" s="10"/>
      <c r="BI19" s="10"/>
      <c r="BJ19" s="10"/>
      <c r="BK19" s="53"/>
      <c r="BL19" s="10"/>
      <c r="BM19" s="10"/>
      <c r="BN19" s="10"/>
      <c r="BO19" s="10"/>
      <c r="BT19" s="5"/>
      <c r="BU19" s="23"/>
    </row>
    <row r="20" spans="1:73" ht="21" customHeight="1" x14ac:dyDescent="0.55000000000000004">
      <c r="A20" s="5"/>
      <c r="G20" s="54"/>
      <c r="H20" s="54"/>
      <c r="I20" s="54"/>
      <c r="J20" s="54"/>
      <c r="K20" s="54"/>
      <c r="L20" s="54"/>
      <c r="M20" s="54"/>
      <c r="N20" s="54"/>
      <c r="O20" s="116"/>
      <c r="P20" s="117"/>
      <c r="Q20" s="117"/>
      <c r="R20" s="118"/>
      <c r="S20" s="116"/>
      <c r="T20" s="117"/>
      <c r="U20" s="117"/>
      <c r="V20" s="118"/>
      <c r="W20" s="116"/>
      <c r="X20" s="117"/>
      <c r="Y20" s="117"/>
      <c r="Z20" s="118"/>
      <c r="AA20" s="116"/>
      <c r="AB20" s="117"/>
      <c r="AC20" s="117"/>
      <c r="AD20" s="118"/>
      <c r="AE20" s="116"/>
      <c r="AF20" s="117"/>
      <c r="AG20" s="117"/>
      <c r="AH20" s="118"/>
      <c r="AI20" s="116"/>
      <c r="AJ20" s="117"/>
      <c r="AK20" s="117"/>
      <c r="AL20" s="118"/>
      <c r="AM20" s="116"/>
      <c r="AN20" s="117"/>
      <c r="AO20" s="117"/>
      <c r="AP20" s="118"/>
      <c r="AQ20" s="116"/>
      <c r="AR20" s="117"/>
      <c r="AS20" s="117"/>
      <c r="AT20" s="118"/>
      <c r="AU20" s="54"/>
      <c r="AV20" s="54"/>
      <c r="AW20" s="54"/>
      <c r="AX20" s="54"/>
      <c r="AY20" s="54"/>
      <c r="AZ20" s="54"/>
      <c r="BA20" s="54"/>
      <c r="BB20" s="54"/>
      <c r="BC20" s="54"/>
      <c r="BD20" s="54"/>
      <c r="BE20" s="54"/>
      <c r="BF20" s="54"/>
      <c r="BG20" s="54"/>
      <c r="BH20" s="54"/>
      <c r="BI20" s="54"/>
      <c r="BJ20" s="54"/>
      <c r="BK20" s="54"/>
      <c r="BL20" s="54"/>
      <c r="BM20" s="54"/>
      <c r="BN20" s="54"/>
      <c r="BO20" s="10"/>
      <c r="BT20" s="5"/>
      <c r="BU20" s="23"/>
    </row>
    <row r="21" spans="1:73" ht="21" customHeight="1" x14ac:dyDescent="0.55000000000000004">
      <c r="A21" s="5"/>
      <c r="G21" s="55"/>
      <c r="H21" s="55"/>
      <c r="I21" s="55"/>
      <c r="J21" s="55"/>
      <c r="K21" s="55"/>
      <c r="L21" s="55"/>
      <c r="M21" s="55"/>
      <c r="N21" s="55"/>
      <c r="O21" s="119"/>
      <c r="P21" s="120"/>
      <c r="Q21" s="120"/>
      <c r="R21" s="121"/>
      <c r="S21" s="119"/>
      <c r="T21" s="120"/>
      <c r="U21" s="120"/>
      <c r="V21" s="121"/>
      <c r="W21" s="119"/>
      <c r="X21" s="120"/>
      <c r="Y21" s="120"/>
      <c r="Z21" s="121"/>
      <c r="AA21" s="119"/>
      <c r="AB21" s="120"/>
      <c r="AC21" s="120"/>
      <c r="AD21" s="121"/>
      <c r="AE21" s="119"/>
      <c r="AF21" s="120"/>
      <c r="AG21" s="120"/>
      <c r="AH21" s="121"/>
      <c r="AI21" s="119"/>
      <c r="AJ21" s="120"/>
      <c r="AK21" s="120"/>
      <c r="AL21" s="121"/>
      <c r="AM21" s="119"/>
      <c r="AN21" s="120"/>
      <c r="AO21" s="120"/>
      <c r="AP21" s="121"/>
      <c r="AQ21" s="119"/>
      <c r="AR21" s="120"/>
      <c r="AS21" s="120"/>
      <c r="AT21" s="121"/>
      <c r="AU21" s="55"/>
      <c r="AV21" s="55"/>
      <c r="AW21" s="55"/>
      <c r="AX21" s="55"/>
      <c r="AY21" s="55"/>
      <c r="AZ21" s="55"/>
      <c r="BA21" s="55"/>
      <c r="BB21" s="55"/>
      <c r="BC21" s="55"/>
      <c r="BD21" s="55"/>
      <c r="BE21" s="55"/>
      <c r="BF21" s="55"/>
      <c r="BG21" s="55"/>
      <c r="BH21" s="55"/>
      <c r="BI21" s="55"/>
      <c r="BJ21" s="55"/>
      <c r="BK21" s="55"/>
      <c r="BL21" s="55"/>
      <c r="BM21" s="55"/>
      <c r="BN21" s="55"/>
      <c r="BO21" s="10"/>
      <c r="BT21" s="5"/>
      <c r="BU21" s="23"/>
    </row>
    <row r="22" spans="1:73" ht="21" customHeight="1" thickBot="1" x14ac:dyDescent="0.6">
      <c r="A22" s="5"/>
      <c r="G22" s="10"/>
      <c r="H22" s="10"/>
      <c r="I22" s="10"/>
      <c r="J22" s="10"/>
      <c r="K22" s="10"/>
      <c r="L22" s="10"/>
      <c r="M22" s="10"/>
      <c r="N22" s="10"/>
      <c r="O22" s="122"/>
      <c r="P22" s="123"/>
      <c r="Q22" s="123"/>
      <c r="R22" s="124"/>
      <c r="S22" s="122"/>
      <c r="T22" s="123"/>
      <c r="U22" s="123"/>
      <c r="V22" s="124"/>
      <c r="W22" s="122"/>
      <c r="X22" s="123"/>
      <c r="Y22" s="123"/>
      <c r="Z22" s="124"/>
      <c r="AA22" s="122"/>
      <c r="AB22" s="123"/>
      <c r="AC22" s="123"/>
      <c r="AD22" s="124"/>
      <c r="AE22" s="122"/>
      <c r="AF22" s="123"/>
      <c r="AG22" s="123"/>
      <c r="AH22" s="124"/>
      <c r="AI22" s="122"/>
      <c r="AJ22" s="123"/>
      <c r="AK22" s="123"/>
      <c r="AL22" s="124"/>
      <c r="AM22" s="122"/>
      <c r="AN22" s="123"/>
      <c r="AO22" s="123"/>
      <c r="AP22" s="124"/>
      <c r="AQ22" s="122"/>
      <c r="AR22" s="123"/>
      <c r="AS22" s="123"/>
      <c r="AT22" s="124"/>
      <c r="AU22" s="10"/>
      <c r="AV22" s="10"/>
      <c r="AW22" s="10"/>
      <c r="AX22" s="10"/>
      <c r="AY22" s="10"/>
      <c r="AZ22" s="10"/>
      <c r="BA22" s="10"/>
      <c r="BB22" s="10"/>
      <c r="BC22" s="10"/>
      <c r="BD22" s="10"/>
      <c r="BE22" s="10"/>
      <c r="BF22" s="10"/>
      <c r="BG22" s="10"/>
      <c r="BH22" s="10"/>
      <c r="BI22" s="10"/>
      <c r="BJ22" s="10"/>
      <c r="BK22" s="10"/>
      <c r="BL22" s="10"/>
      <c r="BM22" s="10"/>
      <c r="BN22" s="10"/>
      <c r="BO22" s="10"/>
      <c r="BT22" s="5"/>
      <c r="BU22" s="23"/>
    </row>
    <row r="23" spans="1:73" ht="21" customHeight="1" x14ac:dyDescent="0.55000000000000004">
      <c r="A23" s="5"/>
      <c r="C23" s="1" t="s">
        <v>20</v>
      </c>
      <c r="G23" s="10"/>
      <c r="H23" s="10"/>
      <c r="I23" s="10"/>
      <c r="J23" s="10"/>
      <c r="K23" s="10"/>
      <c r="L23" s="10"/>
      <c r="M23" s="10"/>
      <c r="N23" s="10"/>
      <c r="O23" s="4">
        <v>32</v>
      </c>
      <c r="P23" s="114" t="s">
        <v>282</v>
      </c>
      <c r="Q23" s="114"/>
      <c r="R23" s="115"/>
      <c r="S23" s="4">
        <v>33</v>
      </c>
      <c r="T23" s="114" t="s">
        <v>283</v>
      </c>
      <c r="U23" s="114"/>
      <c r="V23" s="115"/>
      <c r="W23" s="4">
        <v>34</v>
      </c>
      <c r="X23" s="114" t="s">
        <v>284</v>
      </c>
      <c r="Y23" s="114"/>
      <c r="Z23" s="115"/>
      <c r="AA23" s="4">
        <v>35</v>
      </c>
      <c r="AB23" s="114" t="s">
        <v>286</v>
      </c>
      <c r="AC23" s="114"/>
      <c r="AD23" s="115"/>
      <c r="AE23" s="4">
        <v>36</v>
      </c>
      <c r="AF23" s="114" t="s">
        <v>288</v>
      </c>
      <c r="AG23" s="114"/>
      <c r="AH23" s="115"/>
      <c r="AI23" s="4">
        <v>37</v>
      </c>
      <c r="AJ23" s="114" t="s">
        <v>316</v>
      </c>
      <c r="AK23" s="114"/>
      <c r="AL23" s="115"/>
      <c r="AM23" s="4">
        <v>38</v>
      </c>
      <c r="AN23" s="114" t="s">
        <v>308</v>
      </c>
      <c r="AO23" s="114"/>
      <c r="AP23" s="115"/>
      <c r="AQ23" s="4">
        <v>39</v>
      </c>
      <c r="AR23" s="114" t="s">
        <v>310</v>
      </c>
      <c r="AS23" s="114"/>
      <c r="AT23" s="115"/>
      <c r="AU23" s="4">
        <v>40</v>
      </c>
      <c r="AV23" s="114" t="s">
        <v>322</v>
      </c>
      <c r="AW23" s="114"/>
      <c r="AX23" s="115"/>
      <c r="AY23" s="4">
        <v>41</v>
      </c>
      <c r="AZ23" s="114" t="s">
        <v>323</v>
      </c>
      <c r="BA23" s="114"/>
      <c r="BB23" s="115"/>
      <c r="BC23" s="53"/>
      <c r="BD23" s="10"/>
      <c r="BE23" s="10"/>
      <c r="BF23" s="10"/>
      <c r="BG23" s="53"/>
      <c r="BH23" s="10"/>
      <c r="BI23" s="10"/>
      <c r="BJ23" s="10"/>
      <c r="BK23" s="10"/>
      <c r="BL23" s="10"/>
      <c r="BM23" s="10"/>
      <c r="BN23" s="10"/>
      <c r="BO23" s="53"/>
      <c r="BT23" s="5"/>
      <c r="BU23" s="23"/>
    </row>
    <row r="24" spans="1:73" ht="21" customHeight="1" x14ac:dyDescent="0.55000000000000004">
      <c r="A24" s="5"/>
      <c r="G24" s="10"/>
      <c r="H24" s="10"/>
      <c r="I24" s="10"/>
      <c r="J24" s="10"/>
      <c r="K24" s="10"/>
      <c r="L24" s="10"/>
      <c r="M24" s="10"/>
      <c r="N24" s="10"/>
      <c r="O24" s="116"/>
      <c r="P24" s="117"/>
      <c r="Q24" s="117"/>
      <c r="R24" s="118"/>
      <c r="S24" s="116"/>
      <c r="T24" s="117"/>
      <c r="U24" s="117"/>
      <c r="V24" s="118"/>
      <c r="W24" s="116"/>
      <c r="X24" s="117"/>
      <c r="Y24" s="117"/>
      <c r="Z24" s="118"/>
      <c r="AA24" s="116"/>
      <c r="AB24" s="117"/>
      <c r="AC24" s="117"/>
      <c r="AD24" s="118"/>
      <c r="AE24" s="116"/>
      <c r="AF24" s="117"/>
      <c r="AG24" s="117"/>
      <c r="AH24" s="118"/>
      <c r="AI24" s="116"/>
      <c r="AJ24" s="117"/>
      <c r="AK24" s="117"/>
      <c r="AL24" s="118"/>
      <c r="AM24" s="116"/>
      <c r="AN24" s="117"/>
      <c r="AO24" s="117"/>
      <c r="AP24" s="118"/>
      <c r="AQ24" s="116"/>
      <c r="AR24" s="117"/>
      <c r="AS24" s="117"/>
      <c r="AT24" s="118"/>
      <c r="AU24" s="116"/>
      <c r="AV24" s="117"/>
      <c r="AW24" s="117"/>
      <c r="AX24" s="118"/>
      <c r="AY24" s="116"/>
      <c r="AZ24" s="117"/>
      <c r="BA24" s="117"/>
      <c r="BB24" s="118"/>
      <c r="BC24" s="54"/>
      <c r="BD24" s="54"/>
      <c r="BE24" s="54"/>
      <c r="BF24" s="54"/>
      <c r="BG24" s="54"/>
      <c r="BH24" s="54"/>
      <c r="BI24" s="54"/>
      <c r="BJ24" s="54"/>
      <c r="BK24" s="10"/>
      <c r="BL24" s="10"/>
      <c r="BM24" s="10"/>
      <c r="BN24" s="10"/>
      <c r="BO24" s="54"/>
      <c r="BP24" s="50"/>
      <c r="BQ24" s="50"/>
      <c r="BR24" s="50"/>
      <c r="BT24" s="5"/>
      <c r="BU24" s="23"/>
    </row>
    <row r="25" spans="1:73" ht="21" customHeight="1" x14ac:dyDescent="0.55000000000000004">
      <c r="A25" s="5"/>
      <c r="G25" s="10"/>
      <c r="H25" s="10"/>
      <c r="I25" s="10"/>
      <c r="J25" s="10"/>
      <c r="K25" s="10"/>
      <c r="L25" s="10"/>
      <c r="M25" s="10"/>
      <c r="N25" s="10"/>
      <c r="O25" s="119"/>
      <c r="P25" s="120"/>
      <c r="Q25" s="120"/>
      <c r="R25" s="121"/>
      <c r="S25" s="119"/>
      <c r="T25" s="120"/>
      <c r="U25" s="120"/>
      <c r="V25" s="121"/>
      <c r="W25" s="119"/>
      <c r="X25" s="120"/>
      <c r="Y25" s="120"/>
      <c r="Z25" s="121"/>
      <c r="AA25" s="119"/>
      <c r="AB25" s="120"/>
      <c r="AC25" s="120"/>
      <c r="AD25" s="121"/>
      <c r="AE25" s="119"/>
      <c r="AF25" s="120"/>
      <c r="AG25" s="120"/>
      <c r="AH25" s="121"/>
      <c r="AI25" s="119"/>
      <c r="AJ25" s="120"/>
      <c r="AK25" s="120"/>
      <c r="AL25" s="121"/>
      <c r="AM25" s="119"/>
      <c r="AN25" s="120"/>
      <c r="AO25" s="120"/>
      <c r="AP25" s="121"/>
      <c r="AQ25" s="119"/>
      <c r="AR25" s="120"/>
      <c r="AS25" s="120"/>
      <c r="AT25" s="121"/>
      <c r="AU25" s="119"/>
      <c r="AV25" s="120"/>
      <c r="AW25" s="120"/>
      <c r="AX25" s="121"/>
      <c r="AY25" s="119"/>
      <c r="AZ25" s="120"/>
      <c r="BA25" s="120"/>
      <c r="BB25" s="121"/>
      <c r="BC25" s="55"/>
      <c r="BD25" s="55"/>
      <c r="BE25" s="55"/>
      <c r="BF25" s="55"/>
      <c r="BG25" s="55"/>
      <c r="BH25" s="55"/>
      <c r="BI25" s="55"/>
      <c r="BJ25" s="55"/>
      <c r="BK25" s="10"/>
      <c r="BL25" s="10"/>
      <c r="BM25" s="10"/>
      <c r="BN25" s="10"/>
      <c r="BO25" s="55"/>
      <c r="BP25" s="51"/>
      <c r="BQ25" s="51"/>
      <c r="BR25" s="51"/>
      <c r="BT25" s="5"/>
      <c r="BU25" s="23"/>
    </row>
    <row r="26" spans="1:73" ht="21" customHeight="1" thickBot="1" x14ac:dyDescent="0.6">
      <c r="A26" s="5"/>
      <c r="G26" s="10"/>
      <c r="H26" s="10"/>
      <c r="I26" s="10"/>
      <c r="J26" s="10"/>
      <c r="K26" s="10"/>
      <c r="L26" s="10"/>
      <c r="M26" s="10"/>
      <c r="N26" s="10"/>
      <c r="O26" s="122"/>
      <c r="P26" s="123"/>
      <c r="Q26" s="123"/>
      <c r="R26" s="124"/>
      <c r="S26" s="122"/>
      <c r="T26" s="123"/>
      <c r="U26" s="123"/>
      <c r="V26" s="124"/>
      <c r="W26" s="122"/>
      <c r="X26" s="123"/>
      <c r="Y26" s="123"/>
      <c r="Z26" s="124"/>
      <c r="AA26" s="122"/>
      <c r="AB26" s="123"/>
      <c r="AC26" s="123"/>
      <c r="AD26" s="124"/>
      <c r="AE26" s="122"/>
      <c r="AF26" s="123"/>
      <c r="AG26" s="123"/>
      <c r="AH26" s="124"/>
      <c r="AI26" s="122"/>
      <c r="AJ26" s="123"/>
      <c r="AK26" s="123"/>
      <c r="AL26" s="124"/>
      <c r="AM26" s="122"/>
      <c r="AN26" s="123"/>
      <c r="AO26" s="123"/>
      <c r="AP26" s="124"/>
      <c r="AQ26" s="122"/>
      <c r="AR26" s="123"/>
      <c r="AS26" s="123"/>
      <c r="AT26" s="124"/>
      <c r="AU26" s="122"/>
      <c r="AV26" s="123"/>
      <c r="AW26" s="123"/>
      <c r="AX26" s="124"/>
      <c r="AY26" s="122"/>
      <c r="AZ26" s="123"/>
      <c r="BA26" s="123"/>
      <c r="BB26" s="124"/>
      <c r="BC26" s="10"/>
      <c r="BD26" s="10"/>
      <c r="BE26" s="10"/>
      <c r="BF26" s="10"/>
      <c r="BG26" s="10"/>
      <c r="BH26" s="10"/>
      <c r="BI26" s="10"/>
      <c r="BJ26" s="10"/>
      <c r="BK26" s="10"/>
      <c r="BL26" s="10"/>
      <c r="BM26" s="10"/>
      <c r="BN26" s="10"/>
      <c r="BO26" s="10"/>
      <c r="BP26" s="52"/>
      <c r="BQ26" s="52"/>
      <c r="BR26" s="52"/>
      <c r="BT26" s="5"/>
      <c r="BU26" s="23"/>
    </row>
    <row r="27" spans="1:73" ht="21" customHeight="1" x14ac:dyDescent="0.55000000000000004">
      <c r="A27" s="5"/>
      <c r="C27" s="1" t="s">
        <v>21</v>
      </c>
      <c r="G27" s="10"/>
      <c r="H27" s="10"/>
      <c r="I27" s="10"/>
      <c r="J27" s="10"/>
      <c r="K27" s="10"/>
      <c r="L27" s="10"/>
      <c r="M27" s="10"/>
      <c r="N27" s="10"/>
      <c r="S27" s="4">
        <v>42</v>
      </c>
      <c r="T27" s="114" t="s">
        <v>292</v>
      </c>
      <c r="U27" s="114"/>
      <c r="V27" s="115"/>
      <c r="W27" s="4">
        <v>43</v>
      </c>
      <c r="X27" s="114" t="s">
        <v>290</v>
      </c>
      <c r="Y27" s="114"/>
      <c r="Z27" s="115"/>
      <c r="AA27" s="4">
        <v>44</v>
      </c>
      <c r="AB27" s="114" t="s">
        <v>384</v>
      </c>
      <c r="AC27" s="114"/>
      <c r="AD27" s="115"/>
      <c r="AE27" s="4">
        <v>45</v>
      </c>
      <c r="AF27" s="114" t="s">
        <v>318</v>
      </c>
      <c r="AG27" s="114"/>
      <c r="AH27" s="115"/>
      <c r="AI27" s="4">
        <v>46</v>
      </c>
      <c r="AJ27" s="114" t="s">
        <v>320</v>
      </c>
      <c r="AK27" s="114"/>
      <c r="AL27" s="115"/>
      <c r="AM27" s="4">
        <v>47</v>
      </c>
      <c r="AN27" s="114" t="s">
        <v>314</v>
      </c>
      <c r="AO27" s="114"/>
      <c r="AP27" s="115"/>
      <c r="AQ27" s="4">
        <v>48</v>
      </c>
      <c r="AR27" s="114" t="s">
        <v>312</v>
      </c>
      <c r="AS27" s="114"/>
      <c r="AT27" s="115"/>
      <c r="AU27" s="4">
        <v>49</v>
      </c>
      <c r="AV27" s="114" t="s">
        <v>325</v>
      </c>
      <c r="AW27" s="114"/>
      <c r="AX27" s="115"/>
      <c r="AY27" s="4">
        <v>50</v>
      </c>
      <c r="AZ27" s="114" t="s">
        <v>327</v>
      </c>
      <c r="BA27" s="114"/>
      <c r="BB27" s="115"/>
      <c r="BC27" s="4">
        <v>51</v>
      </c>
      <c r="BD27" s="114" t="s">
        <v>329</v>
      </c>
      <c r="BE27" s="114"/>
      <c r="BF27" s="115"/>
      <c r="BG27" s="4">
        <v>52</v>
      </c>
      <c r="BH27" s="114" t="s">
        <v>331</v>
      </c>
      <c r="BI27" s="114"/>
      <c r="BJ27" s="115"/>
      <c r="BK27" s="4">
        <v>53</v>
      </c>
      <c r="BL27" s="114" t="s">
        <v>333</v>
      </c>
      <c r="BM27" s="114"/>
      <c r="BN27" s="115"/>
      <c r="BO27" s="53"/>
      <c r="BT27" s="5"/>
      <c r="BU27" s="23"/>
    </row>
    <row r="28" spans="1:73" ht="21" customHeight="1" x14ac:dyDescent="0.55000000000000004">
      <c r="A28" s="5"/>
      <c r="G28" s="10"/>
      <c r="H28" s="10"/>
      <c r="I28" s="10"/>
      <c r="J28" s="10"/>
      <c r="K28" s="10"/>
      <c r="L28" s="10"/>
      <c r="M28" s="10"/>
      <c r="N28" s="10"/>
      <c r="S28" s="116"/>
      <c r="T28" s="117"/>
      <c r="U28" s="117"/>
      <c r="V28" s="118"/>
      <c r="W28" s="116"/>
      <c r="X28" s="117"/>
      <c r="Y28" s="117"/>
      <c r="Z28" s="118"/>
      <c r="AA28" s="116"/>
      <c r="AB28" s="117"/>
      <c r="AC28" s="117"/>
      <c r="AD28" s="118"/>
      <c r="AE28" s="116"/>
      <c r="AF28" s="117"/>
      <c r="AG28" s="117"/>
      <c r="AH28" s="118"/>
      <c r="AI28" s="116"/>
      <c r="AJ28" s="117"/>
      <c r="AK28" s="117"/>
      <c r="AL28" s="118"/>
      <c r="AM28" s="116"/>
      <c r="AN28" s="117"/>
      <c r="AO28" s="117"/>
      <c r="AP28" s="118"/>
      <c r="AQ28" s="116"/>
      <c r="AR28" s="117"/>
      <c r="AS28" s="117"/>
      <c r="AT28" s="118"/>
      <c r="AU28" s="116"/>
      <c r="AV28" s="117"/>
      <c r="AW28" s="117"/>
      <c r="AX28" s="118"/>
      <c r="AY28" s="116"/>
      <c r="AZ28" s="117"/>
      <c r="BA28" s="117"/>
      <c r="BB28" s="118"/>
      <c r="BC28" s="116"/>
      <c r="BD28" s="117"/>
      <c r="BE28" s="117"/>
      <c r="BF28" s="118"/>
      <c r="BG28" s="116"/>
      <c r="BH28" s="117"/>
      <c r="BI28" s="117"/>
      <c r="BJ28" s="118"/>
      <c r="BK28" s="116"/>
      <c r="BL28" s="117"/>
      <c r="BM28" s="117"/>
      <c r="BN28" s="118"/>
      <c r="BO28" s="54"/>
      <c r="BP28" s="50"/>
      <c r="BQ28" s="50"/>
      <c r="BR28" s="50"/>
      <c r="BT28" s="5"/>
      <c r="BU28" s="23"/>
    </row>
    <row r="29" spans="1:73" ht="21" customHeight="1" x14ac:dyDescent="0.55000000000000004">
      <c r="A29" s="5"/>
      <c r="G29" s="10"/>
      <c r="H29" s="10"/>
      <c r="I29" s="10"/>
      <c r="J29" s="10"/>
      <c r="K29" s="10"/>
      <c r="L29" s="10"/>
      <c r="M29" s="10"/>
      <c r="N29" s="10"/>
      <c r="S29" s="119"/>
      <c r="T29" s="120"/>
      <c r="U29" s="120"/>
      <c r="V29" s="121"/>
      <c r="W29" s="119"/>
      <c r="X29" s="120"/>
      <c r="Y29" s="120"/>
      <c r="Z29" s="121"/>
      <c r="AA29" s="119"/>
      <c r="AB29" s="120"/>
      <c r="AC29" s="120"/>
      <c r="AD29" s="121"/>
      <c r="AE29" s="119"/>
      <c r="AF29" s="120"/>
      <c r="AG29" s="120"/>
      <c r="AH29" s="121"/>
      <c r="AI29" s="119"/>
      <c r="AJ29" s="120"/>
      <c r="AK29" s="120"/>
      <c r="AL29" s="121"/>
      <c r="AM29" s="119"/>
      <c r="AN29" s="120"/>
      <c r="AO29" s="120"/>
      <c r="AP29" s="121"/>
      <c r="AQ29" s="119"/>
      <c r="AR29" s="120"/>
      <c r="AS29" s="120"/>
      <c r="AT29" s="121"/>
      <c r="AU29" s="119"/>
      <c r="AV29" s="120"/>
      <c r="AW29" s="120"/>
      <c r="AX29" s="121"/>
      <c r="AY29" s="119"/>
      <c r="AZ29" s="120"/>
      <c r="BA29" s="120"/>
      <c r="BB29" s="121"/>
      <c r="BC29" s="119"/>
      <c r="BD29" s="120"/>
      <c r="BE29" s="120"/>
      <c r="BF29" s="121"/>
      <c r="BG29" s="119"/>
      <c r="BH29" s="120"/>
      <c r="BI29" s="120"/>
      <c r="BJ29" s="121"/>
      <c r="BK29" s="119"/>
      <c r="BL29" s="120"/>
      <c r="BM29" s="120"/>
      <c r="BN29" s="121"/>
      <c r="BO29" s="55"/>
      <c r="BP29" s="51"/>
      <c r="BQ29" s="51"/>
      <c r="BR29" s="51"/>
      <c r="BT29" s="5"/>
      <c r="BU29" s="23"/>
    </row>
    <row r="30" spans="1:73" ht="21" customHeight="1" thickBot="1" x14ac:dyDescent="0.6">
      <c r="A30" s="5"/>
      <c r="G30" s="10"/>
      <c r="H30" s="10"/>
      <c r="I30" s="10"/>
      <c r="J30" s="10"/>
      <c r="K30" s="10"/>
      <c r="L30" s="10"/>
      <c r="M30" s="10"/>
      <c r="N30" s="10"/>
      <c r="S30" s="122"/>
      <c r="T30" s="123"/>
      <c r="U30" s="123"/>
      <c r="V30" s="124"/>
      <c r="W30" s="122"/>
      <c r="X30" s="123"/>
      <c r="Y30" s="123"/>
      <c r="Z30" s="124"/>
      <c r="AA30" s="122"/>
      <c r="AB30" s="123"/>
      <c r="AC30" s="123"/>
      <c r="AD30" s="124"/>
      <c r="AE30" s="122"/>
      <c r="AF30" s="123"/>
      <c r="AG30" s="123"/>
      <c r="AH30" s="124"/>
      <c r="AI30" s="122"/>
      <c r="AJ30" s="123"/>
      <c r="AK30" s="123"/>
      <c r="AL30" s="124"/>
      <c r="AM30" s="122"/>
      <c r="AN30" s="123"/>
      <c r="AO30" s="123"/>
      <c r="AP30" s="124"/>
      <c r="AQ30" s="122"/>
      <c r="AR30" s="123"/>
      <c r="AS30" s="123"/>
      <c r="AT30" s="124"/>
      <c r="AU30" s="122"/>
      <c r="AV30" s="123"/>
      <c r="AW30" s="123"/>
      <c r="AX30" s="124"/>
      <c r="AY30" s="122"/>
      <c r="AZ30" s="123"/>
      <c r="BA30" s="123"/>
      <c r="BB30" s="124"/>
      <c r="BC30" s="122"/>
      <c r="BD30" s="123"/>
      <c r="BE30" s="123"/>
      <c r="BF30" s="124"/>
      <c r="BG30" s="122"/>
      <c r="BH30" s="123"/>
      <c r="BI30" s="123"/>
      <c r="BJ30" s="124"/>
      <c r="BK30" s="122"/>
      <c r="BL30" s="123"/>
      <c r="BM30" s="123"/>
      <c r="BN30" s="124"/>
      <c r="BO30" s="10"/>
      <c r="BP30" s="52"/>
      <c r="BQ30" s="52"/>
      <c r="BR30" s="52"/>
      <c r="BT30" s="5"/>
      <c r="BU30" s="23"/>
    </row>
    <row r="31" spans="1:73" ht="21" customHeight="1" x14ac:dyDescent="0.55000000000000004">
      <c r="A31" s="5"/>
      <c r="C31" s="1" t="s">
        <v>22</v>
      </c>
      <c r="G31" s="4">
        <v>54</v>
      </c>
      <c r="H31" s="114" t="s">
        <v>300</v>
      </c>
      <c r="I31" s="114"/>
      <c r="J31" s="115"/>
      <c r="K31" s="4">
        <v>55</v>
      </c>
      <c r="L31" s="114" t="s">
        <v>298</v>
      </c>
      <c r="M31" s="114"/>
      <c r="N31" s="115"/>
      <c r="O31" s="4">
        <v>56</v>
      </c>
      <c r="P31" s="114" t="s">
        <v>296</v>
      </c>
      <c r="Q31" s="114"/>
      <c r="R31" s="115"/>
      <c r="S31" s="4">
        <v>57</v>
      </c>
      <c r="T31" s="114" t="s">
        <v>294</v>
      </c>
      <c r="U31" s="114"/>
      <c r="V31" s="115"/>
      <c r="W31" s="10"/>
      <c r="X31" s="10"/>
      <c r="Y31" s="10"/>
      <c r="Z31" s="10"/>
      <c r="AA31" s="4">
        <v>58</v>
      </c>
      <c r="AB31" s="114" t="s">
        <v>382</v>
      </c>
      <c r="AC31" s="114"/>
      <c r="AD31" s="115"/>
      <c r="AE31" s="4">
        <v>59</v>
      </c>
      <c r="AF31" s="114" t="s">
        <v>376</v>
      </c>
      <c r="AG31" s="114"/>
      <c r="AH31" s="115"/>
      <c r="AI31" s="4">
        <v>60</v>
      </c>
      <c r="AJ31" s="114" t="s">
        <v>344</v>
      </c>
      <c r="AK31" s="114"/>
      <c r="AL31" s="115"/>
      <c r="AM31" s="4">
        <v>61</v>
      </c>
      <c r="AN31" s="114" t="s">
        <v>346</v>
      </c>
      <c r="AO31" s="114"/>
      <c r="AP31" s="115"/>
      <c r="AQ31" s="53"/>
      <c r="AR31" s="10"/>
      <c r="AS31" s="10"/>
      <c r="AT31" s="10"/>
      <c r="AU31" s="4">
        <v>62</v>
      </c>
      <c r="AV31" s="114" t="s">
        <v>334</v>
      </c>
      <c r="AW31" s="114"/>
      <c r="AX31" s="115"/>
      <c r="AY31" s="4">
        <v>63</v>
      </c>
      <c r="AZ31" s="114" t="s">
        <v>336</v>
      </c>
      <c r="BA31" s="114"/>
      <c r="BB31" s="115"/>
      <c r="BC31" s="4">
        <v>64</v>
      </c>
      <c r="BD31" s="114" t="s">
        <v>338</v>
      </c>
      <c r="BE31" s="114"/>
      <c r="BF31" s="115"/>
      <c r="BG31" s="4">
        <v>65</v>
      </c>
      <c r="BH31" s="114" t="s">
        <v>340</v>
      </c>
      <c r="BI31" s="114"/>
      <c r="BJ31" s="115"/>
      <c r="BK31" s="4">
        <v>66</v>
      </c>
      <c r="BL31" s="114" t="s">
        <v>342</v>
      </c>
      <c r="BM31" s="114"/>
      <c r="BN31" s="115"/>
      <c r="BO31" s="53"/>
      <c r="BT31" s="5"/>
      <c r="BU31" s="23"/>
    </row>
    <row r="32" spans="1:73" ht="21" customHeight="1" x14ac:dyDescent="0.55000000000000004">
      <c r="A32" s="5"/>
      <c r="G32" s="116"/>
      <c r="H32" s="117"/>
      <c r="I32" s="117"/>
      <c r="J32" s="118"/>
      <c r="K32" s="116"/>
      <c r="L32" s="117"/>
      <c r="M32" s="117"/>
      <c r="N32" s="118"/>
      <c r="O32" s="116"/>
      <c r="P32" s="117"/>
      <c r="Q32" s="117"/>
      <c r="R32" s="118"/>
      <c r="S32" s="116"/>
      <c r="T32" s="117"/>
      <c r="U32" s="117"/>
      <c r="V32" s="118"/>
      <c r="W32" s="10"/>
      <c r="X32" s="10"/>
      <c r="Y32" s="10"/>
      <c r="Z32" s="10"/>
      <c r="AA32" s="116"/>
      <c r="AB32" s="117"/>
      <c r="AC32" s="117"/>
      <c r="AD32" s="118"/>
      <c r="AE32" s="116"/>
      <c r="AF32" s="117"/>
      <c r="AG32" s="117"/>
      <c r="AH32" s="118"/>
      <c r="AI32" s="116"/>
      <c r="AJ32" s="117"/>
      <c r="AK32" s="117"/>
      <c r="AL32" s="118"/>
      <c r="AM32" s="116"/>
      <c r="AN32" s="117"/>
      <c r="AO32" s="117"/>
      <c r="AP32" s="118"/>
      <c r="AQ32" s="54"/>
      <c r="AR32" s="54"/>
      <c r="AS32" s="54"/>
      <c r="AT32" s="54"/>
      <c r="AU32" s="116"/>
      <c r="AV32" s="117"/>
      <c r="AW32" s="117"/>
      <c r="AX32" s="118"/>
      <c r="AY32" s="116"/>
      <c r="AZ32" s="117"/>
      <c r="BA32" s="117"/>
      <c r="BB32" s="118"/>
      <c r="BC32" s="116"/>
      <c r="BD32" s="117"/>
      <c r="BE32" s="117"/>
      <c r="BF32" s="118"/>
      <c r="BG32" s="116"/>
      <c r="BH32" s="117"/>
      <c r="BI32" s="117"/>
      <c r="BJ32" s="118"/>
      <c r="BK32" s="116"/>
      <c r="BL32" s="117"/>
      <c r="BM32" s="117"/>
      <c r="BN32" s="118"/>
      <c r="BO32" s="54"/>
      <c r="BP32" s="50"/>
      <c r="BQ32" s="50"/>
      <c r="BR32" s="50"/>
      <c r="BT32" s="5"/>
      <c r="BU32" s="23"/>
    </row>
    <row r="33" spans="1:73" ht="21" customHeight="1" x14ac:dyDescent="0.55000000000000004">
      <c r="A33" s="5"/>
      <c r="G33" s="119"/>
      <c r="H33" s="120"/>
      <c r="I33" s="120"/>
      <c r="J33" s="121"/>
      <c r="K33" s="119"/>
      <c r="L33" s="120"/>
      <c r="M33" s="120"/>
      <c r="N33" s="121"/>
      <c r="O33" s="119"/>
      <c r="P33" s="120"/>
      <c r="Q33" s="120"/>
      <c r="R33" s="121"/>
      <c r="S33" s="119"/>
      <c r="T33" s="120"/>
      <c r="U33" s="120"/>
      <c r="V33" s="121"/>
      <c r="W33" s="10"/>
      <c r="X33" s="10"/>
      <c r="Y33" s="10"/>
      <c r="Z33" s="10"/>
      <c r="AA33" s="119"/>
      <c r="AB33" s="120"/>
      <c r="AC33" s="120"/>
      <c r="AD33" s="121"/>
      <c r="AE33" s="119"/>
      <c r="AF33" s="120"/>
      <c r="AG33" s="120"/>
      <c r="AH33" s="121"/>
      <c r="AI33" s="119"/>
      <c r="AJ33" s="120"/>
      <c r="AK33" s="120"/>
      <c r="AL33" s="121"/>
      <c r="AM33" s="119"/>
      <c r="AN33" s="120"/>
      <c r="AO33" s="120"/>
      <c r="AP33" s="121"/>
      <c r="AQ33" s="55"/>
      <c r="AR33" s="55"/>
      <c r="AS33" s="55"/>
      <c r="AT33" s="55"/>
      <c r="AU33" s="119"/>
      <c r="AV33" s="120"/>
      <c r="AW33" s="120"/>
      <c r="AX33" s="121"/>
      <c r="AY33" s="119"/>
      <c r="AZ33" s="120"/>
      <c r="BA33" s="120"/>
      <c r="BB33" s="121"/>
      <c r="BC33" s="119"/>
      <c r="BD33" s="120"/>
      <c r="BE33" s="120"/>
      <c r="BF33" s="121"/>
      <c r="BG33" s="119"/>
      <c r="BH33" s="120"/>
      <c r="BI33" s="120"/>
      <c r="BJ33" s="121"/>
      <c r="BK33" s="119"/>
      <c r="BL33" s="120"/>
      <c r="BM33" s="120"/>
      <c r="BN33" s="121"/>
      <c r="BO33" s="55"/>
      <c r="BP33" s="51"/>
      <c r="BQ33" s="51"/>
      <c r="BR33" s="51"/>
      <c r="BT33" s="5"/>
      <c r="BU33" s="23"/>
    </row>
    <row r="34" spans="1:73" ht="21" customHeight="1" thickBot="1" x14ac:dyDescent="0.6">
      <c r="A34" s="5"/>
      <c r="G34" s="122"/>
      <c r="H34" s="123"/>
      <c r="I34" s="123"/>
      <c r="J34" s="124"/>
      <c r="K34" s="122"/>
      <c r="L34" s="123"/>
      <c r="M34" s="123"/>
      <c r="N34" s="124"/>
      <c r="O34" s="122"/>
      <c r="P34" s="123"/>
      <c r="Q34" s="123"/>
      <c r="R34" s="124"/>
      <c r="S34" s="122"/>
      <c r="T34" s="123"/>
      <c r="U34" s="123"/>
      <c r="V34" s="124"/>
      <c r="W34" s="10"/>
      <c r="X34" s="10"/>
      <c r="Y34" s="10"/>
      <c r="Z34" s="10"/>
      <c r="AA34" s="122"/>
      <c r="AB34" s="123"/>
      <c r="AC34" s="123"/>
      <c r="AD34" s="124"/>
      <c r="AE34" s="122"/>
      <c r="AF34" s="123"/>
      <c r="AG34" s="123"/>
      <c r="AH34" s="124"/>
      <c r="AI34" s="122"/>
      <c r="AJ34" s="123"/>
      <c r="AK34" s="123"/>
      <c r="AL34" s="124"/>
      <c r="AM34" s="122"/>
      <c r="AN34" s="123"/>
      <c r="AO34" s="123"/>
      <c r="AP34" s="124"/>
      <c r="AQ34" s="10"/>
      <c r="AR34" s="10"/>
      <c r="AS34" s="10"/>
      <c r="AT34" s="10"/>
      <c r="AU34" s="122"/>
      <c r="AV34" s="123"/>
      <c r="AW34" s="123"/>
      <c r="AX34" s="124"/>
      <c r="AY34" s="122"/>
      <c r="AZ34" s="123"/>
      <c r="BA34" s="123"/>
      <c r="BB34" s="124"/>
      <c r="BC34" s="122"/>
      <c r="BD34" s="123"/>
      <c r="BE34" s="123"/>
      <c r="BF34" s="124"/>
      <c r="BG34" s="122"/>
      <c r="BH34" s="123"/>
      <c r="BI34" s="123"/>
      <c r="BJ34" s="124"/>
      <c r="BK34" s="122"/>
      <c r="BL34" s="123"/>
      <c r="BM34" s="123"/>
      <c r="BN34" s="124"/>
      <c r="BO34" s="10"/>
      <c r="BP34" s="52"/>
      <c r="BQ34" s="52"/>
      <c r="BR34" s="52"/>
      <c r="BT34" s="5"/>
      <c r="BU34" s="23"/>
    </row>
    <row r="35" spans="1:73" ht="21" customHeight="1" x14ac:dyDescent="0.55000000000000004">
      <c r="A35" s="5"/>
      <c r="C35" s="1" t="s">
        <v>23</v>
      </c>
      <c r="G35" s="10"/>
      <c r="H35" s="10"/>
      <c r="I35" s="10"/>
      <c r="J35" s="10"/>
      <c r="K35" s="10"/>
      <c r="L35" s="10"/>
      <c r="M35" s="10"/>
      <c r="N35" s="10"/>
      <c r="O35" s="10"/>
      <c r="P35" s="10"/>
      <c r="Q35" s="10"/>
      <c r="R35" s="10"/>
      <c r="S35" s="10"/>
      <c r="T35" s="10"/>
      <c r="U35" s="10"/>
      <c r="V35" s="10"/>
      <c r="W35" s="10"/>
      <c r="X35" s="10"/>
      <c r="Y35" s="10"/>
      <c r="Z35" s="10"/>
      <c r="AA35" s="4">
        <v>67</v>
      </c>
      <c r="AB35" s="114" t="s">
        <v>380</v>
      </c>
      <c r="AC35" s="114"/>
      <c r="AD35" s="115"/>
      <c r="AE35" s="4">
        <v>68</v>
      </c>
      <c r="AF35" s="114" t="s">
        <v>378</v>
      </c>
      <c r="AG35" s="114"/>
      <c r="AH35" s="115"/>
      <c r="AI35" s="53"/>
      <c r="AJ35" s="10"/>
      <c r="AK35" s="10"/>
      <c r="AL35" s="10"/>
      <c r="AM35" s="53"/>
      <c r="AN35" s="10"/>
      <c r="AO35" s="10"/>
      <c r="AP35" s="10"/>
      <c r="AQ35" s="53"/>
      <c r="AR35" s="10"/>
      <c r="AS35" s="10"/>
      <c r="AT35" s="10"/>
      <c r="AU35" s="53"/>
      <c r="AV35" s="10"/>
      <c r="AW35" s="10"/>
      <c r="AX35" s="10"/>
      <c r="AY35" s="53"/>
      <c r="AZ35" s="10"/>
      <c r="BA35" s="10"/>
      <c r="BB35" s="10"/>
      <c r="BC35" s="4">
        <v>69</v>
      </c>
      <c r="BD35" s="114" t="s">
        <v>348</v>
      </c>
      <c r="BE35" s="114"/>
      <c r="BF35" s="115"/>
      <c r="BG35" s="4">
        <v>70</v>
      </c>
      <c r="BH35" s="114" t="s">
        <v>350</v>
      </c>
      <c r="BI35" s="114"/>
      <c r="BJ35" s="115"/>
      <c r="BK35" s="4">
        <v>71</v>
      </c>
      <c r="BL35" s="114" t="s">
        <v>352</v>
      </c>
      <c r="BM35" s="114"/>
      <c r="BN35" s="115"/>
      <c r="BO35" s="53"/>
      <c r="BT35" s="5"/>
      <c r="BU35" s="23"/>
    </row>
    <row r="36" spans="1:73" ht="21" customHeight="1" x14ac:dyDescent="0.55000000000000004">
      <c r="A36" s="5"/>
      <c r="AA36" s="116"/>
      <c r="AB36" s="117"/>
      <c r="AC36" s="117"/>
      <c r="AD36" s="118"/>
      <c r="AE36" s="116"/>
      <c r="AF36" s="117"/>
      <c r="AG36" s="117"/>
      <c r="AH36" s="118"/>
      <c r="AI36" s="50"/>
      <c r="AJ36" s="50"/>
      <c r="AK36" s="50"/>
      <c r="AL36" s="50"/>
      <c r="AM36" s="50"/>
      <c r="AN36" s="50"/>
      <c r="AO36" s="50"/>
      <c r="AP36" s="50"/>
      <c r="AQ36" s="50"/>
      <c r="AR36" s="50"/>
      <c r="AS36" s="50"/>
      <c r="AT36" s="50"/>
      <c r="AU36" s="50"/>
      <c r="AV36" s="50"/>
      <c r="AW36" s="50"/>
      <c r="AX36" s="50"/>
      <c r="AY36" s="50"/>
      <c r="AZ36" s="50"/>
      <c r="BA36" s="50"/>
      <c r="BB36" s="50"/>
      <c r="BC36" s="116"/>
      <c r="BD36" s="117"/>
      <c r="BE36" s="117"/>
      <c r="BF36" s="118"/>
      <c r="BG36" s="116"/>
      <c r="BH36" s="117"/>
      <c r="BI36" s="117"/>
      <c r="BJ36" s="118"/>
      <c r="BK36" s="116"/>
      <c r="BL36" s="117"/>
      <c r="BM36" s="117"/>
      <c r="BN36" s="118"/>
      <c r="BO36" s="50"/>
      <c r="BP36" s="50"/>
      <c r="BQ36" s="50"/>
      <c r="BR36" s="50"/>
      <c r="BT36" s="5"/>
      <c r="BU36" s="23"/>
    </row>
    <row r="37" spans="1:73" ht="21" customHeight="1" x14ac:dyDescent="0.55000000000000004">
      <c r="A37" s="5"/>
      <c r="AA37" s="119"/>
      <c r="AB37" s="120"/>
      <c r="AC37" s="120"/>
      <c r="AD37" s="121"/>
      <c r="AE37" s="119"/>
      <c r="AF37" s="120"/>
      <c r="AG37" s="120"/>
      <c r="AH37" s="121"/>
      <c r="AI37" s="51"/>
      <c r="AJ37" s="51"/>
      <c r="AK37" s="51"/>
      <c r="AL37" s="51"/>
      <c r="AM37" s="51"/>
      <c r="AN37" s="51"/>
      <c r="AO37" s="51"/>
      <c r="AP37" s="51"/>
      <c r="AQ37" s="51"/>
      <c r="AR37" s="51"/>
      <c r="AS37" s="51"/>
      <c r="AT37" s="51"/>
      <c r="AU37" s="51"/>
      <c r="AV37" s="51"/>
      <c r="AW37" s="51"/>
      <c r="AX37" s="51"/>
      <c r="AY37" s="51"/>
      <c r="AZ37" s="51"/>
      <c r="BA37" s="51"/>
      <c r="BB37" s="51"/>
      <c r="BC37" s="119"/>
      <c r="BD37" s="120"/>
      <c r="BE37" s="120"/>
      <c r="BF37" s="121"/>
      <c r="BG37" s="119"/>
      <c r="BH37" s="120"/>
      <c r="BI37" s="120"/>
      <c r="BJ37" s="121"/>
      <c r="BK37" s="119"/>
      <c r="BL37" s="120"/>
      <c r="BM37" s="120"/>
      <c r="BN37" s="121"/>
      <c r="BO37" s="51"/>
      <c r="BP37" s="51"/>
      <c r="BQ37" s="51"/>
      <c r="BR37" s="51"/>
      <c r="BT37" s="5"/>
      <c r="BU37" s="23"/>
    </row>
    <row r="38" spans="1:73" ht="21" customHeight="1" thickBot="1" x14ac:dyDescent="0.6">
      <c r="A38" s="5"/>
      <c r="AA38" s="122"/>
      <c r="AB38" s="123"/>
      <c r="AC38" s="123"/>
      <c r="AD38" s="124"/>
      <c r="AE38" s="122"/>
      <c r="AF38" s="123"/>
      <c r="AG38" s="123"/>
      <c r="AH38" s="124"/>
      <c r="AI38" s="51"/>
      <c r="AJ38" s="51"/>
      <c r="AK38" s="51"/>
      <c r="AL38" s="51"/>
      <c r="AM38" s="51"/>
      <c r="AN38" s="51"/>
      <c r="AO38" s="51"/>
      <c r="AP38" s="51"/>
      <c r="AQ38" s="51"/>
      <c r="AR38" s="51"/>
      <c r="AS38" s="51"/>
      <c r="AT38" s="51"/>
      <c r="AU38" s="51"/>
      <c r="AV38" s="51"/>
      <c r="AW38" s="51"/>
      <c r="AX38" s="51"/>
      <c r="AY38" s="51"/>
      <c r="AZ38" s="51"/>
      <c r="BA38" s="51"/>
      <c r="BB38" s="51"/>
      <c r="BC38" s="122"/>
      <c r="BD38" s="123"/>
      <c r="BE38" s="123"/>
      <c r="BF38" s="124"/>
      <c r="BG38" s="122"/>
      <c r="BH38" s="123"/>
      <c r="BI38" s="123"/>
      <c r="BJ38" s="124"/>
      <c r="BK38" s="122"/>
      <c r="BL38" s="123"/>
      <c r="BM38" s="123"/>
      <c r="BN38" s="124"/>
      <c r="BO38" s="51"/>
      <c r="BP38" s="51"/>
      <c r="BQ38" s="51"/>
      <c r="BR38" s="51"/>
      <c r="BT38" s="5"/>
      <c r="BU38" s="23"/>
    </row>
    <row r="39" spans="1:73" ht="21" customHeight="1" x14ac:dyDescent="0.55000000000000004">
      <c r="A39" s="5"/>
      <c r="C39" s="1" t="s">
        <v>517</v>
      </c>
      <c r="AI39" s="51"/>
      <c r="AJ39" s="51"/>
      <c r="AK39" s="51"/>
      <c r="AL39" s="51"/>
      <c r="AM39" s="51"/>
      <c r="AN39" s="51"/>
      <c r="AO39" s="51"/>
      <c r="AP39" s="51"/>
      <c r="AQ39" s="51"/>
      <c r="AR39" s="51"/>
      <c r="AS39" s="51"/>
      <c r="AT39" s="51"/>
      <c r="AU39" s="51"/>
      <c r="AV39" s="51"/>
      <c r="AW39" s="51"/>
      <c r="AX39" s="51"/>
      <c r="AY39" s="4">
        <v>72</v>
      </c>
      <c r="AZ39" s="114" t="s">
        <v>354</v>
      </c>
      <c r="BA39" s="114"/>
      <c r="BB39" s="115"/>
      <c r="BC39" s="4">
        <v>73</v>
      </c>
      <c r="BD39" s="114" t="s">
        <v>356</v>
      </c>
      <c r="BE39" s="114"/>
      <c r="BF39" s="115"/>
      <c r="BG39" s="4">
        <v>74</v>
      </c>
      <c r="BH39" s="114" t="s">
        <v>358</v>
      </c>
      <c r="BI39" s="114"/>
      <c r="BJ39" s="115"/>
      <c r="BK39" s="4">
        <v>75</v>
      </c>
      <c r="BL39" s="114" t="s">
        <v>360</v>
      </c>
      <c r="BM39" s="114"/>
      <c r="BN39" s="115"/>
      <c r="BO39" s="4">
        <v>76</v>
      </c>
      <c r="BP39" s="114" t="s">
        <v>362</v>
      </c>
      <c r="BQ39" s="114"/>
      <c r="BR39" s="115"/>
      <c r="BT39" s="5"/>
      <c r="BU39" s="23"/>
    </row>
    <row r="40" spans="1:73" ht="21" customHeight="1" x14ac:dyDescent="0.55000000000000004">
      <c r="A40" s="5"/>
      <c r="AI40" s="51"/>
      <c r="AJ40" s="51"/>
      <c r="AK40" s="51"/>
      <c r="AL40" s="51"/>
      <c r="AM40" s="51"/>
      <c r="AN40" s="51"/>
      <c r="AO40" s="51"/>
      <c r="AP40" s="51"/>
      <c r="AQ40" s="51"/>
      <c r="AR40" s="51"/>
      <c r="AS40" s="51"/>
      <c r="AT40" s="51"/>
      <c r="AU40" s="51"/>
      <c r="AV40" s="51"/>
      <c r="AW40" s="51"/>
      <c r="AX40" s="51"/>
      <c r="AY40" s="116"/>
      <c r="AZ40" s="117"/>
      <c r="BA40" s="117"/>
      <c r="BB40" s="118"/>
      <c r="BC40" s="116"/>
      <c r="BD40" s="117"/>
      <c r="BE40" s="117"/>
      <c r="BF40" s="118"/>
      <c r="BG40" s="116"/>
      <c r="BH40" s="117"/>
      <c r="BI40" s="117"/>
      <c r="BJ40" s="118"/>
      <c r="BK40" s="116"/>
      <c r="BL40" s="117"/>
      <c r="BM40" s="117"/>
      <c r="BN40" s="118"/>
      <c r="BO40" s="116"/>
      <c r="BP40" s="117"/>
      <c r="BQ40" s="117"/>
      <c r="BR40" s="118"/>
      <c r="BT40" s="5"/>
      <c r="BU40" s="23"/>
    </row>
    <row r="41" spans="1:73" ht="21" customHeight="1" x14ac:dyDescent="0.55000000000000004">
      <c r="A41" s="5"/>
      <c r="AI41" s="51"/>
      <c r="AJ41" s="51"/>
      <c r="AK41" s="51"/>
      <c r="AL41" s="51"/>
      <c r="AM41" s="51"/>
      <c r="AN41" s="51"/>
      <c r="AO41" s="51"/>
      <c r="AP41" s="51"/>
      <c r="AQ41" s="51"/>
      <c r="AR41" s="51"/>
      <c r="AS41" s="51"/>
      <c r="AT41" s="51"/>
      <c r="AU41" s="51"/>
      <c r="AV41" s="51"/>
      <c r="AW41" s="51"/>
      <c r="AX41" s="51"/>
      <c r="AY41" s="119"/>
      <c r="AZ41" s="120"/>
      <c r="BA41" s="120"/>
      <c r="BB41" s="121"/>
      <c r="BC41" s="119"/>
      <c r="BD41" s="120"/>
      <c r="BE41" s="120"/>
      <c r="BF41" s="121"/>
      <c r="BG41" s="119"/>
      <c r="BH41" s="120"/>
      <c r="BI41" s="120"/>
      <c r="BJ41" s="121"/>
      <c r="BK41" s="119"/>
      <c r="BL41" s="120"/>
      <c r="BM41" s="120"/>
      <c r="BN41" s="121"/>
      <c r="BO41" s="119"/>
      <c r="BP41" s="120"/>
      <c r="BQ41" s="120"/>
      <c r="BR41" s="121"/>
      <c r="BT41" s="5"/>
      <c r="BU41" s="23"/>
    </row>
    <row r="42" spans="1:73" ht="21" customHeight="1" thickBot="1" x14ac:dyDescent="0.6">
      <c r="A42" s="5"/>
      <c r="AI42" s="51"/>
      <c r="AJ42" s="51"/>
      <c r="AK42" s="51"/>
      <c r="AL42" s="51"/>
      <c r="AM42" s="51"/>
      <c r="AN42" s="51"/>
      <c r="AO42" s="51"/>
      <c r="AP42" s="51"/>
      <c r="AQ42" s="51"/>
      <c r="AR42" s="51"/>
      <c r="AS42" s="51"/>
      <c r="AT42" s="51"/>
      <c r="AU42" s="51"/>
      <c r="AV42" s="51"/>
      <c r="AW42" s="51"/>
      <c r="AX42" s="51"/>
      <c r="AY42" s="122"/>
      <c r="AZ42" s="123"/>
      <c r="BA42" s="123"/>
      <c r="BB42" s="124"/>
      <c r="BC42" s="122"/>
      <c r="BD42" s="123"/>
      <c r="BE42" s="123"/>
      <c r="BF42" s="124"/>
      <c r="BG42" s="122"/>
      <c r="BH42" s="123"/>
      <c r="BI42" s="123"/>
      <c r="BJ42" s="124"/>
      <c r="BK42" s="122"/>
      <c r="BL42" s="123"/>
      <c r="BM42" s="123"/>
      <c r="BN42" s="124"/>
      <c r="BO42" s="122"/>
      <c r="BP42" s="123"/>
      <c r="BQ42" s="123"/>
      <c r="BR42" s="124"/>
      <c r="BT42" s="5"/>
      <c r="BU42" s="23"/>
    </row>
    <row r="43" spans="1:73" ht="21" customHeight="1" x14ac:dyDescent="0.55000000000000004">
      <c r="A43" s="5"/>
      <c r="C43" s="1" t="s">
        <v>519</v>
      </c>
      <c r="AI43" s="51"/>
      <c r="AJ43" s="51"/>
      <c r="AK43" s="51"/>
      <c r="AL43" s="51"/>
      <c r="AM43" s="51"/>
      <c r="AN43" s="51"/>
      <c r="AO43" s="51"/>
      <c r="AP43" s="51"/>
      <c r="AQ43" s="51"/>
      <c r="AR43" s="51"/>
      <c r="AS43" s="51"/>
      <c r="AT43" s="51"/>
      <c r="AU43" s="51"/>
      <c r="AV43" s="51"/>
      <c r="AW43" s="51"/>
      <c r="AX43" s="51"/>
      <c r="AY43" s="4">
        <v>77</v>
      </c>
      <c r="AZ43" s="114" t="s">
        <v>364</v>
      </c>
      <c r="BA43" s="114"/>
      <c r="BB43" s="115"/>
      <c r="BC43" s="4">
        <v>78</v>
      </c>
      <c r="BD43" s="114" t="s">
        <v>366</v>
      </c>
      <c r="BE43" s="114"/>
      <c r="BF43" s="115"/>
      <c r="BG43" s="4">
        <v>79</v>
      </c>
      <c r="BH43" s="114" t="s">
        <v>368</v>
      </c>
      <c r="BI43" s="114"/>
      <c r="BJ43" s="115"/>
      <c r="BK43" s="51"/>
      <c r="BL43" s="51"/>
      <c r="BM43" s="51"/>
      <c r="BN43" s="51"/>
      <c r="BO43" s="51"/>
      <c r="BP43" s="51"/>
      <c r="BQ43" s="51"/>
      <c r="BR43" s="51"/>
      <c r="BT43" s="5"/>
      <c r="BU43" s="23"/>
    </row>
    <row r="44" spans="1:73" ht="21" customHeight="1" x14ac:dyDescent="0.55000000000000004">
      <c r="A44" s="5"/>
      <c r="AI44" s="51"/>
      <c r="AJ44" s="51"/>
      <c r="AK44" s="51"/>
      <c r="AL44" s="51"/>
      <c r="AM44" s="51"/>
      <c r="AN44" s="51"/>
      <c r="AO44" s="51"/>
      <c r="AP44" s="51"/>
      <c r="AQ44" s="51"/>
      <c r="AR44" s="51"/>
      <c r="AS44" s="51"/>
      <c r="AT44" s="51"/>
      <c r="AU44" s="51"/>
      <c r="AV44" s="51"/>
      <c r="AW44" s="51"/>
      <c r="AX44" s="51"/>
      <c r="AY44" s="116"/>
      <c r="AZ44" s="117"/>
      <c r="BA44" s="117"/>
      <c r="BB44" s="118"/>
      <c r="BC44" s="116"/>
      <c r="BD44" s="117"/>
      <c r="BE44" s="117"/>
      <c r="BF44" s="118"/>
      <c r="BG44" s="116"/>
      <c r="BH44" s="117"/>
      <c r="BI44" s="117"/>
      <c r="BJ44" s="118"/>
      <c r="BK44" s="51"/>
      <c r="BL44" s="51"/>
      <c r="BM44" s="51"/>
      <c r="BN44" s="51"/>
      <c r="BO44" s="51"/>
      <c r="BP44" s="51"/>
      <c r="BQ44" s="51"/>
      <c r="BR44" s="51"/>
      <c r="BT44" s="5"/>
      <c r="BU44" s="23"/>
    </row>
    <row r="45" spans="1:73" ht="21" customHeight="1" x14ac:dyDescent="0.55000000000000004">
      <c r="A45" s="5"/>
      <c r="AI45" s="51"/>
      <c r="AJ45" s="51"/>
      <c r="AK45" s="51"/>
      <c r="AL45" s="51"/>
      <c r="AM45" s="51"/>
      <c r="AN45" s="51"/>
      <c r="AO45" s="51"/>
      <c r="AP45" s="51"/>
      <c r="AQ45" s="51"/>
      <c r="AR45" s="51"/>
      <c r="AS45" s="51"/>
      <c r="AT45" s="51"/>
      <c r="AU45" s="51"/>
      <c r="AV45" s="51"/>
      <c r="AW45" s="51"/>
      <c r="AX45" s="51"/>
      <c r="AY45" s="119"/>
      <c r="AZ45" s="120"/>
      <c r="BA45" s="120"/>
      <c r="BB45" s="121"/>
      <c r="BC45" s="119"/>
      <c r="BD45" s="120"/>
      <c r="BE45" s="120"/>
      <c r="BF45" s="121"/>
      <c r="BG45" s="119"/>
      <c r="BH45" s="120"/>
      <c r="BI45" s="120"/>
      <c r="BJ45" s="121"/>
      <c r="BK45" s="51"/>
      <c r="BL45" s="51"/>
      <c r="BM45" s="51"/>
      <c r="BN45" s="51"/>
      <c r="BO45" s="51"/>
      <c r="BP45" s="51"/>
      <c r="BQ45" s="51"/>
      <c r="BR45" s="51"/>
      <c r="BT45" s="5"/>
      <c r="BU45" s="23"/>
    </row>
    <row r="46" spans="1:73" ht="21" customHeight="1" thickBot="1" x14ac:dyDescent="0.6">
      <c r="A46" s="5"/>
      <c r="AI46" s="51"/>
      <c r="AJ46" s="51"/>
      <c r="AK46" s="51"/>
      <c r="AL46" s="51"/>
      <c r="AM46" s="51"/>
      <c r="AN46" s="51"/>
      <c r="AO46" s="51"/>
      <c r="AP46" s="51"/>
      <c r="AQ46" s="51"/>
      <c r="AR46" s="51"/>
      <c r="AS46" s="51"/>
      <c r="AT46" s="51"/>
      <c r="AU46" s="51"/>
      <c r="AV46" s="51"/>
      <c r="AW46" s="51"/>
      <c r="AX46" s="51"/>
      <c r="AY46" s="122"/>
      <c r="AZ46" s="123"/>
      <c r="BA46" s="123"/>
      <c r="BB46" s="124"/>
      <c r="BC46" s="122"/>
      <c r="BD46" s="123"/>
      <c r="BE46" s="123"/>
      <c r="BF46" s="124"/>
      <c r="BG46" s="122"/>
      <c r="BH46" s="123"/>
      <c r="BI46" s="123"/>
      <c r="BJ46" s="124"/>
      <c r="BK46" s="51"/>
      <c r="BL46" s="51"/>
      <c r="BM46" s="51"/>
      <c r="BN46" s="51"/>
      <c r="BO46" s="51"/>
      <c r="BP46" s="51"/>
      <c r="BQ46" s="51"/>
      <c r="BR46" s="51"/>
      <c r="BT46" s="5"/>
      <c r="BU46" s="23"/>
    </row>
    <row r="47" spans="1:73" ht="21" customHeight="1" x14ac:dyDescent="0.55000000000000004">
      <c r="A47" s="5"/>
      <c r="C47" s="1" t="s">
        <v>521</v>
      </c>
      <c r="AI47" s="51"/>
      <c r="AJ47" s="51"/>
      <c r="AK47" s="51"/>
      <c r="AL47" s="51"/>
      <c r="AM47" s="51"/>
      <c r="AN47" s="51"/>
      <c r="AO47" s="51"/>
      <c r="AP47" s="51"/>
      <c r="AQ47" s="51"/>
      <c r="AR47" s="51"/>
      <c r="AS47" s="51"/>
      <c r="AT47" s="51"/>
      <c r="AU47" s="51"/>
      <c r="AV47" s="51"/>
      <c r="AW47" s="51"/>
      <c r="AX47" s="51"/>
      <c r="AY47" s="4">
        <v>80</v>
      </c>
      <c r="AZ47" s="114" t="s">
        <v>374</v>
      </c>
      <c r="BA47" s="114"/>
      <c r="BB47" s="115"/>
      <c r="BC47" s="4">
        <v>81</v>
      </c>
      <c r="BD47" s="114" t="s">
        <v>372</v>
      </c>
      <c r="BE47" s="114"/>
      <c r="BF47" s="115"/>
      <c r="BG47" s="4">
        <v>82</v>
      </c>
      <c r="BH47" s="114" t="s">
        <v>370</v>
      </c>
      <c r="BI47" s="114"/>
      <c r="BJ47" s="115"/>
      <c r="BK47" s="51"/>
      <c r="BL47" s="51"/>
      <c r="BM47" s="51"/>
      <c r="BN47" s="51"/>
      <c r="BO47" s="51"/>
      <c r="BP47" s="51"/>
      <c r="BQ47" s="51"/>
      <c r="BR47" s="51"/>
      <c r="BT47" s="5"/>
      <c r="BU47" s="23"/>
    </row>
    <row r="48" spans="1:73" ht="21" customHeight="1" x14ac:dyDescent="0.55000000000000004">
      <c r="A48" s="5"/>
      <c r="AI48" s="51"/>
      <c r="AJ48" s="51"/>
      <c r="AK48" s="51"/>
      <c r="AL48" s="51"/>
      <c r="AM48" s="51"/>
      <c r="AN48" s="51"/>
      <c r="AO48" s="51"/>
      <c r="AP48" s="51"/>
      <c r="AQ48" s="51"/>
      <c r="AR48" s="51"/>
      <c r="AS48" s="51"/>
      <c r="AT48" s="51"/>
      <c r="AU48" s="51"/>
      <c r="AV48" s="51"/>
      <c r="AW48" s="51"/>
      <c r="AX48" s="51"/>
      <c r="AY48" s="116"/>
      <c r="AZ48" s="117"/>
      <c r="BA48" s="117"/>
      <c r="BB48" s="118"/>
      <c r="BC48" s="116"/>
      <c r="BD48" s="117"/>
      <c r="BE48" s="117"/>
      <c r="BF48" s="118"/>
      <c r="BG48" s="116"/>
      <c r="BH48" s="117"/>
      <c r="BI48" s="117"/>
      <c r="BJ48" s="118"/>
      <c r="BK48" s="51"/>
      <c r="BL48" s="51"/>
      <c r="BM48" s="51"/>
      <c r="BN48" s="51"/>
      <c r="BO48" s="51"/>
      <c r="BP48" s="51"/>
      <c r="BQ48" s="51"/>
      <c r="BR48" s="51"/>
      <c r="BT48" s="5"/>
      <c r="BU48" s="23"/>
    </row>
    <row r="49" spans="1:73" ht="21" customHeight="1" x14ac:dyDescent="0.55000000000000004">
      <c r="A49" s="5"/>
      <c r="AI49" s="51"/>
      <c r="AJ49" s="51"/>
      <c r="AK49" s="51"/>
      <c r="AL49" s="51"/>
      <c r="AM49" s="51"/>
      <c r="AN49" s="51"/>
      <c r="AO49" s="51"/>
      <c r="AP49" s="51"/>
      <c r="AQ49" s="51"/>
      <c r="AR49" s="51"/>
      <c r="AS49" s="51"/>
      <c r="AT49" s="51"/>
      <c r="AU49" s="51"/>
      <c r="AV49" s="51"/>
      <c r="AW49" s="51"/>
      <c r="AX49" s="51"/>
      <c r="AY49" s="119"/>
      <c r="AZ49" s="120"/>
      <c r="BA49" s="120"/>
      <c r="BB49" s="121"/>
      <c r="BC49" s="119"/>
      <c r="BD49" s="120"/>
      <c r="BE49" s="120"/>
      <c r="BF49" s="121"/>
      <c r="BG49" s="119"/>
      <c r="BH49" s="120"/>
      <c r="BI49" s="120"/>
      <c r="BJ49" s="121"/>
      <c r="BK49" s="51"/>
      <c r="BL49" s="51"/>
      <c r="BM49" s="51"/>
      <c r="BN49" s="51"/>
      <c r="BO49" s="51"/>
      <c r="BP49" s="51"/>
      <c r="BQ49" s="51"/>
      <c r="BR49" s="51"/>
      <c r="BT49" s="5"/>
      <c r="BU49" s="23"/>
    </row>
    <row r="50" spans="1:73" ht="21" customHeight="1" thickBot="1" x14ac:dyDescent="0.6">
      <c r="A50" s="5"/>
      <c r="AV50" s="51"/>
      <c r="AW50" s="51"/>
      <c r="AX50" s="51"/>
      <c r="AY50" s="122"/>
      <c r="AZ50" s="123"/>
      <c r="BA50" s="123"/>
      <c r="BB50" s="124"/>
      <c r="BC50" s="122"/>
      <c r="BD50" s="123"/>
      <c r="BE50" s="123"/>
      <c r="BF50" s="124"/>
      <c r="BG50" s="122"/>
      <c r="BH50" s="123"/>
      <c r="BI50" s="123"/>
      <c r="BJ50" s="124"/>
      <c r="BO50" s="51"/>
      <c r="BP50" s="51"/>
      <c r="BQ50" s="51"/>
      <c r="BR50" s="51"/>
      <c r="BS50" s="51"/>
      <c r="BT50" s="5"/>
      <c r="BU50" s="23"/>
    </row>
    <row r="51" spans="1:73" ht="21" customHeight="1" x14ac:dyDescent="0.55000000000000004">
      <c r="A51" s="5"/>
      <c r="B51" t="s">
        <v>164</v>
      </c>
      <c r="G51" s="7"/>
      <c r="AM51" s="52"/>
      <c r="AN51" s="52"/>
      <c r="AO51" s="52"/>
      <c r="AP51" s="52"/>
      <c r="AQ51" s="52"/>
      <c r="AR51" s="52"/>
      <c r="AS51" s="52"/>
      <c r="AT51" s="52"/>
      <c r="AU51" s="52"/>
      <c r="AV51" s="52"/>
      <c r="AW51" s="52"/>
      <c r="AX51" s="52"/>
      <c r="AY51" s="52"/>
      <c r="AZ51" s="52"/>
      <c r="BA51" s="52"/>
      <c r="BB51" s="52"/>
      <c r="BC51" s="52"/>
      <c r="BD51" s="52"/>
      <c r="BE51" s="52"/>
      <c r="BF51" s="52"/>
      <c r="BG51" s="52"/>
      <c r="BH51" s="52"/>
      <c r="BI51" s="52"/>
      <c r="BJ51" s="52"/>
      <c r="BK51" s="52"/>
      <c r="BL51" s="52"/>
      <c r="BM51" s="52"/>
      <c r="BN51" s="52"/>
      <c r="BO51" s="52"/>
      <c r="BP51" s="52"/>
      <c r="BQ51" s="52"/>
      <c r="BR51" s="52"/>
      <c r="BS51" s="52"/>
      <c r="BT51" s="5"/>
      <c r="BU51" s="23"/>
    </row>
    <row r="52" spans="1:73" ht="21" customHeight="1" x14ac:dyDescent="0.55000000000000004">
      <c r="A52" s="5"/>
      <c r="B52" t="s">
        <v>161</v>
      </c>
      <c r="BT52" s="5"/>
      <c r="BU52" s="23"/>
    </row>
    <row r="53" spans="1:73" ht="21" customHeight="1" x14ac:dyDescent="0.55000000000000004">
      <c r="A53" s="5"/>
      <c r="B53" s="5"/>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c r="BT53" s="5"/>
      <c r="BU53" s="23"/>
    </row>
    <row r="54" spans="1:73" ht="21" customHeight="1" x14ac:dyDescent="0.55000000000000004">
      <c r="A54" s="23" t="s">
        <v>90</v>
      </c>
      <c r="B54" s="23"/>
      <c r="C54" s="23"/>
      <c r="D54" s="23"/>
      <c r="E54" s="23"/>
      <c r="F54" s="23"/>
      <c r="G54" s="23"/>
      <c r="H54" s="23"/>
      <c r="I54" s="23"/>
      <c r="J54" s="23"/>
      <c r="K54" s="23"/>
      <c r="L54" s="23"/>
      <c r="M54" s="23"/>
      <c r="N54" s="23"/>
      <c r="O54" s="23"/>
      <c r="P54" s="23"/>
      <c r="Q54" s="23"/>
      <c r="R54" s="23"/>
      <c r="S54" s="23"/>
      <c r="T54" s="23"/>
      <c r="U54" s="23"/>
      <c r="V54" s="23"/>
      <c r="W54" s="23"/>
      <c r="X54" s="23"/>
      <c r="Y54" s="23"/>
      <c r="Z54" s="23"/>
      <c r="AA54" s="23"/>
      <c r="AB54" s="23"/>
      <c r="AC54" s="23"/>
      <c r="AD54" s="23"/>
      <c r="AE54" s="23"/>
      <c r="AF54" s="23"/>
      <c r="AG54" s="23"/>
      <c r="AH54" s="23"/>
      <c r="AI54" s="23"/>
      <c r="AJ54" s="23"/>
      <c r="AK54" s="23"/>
      <c r="AL54" s="23"/>
      <c r="AM54" s="23"/>
      <c r="AN54" s="23"/>
      <c r="AO54" s="23"/>
      <c r="AP54" s="23"/>
      <c r="AQ54" s="23"/>
      <c r="AR54" s="23"/>
      <c r="AS54" s="23"/>
      <c r="AT54" s="23"/>
      <c r="AU54" s="23"/>
      <c r="AV54" s="23"/>
      <c r="AW54" s="23"/>
      <c r="AX54" s="23"/>
      <c r="AY54" s="23"/>
      <c r="AZ54" s="23"/>
      <c r="BA54" s="23"/>
      <c r="BB54" s="23"/>
      <c r="BC54" s="23"/>
      <c r="BD54" s="23"/>
      <c r="BE54" s="23"/>
      <c r="BF54" s="23"/>
      <c r="BG54" s="23"/>
      <c r="BH54" s="23"/>
      <c r="BI54" s="23"/>
      <c r="BJ54" s="23"/>
      <c r="BK54" s="23"/>
      <c r="BL54" s="23"/>
      <c r="BM54" s="23"/>
      <c r="BN54" s="23"/>
      <c r="BO54" s="23"/>
      <c r="BP54" s="23"/>
      <c r="BQ54" s="23"/>
      <c r="BR54" s="23"/>
      <c r="BS54" s="23"/>
      <c r="BT54" s="23"/>
      <c r="BU54" s="23"/>
    </row>
  </sheetData>
  <mergeCells count="328">
    <mergeCell ref="BC32:BF32"/>
    <mergeCell ref="BC33:BF33"/>
    <mergeCell ref="BC34:BF34"/>
    <mergeCell ref="AY34:BB34"/>
    <mergeCell ref="AZ31:BB31"/>
    <mergeCell ref="BD31:BF31"/>
    <mergeCell ref="AY32:BB32"/>
    <mergeCell ref="AY33:BB33"/>
    <mergeCell ref="AU32:AX32"/>
    <mergeCell ref="AU33:AX33"/>
    <mergeCell ref="AU34:AX34"/>
    <mergeCell ref="AV31:AX31"/>
    <mergeCell ref="AQ28:AT28"/>
    <mergeCell ref="AJ31:AL31"/>
    <mergeCell ref="AN31:AP31"/>
    <mergeCell ref="AI32:AL32"/>
    <mergeCell ref="AI33:AL33"/>
    <mergeCell ref="AI34:AL34"/>
    <mergeCell ref="AM32:AP32"/>
    <mergeCell ref="AM33:AP33"/>
    <mergeCell ref="AM34:AP34"/>
    <mergeCell ref="AQ26:AT26"/>
    <mergeCell ref="S32:V32"/>
    <mergeCell ref="S33:V33"/>
    <mergeCell ref="S34:V34"/>
    <mergeCell ref="BC30:BF30"/>
    <mergeCell ref="AM28:AP28"/>
    <mergeCell ref="AM29:AP29"/>
    <mergeCell ref="AM30:AP30"/>
    <mergeCell ref="AZ27:BB27"/>
    <mergeCell ref="BD27:BF27"/>
    <mergeCell ref="BC28:BF28"/>
    <mergeCell ref="BC29:BF29"/>
    <mergeCell ref="AY28:BB28"/>
    <mergeCell ref="AY29:BB29"/>
    <mergeCell ref="AY30:BB30"/>
    <mergeCell ref="AE28:AH28"/>
    <mergeCell ref="AE29:AH29"/>
    <mergeCell ref="AE30:AH30"/>
    <mergeCell ref="AI28:AL28"/>
    <mergeCell ref="AI29:AL29"/>
    <mergeCell ref="AI30:AL30"/>
    <mergeCell ref="AF27:AH27"/>
    <mergeCell ref="AJ27:AL27"/>
    <mergeCell ref="AN27:AP27"/>
    <mergeCell ref="AU28:AX28"/>
    <mergeCell ref="AU29:AX29"/>
    <mergeCell ref="AU30:AX30"/>
    <mergeCell ref="AR27:AT27"/>
    <mergeCell ref="AQ29:AT29"/>
    <mergeCell ref="AQ30:AT30"/>
    <mergeCell ref="X23:Z23"/>
    <mergeCell ref="AB23:AD23"/>
    <mergeCell ref="AF23:AH23"/>
    <mergeCell ref="AJ23:AL23"/>
    <mergeCell ref="AR23:AT23"/>
    <mergeCell ref="AV23:AX23"/>
    <mergeCell ref="AE24:AH24"/>
    <mergeCell ref="AE25:AH25"/>
    <mergeCell ref="W26:Z26"/>
    <mergeCell ref="AA24:AD24"/>
    <mergeCell ref="AA25:AD25"/>
    <mergeCell ref="AA26:AD26"/>
    <mergeCell ref="AI24:AL24"/>
    <mergeCell ref="AI25:AL25"/>
    <mergeCell ref="AI26:AL26"/>
    <mergeCell ref="AE26:AH26"/>
    <mergeCell ref="AU24:AX24"/>
    <mergeCell ref="W24:Z24"/>
    <mergeCell ref="W25:Z25"/>
    <mergeCell ref="P23:R23"/>
    <mergeCell ref="O24:R24"/>
    <mergeCell ref="O25:R25"/>
    <mergeCell ref="O26:R26"/>
    <mergeCell ref="S22:V22"/>
    <mergeCell ref="T23:V23"/>
    <mergeCell ref="S24:V24"/>
    <mergeCell ref="S25:V25"/>
    <mergeCell ref="S26:V26"/>
    <mergeCell ref="AM16:AP16"/>
    <mergeCell ref="AM17:AP17"/>
    <mergeCell ref="AJ19:AL19"/>
    <mergeCell ref="AE16:AH16"/>
    <mergeCell ref="AE17:AH17"/>
    <mergeCell ref="AE18:AH18"/>
    <mergeCell ref="AI16:AL16"/>
    <mergeCell ref="AI17:AL17"/>
    <mergeCell ref="AI18:AL18"/>
    <mergeCell ref="AN19:AP19"/>
    <mergeCell ref="AF19:AH19"/>
    <mergeCell ref="AN11:AP11"/>
    <mergeCell ref="L15:N15"/>
    <mergeCell ref="P15:R15"/>
    <mergeCell ref="T15:V15"/>
    <mergeCell ref="X15:Z15"/>
    <mergeCell ref="AB15:AD15"/>
    <mergeCell ref="AF15:AH15"/>
    <mergeCell ref="AJ15:AL15"/>
    <mergeCell ref="AN15:AP15"/>
    <mergeCell ref="X11:Z11"/>
    <mergeCell ref="W12:Z12"/>
    <mergeCell ref="W13:Z13"/>
    <mergeCell ref="W14:Z14"/>
    <mergeCell ref="AB11:AD11"/>
    <mergeCell ref="AA12:AD12"/>
    <mergeCell ref="AA13:AD13"/>
    <mergeCell ref="AA14:AD14"/>
    <mergeCell ref="AF11:AH11"/>
    <mergeCell ref="AE12:AH12"/>
    <mergeCell ref="AE13:AH13"/>
    <mergeCell ref="AE14:AH14"/>
    <mergeCell ref="AJ11:AL11"/>
    <mergeCell ref="AI12:AL12"/>
    <mergeCell ref="AI13:AL13"/>
    <mergeCell ref="G16:J16"/>
    <mergeCell ref="G17:J17"/>
    <mergeCell ref="G18:J18"/>
    <mergeCell ref="G12:J12"/>
    <mergeCell ref="G13:J13"/>
    <mergeCell ref="G14:J14"/>
    <mergeCell ref="AM12:AP12"/>
    <mergeCell ref="AM13:AP13"/>
    <mergeCell ref="AM14:AP14"/>
    <mergeCell ref="K16:N16"/>
    <mergeCell ref="K17:N17"/>
    <mergeCell ref="K18:N18"/>
    <mergeCell ref="O16:R16"/>
    <mergeCell ref="O17:R17"/>
    <mergeCell ref="O18:R18"/>
    <mergeCell ref="S16:V16"/>
    <mergeCell ref="S17:V17"/>
    <mergeCell ref="S18:V18"/>
    <mergeCell ref="W16:Z16"/>
    <mergeCell ref="W17:Z17"/>
    <mergeCell ref="W18:Z18"/>
    <mergeCell ref="AA16:AD16"/>
    <mergeCell ref="AA17:AD17"/>
    <mergeCell ref="AA18:AD18"/>
    <mergeCell ref="H15:J15"/>
    <mergeCell ref="H11:J11"/>
    <mergeCell ref="L7:N7"/>
    <mergeCell ref="T7:V7"/>
    <mergeCell ref="K8:N8"/>
    <mergeCell ref="K9:N9"/>
    <mergeCell ref="K10:N10"/>
    <mergeCell ref="S8:V8"/>
    <mergeCell ref="S9:V9"/>
    <mergeCell ref="S10:V10"/>
    <mergeCell ref="L11:N11"/>
    <mergeCell ref="P7:R7"/>
    <mergeCell ref="O8:R8"/>
    <mergeCell ref="O9:R9"/>
    <mergeCell ref="O10:R10"/>
    <mergeCell ref="K12:N12"/>
    <mergeCell ref="K13:N13"/>
    <mergeCell ref="K14:N14"/>
    <mergeCell ref="T11:V11"/>
    <mergeCell ref="S12:V12"/>
    <mergeCell ref="S13:V13"/>
    <mergeCell ref="S14:V14"/>
    <mergeCell ref="X7:Z7"/>
    <mergeCell ref="W8:Z8"/>
    <mergeCell ref="W9:Z9"/>
    <mergeCell ref="W10:Z10"/>
    <mergeCell ref="AB7:AD7"/>
    <mergeCell ref="AA8:AD8"/>
    <mergeCell ref="AA9:AD9"/>
    <mergeCell ref="AA10:AD10"/>
    <mergeCell ref="AF7:AH7"/>
    <mergeCell ref="AE8:AH8"/>
    <mergeCell ref="AE9:AH9"/>
    <mergeCell ref="AE10:AH10"/>
    <mergeCell ref="AI14:AL14"/>
    <mergeCell ref="AB19:AD19"/>
    <mergeCell ref="X27:Z27"/>
    <mergeCell ref="W28:Z28"/>
    <mergeCell ref="W29:Z29"/>
    <mergeCell ref="W30:Z30"/>
    <mergeCell ref="T27:V27"/>
    <mergeCell ref="S28:V28"/>
    <mergeCell ref="S29:V29"/>
    <mergeCell ref="S30:V30"/>
    <mergeCell ref="AE20:AH20"/>
    <mergeCell ref="AE21:AH21"/>
    <mergeCell ref="AE22:AH22"/>
    <mergeCell ref="AI20:AL20"/>
    <mergeCell ref="AI21:AL21"/>
    <mergeCell ref="AI22:AL22"/>
    <mergeCell ref="W22:Z22"/>
    <mergeCell ref="T19:V19"/>
    <mergeCell ref="S20:V20"/>
    <mergeCell ref="S21:V21"/>
    <mergeCell ref="X19:Z19"/>
    <mergeCell ref="W20:Z20"/>
    <mergeCell ref="W21:Z21"/>
    <mergeCell ref="AA20:AD20"/>
    <mergeCell ref="H31:J31"/>
    <mergeCell ref="G32:J32"/>
    <mergeCell ref="G33:J33"/>
    <mergeCell ref="G34:J34"/>
    <mergeCell ref="AM18:AP18"/>
    <mergeCell ref="AN23:AP23"/>
    <mergeCell ref="AM24:AP24"/>
    <mergeCell ref="AM25:AP25"/>
    <mergeCell ref="AM26:AP26"/>
    <mergeCell ref="P31:R31"/>
    <mergeCell ref="T31:V31"/>
    <mergeCell ref="O32:R32"/>
    <mergeCell ref="O33:R33"/>
    <mergeCell ref="O34:R34"/>
    <mergeCell ref="L31:N31"/>
    <mergeCell ref="K32:N32"/>
    <mergeCell ref="K33:N33"/>
    <mergeCell ref="K34:N34"/>
    <mergeCell ref="P19:R19"/>
    <mergeCell ref="O20:R20"/>
    <mergeCell ref="O21:R21"/>
    <mergeCell ref="O22:R22"/>
    <mergeCell ref="AA21:AD21"/>
    <mergeCell ref="AA22:AD22"/>
    <mergeCell ref="BL27:BN27"/>
    <mergeCell ref="BK28:BN28"/>
    <mergeCell ref="BK29:BN29"/>
    <mergeCell ref="BK30:BN30"/>
    <mergeCell ref="AM20:AP20"/>
    <mergeCell ref="AM21:AP21"/>
    <mergeCell ref="AM22:AP22"/>
    <mergeCell ref="AR19:AT19"/>
    <mergeCell ref="AQ20:AT20"/>
    <mergeCell ref="AQ21:AT21"/>
    <mergeCell ref="AQ22:AT22"/>
    <mergeCell ref="AY25:BB25"/>
    <mergeCell ref="BH27:BJ27"/>
    <mergeCell ref="BG28:BJ28"/>
    <mergeCell ref="BG29:BJ29"/>
    <mergeCell ref="BG30:BJ30"/>
    <mergeCell ref="AZ23:BB23"/>
    <mergeCell ref="AY24:BB24"/>
    <mergeCell ref="AV27:AX27"/>
    <mergeCell ref="AY26:BB26"/>
    <mergeCell ref="AU25:AX25"/>
    <mergeCell ref="AU26:AX26"/>
    <mergeCell ref="AQ24:AT24"/>
    <mergeCell ref="AQ25:AT25"/>
    <mergeCell ref="BL31:BN31"/>
    <mergeCell ref="BG32:BJ32"/>
    <mergeCell ref="BK32:BN32"/>
    <mergeCell ref="BG33:BJ33"/>
    <mergeCell ref="BK33:BN33"/>
    <mergeCell ref="BG34:BJ34"/>
    <mergeCell ref="BK34:BN34"/>
    <mergeCell ref="AZ39:BB39"/>
    <mergeCell ref="BD39:BF39"/>
    <mergeCell ref="BH39:BJ39"/>
    <mergeCell ref="BL39:BN39"/>
    <mergeCell ref="BH31:BJ31"/>
    <mergeCell ref="BL35:BN35"/>
    <mergeCell ref="BD35:BF35"/>
    <mergeCell ref="BH35:BJ35"/>
    <mergeCell ref="BK36:BN36"/>
    <mergeCell ref="BK37:BN37"/>
    <mergeCell ref="BK38:BN38"/>
    <mergeCell ref="BC36:BF36"/>
    <mergeCell ref="BC37:BF37"/>
    <mergeCell ref="BC38:BF38"/>
    <mergeCell ref="BG36:BJ36"/>
    <mergeCell ref="BG37:BJ37"/>
    <mergeCell ref="BG38:BJ38"/>
    <mergeCell ref="BC45:BF45"/>
    <mergeCell ref="BG45:BJ45"/>
    <mergeCell ref="AY46:BB46"/>
    <mergeCell ref="BC46:BF46"/>
    <mergeCell ref="BG46:BJ46"/>
    <mergeCell ref="BP39:BR39"/>
    <mergeCell ref="BK40:BN40"/>
    <mergeCell ref="BO40:BR40"/>
    <mergeCell ref="BK41:BN41"/>
    <mergeCell ref="BO41:BR41"/>
    <mergeCell ref="BK42:BN42"/>
    <mergeCell ref="BO42:BR42"/>
    <mergeCell ref="AZ43:BB43"/>
    <mergeCell ref="BD43:BF43"/>
    <mergeCell ref="BH43:BJ43"/>
    <mergeCell ref="AY40:BB40"/>
    <mergeCell ref="BC40:BF40"/>
    <mergeCell ref="BG40:BJ40"/>
    <mergeCell ref="AY41:BB41"/>
    <mergeCell ref="BC41:BF41"/>
    <mergeCell ref="BG41:BJ41"/>
    <mergeCell ref="AY42:BB42"/>
    <mergeCell ref="BC42:BF42"/>
    <mergeCell ref="BG42:BJ42"/>
    <mergeCell ref="AY50:BB50"/>
    <mergeCell ref="BC50:BF50"/>
    <mergeCell ref="BG50:BJ50"/>
    <mergeCell ref="AF31:AH31"/>
    <mergeCell ref="AE32:AH32"/>
    <mergeCell ref="AE33:AH33"/>
    <mergeCell ref="AE34:AH34"/>
    <mergeCell ref="AF35:AH35"/>
    <mergeCell ref="AE36:AH36"/>
    <mergeCell ref="AE37:AH37"/>
    <mergeCell ref="AE38:AH38"/>
    <mergeCell ref="AZ47:BB47"/>
    <mergeCell ref="BD47:BF47"/>
    <mergeCell ref="BH47:BJ47"/>
    <mergeCell ref="AY48:BB48"/>
    <mergeCell ref="BC48:BF48"/>
    <mergeCell ref="BG48:BJ48"/>
    <mergeCell ref="AY49:BB49"/>
    <mergeCell ref="BC49:BF49"/>
    <mergeCell ref="BG49:BJ49"/>
    <mergeCell ref="AY44:BB44"/>
    <mergeCell ref="BC44:BF44"/>
    <mergeCell ref="BG44:BJ44"/>
    <mergeCell ref="AY45:BB45"/>
    <mergeCell ref="AB35:AD35"/>
    <mergeCell ref="AA36:AD36"/>
    <mergeCell ref="AA37:AD37"/>
    <mergeCell ref="AA38:AD38"/>
    <mergeCell ref="AB31:AD31"/>
    <mergeCell ref="AA32:AD32"/>
    <mergeCell ref="AA33:AD33"/>
    <mergeCell ref="AA34:AD34"/>
    <mergeCell ref="AB27:AD27"/>
    <mergeCell ref="AA28:AD28"/>
    <mergeCell ref="AA29:AD29"/>
    <mergeCell ref="AA30:AD30"/>
  </mergeCells>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3CFC0-6221-46BC-A420-2544B662A8E5}">
  <sheetPr codeName="Sheet11">
    <tabColor rgb="FF86DFCB"/>
  </sheetPr>
  <dimension ref="A1:BU54"/>
  <sheetViews>
    <sheetView zoomScale="80" zoomScaleNormal="80" workbookViewId="0"/>
  </sheetViews>
  <sheetFormatPr defaultColWidth="3.5" defaultRowHeight="21" customHeight="1" x14ac:dyDescent="0.55000000000000004"/>
  <cols>
    <col min="1" max="16384" width="3.5" style="2"/>
  </cols>
  <sheetData>
    <row r="1" spans="1:73" ht="21" customHeight="1" x14ac:dyDescent="0.55000000000000004">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23"/>
    </row>
    <row r="2" spans="1:73" ht="21" customHeight="1" x14ac:dyDescent="0.55000000000000004">
      <c r="A2" s="5"/>
      <c r="BT2" s="5"/>
      <c r="BU2" s="23"/>
    </row>
    <row r="3" spans="1:73" ht="21" customHeight="1" x14ac:dyDescent="0.55000000000000004">
      <c r="A3" s="5"/>
      <c r="D3" s="71"/>
      <c r="E3" s="71"/>
      <c r="F3" s="71"/>
      <c r="G3" s="1" t="s">
        <v>0</v>
      </c>
      <c r="K3" s="1" t="s">
        <v>1</v>
      </c>
      <c r="O3" s="1" t="s">
        <v>2</v>
      </c>
      <c r="S3" s="1" t="s">
        <v>3</v>
      </c>
      <c r="W3" s="1" t="s">
        <v>4</v>
      </c>
      <c r="AA3" s="1" t="s">
        <v>5</v>
      </c>
      <c r="AE3" s="1" t="s">
        <v>6</v>
      </c>
      <c r="AI3" s="1" t="s">
        <v>7</v>
      </c>
      <c r="AM3" s="1" t="s">
        <v>8</v>
      </c>
      <c r="AQ3" s="1" t="s">
        <v>9</v>
      </c>
      <c r="AU3" s="1" t="s">
        <v>10</v>
      </c>
      <c r="AY3" s="1" t="s">
        <v>11</v>
      </c>
      <c r="BC3" s="1" t="s">
        <v>12</v>
      </c>
      <c r="BG3" s="1" t="s">
        <v>13</v>
      </c>
      <c r="BK3" s="1" t="s">
        <v>14</v>
      </c>
      <c r="BO3" s="1" t="s">
        <v>15</v>
      </c>
      <c r="BT3" s="5"/>
      <c r="BU3" s="23"/>
    </row>
    <row r="4" spans="1:73" ht="21" customHeight="1" x14ac:dyDescent="0.55000000000000004">
      <c r="A4" s="5"/>
      <c r="C4" s="71"/>
      <c r="D4" s="71"/>
      <c r="E4" s="71"/>
      <c r="F4" s="71"/>
      <c r="BT4" s="5"/>
      <c r="BU4" s="23"/>
    </row>
    <row r="5" spans="1:73" ht="21" customHeight="1" x14ac:dyDescent="0.55000000000000004">
      <c r="A5" s="5"/>
      <c r="C5" s="71"/>
      <c r="D5" s="71"/>
      <c r="E5" s="71"/>
      <c r="F5" s="71"/>
      <c r="BT5" s="5"/>
      <c r="BU5" s="23"/>
    </row>
    <row r="6" spans="1:73" ht="21" customHeight="1" thickBot="1" x14ac:dyDescent="0.6">
      <c r="A6" s="5"/>
      <c r="C6" s="71"/>
      <c r="D6" s="71"/>
      <c r="E6" s="71"/>
      <c r="F6" s="71"/>
      <c r="BT6" s="5"/>
      <c r="BU6" s="23"/>
    </row>
    <row r="7" spans="1:73" ht="21" customHeight="1" x14ac:dyDescent="0.55000000000000004">
      <c r="A7" s="5"/>
      <c r="C7" s="1" t="s">
        <v>16</v>
      </c>
      <c r="K7" s="4" t="s">
        <v>16</v>
      </c>
      <c r="L7" s="114" t="s">
        <v>522</v>
      </c>
      <c r="M7" s="114"/>
      <c r="N7" s="114"/>
      <c r="O7" s="61"/>
      <c r="P7" s="56"/>
      <c r="Q7" s="56"/>
      <c r="R7" s="56"/>
      <c r="S7" s="61"/>
      <c r="T7" s="56"/>
      <c r="U7" s="56"/>
      <c r="V7" s="56"/>
      <c r="W7" s="4" t="s">
        <v>17</v>
      </c>
      <c r="X7" s="114" t="s">
        <v>523</v>
      </c>
      <c r="Y7" s="114"/>
      <c r="Z7" s="114"/>
      <c r="AA7" s="4" t="s">
        <v>18</v>
      </c>
      <c r="AB7" s="114" t="s">
        <v>524</v>
      </c>
      <c r="AC7" s="114"/>
      <c r="AD7" s="114"/>
      <c r="AE7" s="56"/>
      <c r="AF7" s="56"/>
      <c r="AG7" s="56"/>
      <c r="AH7" s="57"/>
      <c r="AI7" s="10"/>
      <c r="AJ7" s="10"/>
      <c r="AK7" s="10"/>
      <c r="AL7" s="10"/>
      <c r="AM7" s="53"/>
      <c r="AN7" s="10"/>
      <c r="AO7" s="10"/>
      <c r="AP7" s="10"/>
      <c r="AQ7" s="53"/>
      <c r="AR7" s="10"/>
      <c r="AS7" s="10"/>
      <c r="AT7" s="10"/>
      <c r="AU7" s="10"/>
      <c r="AV7" s="10"/>
      <c r="AW7" s="10"/>
      <c r="AX7" s="10"/>
      <c r="AY7" s="10"/>
      <c r="AZ7" s="10"/>
      <c r="BA7" s="10"/>
      <c r="BB7" s="10"/>
      <c r="BC7" s="10"/>
      <c r="BD7" s="10"/>
      <c r="BE7" s="10"/>
      <c r="BF7" s="10"/>
      <c r="BG7" s="10"/>
      <c r="BH7" s="10"/>
      <c r="BI7" s="10"/>
      <c r="BJ7" s="10"/>
      <c r="BK7" s="53"/>
      <c r="BL7" s="10"/>
      <c r="BM7" s="10"/>
      <c r="BN7" s="10"/>
      <c r="BO7" s="10"/>
      <c r="BT7" s="5"/>
      <c r="BU7" s="23"/>
    </row>
    <row r="8" spans="1:73" ht="21" customHeight="1" x14ac:dyDescent="0.55000000000000004">
      <c r="A8" s="5"/>
      <c r="K8" s="116"/>
      <c r="L8" s="117"/>
      <c r="M8" s="117"/>
      <c r="N8" s="117"/>
      <c r="O8" s="54"/>
      <c r="P8" s="54"/>
      <c r="Q8" s="54"/>
      <c r="R8" s="54"/>
      <c r="S8" s="54"/>
      <c r="T8" s="54"/>
      <c r="U8" s="54"/>
      <c r="V8" s="54"/>
      <c r="W8" s="116"/>
      <c r="X8" s="117"/>
      <c r="Y8" s="117"/>
      <c r="Z8" s="117"/>
      <c r="AA8" s="116"/>
      <c r="AB8" s="117"/>
      <c r="AC8" s="117"/>
      <c r="AD8" s="117"/>
      <c r="AE8" s="54"/>
      <c r="AF8" s="54"/>
      <c r="AG8" s="54"/>
      <c r="AH8" s="62"/>
      <c r="AI8" s="10"/>
      <c r="AJ8" s="10"/>
      <c r="AK8" s="10"/>
      <c r="AL8" s="10"/>
      <c r="AM8" s="54"/>
      <c r="AN8" s="54"/>
      <c r="AO8" s="54"/>
      <c r="AP8" s="54"/>
      <c r="AQ8" s="54"/>
      <c r="AR8" s="54"/>
      <c r="AS8" s="54"/>
      <c r="AT8" s="54"/>
      <c r="AU8" s="10"/>
      <c r="AV8" s="10"/>
      <c r="AW8" s="10"/>
      <c r="AX8" s="10"/>
      <c r="AY8" s="10"/>
      <c r="AZ8" s="10"/>
      <c r="BA8" s="10"/>
      <c r="BB8" s="10"/>
      <c r="BC8" s="10"/>
      <c r="BD8" s="10"/>
      <c r="BE8" s="10"/>
      <c r="BF8" s="10"/>
      <c r="BG8" s="10"/>
      <c r="BH8" s="10"/>
      <c r="BI8" s="10"/>
      <c r="BJ8" s="10"/>
      <c r="BK8" s="10"/>
      <c r="BL8" s="10"/>
      <c r="BM8" s="10"/>
      <c r="BN8" s="10"/>
      <c r="BO8" s="10"/>
      <c r="BS8" s="9"/>
      <c r="BT8" s="5"/>
      <c r="BU8" s="23"/>
    </row>
    <row r="9" spans="1:73" ht="21" customHeight="1" x14ac:dyDescent="0.55000000000000004">
      <c r="A9" s="5"/>
      <c r="K9" s="119"/>
      <c r="L9" s="120"/>
      <c r="M9" s="120"/>
      <c r="N9" s="120"/>
      <c r="O9" s="55"/>
      <c r="P9" s="55"/>
      <c r="Q9" s="55"/>
      <c r="R9" s="55"/>
      <c r="S9" s="55"/>
      <c r="T9" s="55"/>
      <c r="U9" s="55"/>
      <c r="V9" s="55"/>
      <c r="W9" s="119"/>
      <c r="X9" s="120"/>
      <c r="Y9" s="120"/>
      <c r="Z9" s="120"/>
      <c r="AA9" s="119"/>
      <c r="AB9" s="120"/>
      <c r="AC9" s="120"/>
      <c r="AD9" s="120"/>
      <c r="AE9" s="54"/>
      <c r="AF9" s="54"/>
      <c r="AG9" s="54"/>
      <c r="AH9" s="62"/>
      <c r="AI9" s="10"/>
      <c r="AJ9" s="10"/>
      <c r="AK9" s="10"/>
      <c r="AL9" s="10"/>
      <c r="AM9" s="55"/>
      <c r="AN9" s="55"/>
      <c r="AO9" s="55"/>
      <c r="AP9" s="55"/>
      <c r="AQ9" s="55"/>
      <c r="AR9" s="55"/>
      <c r="AS9" s="55"/>
      <c r="AT9" s="55"/>
      <c r="AU9" s="10"/>
      <c r="AV9" s="10"/>
      <c r="AW9" s="10"/>
      <c r="AX9" s="10"/>
      <c r="AY9" s="10"/>
      <c r="AZ9" s="10"/>
      <c r="BA9" s="10"/>
      <c r="BB9" s="10"/>
      <c r="BC9" s="10"/>
      <c r="BD9" s="10"/>
      <c r="BE9" s="10"/>
      <c r="BF9" s="10"/>
      <c r="BG9" s="10"/>
      <c r="BH9" s="10"/>
      <c r="BI9" s="10"/>
      <c r="BJ9" s="10"/>
      <c r="BK9" s="10"/>
      <c r="BL9" s="10"/>
      <c r="BM9" s="10"/>
      <c r="BN9" s="10"/>
      <c r="BO9" s="10"/>
      <c r="BS9" s="9"/>
      <c r="BT9" s="5"/>
      <c r="BU9" s="23"/>
    </row>
    <row r="10" spans="1:73" ht="21" customHeight="1" thickBot="1" x14ac:dyDescent="0.6">
      <c r="A10" s="5"/>
      <c r="K10" s="125"/>
      <c r="L10" s="126"/>
      <c r="M10" s="126"/>
      <c r="N10" s="126"/>
      <c r="O10" s="10"/>
      <c r="P10" s="10"/>
      <c r="Q10" s="10"/>
      <c r="R10" s="10"/>
      <c r="S10" s="10"/>
      <c r="T10" s="10"/>
      <c r="U10" s="10"/>
      <c r="V10" s="10"/>
      <c r="W10" s="125"/>
      <c r="X10" s="126"/>
      <c r="Y10" s="126"/>
      <c r="Z10" s="126"/>
      <c r="AA10" s="122"/>
      <c r="AB10" s="123"/>
      <c r="AC10" s="123"/>
      <c r="AD10" s="123"/>
      <c r="AE10" s="10"/>
      <c r="AF10" s="10"/>
      <c r="AG10" s="10"/>
      <c r="AH10" s="58"/>
      <c r="AI10" s="10"/>
      <c r="AJ10" s="10"/>
      <c r="AK10" s="10"/>
      <c r="AL10" s="10"/>
      <c r="AM10" s="10"/>
      <c r="AN10" s="10"/>
      <c r="AO10" s="10"/>
      <c r="AP10" s="10"/>
      <c r="AQ10" s="10"/>
      <c r="AR10" s="10"/>
      <c r="AS10" s="10"/>
      <c r="AT10" s="10"/>
      <c r="AU10" s="10"/>
      <c r="AV10" s="10"/>
      <c r="AW10" s="10"/>
      <c r="AX10" s="10"/>
      <c r="AY10" s="10"/>
      <c r="AZ10" s="10"/>
      <c r="BA10" s="10"/>
      <c r="BB10" s="10"/>
      <c r="BC10" s="10"/>
      <c r="BD10" s="10"/>
      <c r="BE10" s="10"/>
      <c r="BF10" s="10"/>
      <c r="BG10" s="10"/>
      <c r="BH10" s="10"/>
      <c r="BI10" s="10"/>
      <c r="BJ10" s="10"/>
      <c r="BK10" s="10"/>
      <c r="BL10" s="10"/>
      <c r="BM10" s="10"/>
      <c r="BN10" s="10"/>
      <c r="BO10" s="10"/>
      <c r="BS10" s="9"/>
      <c r="BT10" s="5"/>
      <c r="BU10" s="23"/>
    </row>
    <row r="11" spans="1:73" ht="21" customHeight="1" x14ac:dyDescent="0.55000000000000004">
      <c r="A11" s="5"/>
      <c r="C11" s="1" t="s">
        <v>17</v>
      </c>
      <c r="G11" s="4" t="s">
        <v>19</v>
      </c>
      <c r="H11" s="114" t="s">
        <v>525</v>
      </c>
      <c r="I11" s="114"/>
      <c r="J11" s="114"/>
      <c r="K11" s="4" t="s">
        <v>20</v>
      </c>
      <c r="L11" s="114" t="s">
        <v>526</v>
      </c>
      <c r="M11" s="114"/>
      <c r="N11" s="114"/>
      <c r="O11" s="56"/>
      <c r="P11" s="56"/>
      <c r="Q11" s="56"/>
      <c r="R11" s="56"/>
      <c r="S11" s="66"/>
      <c r="T11" s="56"/>
      <c r="U11" s="56"/>
      <c r="V11" s="57"/>
      <c r="W11" s="10"/>
      <c r="X11" s="10"/>
      <c r="Y11" s="10"/>
      <c r="Z11" s="10"/>
      <c r="AA11" s="10"/>
      <c r="AB11" s="10"/>
      <c r="AC11" s="10"/>
      <c r="AD11" s="10"/>
      <c r="AE11" s="4" t="s">
        <v>21</v>
      </c>
      <c r="AF11" s="114" t="s">
        <v>527</v>
      </c>
      <c r="AG11" s="114"/>
      <c r="AH11" s="114"/>
      <c r="AI11" s="56"/>
      <c r="AJ11" s="56"/>
      <c r="AK11" s="56"/>
      <c r="AL11" s="56"/>
      <c r="AM11" s="56"/>
      <c r="AN11" s="56"/>
      <c r="AO11" s="56"/>
      <c r="AP11" s="57"/>
      <c r="AQ11" s="53"/>
      <c r="AR11" s="10"/>
      <c r="AS11" s="10"/>
      <c r="AT11" s="10"/>
      <c r="AU11" s="10"/>
      <c r="AV11" s="10"/>
      <c r="AW11" s="10"/>
      <c r="AX11" s="10"/>
      <c r="AY11" s="10"/>
      <c r="AZ11" s="10"/>
      <c r="BA11" s="10"/>
      <c r="BB11" s="10"/>
      <c r="BC11" s="10"/>
      <c r="BD11" s="10"/>
      <c r="BE11" s="10"/>
      <c r="BF11" s="10"/>
      <c r="BG11" s="10"/>
      <c r="BH11" s="10"/>
      <c r="BI11" s="10"/>
      <c r="BJ11" s="10"/>
      <c r="BK11" s="10"/>
      <c r="BL11" s="10"/>
      <c r="BM11" s="10"/>
      <c r="BN11" s="10"/>
      <c r="BO11" s="10"/>
      <c r="BS11" s="9"/>
      <c r="BT11" s="5"/>
      <c r="BU11" s="23"/>
    </row>
    <row r="12" spans="1:73" ht="21" customHeight="1" x14ac:dyDescent="0.55000000000000004">
      <c r="A12" s="5"/>
      <c r="G12" s="116"/>
      <c r="H12" s="117"/>
      <c r="I12" s="117"/>
      <c r="J12" s="117"/>
      <c r="K12" s="116"/>
      <c r="L12" s="117"/>
      <c r="M12" s="117"/>
      <c r="N12" s="117"/>
      <c r="O12" s="10"/>
      <c r="P12" s="10"/>
      <c r="Q12" s="10"/>
      <c r="R12" s="10"/>
      <c r="S12" s="54"/>
      <c r="T12" s="54"/>
      <c r="U12" s="54"/>
      <c r="V12" s="62"/>
      <c r="W12" s="54"/>
      <c r="X12" s="54"/>
      <c r="Y12" s="54"/>
      <c r="Z12" s="54"/>
      <c r="AA12" s="54"/>
      <c r="AB12" s="54"/>
      <c r="AC12" s="54"/>
      <c r="AD12" s="54"/>
      <c r="AE12" s="116"/>
      <c r="AF12" s="117"/>
      <c r="AG12" s="117"/>
      <c r="AH12" s="117"/>
      <c r="AI12" s="54"/>
      <c r="AJ12" s="54"/>
      <c r="AK12" s="54"/>
      <c r="AL12" s="54"/>
      <c r="AM12" s="54"/>
      <c r="AN12" s="54"/>
      <c r="AO12" s="54"/>
      <c r="AP12" s="62"/>
      <c r="AQ12" s="54"/>
      <c r="AR12" s="54"/>
      <c r="AS12" s="54"/>
      <c r="AT12" s="54"/>
      <c r="AU12" s="10"/>
      <c r="AV12" s="10"/>
      <c r="AW12" s="10"/>
      <c r="AX12" s="10"/>
      <c r="AY12" s="10"/>
      <c r="AZ12" s="10"/>
      <c r="BA12" s="10"/>
      <c r="BB12" s="10"/>
      <c r="BC12" s="10"/>
      <c r="BD12" s="10"/>
      <c r="BE12" s="10"/>
      <c r="BF12" s="10"/>
      <c r="BG12" s="10"/>
      <c r="BH12" s="10"/>
      <c r="BI12" s="10"/>
      <c r="BJ12" s="10"/>
      <c r="BK12" s="10"/>
      <c r="BL12" s="10"/>
      <c r="BM12" s="10"/>
      <c r="BN12" s="10"/>
      <c r="BO12" s="10"/>
      <c r="BS12" s="9"/>
      <c r="BT12" s="5"/>
      <c r="BU12" s="23"/>
    </row>
    <row r="13" spans="1:73" ht="21" customHeight="1" x14ac:dyDescent="0.55000000000000004">
      <c r="A13" s="5"/>
      <c r="G13" s="119"/>
      <c r="H13" s="120"/>
      <c r="I13" s="120"/>
      <c r="J13" s="120"/>
      <c r="K13" s="119"/>
      <c r="L13" s="120"/>
      <c r="M13" s="120"/>
      <c r="N13" s="120"/>
      <c r="O13" s="10"/>
      <c r="P13" s="10"/>
      <c r="Q13" s="10"/>
      <c r="R13" s="10"/>
      <c r="S13" s="54"/>
      <c r="T13" s="54"/>
      <c r="U13" s="54"/>
      <c r="V13" s="62"/>
      <c r="W13" s="54"/>
      <c r="X13" s="54"/>
      <c r="Y13" s="54"/>
      <c r="Z13" s="54"/>
      <c r="AA13" s="54"/>
      <c r="AB13" s="54"/>
      <c r="AC13" s="54"/>
      <c r="AD13" s="54"/>
      <c r="AE13" s="119"/>
      <c r="AF13" s="120"/>
      <c r="AG13" s="120"/>
      <c r="AH13" s="120"/>
      <c r="AI13" s="54"/>
      <c r="AJ13" s="54"/>
      <c r="AK13" s="54"/>
      <c r="AL13" s="54"/>
      <c r="AM13" s="54"/>
      <c r="AN13" s="54"/>
      <c r="AO13" s="54"/>
      <c r="AP13" s="62"/>
      <c r="AQ13" s="55"/>
      <c r="AR13" s="55"/>
      <c r="AS13" s="55"/>
      <c r="AT13" s="55"/>
      <c r="AU13" s="10"/>
      <c r="AV13" s="10"/>
      <c r="AW13" s="10"/>
      <c r="AX13" s="10"/>
      <c r="AY13" s="10"/>
      <c r="AZ13" s="10"/>
      <c r="BA13" s="10"/>
      <c r="BB13" s="10"/>
      <c r="BC13" s="10"/>
      <c r="BD13" s="10"/>
      <c r="BE13" s="10"/>
      <c r="BF13" s="10"/>
      <c r="BG13" s="10"/>
      <c r="BH13" s="10"/>
      <c r="BI13" s="10"/>
      <c r="BJ13" s="10"/>
      <c r="BK13" s="10"/>
      <c r="BL13" s="10"/>
      <c r="BM13" s="10"/>
      <c r="BN13" s="10"/>
      <c r="BO13" s="10"/>
      <c r="BS13" s="9"/>
      <c r="BT13" s="5"/>
      <c r="BU13" s="23"/>
    </row>
    <row r="14" spans="1:73" ht="21" customHeight="1" thickBot="1" x14ac:dyDescent="0.6">
      <c r="A14" s="5"/>
      <c r="G14" s="125"/>
      <c r="H14" s="126"/>
      <c r="I14" s="126"/>
      <c r="J14" s="126"/>
      <c r="K14" s="125"/>
      <c r="L14" s="126"/>
      <c r="M14" s="126"/>
      <c r="N14" s="126"/>
      <c r="O14" s="10"/>
      <c r="P14" s="10"/>
      <c r="Q14" s="10"/>
      <c r="R14" s="10"/>
      <c r="S14" s="10"/>
      <c r="T14" s="10"/>
      <c r="U14" s="10"/>
      <c r="V14" s="58"/>
      <c r="W14" s="10"/>
      <c r="X14" s="10"/>
      <c r="Y14" s="10"/>
      <c r="Z14" s="10"/>
      <c r="AA14" s="10"/>
      <c r="AB14" s="10"/>
      <c r="AC14" s="10"/>
      <c r="AD14" s="10"/>
      <c r="AE14" s="125"/>
      <c r="AF14" s="126"/>
      <c r="AG14" s="126"/>
      <c r="AH14" s="126"/>
      <c r="AI14" s="10"/>
      <c r="AJ14" s="10"/>
      <c r="AK14" s="10"/>
      <c r="AL14" s="10"/>
      <c r="AM14" s="10"/>
      <c r="AN14" s="10"/>
      <c r="AO14" s="10"/>
      <c r="AP14" s="58"/>
      <c r="AQ14" s="10"/>
      <c r="AR14" s="10"/>
      <c r="AS14" s="10"/>
      <c r="AT14" s="10"/>
      <c r="AU14" s="10"/>
      <c r="AV14" s="10"/>
      <c r="AW14" s="10"/>
      <c r="AX14" s="10"/>
      <c r="AY14" s="10"/>
      <c r="AZ14" s="10"/>
      <c r="BA14" s="10"/>
      <c r="BB14" s="10"/>
      <c r="BC14" s="10"/>
      <c r="BD14" s="10"/>
      <c r="BE14" s="10"/>
      <c r="BF14" s="10"/>
      <c r="BG14" s="10"/>
      <c r="BH14" s="10"/>
      <c r="BI14" s="10"/>
      <c r="BJ14" s="10"/>
      <c r="BK14" s="10"/>
      <c r="BL14" s="10"/>
      <c r="BM14" s="10"/>
      <c r="BN14" s="10"/>
      <c r="BO14" s="10"/>
      <c r="BS14" s="9"/>
      <c r="BT14" s="5"/>
      <c r="BU14" s="23"/>
    </row>
    <row r="15" spans="1:73" ht="21" customHeight="1" x14ac:dyDescent="0.55000000000000004">
      <c r="A15" s="5"/>
      <c r="C15" s="1" t="s">
        <v>18</v>
      </c>
      <c r="G15" s="65"/>
      <c r="H15" s="10"/>
      <c r="I15" s="10"/>
      <c r="J15" s="10"/>
      <c r="K15" s="65"/>
      <c r="L15" s="10"/>
      <c r="M15" s="10"/>
      <c r="N15" s="10"/>
      <c r="O15" s="49"/>
      <c r="P15" s="10"/>
      <c r="Q15" s="10"/>
      <c r="R15" s="10"/>
      <c r="S15" s="49"/>
      <c r="T15" s="10"/>
      <c r="U15" s="10"/>
      <c r="V15" s="10"/>
      <c r="W15" s="4" t="s">
        <v>22</v>
      </c>
      <c r="X15" s="114" t="s">
        <v>528</v>
      </c>
      <c r="Y15" s="114"/>
      <c r="Z15" s="114"/>
      <c r="AA15" s="56"/>
      <c r="AB15" s="56"/>
      <c r="AC15" s="56"/>
      <c r="AD15" s="56"/>
      <c r="AE15" s="56"/>
      <c r="AF15" s="56"/>
      <c r="AG15" s="56"/>
      <c r="AH15" s="56"/>
      <c r="AI15" s="56"/>
      <c r="AJ15" s="56"/>
      <c r="AK15" s="56"/>
      <c r="AL15" s="56"/>
      <c r="AM15" s="4" t="s">
        <v>23</v>
      </c>
      <c r="AN15" s="114" t="s">
        <v>529</v>
      </c>
      <c r="AO15" s="114"/>
      <c r="AP15" s="115"/>
      <c r="AQ15" s="53"/>
      <c r="AR15" s="10"/>
      <c r="AS15" s="10"/>
      <c r="AT15" s="10"/>
      <c r="AU15" s="10"/>
      <c r="AV15" s="10"/>
      <c r="AW15" s="10"/>
      <c r="AX15" s="10"/>
      <c r="AY15" s="10"/>
      <c r="AZ15" s="10"/>
      <c r="BA15" s="10"/>
      <c r="BB15" s="10"/>
      <c r="BC15" s="10"/>
      <c r="BD15" s="10"/>
      <c r="BE15" s="10"/>
      <c r="BF15" s="10"/>
      <c r="BG15" s="10"/>
      <c r="BH15" s="10"/>
      <c r="BI15" s="10"/>
      <c r="BJ15" s="10"/>
      <c r="BK15" s="53"/>
      <c r="BL15" s="10"/>
      <c r="BM15" s="10"/>
      <c r="BN15" s="10"/>
      <c r="BO15" s="10"/>
      <c r="BS15" s="9"/>
      <c r="BT15" s="5"/>
      <c r="BU15" s="23"/>
    </row>
    <row r="16" spans="1:73" ht="21" customHeight="1" x14ac:dyDescent="0.55000000000000004">
      <c r="A16" s="5"/>
      <c r="G16" s="63"/>
      <c r="H16" s="54"/>
      <c r="I16" s="54"/>
      <c r="J16" s="54"/>
      <c r="K16" s="63"/>
      <c r="L16" s="54"/>
      <c r="M16" s="54"/>
      <c r="N16" s="54"/>
      <c r="O16" s="54"/>
      <c r="P16" s="54"/>
      <c r="Q16" s="54"/>
      <c r="R16" s="54"/>
      <c r="S16" s="54"/>
      <c r="T16" s="54"/>
      <c r="U16" s="54"/>
      <c r="V16" s="54"/>
      <c r="W16" s="116"/>
      <c r="X16" s="117"/>
      <c r="Y16" s="117"/>
      <c r="Z16" s="117"/>
      <c r="AA16" s="54"/>
      <c r="AB16" s="54"/>
      <c r="AC16" s="54"/>
      <c r="AD16" s="54"/>
      <c r="AE16" s="54"/>
      <c r="AF16" s="54"/>
      <c r="AG16" s="54"/>
      <c r="AH16" s="54"/>
      <c r="AI16" s="54"/>
      <c r="AJ16" s="54"/>
      <c r="AK16" s="54"/>
      <c r="AL16" s="54"/>
      <c r="AM16" s="116"/>
      <c r="AN16" s="117"/>
      <c r="AO16" s="117"/>
      <c r="AP16" s="118"/>
      <c r="AQ16" s="54"/>
      <c r="AR16" s="54"/>
      <c r="AS16" s="54"/>
      <c r="AT16" s="54"/>
      <c r="AU16" s="10"/>
      <c r="AV16" s="10"/>
      <c r="AW16" s="10"/>
      <c r="AX16" s="10"/>
      <c r="AY16" s="10"/>
      <c r="AZ16" s="10"/>
      <c r="BA16" s="10"/>
      <c r="BB16" s="10"/>
      <c r="BC16" s="10"/>
      <c r="BD16" s="10"/>
      <c r="BE16" s="10"/>
      <c r="BF16" s="10"/>
      <c r="BG16" s="10"/>
      <c r="BH16" s="10"/>
      <c r="BI16" s="10"/>
      <c r="BJ16" s="10"/>
      <c r="BK16" s="54"/>
      <c r="BL16" s="54"/>
      <c r="BM16" s="54"/>
      <c r="BN16" s="54"/>
      <c r="BO16" s="10"/>
      <c r="BS16" s="9"/>
      <c r="BT16" s="5"/>
      <c r="BU16" s="23"/>
    </row>
    <row r="17" spans="1:73" ht="21" customHeight="1" x14ac:dyDescent="0.55000000000000004">
      <c r="A17" s="5"/>
      <c r="G17" s="63"/>
      <c r="H17" s="54"/>
      <c r="I17" s="54"/>
      <c r="J17" s="54"/>
      <c r="K17" s="63"/>
      <c r="L17" s="54"/>
      <c r="M17" s="54"/>
      <c r="N17" s="54"/>
      <c r="O17" s="54"/>
      <c r="P17" s="54"/>
      <c r="Q17" s="54"/>
      <c r="R17" s="54"/>
      <c r="S17" s="54"/>
      <c r="T17" s="54"/>
      <c r="U17" s="54"/>
      <c r="V17" s="54"/>
      <c r="W17" s="119"/>
      <c r="X17" s="120"/>
      <c r="Y17" s="120"/>
      <c r="Z17" s="120"/>
      <c r="AA17" s="54"/>
      <c r="AB17" s="54"/>
      <c r="AC17" s="54"/>
      <c r="AD17" s="54"/>
      <c r="AE17" s="54"/>
      <c r="AF17" s="54"/>
      <c r="AG17" s="54"/>
      <c r="AH17" s="54"/>
      <c r="AI17" s="54"/>
      <c r="AJ17" s="54"/>
      <c r="AK17" s="54"/>
      <c r="AL17" s="54"/>
      <c r="AM17" s="119"/>
      <c r="AN17" s="120"/>
      <c r="AO17" s="120"/>
      <c r="AP17" s="121"/>
      <c r="AQ17" s="55"/>
      <c r="AR17" s="55"/>
      <c r="AS17" s="55"/>
      <c r="AT17" s="55"/>
      <c r="AU17" s="10"/>
      <c r="AV17" s="10"/>
      <c r="AW17" s="10"/>
      <c r="AX17" s="10"/>
      <c r="AY17" s="10"/>
      <c r="AZ17" s="10"/>
      <c r="BA17" s="10"/>
      <c r="BB17" s="10"/>
      <c r="BC17" s="10"/>
      <c r="BD17" s="10"/>
      <c r="BE17" s="10"/>
      <c r="BF17" s="10"/>
      <c r="BG17" s="10"/>
      <c r="BH17" s="10"/>
      <c r="BI17" s="10"/>
      <c r="BJ17" s="10"/>
      <c r="BK17" s="55"/>
      <c r="BL17" s="55"/>
      <c r="BM17" s="55"/>
      <c r="BN17" s="55"/>
      <c r="BO17" s="10"/>
      <c r="BS17" s="10"/>
      <c r="BT17" s="5"/>
      <c r="BU17" s="23"/>
    </row>
    <row r="18" spans="1:73" ht="21" customHeight="1" thickBot="1" x14ac:dyDescent="0.6">
      <c r="A18" s="5"/>
      <c r="G18" s="64"/>
      <c r="H18" s="59"/>
      <c r="I18" s="59"/>
      <c r="J18" s="59"/>
      <c r="K18" s="64"/>
      <c r="L18" s="59"/>
      <c r="M18" s="59"/>
      <c r="N18" s="59"/>
      <c r="O18" s="59"/>
      <c r="P18" s="59"/>
      <c r="Q18" s="59"/>
      <c r="R18" s="59"/>
      <c r="S18" s="59"/>
      <c r="T18" s="59"/>
      <c r="U18" s="59"/>
      <c r="V18" s="59"/>
      <c r="W18" s="125"/>
      <c r="X18" s="126"/>
      <c r="Y18" s="126"/>
      <c r="Z18" s="126"/>
      <c r="AA18" s="10"/>
      <c r="AB18" s="10"/>
      <c r="AC18" s="10"/>
      <c r="AD18" s="10"/>
      <c r="AE18" s="10"/>
      <c r="AF18" s="10"/>
      <c r="AG18" s="10"/>
      <c r="AH18" s="10"/>
      <c r="AI18" s="10"/>
      <c r="AJ18" s="10"/>
      <c r="AK18" s="10"/>
      <c r="AL18" s="10"/>
      <c r="AM18" s="125"/>
      <c r="AN18" s="126"/>
      <c r="AO18" s="126"/>
      <c r="AP18" s="127"/>
      <c r="AQ18" s="10"/>
      <c r="AR18" s="10"/>
      <c r="AS18" s="10"/>
      <c r="AT18" s="10"/>
      <c r="AU18" s="10"/>
      <c r="AV18" s="10"/>
      <c r="AW18" s="10"/>
      <c r="AX18" s="10"/>
      <c r="AY18" s="10"/>
      <c r="AZ18" s="10"/>
      <c r="BA18" s="10"/>
      <c r="BB18" s="10"/>
      <c r="BC18" s="10"/>
      <c r="BD18" s="10"/>
      <c r="BE18" s="10"/>
      <c r="BF18" s="10"/>
      <c r="BG18" s="10"/>
      <c r="BH18" s="10"/>
      <c r="BI18" s="10"/>
      <c r="BJ18" s="10"/>
      <c r="BK18" s="10"/>
      <c r="BL18" s="10"/>
      <c r="BM18" s="10"/>
      <c r="BN18" s="10"/>
      <c r="BO18" s="10"/>
      <c r="BS18" s="10"/>
      <c r="BT18" s="5"/>
      <c r="BU18" s="23"/>
    </row>
    <row r="19" spans="1:73" ht="21" customHeight="1" x14ac:dyDescent="0.55000000000000004">
      <c r="A19" s="5"/>
      <c r="C19" s="1" t="s">
        <v>19</v>
      </c>
      <c r="G19" s="53"/>
      <c r="H19" s="10"/>
      <c r="I19" s="10"/>
      <c r="J19" s="10"/>
      <c r="K19" s="53"/>
      <c r="L19" s="10"/>
      <c r="M19" s="10"/>
      <c r="N19" s="10"/>
      <c r="O19" s="6" t="s">
        <v>517</v>
      </c>
      <c r="P19" s="128" t="s">
        <v>530</v>
      </c>
      <c r="Q19" s="128"/>
      <c r="R19" s="128"/>
      <c r="S19" s="56"/>
      <c r="T19" s="10"/>
      <c r="U19" s="10"/>
      <c r="V19" s="10"/>
      <c r="W19" s="65"/>
      <c r="X19" s="10"/>
      <c r="Y19" s="10"/>
      <c r="Z19" s="10"/>
      <c r="AA19" s="10"/>
      <c r="AB19" s="10"/>
      <c r="AC19" s="10"/>
      <c r="AD19" s="10"/>
      <c r="AE19" s="10"/>
      <c r="AF19" s="10"/>
      <c r="AG19" s="10"/>
      <c r="AH19" s="10"/>
      <c r="AI19" s="10"/>
      <c r="AJ19" s="10"/>
      <c r="AK19" s="10"/>
      <c r="AL19" s="10"/>
      <c r="AM19" s="65"/>
      <c r="AN19" s="10"/>
      <c r="AO19" s="10"/>
      <c r="AP19" s="10"/>
      <c r="AQ19" s="56"/>
      <c r="AR19" s="56"/>
      <c r="AS19" s="56"/>
      <c r="AT19" s="57"/>
      <c r="AU19" s="53"/>
      <c r="AV19" s="10"/>
      <c r="AW19" s="10"/>
      <c r="AX19" s="10"/>
      <c r="AY19" s="53"/>
      <c r="AZ19" s="10"/>
      <c r="BA19" s="10"/>
      <c r="BB19" s="10"/>
      <c r="BC19" s="53"/>
      <c r="BD19" s="10"/>
      <c r="BE19" s="10"/>
      <c r="BF19" s="10"/>
      <c r="BG19" s="53"/>
      <c r="BH19" s="10"/>
      <c r="BI19" s="10"/>
      <c r="BJ19" s="10"/>
      <c r="BK19" s="53"/>
      <c r="BL19" s="10"/>
      <c r="BM19" s="10"/>
      <c r="BN19" s="10"/>
      <c r="BO19" s="10"/>
      <c r="BT19" s="5"/>
      <c r="BU19" s="23"/>
    </row>
    <row r="20" spans="1:73" ht="21" customHeight="1" x14ac:dyDescent="0.55000000000000004">
      <c r="A20" s="5"/>
      <c r="G20" s="54"/>
      <c r="H20" s="54"/>
      <c r="I20" s="54"/>
      <c r="J20" s="54"/>
      <c r="K20" s="54"/>
      <c r="L20" s="54"/>
      <c r="M20" s="54"/>
      <c r="N20" s="54"/>
      <c r="O20" s="116"/>
      <c r="P20" s="117"/>
      <c r="Q20" s="117"/>
      <c r="R20" s="117"/>
      <c r="S20" s="54"/>
      <c r="T20" s="54"/>
      <c r="U20" s="54"/>
      <c r="V20" s="54"/>
      <c r="W20" s="63"/>
      <c r="X20" s="54"/>
      <c r="Y20" s="54"/>
      <c r="Z20" s="54"/>
      <c r="AA20" s="54"/>
      <c r="AB20" s="54"/>
      <c r="AC20" s="54"/>
      <c r="AD20" s="54"/>
      <c r="AE20" s="54"/>
      <c r="AF20" s="54"/>
      <c r="AG20" s="54"/>
      <c r="AH20" s="54"/>
      <c r="AI20" s="54"/>
      <c r="AJ20" s="54"/>
      <c r="AK20" s="54"/>
      <c r="AL20" s="54"/>
      <c r="AM20" s="63"/>
      <c r="AN20" s="54"/>
      <c r="AO20" s="54"/>
      <c r="AP20" s="54"/>
      <c r="AQ20" s="54"/>
      <c r="AR20" s="54"/>
      <c r="AS20" s="54"/>
      <c r="AT20" s="62"/>
      <c r="AU20" s="54"/>
      <c r="AV20" s="54"/>
      <c r="AW20" s="54"/>
      <c r="AX20" s="54"/>
      <c r="AY20" s="54"/>
      <c r="AZ20" s="54"/>
      <c r="BA20" s="54"/>
      <c r="BB20" s="54"/>
      <c r="BC20" s="54"/>
      <c r="BD20" s="54"/>
      <c r="BE20" s="54"/>
      <c r="BF20" s="54"/>
      <c r="BG20" s="54"/>
      <c r="BH20" s="54"/>
      <c r="BI20" s="54"/>
      <c r="BJ20" s="54"/>
      <c r="BK20" s="54"/>
      <c r="BL20" s="54"/>
      <c r="BM20" s="54"/>
      <c r="BN20" s="54"/>
      <c r="BO20" s="10"/>
      <c r="BT20" s="5"/>
      <c r="BU20" s="23"/>
    </row>
    <row r="21" spans="1:73" ht="21" customHeight="1" x14ac:dyDescent="0.55000000000000004">
      <c r="A21" s="5"/>
      <c r="G21" s="55"/>
      <c r="H21" s="55"/>
      <c r="I21" s="55"/>
      <c r="J21" s="55"/>
      <c r="K21" s="55"/>
      <c r="L21" s="55"/>
      <c r="M21" s="55"/>
      <c r="N21" s="55"/>
      <c r="O21" s="119"/>
      <c r="P21" s="120"/>
      <c r="Q21" s="120"/>
      <c r="R21" s="120"/>
      <c r="S21" s="54"/>
      <c r="T21" s="54"/>
      <c r="U21" s="54"/>
      <c r="V21" s="54"/>
      <c r="W21" s="63"/>
      <c r="X21" s="54"/>
      <c r="Y21" s="54"/>
      <c r="Z21" s="54"/>
      <c r="AA21" s="54"/>
      <c r="AB21" s="54"/>
      <c r="AC21" s="54"/>
      <c r="AD21" s="54"/>
      <c r="AE21" s="54"/>
      <c r="AF21" s="54"/>
      <c r="AG21" s="54"/>
      <c r="AH21" s="54"/>
      <c r="AI21" s="54"/>
      <c r="AJ21" s="54"/>
      <c r="AK21" s="54"/>
      <c r="AL21" s="54"/>
      <c r="AM21" s="63"/>
      <c r="AN21" s="54"/>
      <c r="AO21" s="54"/>
      <c r="AP21" s="54"/>
      <c r="AQ21" s="54"/>
      <c r="AR21" s="54"/>
      <c r="AS21" s="54"/>
      <c r="AT21" s="62"/>
      <c r="AU21" s="55"/>
      <c r="AV21" s="55"/>
      <c r="AW21" s="55"/>
      <c r="AX21" s="55"/>
      <c r="AY21" s="55"/>
      <c r="AZ21" s="55"/>
      <c r="BA21" s="55"/>
      <c r="BB21" s="55"/>
      <c r="BC21" s="55"/>
      <c r="BD21" s="55"/>
      <c r="BE21" s="55"/>
      <c r="BF21" s="55"/>
      <c r="BG21" s="55"/>
      <c r="BH21" s="55"/>
      <c r="BI21" s="55"/>
      <c r="BJ21" s="55"/>
      <c r="BK21" s="55"/>
      <c r="BL21" s="55"/>
      <c r="BM21" s="55"/>
      <c r="BN21" s="55"/>
      <c r="BO21" s="10"/>
      <c r="BT21" s="5"/>
      <c r="BU21" s="23"/>
    </row>
    <row r="22" spans="1:73" ht="21" customHeight="1" thickBot="1" x14ac:dyDescent="0.6">
      <c r="A22" s="5"/>
      <c r="G22" s="10"/>
      <c r="H22" s="10"/>
      <c r="I22" s="10"/>
      <c r="J22" s="10"/>
      <c r="K22" s="10"/>
      <c r="L22" s="10"/>
      <c r="M22" s="10"/>
      <c r="N22" s="10"/>
      <c r="O22" s="122"/>
      <c r="P22" s="123"/>
      <c r="Q22" s="123"/>
      <c r="R22" s="123"/>
      <c r="S22" s="59"/>
      <c r="T22" s="59"/>
      <c r="U22" s="59"/>
      <c r="V22" s="59"/>
      <c r="W22" s="64"/>
      <c r="X22" s="59"/>
      <c r="Y22" s="59"/>
      <c r="Z22" s="59"/>
      <c r="AA22" s="59"/>
      <c r="AB22" s="59"/>
      <c r="AC22" s="59"/>
      <c r="AD22" s="59"/>
      <c r="AE22" s="59"/>
      <c r="AF22" s="59"/>
      <c r="AG22" s="59"/>
      <c r="AH22" s="59"/>
      <c r="AI22" s="59"/>
      <c r="AJ22" s="59"/>
      <c r="AK22" s="59"/>
      <c r="AL22" s="59"/>
      <c r="AM22" s="64"/>
      <c r="AN22" s="59"/>
      <c r="AO22" s="59"/>
      <c r="AP22" s="59"/>
      <c r="AQ22" s="59"/>
      <c r="AR22" s="59"/>
      <c r="AS22" s="59"/>
      <c r="AT22" s="60"/>
      <c r="AU22" s="10"/>
      <c r="AV22" s="10"/>
      <c r="AW22" s="10"/>
      <c r="AX22" s="10"/>
      <c r="AY22" s="10"/>
      <c r="AZ22" s="10"/>
      <c r="BA22" s="10"/>
      <c r="BB22" s="10"/>
      <c r="BC22" s="10"/>
      <c r="BD22" s="10"/>
      <c r="BE22" s="10"/>
      <c r="BF22" s="10"/>
      <c r="BG22" s="10"/>
      <c r="BH22" s="10"/>
      <c r="BI22" s="10"/>
      <c r="BJ22" s="10"/>
      <c r="BK22" s="10"/>
      <c r="BL22" s="10"/>
      <c r="BM22" s="10"/>
      <c r="BN22" s="10"/>
      <c r="BO22" s="10"/>
      <c r="BT22" s="5"/>
      <c r="BU22" s="23"/>
    </row>
    <row r="23" spans="1:73" ht="21" customHeight="1" x14ac:dyDescent="0.55000000000000004">
      <c r="A23" s="5"/>
      <c r="C23" s="1" t="s">
        <v>20</v>
      </c>
      <c r="G23" s="10"/>
      <c r="H23" s="10"/>
      <c r="I23" s="10"/>
      <c r="J23" s="10"/>
      <c r="K23" s="10"/>
      <c r="L23" s="10"/>
      <c r="M23" s="10"/>
      <c r="N23" s="10"/>
      <c r="O23" s="4" t="s">
        <v>519</v>
      </c>
      <c r="P23" s="114" t="s">
        <v>531</v>
      </c>
      <c r="Q23" s="114"/>
      <c r="R23" s="114"/>
      <c r="S23" s="56"/>
      <c r="T23" s="56"/>
      <c r="U23" s="56"/>
      <c r="V23" s="56"/>
      <c r="W23" s="56"/>
      <c r="X23" s="10"/>
      <c r="Y23" s="10"/>
      <c r="Z23" s="58"/>
      <c r="AA23" s="6" t="s">
        <v>521</v>
      </c>
      <c r="AB23" s="128" t="s">
        <v>532</v>
      </c>
      <c r="AC23" s="128"/>
      <c r="AD23" s="128"/>
      <c r="AE23" s="56"/>
      <c r="AF23" s="10"/>
      <c r="AG23" s="10"/>
      <c r="AH23" s="58"/>
      <c r="AI23" s="6" t="s">
        <v>534</v>
      </c>
      <c r="AJ23" s="128" t="s">
        <v>535</v>
      </c>
      <c r="AK23" s="128"/>
      <c r="AL23" s="129"/>
      <c r="AM23" s="6" t="s">
        <v>537</v>
      </c>
      <c r="AN23" s="128" t="s">
        <v>538</v>
      </c>
      <c r="AO23" s="128"/>
      <c r="AP23" s="128"/>
      <c r="AQ23" s="56"/>
      <c r="AR23" s="10"/>
      <c r="AS23" s="10"/>
      <c r="AT23" s="58"/>
      <c r="AU23" s="4" t="s">
        <v>540</v>
      </c>
      <c r="AV23" s="114" t="s">
        <v>541</v>
      </c>
      <c r="AW23" s="114"/>
      <c r="AX23" s="114"/>
      <c r="AY23" s="56"/>
      <c r="AZ23" s="56"/>
      <c r="BA23" s="56"/>
      <c r="BB23" s="57"/>
      <c r="BC23" s="53"/>
      <c r="BD23" s="10"/>
      <c r="BE23" s="10"/>
      <c r="BF23" s="10"/>
      <c r="BG23" s="53"/>
      <c r="BH23" s="10"/>
      <c r="BI23" s="10"/>
      <c r="BJ23" s="10"/>
      <c r="BK23" s="10"/>
      <c r="BL23" s="10"/>
      <c r="BM23" s="10"/>
      <c r="BN23" s="10"/>
      <c r="BO23" s="53"/>
      <c r="BT23" s="5"/>
      <c r="BU23" s="23"/>
    </row>
    <row r="24" spans="1:73" ht="21" customHeight="1" x14ac:dyDescent="0.55000000000000004">
      <c r="A24" s="5"/>
      <c r="G24" s="10"/>
      <c r="H24" s="10"/>
      <c r="I24" s="10"/>
      <c r="J24" s="10"/>
      <c r="K24" s="10"/>
      <c r="L24" s="10"/>
      <c r="M24" s="10"/>
      <c r="N24" s="10"/>
      <c r="O24" s="116"/>
      <c r="P24" s="117"/>
      <c r="Q24" s="117"/>
      <c r="R24" s="117"/>
      <c r="S24" s="54"/>
      <c r="T24" s="54"/>
      <c r="U24" s="54"/>
      <c r="V24" s="54"/>
      <c r="W24" s="54"/>
      <c r="X24" s="54"/>
      <c r="Y24" s="54"/>
      <c r="Z24" s="62"/>
      <c r="AA24" s="116"/>
      <c r="AB24" s="117"/>
      <c r="AC24" s="117"/>
      <c r="AD24" s="117"/>
      <c r="AE24" s="54"/>
      <c r="AF24" s="54"/>
      <c r="AG24" s="54"/>
      <c r="AH24" s="62"/>
      <c r="AI24" s="116"/>
      <c r="AJ24" s="117"/>
      <c r="AK24" s="117"/>
      <c r="AL24" s="118"/>
      <c r="AM24" s="116"/>
      <c r="AN24" s="117"/>
      <c r="AO24" s="117"/>
      <c r="AP24" s="117"/>
      <c r="AQ24" s="54"/>
      <c r="AR24" s="54"/>
      <c r="AS24" s="54"/>
      <c r="AT24" s="62"/>
      <c r="AU24" s="116"/>
      <c r="AV24" s="117"/>
      <c r="AW24" s="117"/>
      <c r="AX24" s="117"/>
      <c r="AY24" s="54"/>
      <c r="AZ24" s="54"/>
      <c r="BA24" s="54"/>
      <c r="BB24" s="62"/>
      <c r="BC24" s="54"/>
      <c r="BD24" s="54"/>
      <c r="BE24" s="54"/>
      <c r="BF24" s="54"/>
      <c r="BG24" s="54"/>
      <c r="BH24" s="54"/>
      <c r="BI24" s="54"/>
      <c r="BJ24" s="54"/>
      <c r="BK24" s="10"/>
      <c r="BL24" s="10"/>
      <c r="BM24" s="10"/>
      <c r="BN24" s="10"/>
      <c r="BO24" s="54"/>
      <c r="BP24" s="50"/>
      <c r="BQ24" s="50"/>
      <c r="BR24" s="50"/>
      <c r="BT24" s="5"/>
      <c r="BU24" s="23"/>
    </row>
    <row r="25" spans="1:73" ht="21" customHeight="1" x14ac:dyDescent="0.55000000000000004">
      <c r="A25" s="5"/>
      <c r="G25" s="10"/>
      <c r="H25" s="10"/>
      <c r="I25" s="10"/>
      <c r="J25" s="10"/>
      <c r="K25" s="10"/>
      <c r="L25" s="10"/>
      <c r="M25" s="10"/>
      <c r="N25" s="10"/>
      <c r="O25" s="119"/>
      <c r="P25" s="120"/>
      <c r="Q25" s="120"/>
      <c r="R25" s="120"/>
      <c r="S25" s="54"/>
      <c r="T25" s="54"/>
      <c r="U25" s="54"/>
      <c r="V25" s="54"/>
      <c r="W25" s="54"/>
      <c r="X25" s="54"/>
      <c r="Y25" s="54"/>
      <c r="Z25" s="62"/>
      <c r="AA25" s="119"/>
      <c r="AB25" s="120"/>
      <c r="AC25" s="120"/>
      <c r="AD25" s="120"/>
      <c r="AE25" s="54"/>
      <c r="AF25" s="54"/>
      <c r="AG25" s="54"/>
      <c r="AH25" s="62"/>
      <c r="AI25" s="119"/>
      <c r="AJ25" s="120"/>
      <c r="AK25" s="120"/>
      <c r="AL25" s="121"/>
      <c r="AM25" s="119"/>
      <c r="AN25" s="120"/>
      <c r="AO25" s="120"/>
      <c r="AP25" s="120"/>
      <c r="AQ25" s="54"/>
      <c r="AR25" s="54"/>
      <c r="AS25" s="54"/>
      <c r="AT25" s="62"/>
      <c r="AU25" s="119"/>
      <c r="AV25" s="120"/>
      <c r="AW25" s="120"/>
      <c r="AX25" s="120"/>
      <c r="AY25" s="54"/>
      <c r="AZ25" s="54"/>
      <c r="BA25" s="54"/>
      <c r="BB25" s="62"/>
      <c r="BC25" s="55"/>
      <c r="BD25" s="55"/>
      <c r="BE25" s="55"/>
      <c r="BF25" s="55"/>
      <c r="BG25" s="55"/>
      <c r="BH25" s="55"/>
      <c r="BI25" s="55"/>
      <c r="BJ25" s="55"/>
      <c r="BK25" s="10"/>
      <c r="BL25" s="10"/>
      <c r="BM25" s="10"/>
      <c r="BN25" s="10"/>
      <c r="BO25" s="55"/>
      <c r="BP25" s="51"/>
      <c r="BQ25" s="51"/>
      <c r="BR25" s="51"/>
      <c r="BT25" s="5"/>
      <c r="BU25" s="23"/>
    </row>
    <row r="26" spans="1:73" ht="21" customHeight="1" thickBot="1" x14ac:dyDescent="0.6">
      <c r="A26" s="5"/>
      <c r="G26" s="10"/>
      <c r="H26" s="10"/>
      <c r="I26" s="10"/>
      <c r="J26" s="10"/>
      <c r="K26" s="10"/>
      <c r="L26" s="10"/>
      <c r="M26" s="10"/>
      <c r="N26" s="10"/>
      <c r="O26" s="122"/>
      <c r="P26" s="123"/>
      <c r="Q26" s="123"/>
      <c r="R26" s="123"/>
      <c r="S26" s="59"/>
      <c r="T26" s="59"/>
      <c r="U26" s="59"/>
      <c r="V26" s="59"/>
      <c r="W26" s="59"/>
      <c r="X26" s="59"/>
      <c r="Y26" s="59"/>
      <c r="Z26" s="60"/>
      <c r="AA26" s="122"/>
      <c r="AB26" s="123"/>
      <c r="AC26" s="123"/>
      <c r="AD26" s="123"/>
      <c r="AE26" s="59"/>
      <c r="AF26" s="59"/>
      <c r="AG26" s="59"/>
      <c r="AH26" s="60"/>
      <c r="AI26" s="125"/>
      <c r="AJ26" s="126"/>
      <c r="AK26" s="126"/>
      <c r="AL26" s="127"/>
      <c r="AM26" s="125"/>
      <c r="AN26" s="126"/>
      <c r="AO26" s="126"/>
      <c r="AP26" s="126"/>
      <c r="AQ26" s="10"/>
      <c r="AR26" s="10"/>
      <c r="AS26" s="10"/>
      <c r="AT26" s="58"/>
      <c r="AU26" s="125"/>
      <c r="AV26" s="126"/>
      <c r="AW26" s="126"/>
      <c r="AX26" s="126"/>
      <c r="AY26" s="10"/>
      <c r="AZ26" s="10"/>
      <c r="BA26" s="10"/>
      <c r="BB26" s="58"/>
      <c r="BC26" s="10"/>
      <c r="BD26" s="10"/>
      <c r="BE26" s="10"/>
      <c r="BF26" s="10"/>
      <c r="BG26" s="10"/>
      <c r="BH26" s="10"/>
      <c r="BI26" s="10"/>
      <c r="BJ26" s="10"/>
      <c r="BK26" s="10"/>
      <c r="BL26" s="10"/>
      <c r="BM26" s="10"/>
      <c r="BN26" s="10"/>
      <c r="BO26" s="10"/>
      <c r="BP26" s="52"/>
      <c r="BQ26" s="52"/>
      <c r="BR26" s="52"/>
      <c r="BT26" s="5"/>
      <c r="BU26" s="23"/>
    </row>
    <row r="27" spans="1:73" ht="21" customHeight="1" x14ac:dyDescent="0.55000000000000004">
      <c r="A27" s="5"/>
      <c r="C27" s="1" t="s">
        <v>21</v>
      </c>
      <c r="G27" s="10"/>
      <c r="H27" s="10"/>
      <c r="I27" s="10"/>
      <c r="J27" s="10"/>
      <c r="K27" s="10"/>
      <c r="L27" s="10"/>
      <c r="M27" s="10"/>
      <c r="N27" s="10"/>
      <c r="S27" s="4" t="s">
        <v>543</v>
      </c>
      <c r="T27" s="114" t="s">
        <v>292</v>
      </c>
      <c r="U27" s="114"/>
      <c r="V27" s="114"/>
      <c r="W27" s="56"/>
      <c r="X27" s="56"/>
      <c r="Y27" s="56"/>
      <c r="Z27" s="57"/>
      <c r="AA27" s="4" t="s">
        <v>545</v>
      </c>
      <c r="AB27" s="114" t="s">
        <v>384</v>
      </c>
      <c r="AC27" s="114"/>
      <c r="AD27" s="115"/>
      <c r="AE27" s="67"/>
      <c r="AF27" s="56"/>
      <c r="AG27" s="56"/>
      <c r="AH27" s="56"/>
      <c r="AI27" s="10"/>
      <c r="AJ27" s="10"/>
      <c r="AK27" s="10"/>
      <c r="AL27" s="58"/>
      <c r="AM27" s="65"/>
      <c r="AN27" s="10"/>
      <c r="AO27" s="10"/>
      <c r="AP27" s="10"/>
      <c r="AQ27" s="10"/>
      <c r="AR27" s="10"/>
      <c r="AS27" s="10"/>
      <c r="AT27" s="10"/>
      <c r="AU27" s="4" t="s">
        <v>547</v>
      </c>
      <c r="AV27" s="114" t="s">
        <v>325</v>
      </c>
      <c r="AW27" s="114"/>
      <c r="AX27" s="114"/>
      <c r="AY27" s="56"/>
      <c r="AZ27" s="56"/>
      <c r="BA27" s="56"/>
      <c r="BB27" s="56"/>
      <c r="BC27" s="56"/>
      <c r="BD27" s="56"/>
      <c r="BE27" s="56"/>
      <c r="BF27" s="56"/>
      <c r="BG27" s="56"/>
      <c r="BH27" s="56"/>
      <c r="BI27" s="56"/>
      <c r="BJ27" s="56"/>
      <c r="BK27" s="56"/>
      <c r="BL27" s="56"/>
      <c r="BM27" s="56"/>
      <c r="BN27" s="57"/>
      <c r="BO27" s="53"/>
      <c r="BT27" s="5"/>
      <c r="BU27" s="23"/>
    </row>
    <row r="28" spans="1:73" ht="21" customHeight="1" x14ac:dyDescent="0.55000000000000004">
      <c r="A28" s="5"/>
      <c r="G28" s="10"/>
      <c r="H28" s="10"/>
      <c r="I28" s="10"/>
      <c r="J28" s="10"/>
      <c r="K28" s="10"/>
      <c r="L28" s="10"/>
      <c r="M28" s="10"/>
      <c r="N28" s="10"/>
      <c r="S28" s="116"/>
      <c r="T28" s="117"/>
      <c r="U28" s="117"/>
      <c r="V28" s="117"/>
      <c r="W28" s="54"/>
      <c r="X28" s="54"/>
      <c r="Y28" s="54"/>
      <c r="Z28" s="62"/>
      <c r="AA28" s="116"/>
      <c r="AB28" s="117"/>
      <c r="AC28" s="117"/>
      <c r="AD28" s="118"/>
      <c r="AE28" s="63"/>
      <c r="AF28" s="54"/>
      <c r="AG28" s="54"/>
      <c r="AH28" s="54"/>
      <c r="AI28" s="54"/>
      <c r="AJ28" s="54"/>
      <c r="AK28" s="54"/>
      <c r="AL28" s="62"/>
      <c r="AM28" s="63"/>
      <c r="AN28" s="54"/>
      <c r="AO28" s="54"/>
      <c r="AP28" s="54"/>
      <c r="AQ28" s="54"/>
      <c r="AR28" s="54"/>
      <c r="AS28" s="54"/>
      <c r="AT28" s="54"/>
      <c r="AU28" s="116"/>
      <c r="AV28" s="117"/>
      <c r="AW28" s="117"/>
      <c r="AX28" s="117"/>
      <c r="AY28" s="54"/>
      <c r="AZ28" s="54"/>
      <c r="BA28" s="54"/>
      <c r="BB28" s="54"/>
      <c r="BC28" s="54"/>
      <c r="BD28" s="54"/>
      <c r="BE28" s="54"/>
      <c r="BF28" s="54"/>
      <c r="BG28" s="54"/>
      <c r="BH28" s="54"/>
      <c r="BI28" s="54"/>
      <c r="BJ28" s="54"/>
      <c r="BK28" s="54"/>
      <c r="BL28" s="54"/>
      <c r="BM28" s="54"/>
      <c r="BN28" s="62"/>
      <c r="BO28" s="54"/>
      <c r="BP28" s="50"/>
      <c r="BQ28" s="50"/>
      <c r="BR28" s="50"/>
      <c r="BT28" s="5"/>
      <c r="BU28" s="23"/>
    </row>
    <row r="29" spans="1:73" ht="21" customHeight="1" x14ac:dyDescent="0.55000000000000004">
      <c r="A29" s="5"/>
      <c r="G29" s="10"/>
      <c r="H29" s="10"/>
      <c r="I29" s="10"/>
      <c r="J29" s="10"/>
      <c r="K29" s="10"/>
      <c r="L29" s="10"/>
      <c r="M29" s="10"/>
      <c r="N29" s="10"/>
      <c r="S29" s="119"/>
      <c r="T29" s="120"/>
      <c r="U29" s="120"/>
      <c r="V29" s="120"/>
      <c r="W29" s="54"/>
      <c r="X29" s="54"/>
      <c r="Y29" s="54"/>
      <c r="Z29" s="62"/>
      <c r="AA29" s="119"/>
      <c r="AB29" s="120"/>
      <c r="AC29" s="120"/>
      <c r="AD29" s="121"/>
      <c r="AE29" s="63"/>
      <c r="AF29" s="54"/>
      <c r="AG29" s="54"/>
      <c r="AH29" s="54"/>
      <c r="AI29" s="54"/>
      <c r="AJ29" s="54"/>
      <c r="AK29" s="54"/>
      <c r="AL29" s="62"/>
      <c r="AM29" s="63"/>
      <c r="AN29" s="54"/>
      <c r="AO29" s="54"/>
      <c r="AP29" s="54"/>
      <c r="AQ29" s="54"/>
      <c r="AR29" s="54"/>
      <c r="AS29" s="54"/>
      <c r="AT29" s="54"/>
      <c r="AU29" s="119"/>
      <c r="AV29" s="120"/>
      <c r="AW29" s="120"/>
      <c r="AX29" s="120"/>
      <c r="AY29" s="54"/>
      <c r="AZ29" s="54"/>
      <c r="BA29" s="54"/>
      <c r="BB29" s="54"/>
      <c r="BC29" s="54"/>
      <c r="BD29" s="54"/>
      <c r="BE29" s="54"/>
      <c r="BF29" s="54"/>
      <c r="BG29" s="54"/>
      <c r="BH29" s="54"/>
      <c r="BI29" s="54"/>
      <c r="BJ29" s="54"/>
      <c r="BK29" s="54"/>
      <c r="BL29" s="54"/>
      <c r="BM29" s="54"/>
      <c r="BN29" s="62"/>
      <c r="BO29" s="55"/>
      <c r="BP29" s="51"/>
      <c r="BQ29" s="51"/>
      <c r="BR29" s="51"/>
      <c r="BT29" s="5"/>
      <c r="BU29" s="23"/>
    </row>
    <row r="30" spans="1:73" ht="21" customHeight="1" thickBot="1" x14ac:dyDescent="0.6">
      <c r="A30" s="5"/>
      <c r="G30" s="10"/>
      <c r="H30" s="10"/>
      <c r="I30" s="10"/>
      <c r="J30" s="10"/>
      <c r="K30" s="10"/>
      <c r="L30" s="10"/>
      <c r="M30" s="10"/>
      <c r="N30" s="10"/>
      <c r="S30" s="125"/>
      <c r="T30" s="126"/>
      <c r="U30" s="126"/>
      <c r="V30" s="126"/>
      <c r="W30" s="59"/>
      <c r="X30" s="59"/>
      <c r="Y30" s="59"/>
      <c r="Z30" s="60"/>
      <c r="AA30" s="125"/>
      <c r="AB30" s="126"/>
      <c r="AC30" s="126"/>
      <c r="AD30" s="127"/>
      <c r="AE30" s="64"/>
      <c r="AF30" s="59"/>
      <c r="AG30" s="59"/>
      <c r="AH30" s="59"/>
      <c r="AI30" s="59"/>
      <c r="AJ30" s="59"/>
      <c r="AK30" s="59"/>
      <c r="AL30" s="60"/>
      <c r="AM30" s="64"/>
      <c r="AN30" s="59"/>
      <c r="AO30" s="59"/>
      <c r="AP30" s="59"/>
      <c r="AQ30" s="59"/>
      <c r="AR30" s="59"/>
      <c r="AS30" s="59"/>
      <c r="AT30" s="59"/>
      <c r="AU30" s="125"/>
      <c r="AV30" s="126"/>
      <c r="AW30" s="126"/>
      <c r="AX30" s="126"/>
      <c r="AY30" s="10"/>
      <c r="AZ30" s="10"/>
      <c r="BA30" s="10"/>
      <c r="BB30" s="10"/>
      <c r="BC30" s="10"/>
      <c r="BD30" s="10"/>
      <c r="BE30" s="10"/>
      <c r="BF30" s="10"/>
      <c r="BG30" s="10"/>
      <c r="BH30" s="10"/>
      <c r="BI30" s="10"/>
      <c r="BJ30" s="10"/>
      <c r="BK30" s="10"/>
      <c r="BL30" s="10"/>
      <c r="BM30" s="10"/>
      <c r="BN30" s="58"/>
      <c r="BO30" s="10"/>
      <c r="BP30" s="52"/>
      <c r="BQ30" s="52"/>
      <c r="BR30" s="52"/>
      <c r="BT30" s="5"/>
      <c r="BU30" s="23"/>
    </row>
    <row r="31" spans="1:73" ht="21" customHeight="1" x14ac:dyDescent="0.55000000000000004">
      <c r="A31" s="5"/>
      <c r="C31" s="1" t="s">
        <v>22</v>
      </c>
      <c r="G31" s="4" t="s">
        <v>549</v>
      </c>
      <c r="H31" s="114" t="s">
        <v>300</v>
      </c>
      <c r="I31" s="114"/>
      <c r="J31" s="114"/>
      <c r="K31" s="56"/>
      <c r="L31" s="56"/>
      <c r="M31" s="56"/>
      <c r="N31" s="56"/>
      <c r="O31" s="56"/>
      <c r="P31" s="56"/>
      <c r="Q31" s="56"/>
      <c r="R31" s="57"/>
      <c r="S31" s="10"/>
      <c r="T31" s="10"/>
      <c r="U31" s="10"/>
      <c r="V31" s="58"/>
      <c r="W31" s="10"/>
      <c r="X31" s="10"/>
      <c r="Y31" s="10"/>
      <c r="Z31" s="10"/>
      <c r="AA31" s="65"/>
      <c r="AB31" s="10"/>
      <c r="AC31" s="10"/>
      <c r="AD31" s="10"/>
      <c r="AE31" s="56"/>
      <c r="AF31" s="56"/>
      <c r="AG31" s="56"/>
      <c r="AH31" s="57"/>
      <c r="AI31" s="4" t="s">
        <v>551</v>
      </c>
      <c r="AJ31" s="114" t="s">
        <v>344</v>
      </c>
      <c r="AK31" s="114"/>
      <c r="AL31" s="114"/>
      <c r="AM31" s="56"/>
      <c r="AN31" s="56"/>
      <c r="AO31" s="56"/>
      <c r="AP31" s="57"/>
      <c r="AQ31" s="53"/>
      <c r="AR31" s="10"/>
      <c r="AS31" s="10"/>
      <c r="AT31" s="10"/>
      <c r="AU31" s="4" t="s">
        <v>553</v>
      </c>
      <c r="AV31" s="114" t="s">
        <v>334</v>
      </c>
      <c r="AW31" s="114"/>
      <c r="AX31" s="114"/>
      <c r="AY31" s="56"/>
      <c r="AZ31" s="56"/>
      <c r="BA31" s="56"/>
      <c r="BB31" s="56"/>
      <c r="BC31" s="56"/>
      <c r="BD31" s="56"/>
      <c r="BE31" s="56"/>
      <c r="BF31" s="56"/>
      <c r="BG31" s="56"/>
      <c r="BH31" s="56"/>
      <c r="BI31" s="56"/>
      <c r="BJ31" s="56"/>
      <c r="BK31" s="56"/>
      <c r="BL31" s="56"/>
      <c r="BM31" s="56"/>
      <c r="BN31" s="57"/>
      <c r="BO31" s="53"/>
      <c r="BT31" s="5"/>
      <c r="BU31" s="23"/>
    </row>
    <row r="32" spans="1:73" ht="21" customHeight="1" x14ac:dyDescent="0.55000000000000004">
      <c r="A32" s="5"/>
      <c r="G32" s="116"/>
      <c r="H32" s="117"/>
      <c r="I32" s="117"/>
      <c r="J32" s="117"/>
      <c r="K32" s="54"/>
      <c r="L32" s="54"/>
      <c r="M32" s="54"/>
      <c r="N32" s="54"/>
      <c r="O32" s="54"/>
      <c r="P32" s="54"/>
      <c r="Q32" s="54"/>
      <c r="R32" s="62"/>
      <c r="S32" s="54"/>
      <c r="T32" s="54"/>
      <c r="U32" s="54"/>
      <c r="V32" s="62"/>
      <c r="W32" s="10"/>
      <c r="X32" s="10"/>
      <c r="Y32" s="10"/>
      <c r="Z32" s="10"/>
      <c r="AA32" s="63"/>
      <c r="AB32" s="54"/>
      <c r="AC32" s="54"/>
      <c r="AD32" s="54"/>
      <c r="AE32" s="54"/>
      <c r="AF32" s="54"/>
      <c r="AG32" s="54"/>
      <c r="AH32" s="62"/>
      <c r="AI32" s="116"/>
      <c r="AJ32" s="117"/>
      <c r="AK32" s="117"/>
      <c r="AL32" s="117"/>
      <c r="AM32" s="54"/>
      <c r="AN32" s="54"/>
      <c r="AO32" s="54"/>
      <c r="AP32" s="62"/>
      <c r="AQ32" s="54"/>
      <c r="AR32" s="54"/>
      <c r="AS32" s="54"/>
      <c r="AT32" s="54"/>
      <c r="AU32" s="116"/>
      <c r="AV32" s="117"/>
      <c r="AW32" s="117"/>
      <c r="AX32" s="117"/>
      <c r="AY32" s="54"/>
      <c r="AZ32" s="54"/>
      <c r="BA32" s="54"/>
      <c r="BB32" s="54"/>
      <c r="BC32" s="54"/>
      <c r="BD32" s="54"/>
      <c r="BE32" s="54"/>
      <c r="BF32" s="54"/>
      <c r="BG32" s="54"/>
      <c r="BH32" s="54"/>
      <c r="BI32" s="54"/>
      <c r="BJ32" s="54"/>
      <c r="BK32" s="54"/>
      <c r="BL32" s="54"/>
      <c r="BM32" s="54"/>
      <c r="BN32" s="62"/>
      <c r="BO32" s="54"/>
      <c r="BP32" s="50"/>
      <c r="BQ32" s="50"/>
      <c r="BR32" s="50"/>
      <c r="BT32" s="5"/>
      <c r="BU32" s="23"/>
    </row>
    <row r="33" spans="1:73" ht="21" customHeight="1" x14ac:dyDescent="0.55000000000000004">
      <c r="A33" s="5"/>
      <c r="G33" s="119"/>
      <c r="H33" s="120"/>
      <c r="I33" s="120"/>
      <c r="J33" s="120"/>
      <c r="K33" s="54"/>
      <c r="L33" s="54"/>
      <c r="M33" s="54"/>
      <c r="N33" s="54"/>
      <c r="O33" s="54"/>
      <c r="P33" s="54"/>
      <c r="Q33" s="54"/>
      <c r="R33" s="62"/>
      <c r="S33" s="54"/>
      <c r="T33" s="54"/>
      <c r="U33" s="54"/>
      <c r="V33" s="62"/>
      <c r="W33" s="10"/>
      <c r="X33" s="10"/>
      <c r="Y33" s="10"/>
      <c r="Z33" s="10"/>
      <c r="AA33" s="63"/>
      <c r="AB33" s="54"/>
      <c r="AC33" s="54"/>
      <c r="AD33" s="54"/>
      <c r="AE33" s="54"/>
      <c r="AF33" s="54"/>
      <c r="AG33" s="54"/>
      <c r="AH33" s="62"/>
      <c r="AI33" s="119"/>
      <c r="AJ33" s="120"/>
      <c r="AK33" s="120"/>
      <c r="AL33" s="120"/>
      <c r="AM33" s="54"/>
      <c r="AN33" s="54"/>
      <c r="AO33" s="54"/>
      <c r="AP33" s="62"/>
      <c r="AQ33" s="55"/>
      <c r="AR33" s="55"/>
      <c r="AS33" s="55"/>
      <c r="AT33" s="55"/>
      <c r="AU33" s="119"/>
      <c r="AV33" s="120"/>
      <c r="AW33" s="120"/>
      <c r="AX33" s="120"/>
      <c r="AY33" s="54"/>
      <c r="AZ33" s="54"/>
      <c r="BA33" s="54"/>
      <c r="BB33" s="54"/>
      <c r="BC33" s="54"/>
      <c r="BD33" s="54"/>
      <c r="BE33" s="54"/>
      <c r="BF33" s="54"/>
      <c r="BG33" s="54"/>
      <c r="BH33" s="54"/>
      <c r="BI33" s="54"/>
      <c r="BJ33" s="54"/>
      <c r="BK33" s="54"/>
      <c r="BL33" s="54"/>
      <c r="BM33" s="54"/>
      <c r="BN33" s="62"/>
      <c r="BO33" s="55"/>
      <c r="BP33" s="51"/>
      <c r="BQ33" s="51"/>
      <c r="BR33" s="51"/>
      <c r="BT33" s="5"/>
      <c r="BU33" s="23"/>
    </row>
    <row r="34" spans="1:73" ht="21" customHeight="1" thickBot="1" x14ac:dyDescent="0.6">
      <c r="A34" s="5"/>
      <c r="G34" s="122"/>
      <c r="H34" s="123"/>
      <c r="I34" s="123"/>
      <c r="J34" s="123"/>
      <c r="K34" s="59"/>
      <c r="L34" s="59"/>
      <c r="M34" s="59"/>
      <c r="N34" s="59"/>
      <c r="O34" s="59"/>
      <c r="P34" s="59"/>
      <c r="Q34" s="59"/>
      <c r="R34" s="60"/>
      <c r="S34" s="59"/>
      <c r="T34" s="59"/>
      <c r="U34" s="59"/>
      <c r="V34" s="60"/>
      <c r="W34" s="10"/>
      <c r="X34" s="10"/>
      <c r="Y34" s="10"/>
      <c r="Z34" s="10"/>
      <c r="AA34" s="65"/>
      <c r="AB34" s="10"/>
      <c r="AC34" s="10"/>
      <c r="AD34" s="10"/>
      <c r="AE34" s="10"/>
      <c r="AF34" s="10"/>
      <c r="AG34" s="10"/>
      <c r="AH34" s="58"/>
      <c r="AI34" s="122"/>
      <c r="AJ34" s="123"/>
      <c r="AK34" s="123"/>
      <c r="AL34" s="123"/>
      <c r="AM34" s="59"/>
      <c r="AN34" s="59"/>
      <c r="AO34" s="59"/>
      <c r="AP34" s="60"/>
      <c r="AQ34" s="10"/>
      <c r="AR34" s="10"/>
      <c r="AS34" s="10"/>
      <c r="AT34" s="10"/>
      <c r="AU34" s="122"/>
      <c r="AV34" s="123"/>
      <c r="AW34" s="123"/>
      <c r="AX34" s="123"/>
      <c r="AY34" s="59"/>
      <c r="AZ34" s="59"/>
      <c r="BA34" s="59"/>
      <c r="BB34" s="59"/>
      <c r="BC34" s="10"/>
      <c r="BD34" s="10"/>
      <c r="BE34" s="10"/>
      <c r="BF34" s="10"/>
      <c r="BG34" s="10"/>
      <c r="BH34" s="10"/>
      <c r="BI34" s="10"/>
      <c r="BJ34" s="10"/>
      <c r="BK34" s="10"/>
      <c r="BL34" s="10"/>
      <c r="BM34" s="10"/>
      <c r="BN34" s="58"/>
      <c r="BO34" s="10"/>
      <c r="BP34" s="52"/>
      <c r="BQ34" s="52"/>
      <c r="BR34" s="52"/>
      <c r="BT34" s="5"/>
      <c r="BU34" s="23"/>
    </row>
    <row r="35" spans="1:73" ht="21" customHeight="1" x14ac:dyDescent="0.55000000000000004">
      <c r="A35" s="5"/>
      <c r="C35" s="1" t="s">
        <v>23</v>
      </c>
      <c r="G35" s="10"/>
      <c r="H35" s="10"/>
      <c r="I35" s="10"/>
      <c r="J35" s="10"/>
      <c r="K35" s="10"/>
      <c r="L35" s="10"/>
      <c r="M35" s="10"/>
      <c r="N35" s="10"/>
      <c r="O35" s="10"/>
      <c r="P35" s="10"/>
      <c r="Q35" s="10"/>
      <c r="R35" s="10"/>
      <c r="S35" s="10"/>
      <c r="T35" s="10"/>
      <c r="U35" s="10"/>
      <c r="V35" s="10"/>
      <c r="W35" s="10"/>
      <c r="X35" s="10"/>
      <c r="Y35" s="10"/>
      <c r="Z35" s="10"/>
      <c r="AA35" s="65"/>
      <c r="AB35" s="10"/>
      <c r="AC35" s="10"/>
      <c r="AD35" s="10"/>
      <c r="AE35" s="10"/>
      <c r="AF35" s="10"/>
      <c r="AG35" s="10"/>
      <c r="AH35" s="58"/>
      <c r="AI35" s="53"/>
      <c r="AJ35" s="10"/>
      <c r="AK35" s="10"/>
      <c r="AL35" s="10"/>
      <c r="AM35" s="53"/>
      <c r="AN35" s="10"/>
      <c r="AO35" s="10"/>
      <c r="AP35" s="10"/>
      <c r="AQ35" s="53"/>
      <c r="AR35" s="10"/>
      <c r="AS35" s="10"/>
      <c r="AT35" s="10"/>
      <c r="AU35" s="53"/>
      <c r="AV35" s="10"/>
      <c r="AW35" s="10"/>
      <c r="AX35" s="10"/>
      <c r="AY35" s="53"/>
      <c r="AZ35" s="10"/>
      <c r="BA35" s="10"/>
      <c r="BB35" s="10"/>
      <c r="BC35" s="4" t="s">
        <v>555</v>
      </c>
      <c r="BD35" s="114" t="s">
        <v>348</v>
      </c>
      <c r="BE35" s="114"/>
      <c r="BF35" s="114"/>
      <c r="BG35" s="56"/>
      <c r="BH35" s="56"/>
      <c r="BI35" s="56"/>
      <c r="BJ35" s="56"/>
      <c r="BK35" s="56"/>
      <c r="BL35" s="56"/>
      <c r="BM35" s="56"/>
      <c r="BN35" s="57"/>
      <c r="BO35" s="53"/>
      <c r="BT35" s="5"/>
      <c r="BU35" s="23"/>
    </row>
    <row r="36" spans="1:73" ht="21" customHeight="1" x14ac:dyDescent="0.55000000000000004">
      <c r="A36" s="5"/>
      <c r="AA36" s="63"/>
      <c r="AB36" s="54"/>
      <c r="AC36" s="54"/>
      <c r="AD36" s="54"/>
      <c r="AE36" s="54"/>
      <c r="AF36" s="54"/>
      <c r="AG36" s="54"/>
      <c r="AH36" s="62"/>
      <c r="AI36" s="50"/>
      <c r="AJ36" s="50"/>
      <c r="AK36" s="50"/>
      <c r="AL36" s="50"/>
      <c r="AM36" s="50"/>
      <c r="AN36" s="50"/>
      <c r="AO36" s="50"/>
      <c r="AP36" s="50"/>
      <c r="AQ36" s="50"/>
      <c r="AR36" s="50"/>
      <c r="AS36" s="50"/>
      <c r="AT36" s="50"/>
      <c r="AU36" s="50"/>
      <c r="AV36" s="50"/>
      <c r="AW36" s="50"/>
      <c r="AX36" s="50"/>
      <c r="AY36" s="50"/>
      <c r="AZ36" s="50"/>
      <c r="BA36" s="50"/>
      <c r="BB36" s="50"/>
      <c r="BC36" s="116"/>
      <c r="BD36" s="117"/>
      <c r="BE36" s="117"/>
      <c r="BF36" s="117"/>
      <c r="BG36" s="54"/>
      <c r="BH36" s="54"/>
      <c r="BI36" s="54"/>
      <c r="BJ36" s="54"/>
      <c r="BK36" s="54"/>
      <c r="BL36" s="54"/>
      <c r="BM36" s="54"/>
      <c r="BN36" s="62"/>
      <c r="BO36" s="50"/>
      <c r="BP36" s="50"/>
      <c r="BQ36" s="50"/>
      <c r="BR36" s="50"/>
      <c r="BT36" s="5"/>
      <c r="BU36" s="23"/>
    </row>
    <row r="37" spans="1:73" ht="21" customHeight="1" x14ac:dyDescent="0.55000000000000004">
      <c r="A37" s="5"/>
      <c r="AA37" s="63"/>
      <c r="AB37" s="54"/>
      <c r="AC37" s="54"/>
      <c r="AD37" s="54"/>
      <c r="AE37" s="54"/>
      <c r="AF37" s="54"/>
      <c r="AG37" s="54"/>
      <c r="AH37" s="62"/>
      <c r="AI37" s="51"/>
      <c r="AJ37" s="51"/>
      <c r="AK37" s="51"/>
      <c r="AL37" s="51"/>
      <c r="AM37" s="51"/>
      <c r="AN37" s="51"/>
      <c r="AO37" s="51"/>
      <c r="AP37" s="51"/>
      <c r="AQ37" s="51"/>
      <c r="AR37" s="51"/>
      <c r="AS37" s="51"/>
      <c r="AT37" s="51"/>
      <c r="AU37" s="51"/>
      <c r="AV37" s="51"/>
      <c r="AW37" s="51"/>
      <c r="AX37" s="51"/>
      <c r="AY37" s="51"/>
      <c r="AZ37" s="51"/>
      <c r="BA37" s="51"/>
      <c r="BB37" s="51"/>
      <c r="BC37" s="119"/>
      <c r="BD37" s="120"/>
      <c r="BE37" s="120"/>
      <c r="BF37" s="120"/>
      <c r="BG37" s="54"/>
      <c r="BH37" s="54"/>
      <c r="BI37" s="54"/>
      <c r="BJ37" s="54"/>
      <c r="BK37" s="54"/>
      <c r="BL37" s="54"/>
      <c r="BM37" s="54"/>
      <c r="BN37" s="62"/>
      <c r="BO37" s="51"/>
      <c r="BP37" s="51"/>
      <c r="BQ37" s="51"/>
      <c r="BR37" s="51"/>
      <c r="BT37" s="5"/>
      <c r="BU37" s="23"/>
    </row>
    <row r="38" spans="1:73" ht="21" customHeight="1" thickBot="1" x14ac:dyDescent="0.6">
      <c r="A38" s="5"/>
      <c r="AA38" s="64"/>
      <c r="AB38" s="59"/>
      <c r="AC38" s="59"/>
      <c r="AD38" s="59"/>
      <c r="AE38" s="59"/>
      <c r="AF38" s="59"/>
      <c r="AG38" s="59"/>
      <c r="AH38" s="60"/>
      <c r="AI38" s="51"/>
      <c r="AJ38" s="51"/>
      <c r="AK38" s="51"/>
      <c r="AL38" s="51"/>
      <c r="AM38" s="51"/>
      <c r="AN38" s="51"/>
      <c r="AO38" s="51"/>
      <c r="AP38" s="51"/>
      <c r="AQ38" s="51"/>
      <c r="AR38" s="51"/>
      <c r="AS38" s="51"/>
      <c r="AT38" s="51"/>
      <c r="AU38" s="51"/>
      <c r="AV38" s="51"/>
      <c r="AW38" s="51"/>
      <c r="AX38" s="51"/>
      <c r="AY38" s="51"/>
      <c r="AZ38" s="51"/>
      <c r="BA38" s="51"/>
      <c r="BB38" s="51"/>
      <c r="BC38" s="125"/>
      <c r="BD38" s="126"/>
      <c r="BE38" s="126"/>
      <c r="BF38" s="126"/>
      <c r="BG38" s="10"/>
      <c r="BH38" s="10"/>
      <c r="BI38" s="10"/>
      <c r="BJ38" s="10"/>
      <c r="BK38" s="10"/>
      <c r="BL38" s="10"/>
      <c r="BM38" s="10"/>
      <c r="BN38" s="58"/>
      <c r="BO38" s="51"/>
      <c r="BP38" s="51"/>
      <c r="BQ38" s="51"/>
      <c r="BR38" s="51"/>
      <c r="BT38" s="5"/>
      <c r="BU38" s="23"/>
    </row>
    <row r="39" spans="1:73" ht="21" customHeight="1" x14ac:dyDescent="0.55000000000000004">
      <c r="A39" s="5"/>
      <c r="C39" s="1" t="s">
        <v>517</v>
      </c>
      <c r="AI39" s="51"/>
      <c r="AJ39" s="51"/>
      <c r="AK39" s="51"/>
      <c r="AL39" s="51"/>
      <c r="AM39" s="51"/>
      <c r="AN39" s="51"/>
      <c r="AO39" s="51"/>
      <c r="AP39" s="51"/>
      <c r="AQ39" s="51"/>
      <c r="AR39" s="51"/>
      <c r="AS39" s="51"/>
      <c r="AT39" s="51"/>
      <c r="AU39" s="51"/>
      <c r="AV39" s="51"/>
      <c r="AW39" s="51"/>
      <c r="AX39" s="51"/>
      <c r="AY39" s="4" t="s">
        <v>557</v>
      </c>
      <c r="AZ39" s="114" t="s">
        <v>354</v>
      </c>
      <c r="BA39" s="114"/>
      <c r="BB39" s="114"/>
      <c r="BC39" s="56"/>
      <c r="BD39" s="56"/>
      <c r="BE39" s="56"/>
      <c r="BF39" s="56"/>
      <c r="BG39" s="56"/>
      <c r="BH39" s="56"/>
      <c r="BI39" s="56"/>
      <c r="BJ39" s="56"/>
      <c r="BK39" s="56"/>
      <c r="BL39" s="56"/>
      <c r="BM39" s="56"/>
      <c r="BN39" s="56"/>
      <c r="BO39" s="56"/>
      <c r="BP39" s="56"/>
      <c r="BQ39" s="56"/>
      <c r="BR39" s="57"/>
      <c r="BT39" s="5"/>
      <c r="BU39" s="23"/>
    </row>
    <row r="40" spans="1:73" ht="21" customHeight="1" x14ac:dyDescent="0.55000000000000004">
      <c r="A40" s="5"/>
      <c r="AI40" s="51"/>
      <c r="AJ40" s="51"/>
      <c r="AK40" s="51"/>
      <c r="AL40" s="51"/>
      <c r="AM40" s="51"/>
      <c r="AN40" s="51"/>
      <c r="AO40" s="51"/>
      <c r="AP40" s="51"/>
      <c r="AQ40" s="51"/>
      <c r="AR40" s="51"/>
      <c r="AS40" s="51"/>
      <c r="AT40" s="51"/>
      <c r="AU40" s="51"/>
      <c r="AV40" s="51"/>
      <c r="AW40" s="51"/>
      <c r="AX40" s="51"/>
      <c r="AY40" s="116"/>
      <c r="AZ40" s="117"/>
      <c r="BA40" s="117"/>
      <c r="BB40" s="117"/>
      <c r="BC40" s="54"/>
      <c r="BD40" s="54"/>
      <c r="BE40" s="54"/>
      <c r="BF40" s="54"/>
      <c r="BG40" s="54"/>
      <c r="BH40" s="54"/>
      <c r="BI40" s="54"/>
      <c r="BJ40" s="54"/>
      <c r="BK40" s="54"/>
      <c r="BL40" s="54"/>
      <c r="BM40" s="54"/>
      <c r="BN40" s="54"/>
      <c r="BO40" s="54"/>
      <c r="BP40" s="54"/>
      <c r="BQ40" s="54"/>
      <c r="BR40" s="62"/>
      <c r="BT40" s="5"/>
      <c r="BU40" s="23"/>
    </row>
    <row r="41" spans="1:73" ht="21" customHeight="1" x14ac:dyDescent="0.55000000000000004">
      <c r="A41" s="5"/>
      <c r="AI41" s="51"/>
      <c r="AJ41" s="51"/>
      <c r="AK41" s="51"/>
      <c r="AL41" s="51"/>
      <c r="AM41" s="51"/>
      <c r="AN41" s="51"/>
      <c r="AO41" s="51"/>
      <c r="AP41" s="51"/>
      <c r="AQ41" s="51"/>
      <c r="AR41" s="51"/>
      <c r="AS41" s="51"/>
      <c r="AT41" s="51"/>
      <c r="AU41" s="51"/>
      <c r="AV41" s="51"/>
      <c r="AW41" s="51"/>
      <c r="AX41" s="51"/>
      <c r="AY41" s="119"/>
      <c r="AZ41" s="120"/>
      <c r="BA41" s="120"/>
      <c r="BB41" s="120"/>
      <c r="BC41" s="54"/>
      <c r="BD41" s="54"/>
      <c r="BE41" s="54"/>
      <c r="BF41" s="54"/>
      <c r="BG41" s="54"/>
      <c r="BH41" s="54"/>
      <c r="BI41" s="54"/>
      <c r="BJ41" s="54"/>
      <c r="BK41" s="54"/>
      <c r="BL41" s="54"/>
      <c r="BM41" s="54"/>
      <c r="BN41" s="54"/>
      <c r="BO41" s="54"/>
      <c r="BP41" s="54"/>
      <c r="BQ41" s="54"/>
      <c r="BR41" s="62"/>
      <c r="BT41" s="5"/>
      <c r="BU41" s="23"/>
    </row>
    <row r="42" spans="1:73" ht="21" customHeight="1" thickBot="1" x14ac:dyDescent="0.6">
      <c r="A42" s="5"/>
      <c r="AI42" s="51"/>
      <c r="AJ42" s="51"/>
      <c r="AK42" s="51"/>
      <c r="AL42" s="51"/>
      <c r="AM42" s="51"/>
      <c r="AN42" s="51"/>
      <c r="AO42" s="51"/>
      <c r="AP42" s="51"/>
      <c r="AQ42" s="51"/>
      <c r="AR42" s="51"/>
      <c r="AS42" s="51"/>
      <c r="AT42" s="51"/>
      <c r="AU42" s="51"/>
      <c r="AV42" s="51"/>
      <c r="AW42" s="51"/>
      <c r="AX42" s="51"/>
      <c r="AY42" s="125"/>
      <c r="AZ42" s="126"/>
      <c r="BA42" s="126"/>
      <c r="BB42" s="126"/>
      <c r="BC42" s="10"/>
      <c r="BD42" s="10"/>
      <c r="BE42" s="10"/>
      <c r="BF42" s="10"/>
      <c r="BG42" s="10"/>
      <c r="BH42" s="10"/>
      <c r="BI42" s="10"/>
      <c r="BJ42" s="10"/>
      <c r="BK42" s="59"/>
      <c r="BL42" s="59"/>
      <c r="BM42" s="59"/>
      <c r="BN42" s="59"/>
      <c r="BO42" s="59"/>
      <c r="BP42" s="59"/>
      <c r="BQ42" s="59"/>
      <c r="BR42" s="60"/>
      <c r="BT42" s="5"/>
      <c r="BU42" s="23"/>
    </row>
    <row r="43" spans="1:73" ht="21" customHeight="1" x14ac:dyDescent="0.55000000000000004">
      <c r="A43" s="5"/>
      <c r="C43" s="1" t="s">
        <v>519</v>
      </c>
      <c r="AI43" s="51"/>
      <c r="AJ43" s="51"/>
      <c r="AK43" s="51"/>
      <c r="AL43" s="51"/>
      <c r="AM43" s="51"/>
      <c r="AN43" s="51"/>
      <c r="AO43" s="51"/>
      <c r="AP43" s="51"/>
      <c r="AQ43" s="51"/>
      <c r="AR43" s="51"/>
      <c r="AS43" s="51"/>
      <c r="AT43" s="51"/>
      <c r="AU43" s="51"/>
      <c r="AV43" s="51"/>
      <c r="AW43" s="51"/>
      <c r="AX43" s="51"/>
      <c r="AY43" s="4" t="s">
        <v>559</v>
      </c>
      <c r="AZ43" s="114" t="s">
        <v>364</v>
      </c>
      <c r="BA43" s="114"/>
      <c r="BB43" s="114"/>
      <c r="BC43" s="56"/>
      <c r="BD43" s="56"/>
      <c r="BE43" s="56"/>
      <c r="BF43" s="56"/>
      <c r="BG43" s="56"/>
      <c r="BH43" s="56"/>
      <c r="BI43" s="56"/>
      <c r="BJ43" s="57"/>
      <c r="BK43" s="51"/>
      <c r="BL43" s="51"/>
      <c r="BM43" s="51"/>
      <c r="BN43" s="51"/>
      <c r="BO43" s="51"/>
      <c r="BP43" s="51"/>
      <c r="BQ43" s="51"/>
      <c r="BR43" s="51"/>
      <c r="BT43" s="5"/>
      <c r="BU43" s="23"/>
    </row>
    <row r="44" spans="1:73" ht="21" customHeight="1" x14ac:dyDescent="0.55000000000000004">
      <c r="A44" s="5"/>
      <c r="AI44" s="51"/>
      <c r="AJ44" s="51"/>
      <c r="AK44" s="51"/>
      <c r="AL44" s="51"/>
      <c r="AM44" s="51"/>
      <c r="AN44" s="51"/>
      <c r="AO44" s="51"/>
      <c r="AP44" s="51"/>
      <c r="AQ44" s="51"/>
      <c r="AR44" s="51"/>
      <c r="AS44" s="51"/>
      <c r="AT44" s="51"/>
      <c r="AU44" s="51"/>
      <c r="AV44" s="51"/>
      <c r="AW44" s="51"/>
      <c r="AX44" s="51"/>
      <c r="AY44" s="116"/>
      <c r="AZ44" s="117"/>
      <c r="BA44" s="117"/>
      <c r="BB44" s="117"/>
      <c r="BC44" s="54"/>
      <c r="BD44" s="54"/>
      <c r="BE44" s="54"/>
      <c r="BF44" s="54"/>
      <c r="BG44" s="54"/>
      <c r="BH44" s="54"/>
      <c r="BI44" s="54"/>
      <c r="BJ44" s="62"/>
      <c r="BK44" s="51"/>
      <c r="BL44" s="51"/>
      <c r="BM44" s="51"/>
      <c r="BN44" s="51"/>
      <c r="BO44" s="51"/>
      <c r="BP44" s="51"/>
      <c r="BQ44" s="51"/>
      <c r="BR44" s="51"/>
      <c r="BT44" s="5"/>
      <c r="BU44" s="23"/>
    </row>
    <row r="45" spans="1:73" ht="21" customHeight="1" x14ac:dyDescent="0.55000000000000004">
      <c r="A45" s="5"/>
      <c r="AI45" s="51"/>
      <c r="AJ45" s="51"/>
      <c r="AK45" s="51"/>
      <c r="AL45" s="51"/>
      <c r="AM45" s="51"/>
      <c r="AN45" s="51"/>
      <c r="AO45" s="51"/>
      <c r="AP45" s="51"/>
      <c r="AQ45" s="51"/>
      <c r="AR45" s="51"/>
      <c r="AS45" s="51"/>
      <c r="AT45" s="51"/>
      <c r="AU45" s="51"/>
      <c r="AV45" s="51"/>
      <c r="AW45" s="51"/>
      <c r="AX45" s="51"/>
      <c r="AY45" s="119"/>
      <c r="AZ45" s="120"/>
      <c r="BA45" s="120"/>
      <c r="BB45" s="120"/>
      <c r="BC45" s="54"/>
      <c r="BD45" s="54"/>
      <c r="BE45" s="54"/>
      <c r="BF45" s="54"/>
      <c r="BG45" s="54"/>
      <c r="BH45" s="54"/>
      <c r="BI45" s="54"/>
      <c r="BJ45" s="62"/>
      <c r="BK45" s="51"/>
      <c r="BL45" s="51"/>
      <c r="BM45" s="51"/>
      <c r="BN45" s="51"/>
      <c r="BO45" s="51"/>
      <c r="BP45" s="51"/>
      <c r="BQ45" s="51"/>
      <c r="BR45" s="51"/>
      <c r="BT45" s="5"/>
      <c r="BU45" s="23"/>
    </row>
    <row r="46" spans="1:73" ht="21" customHeight="1" x14ac:dyDescent="0.55000000000000004">
      <c r="A46" s="5"/>
      <c r="AI46" s="51"/>
      <c r="AJ46" s="51"/>
      <c r="AK46" s="51"/>
      <c r="AL46" s="51"/>
      <c r="AM46" s="51"/>
      <c r="AN46" s="51"/>
      <c r="AO46" s="51"/>
      <c r="AP46" s="51"/>
      <c r="AQ46" s="51"/>
      <c r="AR46" s="51"/>
      <c r="AS46" s="51"/>
      <c r="AT46" s="51"/>
      <c r="AU46" s="51"/>
      <c r="AV46" s="51"/>
      <c r="AW46" s="51"/>
      <c r="AX46" s="51"/>
      <c r="AY46" s="125"/>
      <c r="AZ46" s="126"/>
      <c r="BA46" s="126"/>
      <c r="BB46" s="126"/>
      <c r="BC46" s="10"/>
      <c r="BD46" s="10"/>
      <c r="BE46" s="10"/>
      <c r="BF46" s="10"/>
      <c r="BG46" s="10"/>
      <c r="BH46" s="10"/>
      <c r="BI46" s="10"/>
      <c r="BJ46" s="58"/>
      <c r="BK46" s="51"/>
      <c r="BL46" s="51"/>
      <c r="BM46" s="51"/>
      <c r="BN46" s="51"/>
      <c r="BO46" s="51"/>
      <c r="BP46" s="51"/>
      <c r="BQ46" s="51"/>
      <c r="BR46" s="51"/>
      <c r="BT46" s="5"/>
      <c r="BU46" s="23"/>
    </row>
    <row r="47" spans="1:73" ht="21" customHeight="1" x14ac:dyDescent="0.55000000000000004">
      <c r="A47" s="5"/>
      <c r="C47" s="1" t="s">
        <v>521</v>
      </c>
      <c r="AI47" s="51"/>
      <c r="AJ47" s="51"/>
      <c r="AK47" s="51"/>
      <c r="AL47" s="51"/>
      <c r="AM47" s="51"/>
      <c r="AN47" s="51"/>
      <c r="AO47" s="51"/>
      <c r="AP47" s="51"/>
      <c r="AQ47" s="51"/>
      <c r="AR47" s="51"/>
      <c r="AS47" s="51"/>
      <c r="AT47" s="51"/>
      <c r="AU47" s="51"/>
      <c r="AV47" s="51"/>
      <c r="AW47" s="51"/>
      <c r="AX47" s="51"/>
      <c r="AY47" s="65"/>
      <c r="AZ47" s="10"/>
      <c r="BA47" s="10"/>
      <c r="BB47" s="10"/>
      <c r="BC47" s="10"/>
      <c r="BD47" s="10"/>
      <c r="BE47" s="10"/>
      <c r="BF47" s="10"/>
      <c r="BG47" s="10"/>
      <c r="BH47" s="10"/>
      <c r="BI47" s="10"/>
      <c r="BJ47" s="58"/>
      <c r="BK47" s="51"/>
      <c r="BL47" s="51"/>
      <c r="BM47" s="51"/>
      <c r="BN47" s="51"/>
      <c r="BO47" s="51"/>
      <c r="BP47" s="51"/>
      <c r="BQ47" s="51"/>
      <c r="BR47" s="51"/>
      <c r="BT47" s="5"/>
      <c r="BU47" s="23"/>
    </row>
    <row r="48" spans="1:73" ht="21" customHeight="1" x14ac:dyDescent="0.55000000000000004">
      <c r="A48" s="5"/>
      <c r="AI48" s="51"/>
      <c r="AJ48" s="51"/>
      <c r="AK48" s="51"/>
      <c r="AL48" s="51"/>
      <c r="AM48" s="51"/>
      <c r="AN48" s="51"/>
      <c r="AO48" s="51"/>
      <c r="AP48" s="51"/>
      <c r="AQ48" s="51"/>
      <c r="AR48" s="51"/>
      <c r="AS48" s="51"/>
      <c r="AT48" s="51"/>
      <c r="AU48" s="51"/>
      <c r="AV48" s="51"/>
      <c r="AW48" s="51"/>
      <c r="AX48" s="51"/>
      <c r="AY48" s="63"/>
      <c r="AZ48" s="54"/>
      <c r="BA48" s="54"/>
      <c r="BB48" s="54"/>
      <c r="BC48" s="54"/>
      <c r="BD48" s="54"/>
      <c r="BE48" s="54"/>
      <c r="BF48" s="54"/>
      <c r="BG48" s="54"/>
      <c r="BH48" s="54"/>
      <c r="BI48" s="54"/>
      <c r="BJ48" s="62"/>
      <c r="BK48" s="51"/>
      <c r="BL48" s="51"/>
      <c r="BM48" s="51"/>
      <c r="BN48" s="51"/>
      <c r="BO48" s="51"/>
      <c r="BP48" s="51"/>
      <c r="BQ48" s="51"/>
      <c r="BR48" s="51"/>
      <c r="BT48" s="5"/>
      <c r="BU48" s="23"/>
    </row>
    <row r="49" spans="1:73" ht="21" customHeight="1" x14ac:dyDescent="0.55000000000000004">
      <c r="A49" s="5"/>
      <c r="AI49" s="51"/>
      <c r="AJ49" s="51"/>
      <c r="AK49" s="51"/>
      <c r="AL49" s="51"/>
      <c r="AM49" s="51"/>
      <c r="AN49" s="51"/>
      <c r="AO49" s="51"/>
      <c r="AP49" s="51"/>
      <c r="AQ49" s="51"/>
      <c r="AR49" s="51"/>
      <c r="AS49" s="51"/>
      <c r="AT49" s="51"/>
      <c r="AU49" s="51"/>
      <c r="AV49" s="51"/>
      <c r="AW49" s="51"/>
      <c r="AX49" s="51"/>
      <c r="AY49" s="63"/>
      <c r="AZ49" s="54"/>
      <c r="BA49" s="54"/>
      <c r="BB49" s="54"/>
      <c r="BC49" s="54"/>
      <c r="BD49" s="54"/>
      <c r="BE49" s="54"/>
      <c r="BF49" s="54"/>
      <c r="BG49" s="54"/>
      <c r="BH49" s="54"/>
      <c r="BI49" s="54"/>
      <c r="BJ49" s="62"/>
      <c r="BK49" s="51"/>
      <c r="BL49" s="51"/>
      <c r="BM49" s="51"/>
      <c r="BN49" s="51"/>
      <c r="BO49" s="51"/>
      <c r="BP49" s="51"/>
      <c r="BQ49" s="51"/>
      <c r="BR49" s="51"/>
      <c r="BT49" s="5"/>
      <c r="BU49" s="23"/>
    </row>
    <row r="50" spans="1:73" ht="21" customHeight="1" thickBot="1" x14ac:dyDescent="0.6">
      <c r="A50" s="5"/>
      <c r="AV50" s="51"/>
      <c r="AW50" s="51"/>
      <c r="AX50" s="51"/>
      <c r="AY50" s="64"/>
      <c r="AZ50" s="59"/>
      <c r="BA50" s="59"/>
      <c r="BB50" s="59"/>
      <c r="BC50" s="59"/>
      <c r="BD50" s="59"/>
      <c r="BE50" s="59"/>
      <c r="BF50" s="59"/>
      <c r="BG50" s="59"/>
      <c r="BH50" s="59"/>
      <c r="BI50" s="59"/>
      <c r="BJ50" s="60"/>
      <c r="BO50" s="51"/>
      <c r="BP50" s="51"/>
      <c r="BQ50" s="51"/>
      <c r="BR50" s="51"/>
      <c r="BS50" s="51"/>
      <c r="BT50" s="5"/>
      <c r="BU50" s="23"/>
    </row>
    <row r="51" spans="1:73" ht="21" customHeight="1" x14ac:dyDescent="0.55000000000000004">
      <c r="A51" s="5"/>
      <c r="B51" t="s">
        <v>164</v>
      </c>
      <c r="G51" s="7"/>
      <c r="AM51" s="52"/>
      <c r="AN51" s="52"/>
      <c r="AO51" s="52"/>
      <c r="AP51" s="52"/>
      <c r="AQ51" s="52"/>
      <c r="AR51" s="52"/>
      <c r="AS51" s="52"/>
      <c r="AT51" s="52"/>
      <c r="AU51" s="52"/>
      <c r="AV51" s="52"/>
      <c r="AW51" s="52"/>
      <c r="AX51" s="52"/>
      <c r="AY51" s="52"/>
      <c r="AZ51" s="52"/>
      <c r="BA51" s="52"/>
      <c r="BB51" s="52"/>
      <c r="BC51" s="52"/>
      <c r="BD51" s="52"/>
      <c r="BE51" s="52"/>
      <c r="BF51" s="52"/>
      <c r="BG51" s="52"/>
      <c r="BH51" s="52"/>
      <c r="BI51" s="52"/>
      <c r="BJ51" s="52"/>
      <c r="BK51" s="52"/>
      <c r="BL51" s="52"/>
      <c r="BM51" s="52"/>
      <c r="BN51" s="52"/>
      <c r="BO51" s="52"/>
      <c r="BP51" s="52"/>
      <c r="BQ51" s="52"/>
      <c r="BR51" s="52"/>
      <c r="BS51" s="52"/>
      <c r="BT51" s="5"/>
      <c r="BU51" s="23"/>
    </row>
    <row r="52" spans="1:73" ht="21" customHeight="1" x14ac:dyDescent="0.55000000000000004">
      <c r="A52" s="5"/>
      <c r="B52" t="s">
        <v>161</v>
      </c>
      <c r="BT52" s="5"/>
      <c r="BU52" s="23"/>
    </row>
    <row r="53" spans="1:73" ht="21" customHeight="1" x14ac:dyDescent="0.55000000000000004">
      <c r="A53" s="5"/>
      <c r="B53" s="5"/>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c r="BT53" s="5"/>
      <c r="BU53" s="23"/>
    </row>
    <row r="54" spans="1:73" ht="21" customHeight="1" x14ac:dyDescent="0.55000000000000004">
      <c r="A54" s="23" t="s">
        <v>90</v>
      </c>
      <c r="B54" s="23"/>
      <c r="C54" s="23"/>
      <c r="D54" s="23"/>
      <c r="E54" s="23"/>
      <c r="F54" s="23"/>
      <c r="G54" s="23"/>
      <c r="H54" s="23"/>
      <c r="I54" s="23"/>
      <c r="J54" s="23"/>
      <c r="K54" s="23"/>
      <c r="L54" s="23"/>
      <c r="M54" s="23"/>
      <c r="N54" s="23"/>
      <c r="O54" s="23"/>
      <c r="P54" s="23"/>
      <c r="Q54" s="23"/>
      <c r="R54" s="23"/>
      <c r="S54" s="23"/>
      <c r="T54" s="23"/>
      <c r="U54" s="23"/>
      <c r="V54" s="23"/>
      <c r="W54" s="23"/>
      <c r="X54" s="23"/>
      <c r="Y54" s="23"/>
      <c r="Z54" s="23"/>
      <c r="AA54" s="23"/>
      <c r="AB54" s="23"/>
      <c r="AC54" s="23"/>
      <c r="AD54" s="23"/>
      <c r="AE54" s="23"/>
      <c r="AF54" s="23"/>
      <c r="AG54" s="23"/>
      <c r="AH54" s="23"/>
      <c r="AI54" s="23"/>
      <c r="AJ54" s="23"/>
      <c r="AK54" s="23"/>
      <c r="AL54" s="23"/>
      <c r="AM54" s="23"/>
      <c r="AN54" s="23"/>
      <c r="AO54" s="23"/>
      <c r="AP54" s="23"/>
      <c r="AQ54" s="23"/>
      <c r="AR54" s="23"/>
      <c r="AS54" s="23"/>
      <c r="AT54" s="23"/>
      <c r="AU54" s="23"/>
      <c r="AV54" s="23"/>
      <c r="AW54" s="23"/>
      <c r="AX54" s="23"/>
      <c r="AY54" s="23"/>
      <c r="AZ54" s="23"/>
      <c r="BA54" s="23"/>
      <c r="BB54" s="23"/>
      <c r="BC54" s="23"/>
      <c r="BD54" s="23"/>
      <c r="BE54" s="23"/>
      <c r="BF54" s="23"/>
      <c r="BG54" s="23"/>
      <c r="BH54" s="23"/>
      <c r="BI54" s="23"/>
      <c r="BJ54" s="23"/>
      <c r="BK54" s="23"/>
      <c r="BL54" s="23"/>
      <c r="BM54" s="23"/>
      <c r="BN54" s="23"/>
      <c r="BO54" s="23"/>
      <c r="BP54" s="23"/>
      <c r="BQ54" s="23"/>
      <c r="BR54" s="23"/>
      <c r="BS54" s="23"/>
      <c r="BT54" s="23"/>
      <c r="BU54" s="23"/>
    </row>
  </sheetData>
  <mergeCells count="92">
    <mergeCell ref="K8:N8"/>
    <mergeCell ref="W8:Z8"/>
    <mergeCell ref="AA8:AD8"/>
    <mergeCell ref="L7:N7"/>
    <mergeCell ref="X7:Z7"/>
    <mergeCell ref="AB7:AD7"/>
    <mergeCell ref="K10:N10"/>
    <mergeCell ref="W10:Z10"/>
    <mergeCell ref="AA10:AD10"/>
    <mergeCell ref="K9:N9"/>
    <mergeCell ref="W9:Z9"/>
    <mergeCell ref="AA9:AD9"/>
    <mergeCell ref="G12:J12"/>
    <mergeCell ref="K12:N12"/>
    <mergeCell ref="AE12:AH12"/>
    <mergeCell ref="H11:J11"/>
    <mergeCell ref="L11:N11"/>
    <mergeCell ref="AF11:AH11"/>
    <mergeCell ref="G14:J14"/>
    <mergeCell ref="K14:N14"/>
    <mergeCell ref="AE14:AH14"/>
    <mergeCell ref="G13:J13"/>
    <mergeCell ref="K13:N13"/>
    <mergeCell ref="AE13:AH13"/>
    <mergeCell ref="AM16:AP16"/>
    <mergeCell ref="W17:Z17"/>
    <mergeCell ref="AN15:AP15"/>
    <mergeCell ref="W16:Z16"/>
    <mergeCell ref="X15:Z15"/>
    <mergeCell ref="O22:R22"/>
    <mergeCell ref="O21:R21"/>
    <mergeCell ref="O20:R20"/>
    <mergeCell ref="P19:R19"/>
    <mergeCell ref="AM17:AP17"/>
    <mergeCell ref="W18:Z18"/>
    <mergeCell ref="AM18:AP18"/>
    <mergeCell ref="AN23:AP23"/>
    <mergeCell ref="AV23:AX23"/>
    <mergeCell ref="O24:R24"/>
    <mergeCell ref="AA24:AD24"/>
    <mergeCell ref="AI24:AL24"/>
    <mergeCell ref="P23:R23"/>
    <mergeCell ref="AB23:AD23"/>
    <mergeCell ref="AJ23:AL23"/>
    <mergeCell ref="AM24:AP24"/>
    <mergeCell ref="AU24:AX24"/>
    <mergeCell ref="O25:R25"/>
    <mergeCell ref="AA25:AD25"/>
    <mergeCell ref="AI25:AL25"/>
    <mergeCell ref="AM25:AP25"/>
    <mergeCell ref="AU25:AX25"/>
    <mergeCell ref="O26:R26"/>
    <mergeCell ref="AA26:AD26"/>
    <mergeCell ref="AI26:AL26"/>
    <mergeCell ref="AV27:AX27"/>
    <mergeCell ref="AM26:AP26"/>
    <mergeCell ref="AU26:AX26"/>
    <mergeCell ref="T27:V27"/>
    <mergeCell ref="AB27:AD27"/>
    <mergeCell ref="AU29:AX29"/>
    <mergeCell ref="S29:V29"/>
    <mergeCell ref="AA29:AD29"/>
    <mergeCell ref="AU28:AX28"/>
    <mergeCell ref="S28:V28"/>
    <mergeCell ref="AA28:AD28"/>
    <mergeCell ref="G32:J32"/>
    <mergeCell ref="AI32:AL32"/>
    <mergeCell ref="AJ31:AL31"/>
    <mergeCell ref="H31:J31"/>
    <mergeCell ref="AU30:AX30"/>
    <mergeCell ref="S30:V30"/>
    <mergeCell ref="AA30:AD30"/>
    <mergeCell ref="AV31:AX31"/>
    <mergeCell ref="AU32:AX32"/>
    <mergeCell ref="BD35:BF35"/>
    <mergeCell ref="G34:J34"/>
    <mergeCell ref="AI34:AL34"/>
    <mergeCell ref="AI33:AL33"/>
    <mergeCell ref="G33:J33"/>
    <mergeCell ref="AU33:AX33"/>
    <mergeCell ref="AU34:AX34"/>
    <mergeCell ref="AY40:BB40"/>
    <mergeCell ref="BC38:BF38"/>
    <mergeCell ref="AZ39:BB39"/>
    <mergeCell ref="BC36:BF36"/>
    <mergeCell ref="BC37:BF37"/>
    <mergeCell ref="AY45:BB45"/>
    <mergeCell ref="AY46:BB46"/>
    <mergeCell ref="AZ43:BB43"/>
    <mergeCell ref="AY44:BB44"/>
    <mergeCell ref="AY41:BB41"/>
    <mergeCell ref="AY42:BB42"/>
  </mergeCells>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915BDC-0E50-4EB6-95A0-CC74E8AA64C6}">
  <sheetPr codeName="Sheet4">
    <tabColor rgb="FF86DFCB"/>
  </sheetPr>
  <dimension ref="A1:P106"/>
  <sheetViews>
    <sheetView zoomScaleNormal="100" workbookViewId="0">
      <pane ySplit="1" topLeftCell="A2" activePane="bottomLeft" state="frozen"/>
      <selection pane="bottomLeft" activeCell="A2" sqref="A2"/>
    </sheetView>
  </sheetViews>
  <sheetFormatPr defaultRowHeight="18" x14ac:dyDescent="0.55000000000000004"/>
  <cols>
    <col min="1" max="1" width="14.6640625" customWidth="1"/>
    <col min="2" max="2" width="13.25" bestFit="1" customWidth="1"/>
    <col min="3" max="3" width="12.08203125" bestFit="1" customWidth="1"/>
    <col min="4" max="4" width="16.25" bestFit="1" customWidth="1"/>
    <col min="5" max="5" width="12.6640625" bestFit="1" customWidth="1"/>
    <col min="6" max="6" width="8.9140625" bestFit="1" customWidth="1"/>
    <col min="7" max="7" width="10.75" bestFit="1" customWidth="1"/>
    <col min="8" max="8" width="11" bestFit="1" customWidth="1"/>
    <col min="9" max="9" width="17.9140625" bestFit="1" customWidth="1"/>
    <col min="10" max="10" width="19.5" customWidth="1"/>
    <col min="11" max="11" width="22.08203125" bestFit="1" customWidth="1"/>
    <col min="12" max="12" width="14.33203125" bestFit="1" customWidth="1"/>
    <col min="13" max="13" width="12.33203125" bestFit="1" customWidth="1"/>
  </cols>
  <sheetData>
    <row r="1" spans="1:16" x14ac:dyDescent="0.55000000000000004">
      <c r="A1" s="42" t="s">
        <v>163</v>
      </c>
      <c r="B1" s="42" t="s">
        <v>201</v>
      </c>
      <c r="C1" s="43" t="s">
        <v>24</v>
      </c>
      <c r="D1" s="43" t="s">
        <v>25</v>
      </c>
      <c r="E1" s="43" t="s">
        <v>629</v>
      </c>
      <c r="F1" s="43" t="s">
        <v>200</v>
      </c>
      <c r="G1" s="43" t="s">
        <v>385</v>
      </c>
      <c r="H1" s="43" t="s">
        <v>626</v>
      </c>
      <c r="I1" s="43" t="s">
        <v>627</v>
      </c>
      <c r="J1" s="43" t="s">
        <v>750</v>
      </c>
      <c r="K1" s="43" t="s">
        <v>635</v>
      </c>
      <c r="L1" s="43" t="s">
        <v>636</v>
      </c>
      <c r="M1" s="43" t="s">
        <v>637</v>
      </c>
      <c r="N1" s="43" t="s">
        <v>638</v>
      </c>
      <c r="O1" s="43" t="s">
        <v>639</v>
      </c>
      <c r="P1" s="43" t="s">
        <v>640</v>
      </c>
    </row>
    <row r="2" spans="1:16" x14ac:dyDescent="0.55000000000000004">
      <c r="A2" s="44" t="s">
        <v>560</v>
      </c>
      <c r="B2" s="9">
        <v>4</v>
      </c>
      <c r="C2" s="2" t="s">
        <v>387</v>
      </c>
      <c r="D2" s="2" t="s">
        <v>387</v>
      </c>
      <c r="E2">
        <v>1476</v>
      </c>
      <c r="F2">
        <v>730</v>
      </c>
      <c r="G2" t="s">
        <v>386</v>
      </c>
      <c r="H2">
        <v>55.6</v>
      </c>
      <c r="I2">
        <f>ROUND(E2/H2,1)</f>
        <v>26.5</v>
      </c>
      <c r="J2">
        <f>ROUND(F2/H2,1)</f>
        <v>13.1</v>
      </c>
      <c r="K2" s="69" t="s">
        <v>746</v>
      </c>
      <c r="L2" s="69" t="s">
        <v>746</v>
      </c>
      <c r="M2" s="69" t="s">
        <v>746</v>
      </c>
      <c r="N2" s="69" t="s">
        <v>746</v>
      </c>
      <c r="O2" s="69" t="s">
        <v>746</v>
      </c>
      <c r="P2" s="69" t="s">
        <v>746</v>
      </c>
    </row>
    <row r="3" spans="1:16" x14ac:dyDescent="0.55000000000000004">
      <c r="A3" s="44">
        <v>34</v>
      </c>
      <c r="B3" s="9">
        <v>1</v>
      </c>
      <c r="C3" s="2" t="s">
        <v>202</v>
      </c>
      <c r="D3" s="2" t="s">
        <v>202</v>
      </c>
      <c r="E3">
        <v>125</v>
      </c>
      <c r="F3">
        <v>67</v>
      </c>
      <c r="H3">
        <v>15.9</v>
      </c>
      <c r="I3">
        <f t="shared" ref="I3:I66" si="0">ROUND(E3/H3,1)</f>
        <v>7.9</v>
      </c>
      <c r="J3">
        <f t="shared" ref="J3:J66" si="1">ROUND(F3/H3,1)</f>
        <v>4.2</v>
      </c>
      <c r="K3" s="68" t="s">
        <v>746</v>
      </c>
      <c r="L3" s="68" t="s">
        <v>746</v>
      </c>
      <c r="M3" s="68" t="s">
        <v>746</v>
      </c>
      <c r="N3" s="68" t="s">
        <v>746</v>
      </c>
      <c r="O3" s="68" t="s">
        <v>746</v>
      </c>
      <c r="P3" s="68" t="s">
        <v>746</v>
      </c>
    </row>
    <row r="4" spans="1:16" x14ac:dyDescent="0.55000000000000004">
      <c r="A4" s="44">
        <v>33</v>
      </c>
      <c r="B4" s="9">
        <v>2</v>
      </c>
      <c r="C4" s="2" t="s">
        <v>203</v>
      </c>
      <c r="D4" s="2" t="s">
        <v>204</v>
      </c>
      <c r="E4">
        <v>137</v>
      </c>
      <c r="F4">
        <v>52</v>
      </c>
      <c r="H4">
        <v>15.9</v>
      </c>
      <c r="I4">
        <f t="shared" si="0"/>
        <v>8.6</v>
      </c>
      <c r="J4">
        <f t="shared" si="1"/>
        <v>3.3</v>
      </c>
      <c r="K4" t="s">
        <v>641</v>
      </c>
      <c r="L4" s="68" t="s">
        <v>746</v>
      </c>
      <c r="M4" s="68" t="s">
        <v>746</v>
      </c>
      <c r="N4" s="68" t="s">
        <v>746</v>
      </c>
      <c r="O4" s="68" t="s">
        <v>746</v>
      </c>
      <c r="P4" s="68" t="s">
        <v>746</v>
      </c>
    </row>
    <row r="5" spans="1:16" x14ac:dyDescent="0.55000000000000004">
      <c r="A5" s="44">
        <v>32</v>
      </c>
      <c r="B5" s="9">
        <v>3</v>
      </c>
      <c r="C5" s="2" t="s">
        <v>205</v>
      </c>
      <c r="D5" s="2" t="s">
        <v>206</v>
      </c>
      <c r="E5">
        <v>1214</v>
      </c>
      <c r="F5">
        <v>611</v>
      </c>
      <c r="H5">
        <v>23.8</v>
      </c>
      <c r="I5">
        <f t="shared" si="0"/>
        <v>51</v>
      </c>
      <c r="J5">
        <f t="shared" si="1"/>
        <v>25.7</v>
      </c>
      <c r="K5" t="s">
        <v>642</v>
      </c>
      <c r="L5" s="68" t="s">
        <v>746</v>
      </c>
      <c r="M5" s="68" t="s">
        <v>746</v>
      </c>
      <c r="N5" s="68" t="s">
        <v>746</v>
      </c>
      <c r="O5" s="68" t="s">
        <v>746</v>
      </c>
      <c r="P5" s="68" t="s">
        <v>746</v>
      </c>
    </row>
    <row r="6" spans="1:16" x14ac:dyDescent="0.55000000000000004">
      <c r="A6" s="44" t="s">
        <v>561</v>
      </c>
      <c r="B6" s="9">
        <v>10</v>
      </c>
      <c r="C6" s="2" t="s">
        <v>389</v>
      </c>
      <c r="D6" s="2" t="s">
        <v>396</v>
      </c>
      <c r="E6">
        <v>3138</v>
      </c>
      <c r="F6">
        <v>1448</v>
      </c>
      <c r="G6" t="s">
        <v>390</v>
      </c>
      <c r="H6">
        <v>55.3</v>
      </c>
      <c r="I6">
        <f t="shared" si="0"/>
        <v>56.7</v>
      </c>
      <c r="J6">
        <f t="shared" si="1"/>
        <v>26.2</v>
      </c>
      <c r="K6" s="69" t="s">
        <v>746</v>
      </c>
      <c r="L6" s="69" t="s">
        <v>746</v>
      </c>
      <c r="M6" s="69" t="s">
        <v>746</v>
      </c>
      <c r="N6" s="69" t="s">
        <v>746</v>
      </c>
      <c r="O6" s="69" t="s">
        <v>746</v>
      </c>
      <c r="P6" s="69" t="s">
        <v>746</v>
      </c>
    </row>
    <row r="7" spans="1:16" x14ac:dyDescent="0.55000000000000004">
      <c r="A7" s="44">
        <v>62</v>
      </c>
      <c r="B7" s="9">
        <v>5</v>
      </c>
      <c r="C7" s="2" t="s">
        <v>388</v>
      </c>
      <c r="D7" s="2" t="s">
        <v>391</v>
      </c>
      <c r="E7">
        <v>12</v>
      </c>
      <c r="F7">
        <v>11</v>
      </c>
      <c r="H7">
        <v>9.9</v>
      </c>
      <c r="I7">
        <f t="shared" si="0"/>
        <v>1.2</v>
      </c>
      <c r="J7">
        <f t="shared" si="1"/>
        <v>1.1000000000000001</v>
      </c>
      <c r="K7" s="68" t="s">
        <v>746</v>
      </c>
      <c r="L7" s="68" t="s">
        <v>746</v>
      </c>
      <c r="M7" s="68" t="s">
        <v>746</v>
      </c>
      <c r="N7" s="68" t="s">
        <v>746</v>
      </c>
      <c r="O7" s="68" t="s">
        <v>746</v>
      </c>
      <c r="P7" s="68" t="s">
        <v>746</v>
      </c>
    </row>
    <row r="8" spans="1:16" x14ac:dyDescent="0.55000000000000004">
      <c r="A8" s="44">
        <v>63</v>
      </c>
      <c r="B8" s="9">
        <v>6</v>
      </c>
      <c r="C8" s="2" t="s">
        <v>335</v>
      </c>
      <c r="D8" s="2" t="s">
        <v>392</v>
      </c>
      <c r="E8">
        <v>226</v>
      </c>
      <c r="F8">
        <v>114</v>
      </c>
      <c r="H8">
        <v>11.9</v>
      </c>
      <c r="I8">
        <f t="shared" si="0"/>
        <v>19</v>
      </c>
      <c r="J8">
        <f t="shared" si="1"/>
        <v>9.6</v>
      </c>
      <c r="K8" t="s">
        <v>643</v>
      </c>
      <c r="L8" s="68" t="s">
        <v>746</v>
      </c>
      <c r="M8" s="68" t="s">
        <v>746</v>
      </c>
      <c r="N8" s="68" t="s">
        <v>746</v>
      </c>
      <c r="O8" s="68" t="s">
        <v>746</v>
      </c>
      <c r="P8" s="68" t="s">
        <v>746</v>
      </c>
    </row>
    <row r="9" spans="1:16" x14ac:dyDescent="0.55000000000000004">
      <c r="A9" s="44">
        <v>64</v>
      </c>
      <c r="B9" s="9">
        <v>7</v>
      </c>
      <c r="C9" s="2" t="s">
        <v>337</v>
      </c>
      <c r="D9" s="2" t="s">
        <v>394</v>
      </c>
      <c r="E9">
        <v>599</v>
      </c>
      <c r="F9">
        <v>278</v>
      </c>
      <c r="H9">
        <v>12</v>
      </c>
      <c r="I9">
        <f t="shared" si="0"/>
        <v>49.9</v>
      </c>
      <c r="J9">
        <f t="shared" si="1"/>
        <v>23.2</v>
      </c>
      <c r="K9" s="68" t="s">
        <v>746</v>
      </c>
      <c r="L9" s="68" t="s">
        <v>746</v>
      </c>
      <c r="M9" s="68" t="s">
        <v>746</v>
      </c>
      <c r="N9" s="68" t="s">
        <v>746</v>
      </c>
      <c r="O9" s="68" t="s">
        <v>746</v>
      </c>
      <c r="P9" s="68" t="s">
        <v>746</v>
      </c>
    </row>
    <row r="10" spans="1:16" x14ac:dyDescent="0.55000000000000004">
      <c r="A10" s="44">
        <v>65</v>
      </c>
      <c r="B10" s="9">
        <v>8</v>
      </c>
      <c r="C10" s="2" t="s">
        <v>339</v>
      </c>
      <c r="D10" s="2" t="s">
        <v>395</v>
      </c>
      <c r="E10">
        <v>1123</v>
      </c>
      <c r="F10">
        <v>506</v>
      </c>
      <c r="H10">
        <v>13.5</v>
      </c>
      <c r="I10">
        <f t="shared" si="0"/>
        <v>83.2</v>
      </c>
      <c r="J10">
        <f t="shared" si="1"/>
        <v>37.5</v>
      </c>
      <c r="K10" t="s">
        <v>644</v>
      </c>
      <c r="L10" s="68" t="s">
        <v>746</v>
      </c>
      <c r="M10" s="68" t="s">
        <v>746</v>
      </c>
      <c r="N10" s="68" t="s">
        <v>746</v>
      </c>
      <c r="O10" s="68" t="s">
        <v>746</v>
      </c>
      <c r="P10" s="68" t="s">
        <v>746</v>
      </c>
    </row>
    <row r="11" spans="1:16" x14ac:dyDescent="0.55000000000000004">
      <c r="A11" s="44">
        <v>66</v>
      </c>
      <c r="B11" s="9">
        <v>9</v>
      </c>
      <c r="C11" s="2" t="s">
        <v>341</v>
      </c>
      <c r="D11" s="2" t="s">
        <v>393</v>
      </c>
      <c r="E11">
        <v>1178</v>
      </c>
      <c r="F11">
        <v>539</v>
      </c>
      <c r="H11">
        <v>8</v>
      </c>
      <c r="I11">
        <f t="shared" si="0"/>
        <v>147.30000000000001</v>
      </c>
      <c r="J11">
        <f t="shared" si="1"/>
        <v>67.400000000000006</v>
      </c>
      <c r="K11" s="68" t="s">
        <v>746</v>
      </c>
      <c r="L11" s="68" t="s">
        <v>746</v>
      </c>
      <c r="M11" s="68" t="s">
        <v>746</v>
      </c>
      <c r="N11" s="68" t="s">
        <v>746</v>
      </c>
      <c r="O11" s="68" t="s">
        <v>746</v>
      </c>
      <c r="P11" s="68" t="s">
        <v>746</v>
      </c>
    </row>
    <row r="12" spans="1:16" x14ac:dyDescent="0.55000000000000004">
      <c r="A12" s="44" t="s">
        <v>562</v>
      </c>
      <c r="B12" s="9">
        <v>16</v>
      </c>
      <c r="C12" s="2" t="s">
        <v>207</v>
      </c>
      <c r="D12" s="2" t="s">
        <v>403</v>
      </c>
      <c r="E12">
        <v>9311</v>
      </c>
      <c r="F12">
        <v>4250</v>
      </c>
      <c r="G12" t="s">
        <v>397</v>
      </c>
      <c r="H12">
        <v>77.900000000000006</v>
      </c>
      <c r="I12">
        <f t="shared" si="0"/>
        <v>119.5</v>
      </c>
      <c r="J12">
        <f t="shared" si="1"/>
        <v>54.6</v>
      </c>
      <c r="K12" s="69" t="s">
        <v>746</v>
      </c>
      <c r="L12" s="69" t="s">
        <v>746</v>
      </c>
      <c r="M12" s="69" t="s">
        <v>746</v>
      </c>
      <c r="N12" s="69" t="s">
        <v>746</v>
      </c>
      <c r="O12" s="69" t="s">
        <v>746</v>
      </c>
      <c r="P12" s="69" t="s">
        <v>746</v>
      </c>
    </row>
    <row r="13" spans="1:16" x14ac:dyDescent="0.55000000000000004">
      <c r="A13" s="44">
        <v>59</v>
      </c>
      <c r="B13" s="9">
        <v>11</v>
      </c>
      <c r="C13" s="2" t="s">
        <v>375</v>
      </c>
      <c r="D13" s="2" t="s">
        <v>398</v>
      </c>
      <c r="E13">
        <v>1529</v>
      </c>
      <c r="F13">
        <v>742</v>
      </c>
      <c r="H13">
        <v>18.7</v>
      </c>
      <c r="I13">
        <f t="shared" si="0"/>
        <v>81.8</v>
      </c>
      <c r="J13">
        <f t="shared" si="1"/>
        <v>39.700000000000003</v>
      </c>
      <c r="K13" t="s">
        <v>645</v>
      </c>
      <c r="L13" s="68" t="s">
        <v>746</v>
      </c>
      <c r="M13" s="68" t="s">
        <v>746</v>
      </c>
      <c r="N13" s="68" t="s">
        <v>746</v>
      </c>
      <c r="O13" s="68" t="s">
        <v>746</v>
      </c>
      <c r="P13" s="68" t="s">
        <v>746</v>
      </c>
    </row>
    <row r="14" spans="1:16" x14ac:dyDescent="0.55000000000000004">
      <c r="A14" s="44">
        <v>68</v>
      </c>
      <c r="B14" s="9">
        <v>12</v>
      </c>
      <c r="C14" s="2" t="s">
        <v>377</v>
      </c>
      <c r="D14" s="2" t="s">
        <v>399</v>
      </c>
      <c r="E14">
        <v>1894</v>
      </c>
      <c r="F14">
        <v>796</v>
      </c>
      <c r="H14">
        <v>15.5</v>
      </c>
      <c r="I14">
        <f t="shared" si="0"/>
        <v>122.2</v>
      </c>
      <c r="J14">
        <f t="shared" si="1"/>
        <v>51.4</v>
      </c>
      <c r="K14" t="s">
        <v>646</v>
      </c>
      <c r="L14" s="68" t="s">
        <v>746</v>
      </c>
      <c r="M14" s="68" t="s">
        <v>746</v>
      </c>
      <c r="N14" s="68" t="s">
        <v>746</v>
      </c>
      <c r="O14" s="68" t="s">
        <v>746</v>
      </c>
      <c r="P14" s="68" t="s">
        <v>746</v>
      </c>
    </row>
    <row r="15" spans="1:16" x14ac:dyDescent="0.55000000000000004">
      <c r="A15" s="44">
        <v>67</v>
      </c>
      <c r="B15" s="9">
        <v>13</v>
      </c>
      <c r="C15" s="2" t="s">
        <v>379</v>
      </c>
      <c r="D15" s="2" t="s">
        <v>400</v>
      </c>
      <c r="E15">
        <v>2169</v>
      </c>
      <c r="F15">
        <v>1049</v>
      </c>
      <c r="H15">
        <v>13.7</v>
      </c>
      <c r="I15">
        <f t="shared" si="0"/>
        <v>158.30000000000001</v>
      </c>
      <c r="J15">
        <f t="shared" si="1"/>
        <v>76.599999999999994</v>
      </c>
      <c r="K15" s="68" t="s">
        <v>746</v>
      </c>
      <c r="L15" s="68" t="s">
        <v>746</v>
      </c>
      <c r="M15" s="68" t="s">
        <v>746</v>
      </c>
      <c r="N15" s="68" t="s">
        <v>746</v>
      </c>
      <c r="O15" s="68" t="s">
        <v>746</v>
      </c>
      <c r="P15" s="68" t="s">
        <v>746</v>
      </c>
    </row>
    <row r="16" spans="1:16" x14ac:dyDescent="0.55000000000000004">
      <c r="A16" s="44">
        <v>58</v>
      </c>
      <c r="B16" s="9">
        <v>14</v>
      </c>
      <c r="C16" s="2" t="s">
        <v>381</v>
      </c>
      <c r="D16" s="2" t="s">
        <v>401</v>
      </c>
      <c r="E16">
        <v>1686</v>
      </c>
      <c r="F16">
        <v>745</v>
      </c>
      <c r="H16">
        <v>18</v>
      </c>
      <c r="I16">
        <f t="shared" si="0"/>
        <v>93.7</v>
      </c>
      <c r="J16">
        <f t="shared" si="1"/>
        <v>41.4</v>
      </c>
      <c r="K16" s="68" t="s">
        <v>746</v>
      </c>
      <c r="L16" s="68" t="s">
        <v>746</v>
      </c>
      <c r="M16" s="68" t="s">
        <v>746</v>
      </c>
      <c r="N16" s="68" t="s">
        <v>746</v>
      </c>
      <c r="O16" s="68" t="s">
        <v>746</v>
      </c>
      <c r="P16" s="68" t="s">
        <v>746</v>
      </c>
    </row>
    <row r="17" spans="1:16" x14ac:dyDescent="0.55000000000000004">
      <c r="A17" s="44">
        <v>44</v>
      </c>
      <c r="B17" s="9">
        <v>15</v>
      </c>
      <c r="C17" s="2" t="s">
        <v>383</v>
      </c>
      <c r="D17" s="2" t="s">
        <v>402</v>
      </c>
      <c r="E17">
        <v>2033</v>
      </c>
      <c r="F17">
        <v>918</v>
      </c>
      <c r="H17">
        <v>12</v>
      </c>
      <c r="I17">
        <f t="shared" si="0"/>
        <v>169.4</v>
      </c>
      <c r="J17">
        <f t="shared" si="1"/>
        <v>76.5</v>
      </c>
      <c r="K17" s="68" t="s">
        <v>746</v>
      </c>
      <c r="L17" s="68" t="s">
        <v>746</v>
      </c>
      <c r="M17" s="68" t="s">
        <v>746</v>
      </c>
      <c r="N17" s="68" t="s">
        <v>746</v>
      </c>
      <c r="O17" s="68" t="s">
        <v>746</v>
      </c>
      <c r="P17" s="68" t="s">
        <v>746</v>
      </c>
    </row>
    <row r="18" spans="1:16" x14ac:dyDescent="0.55000000000000004">
      <c r="A18" s="44" t="s">
        <v>563</v>
      </c>
      <c r="B18" s="9">
        <v>22</v>
      </c>
      <c r="C18" s="2" t="s">
        <v>208</v>
      </c>
      <c r="D18" s="2" t="s">
        <v>410</v>
      </c>
      <c r="E18">
        <v>9278</v>
      </c>
      <c r="F18">
        <v>4328</v>
      </c>
      <c r="G18" t="s">
        <v>404</v>
      </c>
      <c r="H18">
        <v>178.2</v>
      </c>
      <c r="I18">
        <f t="shared" si="0"/>
        <v>52.1</v>
      </c>
      <c r="J18">
        <f t="shared" si="1"/>
        <v>24.3</v>
      </c>
      <c r="K18" s="69" t="s">
        <v>746</v>
      </c>
      <c r="L18" s="69" t="s">
        <v>746</v>
      </c>
      <c r="M18" s="69" t="s">
        <v>746</v>
      </c>
      <c r="N18" s="69" t="s">
        <v>746</v>
      </c>
      <c r="O18" s="69" t="s">
        <v>746</v>
      </c>
      <c r="P18" s="69" t="s">
        <v>746</v>
      </c>
    </row>
    <row r="19" spans="1:16" x14ac:dyDescent="0.55000000000000004">
      <c r="A19" s="44">
        <v>18</v>
      </c>
      <c r="B19" s="9">
        <v>17</v>
      </c>
      <c r="C19" s="2" t="s">
        <v>244</v>
      </c>
      <c r="D19" s="2" t="s">
        <v>405</v>
      </c>
      <c r="E19">
        <v>3836</v>
      </c>
      <c r="F19">
        <v>1824</v>
      </c>
      <c r="H19">
        <v>54</v>
      </c>
      <c r="I19">
        <f t="shared" si="0"/>
        <v>71</v>
      </c>
      <c r="J19">
        <f t="shared" si="1"/>
        <v>33.799999999999997</v>
      </c>
      <c r="K19" t="s">
        <v>648</v>
      </c>
      <c r="L19" s="68" t="s">
        <v>746</v>
      </c>
      <c r="M19" s="68" t="s">
        <v>746</v>
      </c>
      <c r="N19" s="68" t="s">
        <v>746</v>
      </c>
      <c r="O19" s="68" t="s">
        <v>746</v>
      </c>
      <c r="P19" s="68" t="s">
        <v>746</v>
      </c>
    </row>
    <row r="20" spans="1:16" x14ac:dyDescent="0.55000000000000004">
      <c r="A20" s="44">
        <v>17</v>
      </c>
      <c r="B20" s="9">
        <v>18</v>
      </c>
      <c r="C20" s="2" t="s">
        <v>242</v>
      </c>
      <c r="D20" s="2" t="s">
        <v>406</v>
      </c>
      <c r="E20">
        <v>156</v>
      </c>
      <c r="F20">
        <v>89</v>
      </c>
      <c r="H20">
        <v>29.7</v>
      </c>
      <c r="I20">
        <f t="shared" si="0"/>
        <v>5.3</v>
      </c>
      <c r="J20">
        <f t="shared" si="1"/>
        <v>3</v>
      </c>
      <c r="K20" s="68" t="s">
        <v>746</v>
      </c>
      <c r="L20" s="68" t="s">
        <v>746</v>
      </c>
      <c r="M20" s="68" t="s">
        <v>746</v>
      </c>
      <c r="N20" s="68" t="s">
        <v>746</v>
      </c>
      <c r="O20" s="68" t="s">
        <v>746</v>
      </c>
      <c r="P20" s="68" t="s">
        <v>746</v>
      </c>
    </row>
    <row r="21" spans="1:16" x14ac:dyDescent="0.55000000000000004">
      <c r="A21" s="44">
        <v>16</v>
      </c>
      <c r="B21" s="9">
        <v>19</v>
      </c>
      <c r="C21" s="2" t="s">
        <v>240</v>
      </c>
      <c r="D21" s="2" t="s">
        <v>407</v>
      </c>
      <c r="E21">
        <v>26</v>
      </c>
      <c r="F21">
        <v>13</v>
      </c>
      <c r="H21">
        <v>30.7</v>
      </c>
      <c r="I21">
        <f t="shared" si="0"/>
        <v>0.8</v>
      </c>
      <c r="J21">
        <f t="shared" si="1"/>
        <v>0.4</v>
      </c>
      <c r="K21" t="s">
        <v>649</v>
      </c>
      <c r="L21" s="68" t="s">
        <v>746</v>
      </c>
      <c r="M21" s="68" t="s">
        <v>746</v>
      </c>
      <c r="N21" s="68" t="s">
        <v>746</v>
      </c>
      <c r="O21" s="68" t="s">
        <v>746</v>
      </c>
      <c r="P21" s="68" t="s">
        <v>746</v>
      </c>
    </row>
    <row r="22" spans="1:16" x14ac:dyDescent="0.55000000000000004">
      <c r="A22" s="44">
        <v>8</v>
      </c>
      <c r="B22" s="9">
        <v>20</v>
      </c>
      <c r="C22" s="2" t="s">
        <v>236</v>
      </c>
      <c r="D22" s="2" t="s">
        <v>408</v>
      </c>
      <c r="E22">
        <v>1352</v>
      </c>
      <c r="F22">
        <v>654</v>
      </c>
      <c r="H22">
        <v>36.799999999999997</v>
      </c>
      <c r="I22">
        <f t="shared" si="0"/>
        <v>36.700000000000003</v>
      </c>
      <c r="J22">
        <f t="shared" si="1"/>
        <v>17.8</v>
      </c>
      <c r="K22" t="s">
        <v>647</v>
      </c>
      <c r="L22" t="s">
        <v>650</v>
      </c>
      <c r="M22" t="s">
        <v>651</v>
      </c>
      <c r="N22" t="s">
        <v>652</v>
      </c>
      <c r="O22" s="68" t="s">
        <v>746</v>
      </c>
      <c r="P22" s="68" t="s">
        <v>746</v>
      </c>
    </row>
    <row r="23" spans="1:16" x14ac:dyDescent="0.55000000000000004">
      <c r="A23" s="44">
        <v>9</v>
      </c>
      <c r="B23" s="9">
        <v>21</v>
      </c>
      <c r="C23" s="2" t="s">
        <v>238</v>
      </c>
      <c r="D23" s="2" t="s">
        <v>409</v>
      </c>
      <c r="E23">
        <v>3908</v>
      </c>
      <c r="F23">
        <v>1748</v>
      </c>
      <c r="H23">
        <v>27</v>
      </c>
      <c r="I23">
        <f t="shared" si="0"/>
        <v>144.69999999999999</v>
      </c>
      <c r="J23">
        <f t="shared" si="1"/>
        <v>64.7</v>
      </c>
      <c r="K23" t="s">
        <v>653</v>
      </c>
      <c r="L23" s="68" t="s">
        <v>746</v>
      </c>
      <c r="M23" s="68" t="s">
        <v>746</v>
      </c>
      <c r="N23" s="68" t="s">
        <v>746</v>
      </c>
      <c r="O23" s="68" t="s">
        <v>746</v>
      </c>
      <c r="P23" s="68" t="s">
        <v>746</v>
      </c>
    </row>
    <row r="24" spans="1:16" x14ac:dyDescent="0.55000000000000004">
      <c r="A24" s="44" t="s">
        <v>564</v>
      </c>
      <c r="B24" s="9">
        <v>26</v>
      </c>
      <c r="C24" s="2" t="s">
        <v>209</v>
      </c>
      <c r="D24" s="2" t="s">
        <v>415</v>
      </c>
      <c r="E24">
        <v>7510</v>
      </c>
      <c r="F24">
        <v>3257</v>
      </c>
      <c r="G24" t="s">
        <v>411</v>
      </c>
      <c r="H24">
        <v>73</v>
      </c>
      <c r="I24">
        <f t="shared" si="0"/>
        <v>102.9</v>
      </c>
      <c r="J24">
        <f t="shared" si="1"/>
        <v>44.6</v>
      </c>
      <c r="K24" s="69" t="s">
        <v>746</v>
      </c>
      <c r="L24" s="69" t="s">
        <v>746</v>
      </c>
      <c r="M24" s="69" t="s">
        <v>746</v>
      </c>
      <c r="N24" s="69" t="s">
        <v>746</v>
      </c>
      <c r="O24" s="69" t="s">
        <v>746</v>
      </c>
      <c r="P24" s="69" t="s">
        <v>746</v>
      </c>
    </row>
    <row r="25" spans="1:16" x14ac:dyDescent="0.55000000000000004">
      <c r="A25" s="44">
        <v>69</v>
      </c>
      <c r="B25" s="9">
        <v>23</v>
      </c>
      <c r="C25" s="2" t="s">
        <v>347</v>
      </c>
      <c r="D25" s="2" t="s">
        <v>412</v>
      </c>
      <c r="E25">
        <v>2365</v>
      </c>
      <c r="F25">
        <v>1069</v>
      </c>
      <c r="H25">
        <v>23</v>
      </c>
      <c r="I25">
        <f t="shared" si="0"/>
        <v>102.8</v>
      </c>
      <c r="J25">
        <f t="shared" si="1"/>
        <v>46.5</v>
      </c>
      <c r="K25" t="s">
        <v>654</v>
      </c>
      <c r="L25" s="68" t="s">
        <v>746</v>
      </c>
      <c r="M25" s="68" t="s">
        <v>746</v>
      </c>
      <c r="N25" s="68" t="s">
        <v>746</v>
      </c>
      <c r="O25" s="68" t="s">
        <v>746</v>
      </c>
      <c r="P25" s="68" t="s">
        <v>746</v>
      </c>
    </row>
    <row r="26" spans="1:16" x14ac:dyDescent="0.55000000000000004">
      <c r="A26" s="44">
        <v>70</v>
      </c>
      <c r="B26" s="9">
        <v>24</v>
      </c>
      <c r="C26" s="2" t="s">
        <v>349</v>
      </c>
      <c r="D26" s="2" t="s">
        <v>413</v>
      </c>
      <c r="E26">
        <v>1327</v>
      </c>
      <c r="F26">
        <v>601</v>
      </c>
      <c r="H26">
        <v>18</v>
      </c>
      <c r="I26">
        <f t="shared" si="0"/>
        <v>73.7</v>
      </c>
      <c r="J26">
        <f t="shared" si="1"/>
        <v>33.4</v>
      </c>
      <c r="K26" t="s">
        <v>655</v>
      </c>
      <c r="L26" s="68" t="s">
        <v>746</v>
      </c>
      <c r="M26" s="68" t="s">
        <v>746</v>
      </c>
      <c r="N26" s="68" t="s">
        <v>746</v>
      </c>
      <c r="O26" s="68" t="s">
        <v>746</v>
      </c>
      <c r="P26" s="68" t="s">
        <v>746</v>
      </c>
    </row>
    <row r="27" spans="1:16" x14ac:dyDescent="0.55000000000000004">
      <c r="A27" s="44">
        <v>71</v>
      </c>
      <c r="B27" s="9">
        <v>25</v>
      </c>
      <c r="C27" s="2" t="s">
        <v>351</v>
      </c>
      <c r="D27" s="2" t="s">
        <v>414</v>
      </c>
      <c r="E27">
        <v>3818</v>
      </c>
      <c r="F27">
        <v>1587</v>
      </c>
      <c r="H27">
        <v>32</v>
      </c>
      <c r="I27">
        <f t="shared" si="0"/>
        <v>119.3</v>
      </c>
      <c r="J27">
        <f t="shared" si="1"/>
        <v>49.6</v>
      </c>
      <c r="K27" t="s">
        <v>656</v>
      </c>
      <c r="L27" s="68" t="s">
        <v>746</v>
      </c>
      <c r="M27" s="68" t="s">
        <v>746</v>
      </c>
      <c r="N27" s="68" t="s">
        <v>746</v>
      </c>
      <c r="O27" s="68" t="s">
        <v>746</v>
      </c>
      <c r="P27" s="68" t="s">
        <v>746</v>
      </c>
    </row>
    <row r="28" spans="1:16" x14ac:dyDescent="0.55000000000000004">
      <c r="A28" s="44" t="s">
        <v>565</v>
      </c>
      <c r="B28" s="9">
        <v>30</v>
      </c>
      <c r="C28" s="2" t="s">
        <v>210</v>
      </c>
      <c r="D28" s="2" t="s">
        <v>420</v>
      </c>
      <c r="E28">
        <v>7064</v>
      </c>
      <c r="F28">
        <v>3601</v>
      </c>
      <c r="G28" t="s">
        <v>416</v>
      </c>
      <c r="H28">
        <v>64</v>
      </c>
      <c r="I28">
        <f t="shared" si="0"/>
        <v>110.4</v>
      </c>
      <c r="J28">
        <f t="shared" si="1"/>
        <v>56.3</v>
      </c>
      <c r="K28" s="69" t="s">
        <v>746</v>
      </c>
      <c r="L28" s="69" t="s">
        <v>746</v>
      </c>
      <c r="M28" s="69" t="s">
        <v>746</v>
      </c>
      <c r="N28" s="69" t="s">
        <v>746</v>
      </c>
      <c r="O28" s="69" t="s">
        <v>746</v>
      </c>
      <c r="P28" s="69" t="s">
        <v>746</v>
      </c>
    </row>
    <row r="29" spans="1:16" x14ac:dyDescent="0.55000000000000004">
      <c r="A29" s="44">
        <v>11</v>
      </c>
      <c r="B29" s="9">
        <v>27</v>
      </c>
      <c r="C29" s="2" t="s">
        <v>248</v>
      </c>
      <c r="D29" s="2" t="s">
        <v>417</v>
      </c>
      <c r="E29">
        <v>816</v>
      </c>
      <c r="F29">
        <v>444</v>
      </c>
      <c r="H29">
        <v>24</v>
      </c>
      <c r="I29">
        <f t="shared" si="0"/>
        <v>34</v>
      </c>
      <c r="J29">
        <f t="shared" si="1"/>
        <v>18.5</v>
      </c>
      <c r="K29" t="s">
        <v>657</v>
      </c>
      <c r="L29" t="s">
        <v>658</v>
      </c>
      <c r="M29" s="68" t="s">
        <v>746</v>
      </c>
      <c r="N29" s="68" t="s">
        <v>746</v>
      </c>
      <c r="O29" s="68" t="s">
        <v>746</v>
      </c>
      <c r="P29" s="68" t="s">
        <v>746</v>
      </c>
    </row>
    <row r="30" spans="1:16" x14ac:dyDescent="0.55000000000000004">
      <c r="A30" s="44">
        <v>10</v>
      </c>
      <c r="B30" s="9">
        <v>28</v>
      </c>
      <c r="C30" s="2" t="s">
        <v>246</v>
      </c>
      <c r="D30" s="2" t="s">
        <v>418</v>
      </c>
      <c r="E30">
        <v>2791</v>
      </c>
      <c r="F30">
        <v>1280</v>
      </c>
      <c r="H30">
        <v>21</v>
      </c>
      <c r="I30">
        <f t="shared" si="0"/>
        <v>132.9</v>
      </c>
      <c r="J30">
        <f t="shared" si="1"/>
        <v>61</v>
      </c>
      <c r="K30" s="68" t="s">
        <v>746</v>
      </c>
      <c r="L30" s="68" t="s">
        <v>746</v>
      </c>
      <c r="M30" s="68" t="s">
        <v>746</v>
      </c>
      <c r="N30" s="68" t="s">
        <v>746</v>
      </c>
      <c r="O30" s="68" t="s">
        <v>746</v>
      </c>
      <c r="P30" s="68" t="s">
        <v>746</v>
      </c>
    </row>
    <row r="31" spans="1:16" x14ac:dyDescent="0.55000000000000004">
      <c r="A31" s="44">
        <v>4</v>
      </c>
      <c r="B31" s="9">
        <v>29</v>
      </c>
      <c r="C31" s="2" t="s">
        <v>250</v>
      </c>
      <c r="D31" s="2" t="s">
        <v>419</v>
      </c>
      <c r="E31">
        <v>3457</v>
      </c>
      <c r="F31">
        <v>1877</v>
      </c>
      <c r="H31">
        <v>19</v>
      </c>
      <c r="I31">
        <f t="shared" si="0"/>
        <v>181.9</v>
      </c>
      <c r="J31">
        <f t="shared" si="1"/>
        <v>98.8</v>
      </c>
      <c r="K31" t="s">
        <v>659</v>
      </c>
      <c r="L31" s="68" t="s">
        <v>746</v>
      </c>
      <c r="M31" s="68" t="s">
        <v>746</v>
      </c>
      <c r="N31" s="68" t="s">
        <v>746</v>
      </c>
      <c r="O31" s="68" t="s">
        <v>746</v>
      </c>
      <c r="P31" s="68" t="s">
        <v>746</v>
      </c>
    </row>
    <row r="32" spans="1:16" x14ac:dyDescent="0.55000000000000004">
      <c r="A32" s="44" t="s">
        <v>566</v>
      </c>
      <c r="B32" s="9">
        <v>37</v>
      </c>
      <c r="C32" s="2" t="s">
        <v>211</v>
      </c>
      <c r="D32" s="2" t="s">
        <v>428</v>
      </c>
      <c r="E32">
        <v>13621</v>
      </c>
      <c r="F32">
        <v>7355</v>
      </c>
      <c r="G32" t="s">
        <v>421</v>
      </c>
      <c r="H32">
        <v>88.4</v>
      </c>
      <c r="I32">
        <f t="shared" si="0"/>
        <v>154.1</v>
      </c>
      <c r="J32">
        <f t="shared" si="1"/>
        <v>83.2</v>
      </c>
      <c r="K32" s="69" t="s">
        <v>746</v>
      </c>
      <c r="L32" s="69" t="s">
        <v>746</v>
      </c>
      <c r="M32" s="69" t="s">
        <v>746</v>
      </c>
      <c r="N32" s="69" t="s">
        <v>746</v>
      </c>
      <c r="O32" s="69" t="s">
        <v>746</v>
      </c>
      <c r="P32" s="69" t="s">
        <v>746</v>
      </c>
    </row>
    <row r="33" spans="1:16" x14ac:dyDescent="0.55000000000000004">
      <c r="A33" s="44">
        <v>77</v>
      </c>
      <c r="B33" s="9">
        <v>31</v>
      </c>
      <c r="C33" s="2" t="s">
        <v>363</v>
      </c>
      <c r="D33" s="2" t="s">
        <v>422</v>
      </c>
      <c r="E33">
        <v>3350</v>
      </c>
      <c r="F33">
        <v>1548</v>
      </c>
      <c r="H33">
        <v>21.9</v>
      </c>
      <c r="I33">
        <f t="shared" si="0"/>
        <v>153</v>
      </c>
      <c r="J33">
        <f t="shared" si="1"/>
        <v>70.7</v>
      </c>
      <c r="K33" t="s">
        <v>660</v>
      </c>
      <c r="L33" t="s">
        <v>661</v>
      </c>
      <c r="M33" s="68" t="s">
        <v>746</v>
      </c>
      <c r="N33" s="68" t="s">
        <v>746</v>
      </c>
      <c r="O33" s="68" t="s">
        <v>746</v>
      </c>
      <c r="P33" s="68" t="s">
        <v>746</v>
      </c>
    </row>
    <row r="34" spans="1:16" x14ac:dyDescent="0.55000000000000004">
      <c r="A34" s="44">
        <v>78</v>
      </c>
      <c r="B34" s="9">
        <v>32</v>
      </c>
      <c r="C34" s="2" t="s">
        <v>365</v>
      </c>
      <c r="D34" s="2" t="s">
        <v>423</v>
      </c>
      <c r="E34">
        <v>920</v>
      </c>
      <c r="F34">
        <v>440</v>
      </c>
      <c r="H34">
        <v>10</v>
      </c>
      <c r="I34">
        <f t="shared" si="0"/>
        <v>92</v>
      </c>
      <c r="J34">
        <f t="shared" si="1"/>
        <v>44</v>
      </c>
      <c r="K34" s="68" t="s">
        <v>746</v>
      </c>
      <c r="L34" s="68" t="s">
        <v>746</v>
      </c>
      <c r="M34" s="68" t="s">
        <v>746</v>
      </c>
      <c r="N34" s="68" t="s">
        <v>746</v>
      </c>
      <c r="O34" s="68" t="s">
        <v>746</v>
      </c>
      <c r="P34" s="68" t="s">
        <v>746</v>
      </c>
    </row>
    <row r="35" spans="1:16" x14ac:dyDescent="0.55000000000000004">
      <c r="A35" s="44">
        <v>79</v>
      </c>
      <c r="B35" s="9">
        <v>33</v>
      </c>
      <c r="C35" s="2" t="s">
        <v>367</v>
      </c>
      <c r="D35" s="2" t="s">
        <v>424</v>
      </c>
      <c r="E35">
        <v>2061</v>
      </c>
      <c r="F35">
        <v>1036</v>
      </c>
      <c r="H35">
        <v>15</v>
      </c>
      <c r="I35">
        <f t="shared" si="0"/>
        <v>137.4</v>
      </c>
      <c r="J35">
        <f t="shared" si="1"/>
        <v>69.099999999999994</v>
      </c>
      <c r="K35" t="s">
        <v>662</v>
      </c>
      <c r="L35" t="s">
        <v>663</v>
      </c>
      <c r="M35" s="68" t="s">
        <v>746</v>
      </c>
      <c r="N35" s="68" t="s">
        <v>746</v>
      </c>
      <c r="O35" s="68" t="s">
        <v>746</v>
      </c>
      <c r="P35" s="68" t="s">
        <v>746</v>
      </c>
    </row>
    <row r="36" spans="1:16" x14ac:dyDescent="0.55000000000000004">
      <c r="A36" s="44">
        <v>82</v>
      </c>
      <c r="B36" s="9">
        <v>34</v>
      </c>
      <c r="C36" s="2" t="s">
        <v>369</v>
      </c>
      <c r="D36" s="2" t="s">
        <v>425</v>
      </c>
      <c r="E36">
        <v>2036</v>
      </c>
      <c r="F36">
        <v>1083</v>
      </c>
      <c r="H36">
        <v>13</v>
      </c>
      <c r="I36">
        <f t="shared" si="0"/>
        <v>156.6</v>
      </c>
      <c r="J36">
        <f t="shared" si="1"/>
        <v>83.3</v>
      </c>
      <c r="K36" s="68" t="s">
        <v>746</v>
      </c>
      <c r="L36" s="68" t="s">
        <v>746</v>
      </c>
      <c r="M36" s="68" t="s">
        <v>746</v>
      </c>
      <c r="N36" s="68" t="s">
        <v>746</v>
      </c>
      <c r="O36" s="68" t="s">
        <v>746</v>
      </c>
      <c r="P36" s="68" t="s">
        <v>746</v>
      </c>
    </row>
    <row r="37" spans="1:16" x14ac:dyDescent="0.55000000000000004">
      <c r="A37" s="44">
        <v>81</v>
      </c>
      <c r="B37" s="9">
        <v>35</v>
      </c>
      <c r="C37" s="2" t="s">
        <v>371</v>
      </c>
      <c r="D37" s="2" t="s">
        <v>426</v>
      </c>
      <c r="E37">
        <v>2661</v>
      </c>
      <c r="F37">
        <v>1613</v>
      </c>
      <c r="H37">
        <v>14.5</v>
      </c>
      <c r="I37">
        <f t="shared" si="0"/>
        <v>183.5</v>
      </c>
      <c r="J37">
        <f t="shared" si="1"/>
        <v>111.2</v>
      </c>
      <c r="K37" t="s">
        <v>745</v>
      </c>
      <c r="L37" t="s">
        <v>664</v>
      </c>
      <c r="M37" s="68" t="s">
        <v>746</v>
      </c>
      <c r="N37" s="68" t="s">
        <v>746</v>
      </c>
      <c r="O37" s="68" t="s">
        <v>746</v>
      </c>
      <c r="P37" s="68" t="s">
        <v>746</v>
      </c>
    </row>
    <row r="38" spans="1:16" x14ac:dyDescent="0.55000000000000004">
      <c r="A38" s="44">
        <v>80</v>
      </c>
      <c r="B38" s="9">
        <v>36</v>
      </c>
      <c r="C38" s="2" t="s">
        <v>373</v>
      </c>
      <c r="D38" s="2" t="s">
        <v>427</v>
      </c>
      <c r="E38">
        <v>2593</v>
      </c>
      <c r="F38">
        <v>1635</v>
      </c>
      <c r="H38">
        <v>14</v>
      </c>
      <c r="I38">
        <f t="shared" si="0"/>
        <v>185.2</v>
      </c>
      <c r="J38">
        <f t="shared" si="1"/>
        <v>116.8</v>
      </c>
      <c r="K38" t="s">
        <v>665</v>
      </c>
      <c r="L38" s="68" t="s">
        <v>746</v>
      </c>
      <c r="M38" s="68" t="s">
        <v>746</v>
      </c>
      <c r="N38" s="68" t="s">
        <v>746</v>
      </c>
      <c r="O38" s="68" t="s">
        <v>746</v>
      </c>
      <c r="P38" s="68" t="s">
        <v>746</v>
      </c>
    </row>
    <row r="39" spans="1:16" x14ac:dyDescent="0.55000000000000004">
      <c r="A39" s="44" t="s">
        <v>567</v>
      </c>
      <c r="B39" s="9">
        <v>43</v>
      </c>
      <c r="C39" s="2" t="s">
        <v>212</v>
      </c>
      <c r="D39" s="2" t="s">
        <v>435</v>
      </c>
      <c r="E39">
        <v>9403</v>
      </c>
      <c r="F39">
        <v>4762</v>
      </c>
      <c r="G39" t="s">
        <v>429</v>
      </c>
      <c r="H39">
        <v>68</v>
      </c>
      <c r="I39">
        <f t="shared" si="0"/>
        <v>138.30000000000001</v>
      </c>
      <c r="J39">
        <f t="shared" si="1"/>
        <v>70</v>
      </c>
      <c r="K39" s="69" t="s">
        <v>746</v>
      </c>
      <c r="L39" s="69" t="s">
        <v>746</v>
      </c>
      <c r="M39" s="69" t="s">
        <v>746</v>
      </c>
      <c r="N39" s="69" t="s">
        <v>746</v>
      </c>
      <c r="O39" s="69" t="s">
        <v>746</v>
      </c>
      <c r="P39" s="69" t="s">
        <v>746</v>
      </c>
    </row>
    <row r="40" spans="1:16" x14ac:dyDescent="0.55000000000000004">
      <c r="A40" s="44">
        <v>49</v>
      </c>
      <c r="B40" s="9">
        <v>38</v>
      </c>
      <c r="C40" s="2" t="s">
        <v>324</v>
      </c>
      <c r="D40" s="2" t="s">
        <v>430</v>
      </c>
      <c r="E40">
        <v>849</v>
      </c>
      <c r="F40">
        <v>467</v>
      </c>
      <c r="H40">
        <v>10</v>
      </c>
      <c r="I40">
        <f t="shared" si="0"/>
        <v>84.9</v>
      </c>
      <c r="J40">
        <f t="shared" si="1"/>
        <v>46.7</v>
      </c>
      <c r="K40" s="68" t="s">
        <v>746</v>
      </c>
      <c r="L40" s="68" t="s">
        <v>746</v>
      </c>
      <c r="M40" s="68" t="s">
        <v>746</v>
      </c>
      <c r="N40" s="68" t="s">
        <v>746</v>
      </c>
      <c r="O40" s="68" t="s">
        <v>746</v>
      </c>
      <c r="P40" s="68" t="s">
        <v>746</v>
      </c>
    </row>
    <row r="41" spans="1:16" x14ac:dyDescent="0.55000000000000004">
      <c r="A41" s="44">
        <v>50</v>
      </c>
      <c r="B41" s="9">
        <v>39</v>
      </c>
      <c r="C41" s="2" t="s">
        <v>326</v>
      </c>
      <c r="D41" s="2" t="s">
        <v>431</v>
      </c>
      <c r="E41">
        <v>2229</v>
      </c>
      <c r="F41">
        <v>992</v>
      </c>
      <c r="H41">
        <v>15</v>
      </c>
      <c r="I41">
        <f t="shared" si="0"/>
        <v>148.6</v>
      </c>
      <c r="J41">
        <f t="shared" si="1"/>
        <v>66.099999999999994</v>
      </c>
      <c r="K41" t="s">
        <v>666</v>
      </c>
      <c r="L41" t="s">
        <v>667</v>
      </c>
      <c r="M41" s="68" t="s">
        <v>746</v>
      </c>
      <c r="N41" s="68" t="s">
        <v>746</v>
      </c>
      <c r="O41" s="68" t="s">
        <v>746</v>
      </c>
      <c r="P41" s="68" t="s">
        <v>746</v>
      </c>
    </row>
    <row r="42" spans="1:16" x14ac:dyDescent="0.55000000000000004">
      <c r="A42" s="44">
        <v>51</v>
      </c>
      <c r="B42" s="9">
        <v>40</v>
      </c>
      <c r="C42" s="2" t="s">
        <v>328</v>
      </c>
      <c r="D42" s="2" t="s">
        <v>432</v>
      </c>
      <c r="E42">
        <v>1839</v>
      </c>
      <c r="F42">
        <v>953</v>
      </c>
      <c r="H42">
        <v>13</v>
      </c>
      <c r="I42">
        <f t="shared" si="0"/>
        <v>141.5</v>
      </c>
      <c r="J42">
        <f t="shared" si="1"/>
        <v>73.3</v>
      </c>
      <c r="K42" t="s">
        <v>668</v>
      </c>
      <c r="L42" s="68" t="s">
        <v>746</v>
      </c>
      <c r="M42" s="68" t="s">
        <v>746</v>
      </c>
      <c r="N42" s="68" t="s">
        <v>746</v>
      </c>
      <c r="O42" s="68" t="s">
        <v>746</v>
      </c>
      <c r="P42" s="68" t="s">
        <v>746</v>
      </c>
    </row>
    <row r="43" spans="1:16" x14ac:dyDescent="0.55000000000000004">
      <c r="A43" s="44">
        <v>52</v>
      </c>
      <c r="B43" s="9">
        <v>41</v>
      </c>
      <c r="C43" s="2" t="s">
        <v>330</v>
      </c>
      <c r="D43" s="2" t="s">
        <v>433</v>
      </c>
      <c r="E43">
        <v>1835</v>
      </c>
      <c r="F43">
        <v>1027</v>
      </c>
      <c r="H43">
        <v>13.5</v>
      </c>
      <c r="I43">
        <f t="shared" si="0"/>
        <v>135.9</v>
      </c>
      <c r="J43">
        <f t="shared" si="1"/>
        <v>76.099999999999994</v>
      </c>
      <c r="K43" t="s">
        <v>669</v>
      </c>
      <c r="L43" s="68" t="s">
        <v>746</v>
      </c>
      <c r="M43" s="68" t="s">
        <v>746</v>
      </c>
      <c r="N43" s="68" t="s">
        <v>746</v>
      </c>
      <c r="O43" s="68" t="s">
        <v>746</v>
      </c>
      <c r="P43" s="68" t="s">
        <v>746</v>
      </c>
    </row>
    <row r="44" spans="1:16" x14ac:dyDescent="0.55000000000000004">
      <c r="A44" s="44">
        <v>53</v>
      </c>
      <c r="B44" s="9">
        <v>42</v>
      </c>
      <c r="C44" s="2" t="s">
        <v>332</v>
      </c>
      <c r="D44" s="2" t="s">
        <v>434</v>
      </c>
      <c r="E44">
        <v>2651</v>
      </c>
      <c r="F44">
        <v>1323</v>
      </c>
      <c r="H44">
        <v>16.5</v>
      </c>
      <c r="I44">
        <f t="shared" si="0"/>
        <v>160.69999999999999</v>
      </c>
      <c r="J44">
        <f t="shared" si="1"/>
        <v>80.2</v>
      </c>
      <c r="K44" s="68" t="s">
        <v>746</v>
      </c>
      <c r="L44" s="68" t="s">
        <v>746</v>
      </c>
      <c r="M44" s="68" t="s">
        <v>746</v>
      </c>
      <c r="N44" s="68" t="s">
        <v>746</v>
      </c>
      <c r="O44" s="68" t="s">
        <v>746</v>
      </c>
      <c r="P44" s="68" t="s">
        <v>746</v>
      </c>
    </row>
    <row r="45" spans="1:16" x14ac:dyDescent="0.55000000000000004">
      <c r="A45" s="44" t="s">
        <v>568</v>
      </c>
      <c r="B45" s="9">
        <v>47</v>
      </c>
      <c r="C45" s="2" t="s">
        <v>441</v>
      </c>
      <c r="D45" s="2" t="s">
        <v>439</v>
      </c>
      <c r="E45">
        <v>10458</v>
      </c>
      <c r="F45">
        <v>5364</v>
      </c>
      <c r="G45" t="s">
        <v>440</v>
      </c>
      <c r="H45">
        <v>78</v>
      </c>
      <c r="I45">
        <f t="shared" si="0"/>
        <v>134.1</v>
      </c>
      <c r="J45">
        <f t="shared" si="1"/>
        <v>68.8</v>
      </c>
      <c r="K45" s="69" t="s">
        <v>746</v>
      </c>
      <c r="L45" s="69" t="s">
        <v>746</v>
      </c>
      <c r="M45" s="69" t="s">
        <v>746</v>
      </c>
      <c r="N45" s="69" t="s">
        <v>746</v>
      </c>
      <c r="O45" s="69" t="s">
        <v>746</v>
      </c>
      <c r="P45" s="69" t="s">
        <v>746</v>
      </c>
    </row>
    <row r="46" spans="1:16" x14ac:dyDescent="0.55000000000000004">
      <c r="A46" s="44">
        <v>56</v>
      </c>
      <c r="B46" s="9">
        <v>44</v>
      </c>
      <c r="C46" s="2" t="s">
        <v>295</v>
      </c>
      <c r="D46" s="2" t="s">
        <v>436</v>
      </c>
      <c r="E46">
        <v>3429</v>
      </c>
      <c r="F46">
        <v>1585</v>
      </c>
      <c r="H46">
        <v>29</v>
      </c>
      <c r="I46">
        <f t="shared" si="0"/>
        <v>118.2</v>
      </c>
      <c r="J46">
        <f t="shared" si="1"/>
        <v>54.7</v>
      </c>
      <c r="K46" s="68" t="s">
        <v>746</v>
      </c>
      <c r="L46" s="68" t="s">
        <v>746</v>
      </c>
      <c r="M46" s="68" t="s">
        <v>746</v>
      </c>
      <c r="N46" s="68" t="s">
        <v>746</v>
      </c>
      <c r="O46" s="68" t="s">
        <v>746</v>
      </c>
      <c r="P46" s="68" t="s">
        <v>746</v>
      </c>
    </row>
    <row r="47" spans="1:16" x14ac:dyDescent="0.55000000000000004">
      <c r="A47" s="44">
        <v>55</v>
      </c>
      <c r="B47" s="9">
        <v>45</v>
      </c>
      <c r="C47" s="2" t="s">
        <v>297</v>
      </c>
      <c r="D47" s="2" t="s">
        <v>437</v>
      </c>
      <c r="E47">
        <v>3856</v>
      </c>
      <c r="F47">
        <v>1981</v>
      </c>
      <c r="H47">
        <v>29</v>
      </c>
      <c r="I47">
        <f t="shared" si="0"/>
        <v>133</v>
      </c>
      <c r="J47">
        <f t="shared" si="1"/>
        <v>68.3</v>
      </c>
      <c r="K47" s="68" t="s">
        <v>746</v>
      </c>
      <c r="L47" s="68" t="s">
        <v>746</v>
      </c>
      <c r="M47" s="68" t="s">
        <v>746</v>
      </c>
      <c r="N47" s="68" t="s">
        <v>746</v>
      </c>
      <c r="O47" s="68" t="s">
        <v>746</v>
      </c>
      <c r="P47" s="68" t="s">
        <v>746</v>
      </c>
    </row>
    <row r="48" spans="1:16" x14ac:dyDescent="0.55000000000000004">
      <c r="A48" s="44">
        <v>54</v>
      </c>
      <c r="B48" s="9">
        <v>46</v>
      </c>
      <c r="C48" s="2" t="s">
        <v>299</v>
      </c>
      <c r="D48" s="2" t="s">
        <v>438</v>
      </c>
      <c r="E48">
        <v>3173</v>
      </c>
      <c r="F48">
        <v>1798</v>
      </c>
      <c r="H48">
        <v>20</v>
      </c>
      <c r="I48">
        <f t="shared" si="0"/>
        <v>158.69999999999999</v>
      </c>
      <c r="J48">
        <f t="shared" si="1"/>
        <v>89.9</v>
      </c>
      <c r="K48" s="68" t="s">
        <v>746</v>
      </c>
      <c r="L48" s="68" t="s">
        <v>746</v>
      </c>
      <c r="M48" s="68" t="s">
        <v>746</v>
      </c>
      <c r="N48" s="68" t="s">
        <v>746</v>
      </c>
      <c r="O48" s="68" t="s">
        <v>746</v>
      </c>
      <c r="P48" s="68" t="s">
        <v>746</v>
      </c>
    </row>
    <row r="49" spans="1:16" x14ac:dyDescent="0.55000000000000004">
      <c r="A49" s="44" t="s">
        <v>569</v>
      </c>
      <c r="B49" s="9">
        <v>50</v>
      </c>
      <c r="C49" s="2" t="s">
        <v>213</v>
      </c>
      <c r="D49" s="2" t="s">
        <v>445</v>
      </c>
      <c r="E49">
        <v>1453</v>
      </c>
      <c r="F49">
        <v>692</v>
      </c>
      <c r="G49" t="s">
        <v>442</v>
      </c>
      <c r="H49">
        <v>82.1</v>
      </c>
      <c r="I49">
        <f t="shared" si="0"/>
        <v>17.7</v>
      </c>
      <c r="J49">
        <f t="shared" si="1"/>
        <v>8.4</v>
      </c>
      <c r="K49" s="69" t="s">
        <v>746</v>
      </c>
      <c r="L49" s="69" t="s">
        <v>746</v>
      </c>
      <c r="M49" s="69" t="s">
        <v>746</v>
      </c>
      <c r="N49" s="69" t="s">
        <v>746</v>
      </c>
      <c r="O49" s="69" t="s">
        <v>746</v>
      </c>
      <c r="P49" s="69" t="s">
        <v>746</v>
      </c>
    </row>
    <row r="50" spans="1:16" x14ac:dyDescent="0.55000000000000004">
      <c r="A50" s="44">
        <v>25</v>
      </c>
      <c r="B50" s="9">
        <v>48</v>
      </c>
      <c r="C50" s="2" t="s">
        <v>278</v>
      </c>
      <c r="D50" s="2" t="s">
        <v>443</v>
      </c>
      <c r="E50">
        <v>460</v>
      </c>
      <c r="F50">
        <v>202</v>
      </c>
      <c r="H50">
        <v>39.6</v>
      </c>
      <c r="I50">
        <f t="shared" si="0"/>
        <v>11.6</v>
      </c>
      <c r="J50">
        <f t="shared" si="1"/>
        <v>5.0999999999999996</v>
      </c>
      <c r="K50" t="s">
        <v>670</v>
      </c>
      <c r="L50" t="s">
        <v>671</v>
      </c>
      <c r="M50" t="s">
        <v>672</v>
      </c>
      <c r="N50" s="68" t="s">
        <v>746</v>
      </c>
      <c r="O50" s="68" t="s">
        <v>746</v>
      </c>
      <c r="P50" s="68" t="s">
        <v>746</v>
      </c>
    </row>
    <row r="51" spans="1:16" x14ac:dyDescent="0.55000000000000004">
      <c r="A51" s="44">
        <v>24</v>
      </c>
      <c r="B51" s="9">
        <v>49</v>
      </c>
      <c r="C51" s="2" t="s">
        <v>280</v>
      </c>
      <c r="D51" s="2" t="s">
        <v>444</v>
      </c>
      <c r="E51">
        <v>993</v>
      </c>
      <c r="F51">
        <v>490</v>
      </c>
      <c r="H51">
        <v>42.5</v>
      </c>
      <c r="I51">
        <f t="shared" si="0"/>
        <v>23.4</v>
      </c>
      <c r="J51">
        <f t="shared" si="1"/>
        <v>11.5</v>
      </c>
      <c r="K51" t="s">
        <v>673</v>
      </c>
      <c r="L51" t="s">
        <v>674</v>
      </c>
      <c r="M51" t="s">
        <v>675</v>
      </c>
      <c r="N51" s="68" t="s">
        <v>746</v>
      </c>
      <c r="O51" s="68" t="s">
        <v>746</v>
      </c>
      <c r="P51" s="68" t="s">
        <v>746</v>
      </c>
    </row>
    <row r="52" spans="1:16" x14ac:dyDescent="0.55000000000000004">
      <c r="A52" s="44" t="s">
        <v>570</v>
      </c>
      <c r="B52" s="9">
        <v>56</v>
      </c>
      <c r="C52" s="2" t="s">
        <v>215</v>
      </c>
      <c r="D52" s="2" t="s">
        <v>453</v>
      </c>
      <c r="E52">
        <v>1615</v>
      </c>
      <c r="F52">
        <v>772</v>
      </c>
      <c r="G52" t="s">
        <v>450</v>
      </c>
      <c r="H52">
        <v>42.6</v>
      </c>
      <c r="I52">
        <f t="shared" si="0"/>
        <v>37.9</v>
      </c>
      <c r="J52">
        <f t="shared" si="1"/>
        <v>18.100000000000001</v>
      </c>
      <c r="K52" s="69" t="s">
        <v>746</v>
      </c>
      <c r="L52" s="69" t="s">
        <v>746</v>
      </c>
      <c r="M52" s="69" t="s">
        <v>746</v>
      </c>
      <c r="N52" s="69" t="s">
        <v>746</v>
      </c>
      <c r="O52" s="69" t="s">
        <v>746</v>
      </c>
      <c r="P52" s="69" t="s">
        <v>746</v>
      </c>
    </row>
    <row r="53" spans="1:16" x14ac:dyDescent="0.55000000000000004">
      <c r="A53" s="44">
        <v>61</v>
      </c>
      <c r="B53" s="9">
        <v>54</v>
      </c>
      <c r="C53" s="2" t="s">
        <v>345</v>
      </c>
      <c r="D53" s="2" t="s">
        <v>451</v>
      </c>
      <c r="E53">
        <v>1024</v>
      </c>
      <c r="F53">
        <v>496</v>
      </c>
      <c r="H53">
        <v>16.8</v>
      </c>
      <c r="I53">
        <f t="shared" si="0"/>
        <v>61</v>
      </c>
      <c r="J53">
        <f t="shared" si="1"/>
        <v>29.5</v>
      </c>
      <c r="K53" s="68" t="s">
        <v>746</v>
      </c>
      <c r="L53" s="68" t="s">
        <v>746</v>
      </c>
      <c r="M53" s="68" t="s">
        <v>746</v>
      </c>
      <c r="N53" s="68" t="s">
        <v>746</v>
      </c>
      <c r="O53" s="68" t="s">
        <v>746</v>
      </c>
      <c r="P53" s="68" t="s">
        <v>746</v>
      </c>
    </row>
    <row r="54" spans="1:16" x14ac:dyDescent="0.55000000000000004">
      <c r="A54" s="44">
        <v>60</v>
      </c>
      <c r="B54" s="9">
        <v>55</v>
      </c>
      <c r="C54" s="2" t="s">
        <v>343</v>
      </c>
      <c r="D54" s="2" t="s">
        <v>452</v>
      </c>
      <c r="E54">
        <v>591</v>
      </c>
      <c r="F54">
        <v>276</v>
      </c>
      <c r="H54">
        <v>25.8</v>
      </c>
      <c r="I54">
        <f t="shared" si="0"/>
        <v>22.9</v>
      </c>
      <c r="J54">
        <f t="shared" si="1"/>
        <v>10.7</v>
      </c>
      <c r="K54" t="s">
        <v>676</v>
      </c>
      <c r="L54" t="s">
        <v>677</v>
      </c>
      <c r="M54" t="s">
        <v>678</v>
      </c>
      <c r="N54" s="68" t="s">
        <v>746</v>
      </c>
      <c r="O54" s="68" t="s">
        <v>746</v>
      </c>
      <c r="P54" s="68" t="s">
        <v>746</v>
      </c>
    </row>
    <row r="55" spans="1:16" x14ac:dyDescent="0.55000000000000004">
      <c r="A55" s="44" t="s">
        <v>571</v>
      </c>
      <c r="B55" s="9">
        <v>53</v>
      </c>
      <c r="C55" s="2" t="s">
        <v>214</v>
      </c>
      <c r="D55" s="2" t="s">
        <v>447</v>
      </c>
      <c r="E55">
        <v>8135</v>
      </c>
      <c r="F55">
        <v>4493</v>
      </c>
      <c r="G55" t="s">
        <v>446</v>
      </c>
      <c r="H55">
        <v>51</v>
      </c>
      <c r="I55">
        <f t="shared" si="0"/>
        <v>159.5</v>
      </c>
      <c r="J55">
        <f t="shared" si="1"/>
        <v>88.1</v>
      </c>
      <c r="K55" s="69" t="s">
        <v>746</v>
      </c>
      <c r="L55" s="69" t="s">
        <v>746</v>
      </c>
      <c r="M55" s="69" t="s">
        <v>746</v>
      </c>
      <c r="N55" s="69" t="s">
        <v>746</v>
      </c>
      <c r="O55" s="69" t="s">
        <v>746</v>
      </c>
      <c r="P55" s="69" t="s">
        <v>746</v>
      </c>
    </row>
    <row r="56" spans="1:16" x14ac:dyDescent="0.55000000000000004">
      <c r="A56" s="44">
        <v>5</v>
      </c>
      <c r="B56" s="9">
        <v>51</v>
      </c>
      <c r="C56" s="2" t="s">
        <v>252</v>
      </c>
      <c r="D56" s="2" t="s">
        <v>448</v>
      </c>
      <c r="E56">
        <v>1952</v>
      </c>
      <c r="F56">
        <v>1026</v>
      </c>
      <c r="H56">
        <v>11</v>
      </c>
      <c r="I56">
        <f t="shared" si="0"/>
        <v>177.5</v>
      </c>
      <c r="J56">
        <f t="shared" si="1"/>
        <v>93.3</v>
      </c>
      <c r="K56" t="s">
        <v>679</v>
      </c>
      <c r="L56" t="s">
        <v>680</v>
      </c>
      <c r="M56" s="68" t="s">
        <v>746</v>
      </c>
      <c r="N56" s="68" t="s">
        <v>746</v>
      </c>
      <c r="O56" s="68" t="s">
        <v>746</v>
      </c>
      <c r="P56" s="68" t="s">
        <v>746</v>
      </c>
    </row>
    <row r="57" spans="1:16" x14ac:dyDescent="0.55000000000000004">
      <c r="A57" s="44">
        <v>6</v>
      </c>
      <c r="B57" s="9">
        <v>52</v>
      </c>
      <c r="C57" s="2" t="s">
        <v>254</v>
      </c>
      <c r="D57" s="2" t="s">
        <v>449</v>
      </c>
      <c r="E57">
        <v>6183</v>
      </c>
      <c r="F57">
        <v>3467</v>
      </c>
      <c r="H57">
        <v>40</v>
      </c>
      <c r="I57">
        <f t="shared" si="0"/>
        <v>154.6</v>
      </c>
      <c r="J57">
        <f t="shared" si="1"/>
        <v>86.7</v>
      </c>
      <c r="K57" t="s">
        <v>681</v>
      </c>
      <c r="L57" t="s">
        <v>682</v>
      </c>
      <c r="M57" t="s">
        <v>683</v>
      </c>
      <c r="N57" t="s">
        <v>684</v>
      </c>
      <c r="O57" s="68" t="s">
        <v>746</v>
      </c>
      <c r="P57" s="68" t="s">
        <v>746</v>
      </c>
    </row>
    <row r="58" spans="1:16" x14ac:dyDescent="0.55000000000000004">
      <c r="A58" s="44" t="s">
        <v>572</v>
      </c>
      <c r="B58" s="9">
        <v>59</v>
      </c>
      <c r="C58" s="2" t="s">
        <v>458</v>
      </c>
      <c r="D58" s="2" t="s">
        <v>457</v>
      </c>
      <c r="E58">
        <v>583</v>
      </c>
      <c r="F58">
        <v>285</v>
      </c>
      <c r="G58" t="s">
        <v>454</v>
      </c>
      <c r="H58">
        <v>73.7</v>
      </c>
      <c r="I58">
        <f t="shared" si="0"/>
        <v>7.9</v>
      </c>
      <c r="J58">
        <f t="shared" si="1"/>
        <v>3.9</v>
      </c>
      <c r="K58" s="69" t="s">
        <v>746</v>
      </c>
      <c r="L58" s="69" t="s">
        <v>746</v>
      </c>
      <c r="M58" s="69" t="s">
        <v>746</v>
      </c>
      <c r="N58" s="69" t="s">
        <v>746</v>
      </c>
      <c r="O58" s="69" t="s">
        <v>746</v>
      </c>
      <c r="P58" s="69" t="s">
        <v>746</v>
      </c>
    </row>
    <row r="59" spans="1:16" x14ac:dyDescent="0.55000000000000004">
      <c r="A59" s="44">
        <v>15</v>
      </c>
      <c r="B59" s="9">
        <v>57</v>
      </c>
      <c r="C59" s="2" t="s">
        <v>226</v>
      </c>
      <c r="D59" s="2" t="s">
        <v>455</v>
      </c>
      <c r="E59">
        <v>388</v>
      </c>
      <c r="F59">
        <v>213</v>
      </c>
      <c r="H59">
        <v>33.700000000000003</v>
      </c>
      <c r="I59">
        <f t="shared" si="0"/>
        <v>11.5</v>
      </c>
      <c r="J59">
        <f t="shared" si="1"/>
        <v>6.3</v>
      </c>
      <c r="K59" t="s">
        <v>685</v>
      </c>
      <c r="L59" t="s">
        <v>686</v>
      </c>
      <c r="M59" s="68" t="s">
        <v>746</v>
      </c>
      <c r="N59" s="68" t="s">
        <v>746</v>
      </c>
      <c r="O59" s="68" t="s">
        <v>746</v>
      </c>
      <c r="P59" s="68" t="s">
        <v>746</v>
      </c>
    </row>
    <row r="60" spans="1:16" x14ac:dyDescent="0.55000000000000004">
      <c r="A60" s="44">
        <v>7</v>
      </c>
      <c r="B60" s="9">
        <v>58</v>
      </c>
      <c r="C60" s="2" t="s">
        <v>228</v>
      </c>
      <c r="D60" s="2" t="s">
        <v>456</v>
      </c>
      <c r="E60">
        <v>195</v>
      </c>
      <c r="F60">
        <v>72</v>
      </c>
      <c r="H60">
        <v>40</v>
      </c>
      <c r="I60">
        <f t="shared" si="0"/>
        <v>4.9000000000000004</v>
      </c>
      <c r="J60">
        <f t="shared" si="1"/>
        <v>1.8</v>
      </c>
      <c r="K60" s="68" t="s">
        <v>746</v>
      </c>
      <c r="L60" s="68" t="s">
        <v>746</v>
      </c>
      <c r="M60" s="68" t="s">
        <v>746</v>
      </c>
      <c r="N60" s="68" t="s">
        <v>746</v>
      </c>
      <c r="O60" s="68" t="s">
        <v>746</v>
      </c>
      <c r="P60" s="68" t="s">
        <v>746</v>
      </c>
    </row>
    <row r="61" spans="1:16" x14ac:dyDescent="0.55000000000000004">
      <c r="A61" s="44" t="s">
        <v>573</v>
      </c>
      <c r="B61" s="9">
        <v>63</v>
      </c>
      <c r="C61" s="2" t="s">
        <v>216</v>
      </c>
      <c r="D61" s="2" t="s">
        <v>464</v>
      </c>
      <c r="E61">
        <v>7791</v>
      </c>
      <c r="F61">
        <v>4202</v>
      </c>
      <c r="G61" t="s">
        <v>460</v>
      </c>
      <c r="H61">
        <v>47</v>
      </c>
      <c r="I61">
        <f t="shared" si="0"/>
        <v>165.8</v>
      </c>
      <c r="J61">
        <f t="shared" si="1"/>
        <v>89.4</v>
      </c>
      <c r="K61" s="69" t="s">
        <v>746</v>
      </c>
      <c r="L61" s="69" t="s">
        <v>746</v>
      </c>
      <c r="M61" s="69" t="s">
        <v>746</v>
      </c>
      <c r="N61" s="69" t="s">
        <v>746</v>
      </c>
      <c r="O61" s="69" t="s">
        <v>746</v>
      </c>
      <c r="P61" s="69" t="s">
        <v>746</v>
      </c>
    </row>
    <row r="62" spans="1:16" x14ac:dyDescent="0.55000000000000004">
      <c r="A62" s="44">
        <v>3</v>
      </c>
      <c r="B62" s="9">
        <v>60</v>
      </c>
      <c r="C62" s="2" t="s">
        <v>234</v>
      </c>
      <c r="D62" s="2" t="s">
        <v>461</v>
      </c>
      <c r="E62">
        <v>1350</v>
      </c>
      <c r="F62">
        <v>684</v>
      </c>
      <c r="H62">
        <v>8</v>
      </c>
      <c r="I62">
        <f t="shared" si="0"/>
        <v>168.8</v>
      </c>
      <c r="J62">
        <f t="shared" si="1"/>
        <v>85.5</v>
      </c>
      <c r="K62" t="s">
        <v>687</v>
      </c>
      <c r="L62" t="s">
        <v>688</v>
      </c>
      <c r="M62" s="68" t="s">
        <v>746</v>
      </c>
      <c r="N62" s="68" t="s">
        <v>746</v>
      </c>
      <c r="O62" s="68" t="s">
        <v>746</v>
      </c>
      <c r="P62" s="68" t="s">
        <v>746</v>
      </c>
    </row>
    <row r="63" spans="1:16" x14ac:dyDescent="0.55000000000000004">
      <c r="A63" s="44">
        <v>2</v>
      </c>
      <c r="B63" s="9">
        <v>61</v>
      </c>
      <c r="C63" s="2" t="s">
        <v>232</v>
      </c>
      <c r="D63" s="2" t="s">
        <v>462</v>
      </c>
      <c r="E63">
        <v>2439</v>
      </c>
      <c r="F63">
        <v>1132</v>
      </c>
      <c r="H63">
        <v>14</v>
      </c>
      <c r="I63">
        <f t="shared" si="0"/>
        <v>174.2</v>
      </c>
      <c r="J63">
        <f t="shared" si="1"/>
        <v>80.900000000000006</v>
      </c>
      <c r="K63" s="68" t="s">
        <v>746</v>
      </c>
      <c r="L63" s="68" t="s">
        <v>746</v>
      </c>
      <c r="M63" s="68" t="s">
        <v>746</v>
      </c>
      <c r="N63" s="68" t="s">
        <v>746</v>
      </c>
      <c r="O63" s="68" t="s">
        <v>746</v>
      </c>
      <c r="P63" s="68" t="s">
        <v>746</v>
      </c>
    </row>
    <row r="64" spans="1:16" x14ac:dyDescent="0.55000000000000004">
      <c r="A64" s="44">
        <v>1</v>
      </c>
      <c r="B64" s="9">
        <v>62</v>
      </c>
      <c r="C64" s="2" t="s">
        <v>230</v>
      </c>
      <c r="D64" s="2" t="s">
        <v>463</v>
      </c>
      <c r="E64">
        <v>4002</v>
      </c>
      <c r="F64">
        <v>2386</v>
      </c>
      <c r="H64">
        <v>25</v>
      </c>
      <c r="I64">
        <f t="shared" si="0"/>
        <v>160.1</v>
      </c>
      <c r="J64">
        <f t="shared" si="1"/>
        <v>95.4</v>
      </c>
      <c r="K64" t="s">
        <v>689</v>
      </c>
      <c r="L64" t="s">
        <v>690</v>
      </c>
      <c r="M64" t="s">
        <v>691</v>
      </c>
      <c r="N64" s="68" t="s">
        <v>746</v>
      </c>
      <c r="O64" s="68" t="s">
        <v>746</v>
      </c>
      <c r="P64" s="68" t="s">
        <v>746</v>
      </c>
    </row>
    <row r="65" spans="1:16" x14ac:dyDescent="0.55000000000000004">
      <c r="A65" s="44" t="s">
        <v>574</v>
      </c>
      <c r="B65" s="9">
        <v>105</v>
      </c>
      <c r="C65" t="s">
        <v>224</v>
      </c>
      <c r="D65" t="s">
        <v>468</v>
      </c>
      <c r="E65">
        <v>1451</v>
      </c>
      <c r="F65">
        <v>568</v>
      </c>
      <c r="G65" t="s">
        <v>465</v>
      </c>
      <c r="H65">
        <v>62.9</v>
      </c>
      <c r="I65">
        <f t="shared" si="0"/>
        <v>23.1</v>
      </c>
      <c r="J65">
        <f t="shared" si="1"/>
        <v>9</v>
      </c>
      <c r="K65" s="69" t="s">
        <v>746</v>
      </c>
      <c r="L65" s="69" t="s">
        <v>746</v>
      </c>
      <c r="M65" s="69" t="s">
        <v>746</v>
      </c>
      <c r="N65" s="69" t="s">
        <v>746</v>
      </c>
      <c r="O65" s="69" t="s">
        <v>746</v>
      </c>
      <c r="P65" s="69" t="s">
        <v>746</v>
      </c>
    </row>
    <row r="66" spans="1:16" x14ac:dyDescent="0.55000000000000004">
      <c r="A66" s="44">
        <v>40</v>
      </c>
      <c r="B66" s="9">
        <v>103</v>
      </c>
      <c r="C66" t="s">
        <v>321</v>
      </c>
      <c r="D66" t="s">
        <v>466</v>
      </c>
      <c r="E66">
        <v>1451</v>
      </c>
      <c r="F66">
        <v>568</v>
      </c>
      <c r="H66">
        <v>21.1</v>
      </c>
      <c r="I66">
        <f t="shared" si="0"/>
        <v>68.8</v>
      </c>
      <c r="J66">
        <f t="shared" si="1"/>
        <v>26.9</v>
      </c>
      <c r="K66" t="s">
        <v>692</v>
      </c>
      <c r="L66" s="68" t="s">
        <v>746</v>
      </c>
      <c r="M66" s="68" t="s">
        <v>746</v>
      </c>
      <c r="N66" s="68" t="s">
        <v>746</v>
      </c>
      <c r="O66" s="68" t="s">
        <v>746</v>
      </c>
      <c r="P66" s="68" t="s">
        <v>746</v>
      </c>
    </row>
    <row r="67" spans="1:16" x14ac:dyDescent="0.55000000000000004">
      <c r="A67" s="44">
        <v>41</v>
      </c>
      <c r="B67" s="9">
        <v>104</v>
      </c>
      <c r="C67" t="s">
        <v>225</v>
      </c>
      <c r="D67" t="s">
        <v>467</v>
      </c>
      <c r="E67">
        <v>0</v>
      </c>
      <c r="F67">
        <v>0</v>
      </c>
      <c r="H67">
        <v>41.8</v>
      </c>
      <c r="I67">
        <f t="shared" ref="I67:I106" si="2">ROUND(E67/H67,1)</f>
        <v>0</v>
      </c>
      <c r="J67">
        <f t="shared" ref="J67:J106" si="3">ROUND(F67/H67,1)</f>
        <v>0</v>
      </c>
      <c r="K67" s="68" t="s">
        <v>746</v>
      </c>
      <c r="L67" s="68" t="s">
        <v>746</v>
      </c>
      <c r="M67" s="68" t="s">
        <v>746</v>
      </c>
      <c r="N67" s="68" t="s">
        <v>746</v>
      </c>
      <c r="O67" s="68" t="s">
        <v>746</v>
      </c>
      <c r="P67" s="68" t="s">
        <v>746</v>
      </c>
    </row>
    <row r="68" spans="1:16" x14ac:dyDescent="0.55000000000000004">
      <c r="A68" s="44" t="s">
        <v>575</v>
      </c>
      <c r="B68" s="9">
        <v>67</v>
      </c>
      <c r="C68" s="2" t="s">
        <v>217</v>
      </c>
      <c r="D68" s="2" t="s">
        <v>473</v>
      </c>
      <c r="E68">
        <v>6376</v>
      </c>
      <c r="F68">
        <v>2730</v>
      </c>
      <c r="G68" t="s">
        <v>469</v>
      </c>
      <c r="H68">
        <v>104.6</v>
      </c>
      <c r="I68">
        <f t="shared" si="2"/>
        <v>61</v>
      </c>
      <c r="J68">
        <f t="shared" si="3"/>
        <v>26.1</v>
      </c>
      <c r="K68" s="69" t="s">
        <v>746</v>
      </c>
      <c r="L68" s="69" t="s">
        <v>746</v>
      </c>
      <c r="M68" s="69" t="s">
        <v>746</v>
      </c>
      <c r="N68" s="69" t="s">
        <v>746</v>
      </c>
      <c r="O68" s="69" t="s">
        <v>746</v>
      </c>
      <c r="P68" s="69" t="s">
        <v>746</v>
      </c>
    </row>
    <row r="69" spans="1:16" x14ac:dyDescent="0.55000000000000004">
      <c r="A69" s="44">
        <v>43</v>
      </c>
      <c r="B69" s="9">
        <v>64</v>
      </c>
      <c r="C69" s="2" t="s">
        <v>289</v>
      </c>
      <c r="D69" s="2" t="s">
        <v>470</v>
      </c>
      <c r="E69">
        <v>1864</v>
      </c>
      <c r="F69">
        <v>826</v>
      </c>
      <c r="H69">
        <v>21</v>
      </c>
      <c r="I69">
        <f t="shared" si="2"/>
        <v>88.8</v>
      </c>
      <c r="J69">
        <f t="shared" si="3"/>
        <v>39.299999999999997</v>
      </c>
      <c r="K69" t="s">
        <v>693</v>
      </c>
      <c r="L69" t="s">
        <v>694</v>
      </c>
      <c r="M69" s="68" t="s">
        <v>746</v>
      </c>
      <c r="N69" s="68" t="s">
        <v>746</v>
      </c>
      <c r="O69" s="68" t="s">
        <v>746</v>
      </c>
      <c r="P69" s="68" t="s">
        <v>746</v>
      </c>
    </row>
    <row r="70" spans="1:16" x14ac:dyDescent="0.55000000000000004">
      <c r="A70" s="44">
        <v>42</v>
      </c>
      <c r="B70" s="9">
        <v>65</v>
      </c>
      <c r="C70" s="2" t="s">
        <v>293</v>
      </c>
      <c r="D70" s="2" t="s">
        <v>471</v>
      </c>
      <c r="E70">
        <v>4393</v>
      </c>
      <c r="F70">
        <v>1841</v>
      </c>
      <c r="H70">
        <v>40</v>
      </c>
      <c r="I70">
        <f t="shared" si="2"/>
        <v>109.8</v>
      </c>
      <c r="J70">
        <f t="shared" si="3"/>
        <v>46</v>
      </c>
      <c r="K70" t="s">
        <v>695</v>
      </c>
      <c r="L70" t="s">
        <v>696</v>
      </c>
      <c r="M70" s="68" t="s">
        <v>746</v>
      </c>
      <c r="N70" s="68" t="s">
        <v>746</v>
      </c>
      <c r="O70" s="68" t="s">
        <v>746</v>
      </c>
      <c r="P70" s="68" t="s">
        <v>746</v>
      </c>
    </row>
    <row r="71" spans="1:16" x14ac:dyDescent="0.55000000000000004">
      <c r="A71" s="44">
        <v>57</v>
      </c>
      <c r="B71" s="9">
        <v>66</v>
      </c>
      <c r="C71" s="2" t="s">
        <v>291</v>
      </c>
      <c r="D71" s="2" t="s">
        <v>472</v>
      </c>
      <c r="E71">
        <v>119</v>
      </c>
      <c r="F71">
        <v>63</v>
      </c>
      <c r="H71">
        <v>43.6</v>
      </c>
      <c r="I71">
        <f t="shared" si="2"/>
        <v>2.7</v>
      </c>
      <c r="J71">
        <f t="shared" si="3"/>
        <v>1.4</v>
      </c>
      <c r="K71" s="68" t="s">
        <v>746</v>
      </c>
      <c r="L71" s="68" t="s">
        <v>746</v>
      </c>
      <c r="M71" s="68" t="s">
        <v>746</v>
      </c>
      <c r="N71" s="68" t="s">
        <v>746</v>
      </c>
      <c r="O71" s="68" t="s">
        <v>746</v>
      </c>
      <c r="P71" s="68" t="s">
        <v>746</v>
      </c>
    </row>
    <row r="72" spans="1:16" x14ac:dyDescent="0.55000000000000004">
      <c r="A72" s="44" t="s">
        <v>576</v>
      </c>
      <c r="B72" s="9">
        <v>73</v>
      </c>
      <c r="C72" s="2" t="s">
        <v>218</v>
      </c>
      <c r="D72" s="2" t="s">
        <v>480</v>
      </c>
      <c r="E72">
        <v>9852</v>
      </c>
      <c r="F72">
        <v>4690</v>
      </c>
      <c r="G72" t="s">
        <v>474</v>
      </c>
      <c r="H72">
        <v>89.2</v>
      </c>
      <c r="I72">
        <f t="shared" si="2"/>
        <v>110.4</v>
      </c>
      <c r="J72">
        <f t="shared" si="3"/>
        <v>52.6</v>
      </c>
      <c r="K72" s="69" t="s">
        <v>746</v>
      </c>
      <c r="L72" s="69" t="s">
        <v>746</v>
      </c>
      <c r="M72" s="69" t="s">
        <v>746</v>
      </c>
      <c r="N72" s="69" t="s">
        <v>746</v>
      </c>
      <c r="O72" s="69" t="s">
        <v>746</v>
      </c>
      <c r="P72" s="69" t="s">
        <v>746</v>
      </c>
    </row>
    <row r="73" spans="1:16" x14ac:dyDescent="0.55000000000000004">
      <c r="A73" s="44">
        <v>72</v>
      </c>
      <c r="B73" s="9">
        <v>68</v>
      </c>
      <c r="C73" s="2" t="s">
        <v>353</v>
      </c>
      <c r="D73" s="2" t="s">
        <v>475</v>
      </c>
      <c r="E73">
        <v>1322</v>
      </c>
      <c r="F73">
        <v>691</v>
      </c>
      <c r="H73">
        <v>11</v>
      </c>
      <c r="I73">
        <f t="shared" si="2"/>
        <v>120.2</v>
      </c>
      <c r="J73">
        <f t="shared" si="3"/>
        <v>62.8</v>
      </c>
      <c r="K73" s="68" t="s">
        <v>746</v>
      </c>
      <c r="L73" s="68" t="s">
        <v>746</v>
      </c>
      <c r="M73" s="68" t="s">
        <v>746</v>
      </c>
      <c r="N73" s="68" t="s">
        <v>746</v>
      </c>
      <c r="O73" s="68" t="s">
        <v>746</v>
      </c>
      <c r="P73" s="68" t="s">
        <v>746</v>
      </c>
    </row>
    <row r="74" spans="1:16" x14ac:dyDescent="0.55000000000000004">
      <c r="A74" s="44">
        <v>73</v>
      </c>
      <c r="B74" s="9">
        <v>69</v>
      </c>
      <c r="C74" s="2" t="s">
        <v>355</v>
      </c>
      <c r="D74" s="2" t="s">
        <v>476</v>
      </c>
      <c r="E74">
        <v>2411</v>
      </c>
      <c r="F74">
        <v>1185</v>
      </c>
      <c r="H74">
        <v>26.5</v>
      </c>
      <c r="I74">
        <f t="shared" si="2"/>
        <v>91</v>
      </c>
      <c r="J74">
        <f t="shared" si="3"/>
        <v>44.7</v>
      </c>
      <c r="K74" t="s">
        <v>697</v>
      </c>
      <c r="L74" s="68" t="s">
        <v>746</v>
      </c>
      <c r="M74" s="68" t="s">
        <v>746</v>
      </c>
      <c r="N74" s="68" t="s">
        <v>746</v>
      </c>
      <c r="O74" s="68" t="s">
        <v>746</v>
      </c>
      <c r="P74" s="68" t="s">
        <v>746</v>
      </c>
    </row>
    <row r="75" spans="1:16" x14ac:dyDescent="0.55000000000000004">
      <c r="A75" s="44">
        <v>74</v>
      </c>
      <c r="B75" s="9">
        <v>70</v>
      </c>
      <c r="C75" s="2" t="s">
        <v>357</v>
      </c>
      <c r="D75" s="2" t="s">
        <v>477</v>
      </c>
      <c r="E75">
        <v>2246</v>
      </c>
      <c r="F75">
        <v>933</v>
      </c>
      <c r="H75">
        <v>21.2</v>
      </c>
      <c r="I75">
        <f t="shared" si="2"/>
        <v>105.9</v>
      </c>
      <c r="J75">
        <f t="shared" si="3"/>
        <v>44</v>
      </c>
      <c r="K75" s="68" t="s">
        <v>746</v>
      </c>
      <c r="L75" s="68" t="s">
        <v>746</v>
      </c>
      <c r="M75" s="68" t="s">
        <v>746</v>
      </c>
      <c r="N75" s="68" t="s">
        <v>746</v>
      </c>
      <c r="O75" s="68" t="s">
        <v>746</v>
      </c>
      <c r="P75" s="68" t="s">
        <v>746</v>
      </c>
    </row>
    <row r="76" spans="1:16" x14ac:dyDescent="0.55000000000000004">
      <c r="A76" s="44">
        <v>75</v>
      </c>
      <c r="B76" s="9">
        <v>71</v>
      </c>
      <c r="C76" s="2" t="s">
        <v>359</v>
      </c>
      <c r="D76" s="2" t="s">
        <v>478</v>
      </c>
      <c r="E76">
        <v>2570</v>
      </c>
      <c r="F76">
        <v>1199</v>
      </c>
      <c r="H76">
        <v>20</v>
      </c>
      <c r="I76">
        <f t="shared" si="2"/>
        <v>128.5</v>
      </c>
      <c r="J76">
        <f t="shared" si="3"/>
        <v>60</v>
      </c>
      <c r="K76" t="s">
        <v>698</v>
      </c>
      <c r="L76" t="s">
        <v>699</v>
      </c>
      <c r="M76" s="68" t="s">
        <v>746</v>
      </c>
      <c r="N76" s="68" t="s">
        <v>746</v>
      </c>
      <c r="O76" s="68" t="s">
        <v>746</v>
      </c>
      <c r="P76" s="68" t="s">
        <v>746</v>
      </c>
    </row>
    <row r="77" spans="1:16" x14ac:dyDescent="0.55000000000000004">
      <c r="A77" s="44">
        <v>76</v>
      </c>
      <c r="B77" s="9">
        <v>72</v>
      </c>
      <c r="C77" s="2" t="s">
        <v>361</v>
      </c>
      <c r="D77" s="2" t="s">
        <v>479</v>
      </c>
      <c r="E77">
        <v>1303</v>
      </c>
      <c r="F77">
        <v>682</v>
      </c>
      <c r="H77">
        <v>10.5</v>
      </c>
      <c r="I77">
        <f t="shared" si="2"/>
        <v>124.1</v>
      </c>
      <c r="J77">
        <f t="shared" si="3"/>
        <v>65</v>
      </c>
      <c r="K77" t="s">
        <v>700</v>
      </c>
      <c r="L77" s="68" t="s">
        <v>746</v>
      </c>
      <c r="M77" s="68" t="s">
        <v>746</v>
      </c>
      <c r="N77" s="68" t="s">
        <v>746</v>
      </c>
      <c r="O77" s="68" t="s">
        <v>746</v>
      </c>
      <c r="P77" s="68" t="s">
        <v>746</v>
      </c>
    </row>
    <row r="78" spans="1:16" x14ac:dyDescent="0.55000000000000004">
      <c r="A78" s="44" t="s">
        <v>577</v>
      </c>
      <c r="B78" s="9">
        <v>82</v>
      </c>
      <c r="C78" s="2" t="s">
        <v>219</v>
      </c>
      <c r="D78" s="2" t="s">
        <v>490</v>
      </c>
      <c r="E78">
        <v>32499</v>
      </c>
      <c r="F78">
        <v>15021</v>
      </c>
      <c r="G78" t="s">
        <v>481</v>
      </c>
      <c r="H78">
        <v>487.2</v>
      </c>
      <c r="I78">
        <f t="shared" si="2"/>
        <v>66.7</v>
      </c>
      <c r="J78">
        <f t="shared" si="3"/>
        <v>30.8</v>
      </c>
      <c r="K78" s="69" t="s">
        <v>746</v>
      </c>
      <c r="L78" s="69" t="s">
        <v>746</v>
      </c>
      <c r="M78" s="69" t="s">
        <v>746</v>
      </c>
      <c r="N78" s="69" t="s">
        <v>746</v>
      </c>
      <c r="O78" s="69" t="s">
        <v>746</v>
      </c>
      <c r="P78" s="69" t="s">
        <v>746</v>
      </c>
    </row>
    <row r="79" spans="1:16" x14ac:dyDescent="0.55000000000000004">
      <c r="A79" s="44">
        <v>29</v>
      </c>
      <c r="B79" s="9">
        <v>74</v>
      </c>
      <c r="C79" s="2" t="s">
        <v>276</v>
      </c>
      <c r="D79" s="2" t="s">
        <v>482</v>
      </c>
      <c r="E79">
        <v>3149</v>
      </c>
      <c r="F79">
        <v>1466</v>
      </c>
      <c r="H79">
        <v>52.8</v>
      </c>
      <c r="I79">
        <f t="shared" si="2"/>
        <v>59.6</v>
      </c>
      <c r="J79">
        <f t="shared" si="3"/>
        <v>27.8</v>
      </c>
      <c r="K79" t="s">
        <v>701</v>
      </c>
      <c r="L79" s="68" t="s">
        <v>746</v>
      </c>
      <c r="M79" s="68" t="s">
        <v>746</v>
      </c>
      <c r="N79" s="68" t="s">
        <v>746</v>
      </c>
      <c r="O79" s="68" t="s">
        <v>746</v>
      </c>
      <c r="P79" s="68" t="s">
        <v>746</v>
      </c>
    </row>
    <row r="80" spans="1:16" x14ac:dyDescent="0.55000000000000004">
      <c r="A80" s="44">
        <v>28</v>
      </c>
      <c r="B80" s="9">
        <v>75</v>
      </c>
      <c r="C80" s="2" t="s">
        <v>274</v>
      </c>
      <c r="D80" s="2" t="s">
        <v>483</v>
      </c>
      <c r="E80">
        <v>450</v>
      </c>
      <c r="F80">
        <v>224</v>
      </c>
      <c r="H80">
        <v>45.6</v>
      </c>
      <c r="I80">
        <f t="shared" si="2"/>
        <v>9.9</v>
      </c>
      <c r="J80">
        <f t="shared" si="3"/>
        <v>4.9000000000000004</v>
      </c>
      <c r="K80" t="s">
        <v>702</v>
      </c>
      <c r="L80" t="s">
        <v>703</v>
      </c>
      <c r="M80" s="68" t="s">
        <v>746</v>
      </c>
      <c r="N80" s="68" t="s">
        <v>746</v>
      </c>
      <c r="O80" s="68" t="s">
        <v>746</v>
      </c>
      <c r="P80" s="68" t="s">
        <v>746</v>
      </c>
    </row>
    <row r="81" spans="1:16" x14ac:dyDescent="0.55000000000000004">
      <c r="A81" s="44">
        <v>27</v>
      </c>
      <c r="B81" s="9">
        <v>76</v>
      </c>
      <c r="C81" s="2" t="s">
        <v>272</v>
      </c>
      <c r="D81" s="2" t="s">
        <v>484</v>
      </c>
      <c r="E81">
        <v>2316</v>
      </c>
      <c r="F81">
        <v>1085</v>
      </c>
      <c r="H81">
        <v>101.1</v>
      </c>
      <c r="I81">
        <f t="shared" si="2"/>
        <v>22.9</v>
      </c>
      <c r="J81">
        <f t="shared" si="3"/>
        <v>10.7</v>
      </c>
      <c r="K81" t="s">
        <v>704</v>
      </c>
      <c r="L81" t="s">
        <v>705</v>
      </c>
      <c r="M81" t="s">
        <v>706</v>
      </c>
      <c r="N81" t="s">
        <v>707</v>
      </c>
      <c r="O81" t="s">
        <v>708</v>
      </c>
      <c r="P81" s="68" t="s">
        <v>746</v>
      </c>
    </row>
    <row r="82" spans="1:16" x14ac:dyDescent="0.55000000000000004">
      <c r="A82" s="44">
        <v>26</v>
      </c>
      <c r="B82" s="9">
        <v>77</v>
      </c>
      <c r="C82" s="2" t="s">
        <v>270</v>
      </c>
      <c r="D82" s="2" t="s">
        <v>486</v>
      </c>
      <c r="E82">
        <v>5240</v>
      </c>
      <c r="F82">
        <v>2515</v>
      </c>
      <c r="H82">
        <v>65.7</v>
      </c>
      <c r="I82">
        <f t="shared" si="2"/>
        <v>79.8</v>
      </c>
      <c r="J82">
        <f t="shared" si="3"/>
        <v>38.299999999999997</v>
      </c>
      <c r="K82" t="s">
        <v>709</v>
      </c>
      <c r="L82" t="s">
        <v>710</v>
      </c>
      <c r="M82" s="68" t="s">
        <v>746</v>
      </c>
      <c r="N82" s="68" t="s">
        <v>746</v>
      </c>
      <c r="O82" s="68" t="s">
        <v>746</v>
      </c>
      <c r="P82" s="68" t="s">
        <v>746</v>
      </c>
    </row>
    <row r="83" spans="1:16" x14ac:dyDescent="0.55000000000000004">
      <c r="A83" s="44">
        <v>19</v>
      </c>
      <c r="B83" s="9">
        <v>78</v>
      </c>
      <c r="C83" s="2" t="s">
        <v>262</v>
      </c>
      <c r="D83" s="2" t="s">
        <v>487</v>
      </c>
      <c r="E83">
        <v>8004</v>
      </c>
      <c r="F83">
        <v>3732</v>
      </c>
      <c r="H83">
        <v>60</v>
      </c>
      <c r="I83">
        <f t="shared" si="2"/>
        <v>133.4</v>
      </c>
      <c r="J83">
        <f t="shared" si="3"/>
        <v>62.2</v>
      </c>
      <c r="K83" t="s">
        <v>744</v>
      </c>
      <c r="L83" t="s">
        <v>711</v>
      </c>
      <c r="M83" t="s">
        <v>712</v>
      </c>
      <c r="N83" t="s">
        <v>713</v>
      </c>
      <c r="O83" t="s">
        <v>714</v>
      </c>
      <c r="P83" t="s">
        <v>715</v>
      </c>
    </row>
    <row r="84" spans="1:16" x14ac:dyDescent="0.55000000000000004">
      <c r="A84" s="44">
        <v>20</v>
      </c>
      <c r="B84" s="9">
        <v>79</v>
      </c>
      <c r="C84" s="2" t="s">
        <v>264</v>
      </c>
      <c r="D84" s="2" t="s">
        <v>488</v>
      </c>
      <c r="E84">
        <v>4944</v>
      </c>
      <c r="F84">
        <v>2270</v>
      </c>
      <c r="H84">
        <v>47</v>
      </c>
      <c r="I84">
        <f t="shared" si="2"/>
        <v>105.2</v>
      </c>
      <c r="J84">
        <f t="shared" si="3"/>
        <v>48.3</v>
      </c>
      <c r="K84" t="s">
        <v>716</v>
      </c>
      <c r="L84" s="68" t="s">
        <v>746</v>
      </c>
      <c r="M84" s="68" t="s">
        <v>746</v>
      </c>
      <c r="N84" s="68" t="s">
        <v>746</v>
      </c>
      <c r="O84" s="68" t="s">
        <v>746</v>
      </c>
      <c r="P84" s="68" t="s">
        <v>746</v>
      </c>
    </row>
    <row r="85" spans="1:16" x14ac:dyDescent="0.55000000000000004">
      <c r="A85" s="44">
        <v>21</v>
      </c>
      <c r="B85" s="9">
        <v>80</v>
      </c>
      <c r="C85" s="2" t="s">
        <v>266</v>
      </c>
      <c r="D85" s="2" t="s">
        <v>485</v>
      </c>
      <c r="E85">
        <v>3539</v>
      </c>
      <c r="F85">
        <v>1609</v>
      </c>
      <c r="H85">
        <v>55</v>
      </c>
      <c r="I85">
        <f t="shared" si="2"/>
        <v>64.3</v>
      </c>
      <c r="J85">
        <f t="shared" si="3"/>
        <v>29.3</v>
      </c>
      <c r="K85" t="s">
        <v>717</v>
      </c>
      <c r="L85" t="s">
        <v>718</v>
      </c>
      <c r="M85" t="s">
        <v>719</v>
      </c>
      <c r="N85" t="s">
        <v>720</v>
      </c>
      <c r="O85" s="68" t="s">
        <v>746</v>
      </c>
      <c r="P85" s="68" t="s">
        <v>746</v>
      </c>
    </row>
    <row r="86" spans="1:16" x14ac:dyDescent="0.55000000000000004">
      <c r="A86" s="44">
        <v>22</v>
      </c>
      <c r="B86" s="9">
        <v>81</v>
      </c>
      <c r="C86" s="2" t="s">
        <v>268</v>
      </c>
      <c r="D86" s="2" t="s">
        <v>489</v>
      </c>
      <c r="E86">
        <v>4857</v>
      </c>
      <c r="F86">
        <v>2120</v>
      </c>
      <c r="H86">
        <v>60</v>
      </c>
      <c r="I86">
        <f t="shared" si="2"/>
        <v>81</v>
      </c>
      <c r="J86">
        <f t="shared" si="3"/>
        <v>35.299999999999997</v>
      </c>
      <c r="K86" t="s">
        <v>721</v>
      </c>
      <c r="L86" t="s">
        <v>722</v>
      </c>
      <c r="M86" t="s">
        <v>723</v>
      </c>
      <c r="N86" s="68" t="s">
        <v>746</v>
      </c>
      <c r="O86" s="68" t="s">
        <v>746</v>
      </c>
      <c r="P86" s="68" t="s">
        <v>746</v>
      </c>
    </row>
    <row r="87" spans="1:16" x14ac:dyDescent="0.55000000000000004">
      <c r="A87" s="44" t="s">
        <v>578</v>
      </c>
      <c r="B87" s="9">
        <v>86</v>
      </c>
      <c r="C87" t="s">
        <v>459</v>
      </c>
      <c r="D87" s="2" t="s">
        <v>495</v>
      </c>
      <c r="E87">
        <v>9767</v>
      </c>
      <c r="F87">
        <v>4562</v>
      </c>
      <c r="G87" t="s">
        <v>491</v>
      </c>
      <c r="H87">
        <v>115.8</v>
      </c>
      <c r="I87">
        <f t="shared" si="2"/>
        <v>84.3</v>
      </c>
      <c r="J87">
        <f t="shared" si="3"/>
        <v>39.4</v>
      </c>
      <c r="K87" s="69" t="s">
        <v>746</v>
      </c>
      <c r="L87" s="69" t="s">
        <v>746</v>
      </c>
      <c r="M87" s="69" t="s">
        <v>746</v>
      </c>
      <c r="N87" s="69" t="s">
        <v>746</v>
      </c>
      <c r="O87" s="69" t="s">
        <v>746</v>
      </c>
      <c r="P87" s="69" t="s">
        <v>746</v>
      </c>
    </row>
    <row r="88" spans="1:16" x14ac:dyDescent="0.55000000000000004">
      <c r="A88" s="44">
        <v>30</v>
      </c>
      <c r="B88" s="9">
        <v>83</v>
      </c>
      <c r="C88" t="s">
        <v>303</v>
      </c>
      <c r="D88" s="2" t="s">
        <v>492</v>
      </c>
      <c r="E88">
        <v>5131</v>
      </c>
      <c r="F88">
        <v>2453</v>
      </c>
      <c r="H88">
        <v>58.8</v>
      </c>
      <c r="I88">
        <f t="shared" si="2"/>
        <v>87.3</v>
      </c>
      <c r="J88">
        <f t="shared" si="3"/>
        <v>41.7</v>
      </c>
      <c r="K88" t="s">
        <v>724</v>
      </c>
      <c r="L88" t="s">
        <v>725</v>
      </c>
      <c r="M88" t="s">
        <v>726</v>
      </c>
      <c r="N88" t="s">
        <v>727</v>
      </c>
      <c r="O88" t="s">
        <v>728</v>
      </c>
      <c r="P88" s="68" t="s">
        <v>746</v>
      </c>
    </row>
    <row r="89" spans="1:16" x14ac:dyDescent="0.55000000000000004">
      <c r="A89" s="44">
        <v>31</v>
      </c>
      <c r="B89" s="9">
        <v>84</v>
      </c>
      <c r="C89" t="s">
        <v>305</v>
      </c>
      <c r="D89" s="2" t="s">
        <v>493</v>
      </c>
      <c r="E89">
        <v>3037</v>
      </c>
      <c r="F89">
        <v>1310</v>
      </c>
      <c r="H89">
        <v>42</v>
      </c>
      <c r="I89">
        <f t="shared" si="2"/>
        <v>72.3</v>
      </c>
      <c r="J89">
        <f t="shared" si="3"/>
        <v>31.2</v>
      </c>
      <c r="K89" t="s">
        <v>729</v>
      </c>
      <c r="L89" s="68" t="s">
        <v>746</v>
      </c>
      <c r="M89" s="68" t="s">
        <v>746</v>
      </c>
      <c r="N89" s="68" t="s">
        <v>746</v>
      </c>
      <c r="O89" s="68" t="s">
        <v>746</v>
      </c>
      <c r="P89" s="68" t="s">
        <v>746</v>
      </c>
    </row>
    <row r="90" spans="1:16" x14ac:dyDescent="0.55000000000000004">
      <c r="A90" s="44">
        <v>23</v>
      </c>
      <c r="B90" s="9">
        <v>85</v>
      </c>
      <c r="C90" t="s">
        <v>301</v>
      </c>
      <c r="D90" s="2" t="s">
        <v>494</v>
      </c>
      <c r="E90">
        <v>1599</v>
      </c>
      <c r="F90">
        <v>799</v>
      </c>
      <c r="H90">
        <v>15</v>
      </c>
      <c r="I90">
        <f t="shared" si="2"/>
        <v>106.6</v>
      </c>
      <c r="J90">
        <f t="shared" si="3"/>
        <v>53.3</v>
      </c>
      <c r="K90" t="s">
        <v>730</v>
      </c>
      <c r="L90" s="68" t="s">
        <v>746</v>
      </c>
      <c r="M90" s="68" t="s">
        <v>746</v>
      </c>
      <c r="N90" s="68" t="s">
        <v>746</v>
      </c>
      <c r="O90" s="68" t="s">
        <v>746</v>
      </c>
      <c r="P90" s="68" t="s">
        <v>746</v>
      </c>
    </row>
    <row r="91" spans="1:16" x14ac:dyDescent="0.55000000000000004">
      <c r="A91" s="44" t="s">
        <v>579</v>
      </c>
      <c r="B91" s="9">
        <v>91</v>
      </c>
      <c r="C91" t="s">
        <v>220</v>
      </c>
      <c r="D91" s="2" t="s">
        <v>501</v>
      </c>
      <c r="E91">
        <v>5781</v>
      </c>
      <c r="F91">
        <v>2637</v>
      </c>
      <c r="G91" t="s">
        <v>496</v>
      </c>
      <c r="H91">
        <v>125.9</v>
      </c>
      <c r="I91">
        <f t="shared" si="2"/>
        <v>45.9</v>
      </c>
      <c r="J91">
        <f t="shared" si="3"/>
        <v>20.9</v>
      </c>
      <c r="K91" s="69" t="s">
        <v>746</v>
      </c>
      <c r="L91" s="69" t="s">
        <v>746</v>
      </c>
      <c r="M91" s="69" t="s">
        <v>746</v>
      </c>
      <c r="N91" s="69" t="s">
        <v>746</v>
      </c>
      <c r="O91" s="69" t="s">
        <v>746</v>
      </c>
      <c r="P91" s="69" t="s">
        <v>746</v>
      </c>
    </row>
    <row r="92" spans="1:16" x14ac:dyDescent="0.55000000000000004">
      <c r="A92" s="44">
        <v>38</v>
      </c>
      <c r="B92" s="9">
        <v>87</v>
      </c>
      <c r="C92" t="s">
        <v>307</v>
      </c>
      <c r="D92" s="2" t="s">
        <v>497</v>
      </c>
      <c r="E92">
        <v>1342</v>
      </c>
      <c r="F92">
        <v>625</v>
      </c>
      <c r="H92">
        <v>39.700000000000003</v>
      </c>
      <c r="I92">
        <f t="shared" si="2"/>
        <v>33.799999999999997</v>
      </c>
      <c r="J92">
        <f t="shared" si="3"/>
        <v>15.7</v>
      </c>
      <c r="K92" t="s">
        <v>731</v>
      </c>
      <c r="L92" t="s">
        <v>732</v>
      </c>
      <c r="M92" s="68" t="s">
        <v>746</v>
      </c>
      <c r="N92" s="68" t="s">
        <v>746</v>
      </c>
      <c r="O92" s="68" t="s">
        <v>746</v>
      </c>
      <c r="P92" s="68" t="s">
        <v>746</v>
      </c>
    </row>
    <row r="93" spans="1:16" x14ac:dyDescent="0.55000000000000004">
      <c r="A93" s="44">
        <v>39</v>
      </c>
      <c r="B93" s="9">
        <v>88</v>
      </c>
      <c r="C93" t="s">
        <v>309</v>
      </c>
      <c r="D93" s="2" t="s">
        <v>498</v>
      </c>
      <c r="E93">
        <v>1603</v>
      </c>
      <c r="F93">
        <v>731</v>
      </c>
      <c r="H93">
        <v>19</v>
      </c>
      <c r="I93">
        <f t="shared" si="2"/>
        <v>84.4</v>
      </c>
      <c r="J93">
        <f t="shared" si="3"/>
        <v>38.5</v>
      </c>
      <c r="K93" s="68" t="s">
        <v>746</v>
      </c>
      <c r="L93" s="68" t="s">
        <v>746</v>
      </c>
      <c r="M93" s="68" t="s">
        <v>746</v>
      </c>
      <c r="N93" s="68" t="s">
        <v>746</v>
      </c>
      <c r="O93" s="68" t="s">
        <v>746</v>
      </c>
      <c r="P93" s="68" t="s">
        <v>746</v>
      </c>
    </row>
    <row r="94" spans="1:16" x14ac:dyDescent="0.55000000000000004">
      <c r="A94" s="44">
        <v>48</v>
      </c>
      <c r="B94" s="9">
        <v>89</v>
      </c>
      <c r="C94" t="s">
        <v>311</v>
      </c>
      <c r="D94" s="2" t="s">
        <v>499</v>
      </c>
      <c r="E94">
        <v>1390</v>
      </c>
      <c r="F94">
        <v>577</v>
      </c>
      <c r="H94">
        <v>26.1</v>
      </c>
      <c r="I94">
        <f t="shared" si="2"/>
        <v>53.3</v>
      </c>
      <c r="J94">
        <f t="shared" si="3"/>
        <v>22.1</v>
      </c>
      <c r="K94" s="68" t="s">
        <v>746</v>
      </c>
      <c r="L94" s="68" t="s">
        <v>746</v>
      </c>
      <c r="M94" s="68" t="s">
        <v>746</v>
      </c>
      <c r="N94" s="68" t="s">
        <v>746</v>
      </c>
      <c r="O94" s="68" t="s">
        <v>746</v>
      </c>
      <c r="P94" s="68" t="s">
        <v>746</v>
      </c>
    </row>
    <row r="95" spans="1:16" x14ac:dyDescent="0.55000000000000004">
      <c r="A95" s="44">
        <v>47</v>
      </c>
      <c r="B95" s="9">
        <v>90</v>
      </c>
      <c r="C95" t="s">
        <v>313</v>
      </c>
      <c r="D95" s="2" t="s">
        <v>500</v>
      </c>
      <c r="E95">
        <v>1446</v>
      </c>
      <c r="F95">
        <v>704</v>
      </c>
      <c r="H95">
        <v>41.1</v>
      </c>
      <c r="I95">
        <f t="shared" si="2"/>
        <v>35.200000000000003</v>
      </c>
      <c r="J95">
        <f t="shared" si="3"/>
        <v>17.100000000000001</v>
      </c>
      <c r="K95" t="s">
        <v>733</v>
      </c>
      <c r="L95" s="68" t="s">
        <v>746</v>
      </c>
      <c r="M95" s="68" t="s">
        <v>746</v>
      </c>
      <c r="N95" s="68" t="s">
        <v>746</v>
      </c>
      <c r="O95" s="68" t="s">
        <v>746</v>
      </c>
      <c r="P95" s="68" t="s">
        <v>746</v>
      </c>
    </row>
    <row r="96" spans="1:16" x14ac:dyDescent="0.55000000000000004">
      <c r="A96" s="44" t="s">
        <v>580</v>
      </c>
      <c r="B96" s="9">
        <v>95</v>
      </c>
      <c r="C96" t="s">
        <v>221</v>
      </c>
      <c r="D96" s="2" t="s">
        <v>503</v>
      </c>
      <c r="E96">
        <v>7078</v>
      </c>
      <c r="F96">
        <v>3330</v>
      </c>
      <c r="G96" t="s">
        <v>502</v>
      </c>
      <c r="H96">
        <v>47</v>
      </c>
      <c r="I96">
        <f t="shared" si="2"/>
        <v>150.6</v>
      </c>
      <c r="J96">
        <f t="shared" si="3"/>
        <v>70.900000000000006</v>
      </c>
      <c r="K96" s="69" t="s">
        <v>746</v>
      </c>
      <c r="L96" s="69" t="s">
        <v>746</v>
      </c>
      <c r="M96" s="69" t="s">
        <v>746</v>
      </c>
      <c r="N96" s="69" t="s">
        <v>746</v>
      </c>
      <c r="O96" s="69" t="s">
        <v>746</v>
      </c>
      <c r="P96" s="69" t="s">
        <v>746</v>
      </c>
    </row>
    <row r="97" spans="1:16" x14ac:dyDescent="0.55000000000000004">
      <c r="A97" s="44">
        <v>14</v>
      </c>
      <c r="B97" s="9">
        <v>92</v>
      </c>
      <c r="C97" t="s">
        <v>260</v>
      </c>
      <c r="D97" s="2" t="s">
        <v>504</v>
      </c>
      <c r="E97">
        <v>3213</v>
      </c>
      <c r="F97">
        <v>1404</v>
      </c>
      <c r="H97">
        <v>19</v>
      </c>
      <c r="I97">
        <f t="shared" si="2"/>
        <v>169.1</v>
      </c>
      <c r="J97">
        <f t="shared" si="3"/>
        <v>73.900000000000006</v>
      </c>
      <c r="K97" t="s">
        <v>734</v>
      </c>
      <c r="L97" s="68" t="s">
        <v>746</v>
      </c>
      <c r="M97" s="68" t="s">
        <v>746</v>
      </c>
      <c r="N97" s="68" t="s">
        <v>746</v>
      </c>
      <c r="O97" s="68" t="s">
        <v>746</v>
      </c>
      <c r="P97" s="68" t="s">
        <v>746</v>
      </c>
    </row>
    <row r="98" spans="1:16" x14ac:dyDescent="0.55000000000000004">
      <c r="A98" s="44">
        <v>13</v>
      </c>
      <c r="B98" s="9">
        <v>93</v>
      </c>
      <c r="C98" t="s">
        <v>258</v>
      </c>
      <c r="D98" s="2" t="s">
        <v>505</v>
      </c>
      <c r="E98">
        <v>1405</v>
      </c>
      <c r="F98">
        <v>595</v>
      </c>
      <c r="H98">
        <v>13</v>
      </c>
      <c r="I98">
        <f t="shared" si="2"/>
        <v>108.1</v>
      </c>
      <c r="J98">
        <f t="shared" si="3"/>
        <v>45.8</v>
      </c>
      <c r="K98" s="68" t="s">
        <v>746</v>
      </c>
      <c r="L98" s="68" t="s">
        <v>746</v>
      </c>
      <c r="M98" s="68" t="s">
        <v>746</v>
      </c>
      <c r="N98" s="68" t="s">
        <v>746</v>
      </c>
      <c r="O98" s="68" t="s">
        <v>746</v>
      </c>
      <c r="P98" s="68" t="s">
        <v>746</v>
      </c>
    </row>
    <row r="99" spans="1:16" x14ac:dyDescent="0.55000000000000004">
      <c r="A99" s="44">
        <v>12</v>
      </c>
      <c r="B99" s="9">
        <v>94</v>
      </c>
      <c r="C99" t="s">
        <v>256</v>
      </c>
      <c r="D99" s="2" t="s">
        <v>506</v>
      </c>
      <c r="E99">
        <v>2460</v>
      </c>
      <c r="F99">
        <v>1331</v>
      </c>
      <c r="H99">
        <v>15</v>
      </c>
      <c r="I99">
        <f t="shared" si="2"/>
        <v>164</v>
      </c>
      <c r="J99">
        <f t="shared" si="3"/>
        <v>88.7</v>
      </c>
      <c r="K99" t="s">
        <v>735</v>
      </c>
      <c r="L99" s="68" t="s">
        <v>746</v>
      </c>
      <c r="M99" s="68" t="s">
        <v>746</v>
      </c>
      <c r="N99" s="68" t="s">
        <v>746</v>
      </c>
      <c r="O99" s="68" t="s">
        <v>746</v>
      </c>
      <c r="P99" s="68" t="s">
        <v>746</v>
      </c>
    </row>
    <row r="100" spans="1:16" x14ac:dyDescent="0.55000000000000004">
      <c r="A100" s="44" t="s">
        <v>581</v>
      </c>
      <c r="B100" s="9">
        <v>99</v>
      </c>
      <c r="C100" t="s">
        <v>222</v>
      </c>
      <c r="D100" s="2" t="s">
        <v>508</v>
      </c>
      <c r="E100">
        <v>1539</v>
      </c>
      <c r="F100">
        <v>778</v>
      </c>
      <c r="G100" t="s">
        <v>507</v>
      </c>
      <c r="H100">
        <v>78.2</v>
      </c>
      <c r="I100">
        <f t="shared" si="2"/>
        <v>19.7</v>
      </c>
      <c r="J100">
        <f t="shared" si="3"/>
        <v>9.9</v>
      </c>
      <c r="K100" s="69" t="s">
        <v>746</v>
      </c>
      <c r="L100" s="69" t="s">
        <v>746</v>
      </c>
      <c r="M100" s="69" t="s">
        <v>746</v>
      </c>
      <c r="N100" s="69" t="s">
        <v>746</v>
      </c>
      <c r="O100" s="69" t="s">
        <v>746</v>
      </c>
      <c r="P100" s="69" t="s">
        <v>746</v>
      </c>
    </row>
    <row r="101" spans="1:16" x14ac:dyDescent="0.55000000000000004">
      <c r="A101" s="44">
        <v>37</v>
      </c>
      <c r="B101" s="9">
        <v>96</v>
      </c>
      <c r="C101" t="s">
        <v>315</v>
      </c>
      <c r="D101" s="2" t="s">
        <v>509</v>
      </c>
      <c r="E101">
        <v>480</v>
      </c>
      <c r="F101">
        <v>236</v>
      </c>
      <c r="H101">
        <v>27.7</v>
      </c>
      <c r="I101">
        <f t="shared" si="2"/>
        <v>17.3</v>
      </c>
      <c r="J101">
        <f t="shared" si="3"/>
        <v>8.5</v>
      </c>
      <c r="K101" s="68" t="s">
        <v>746</v>
      </c>
      <c r="L101" s="68" t="s">
        <v>746</v>
      </c>
      <c r="M101" s="68" t="s">
        <v>746</v>
      </c>
      <c r="N101" s="68" t="s">
        <v>746</v>
      </c>
      <c r="O101" s="68" t="s">
        <v>746</v>
      </c>
      <c r="P101" s="68" t="s">
        <v>746</v>
      </c>
    </row>
    <row r="102" spans="1:16" x14ac:dyDescent="0.55000000000000004">
      <c r="A102" s="44">
        <v>46</v>
      </c>
      <c r="B102" s="9">
        <v>97</v>
      </c>
      <c r="C102" t="s">
        <v>319</v>
      </c>
      <c r="D102" s="2" t="s">
        <v>510</v>
      </c>
      <c r="E102">
        <v>768</v>
      </c>
      <c r="F102">
        <v>358</v>
      </c>
      <c r="H102">
        <v>18.8</v>
      </c>
      <c r="I102">
        <f t="shared" si="2"/>
        <v>40.9</v>
      </c>
      <c r="J102">
        <f t="shared" si="3"/>
        <v>19</v>
      </c>
      <c r="K102" s="68" t="s">
        <v>746</v>
      </c>
      <c r="L102" s="68" t="s">
        <v>746</v>
      </c>
      <c r="M102" s="68" t="s">
        <v>746</v>
      </c>
      <c r="N102" s="68" t="s">
        <v>746</v>
      </c>
      <c r="O102" s="68" t="s">
        <v>746</v>
      </c>
      <c r="P102" s="68" t="s">
        <v>746</v>
      </c>
    </row>
    <row r="103" spans="1:16" x14ac:dyDescent="0.55000000000000004">
      <c r="A103" s="44">
        <v>45</v>
      </c>
      <c r="B103" s="9">
        <v>98</v>
      </c>
      <c r="C103" t="s">
        <v>317</v>
      </c>
      <c r="D103" s="2" t="s">
        <v>511</v>
      </c>
      <c r="E103">
        <v>291</v>
      </c>
      <c r="F103">
        <v>184</v>
      </c>
      <c r="H103">
        <v>31.7</v>
      </c>
      <c r="I103">
        <f t="shared" si="2"/>
        <v>9.1999999999999993</v>
      </c>
      <c r="J103">
        <f t="shared" si="3"/>
        <v>5.8</v>
      </c>
      <c r="K103" t="s">
        <v>736</v>
      </c>
      <c r="L103" t="s">
        <v>737</v>
      </c>
      <c r="M103" t="s">
        <v>738</v>
      </c>
      <c r="O103" s="68" t="s">
        <v>746</v>
      </c>
      <c r="P103" s="68" t="s">
        <v>746</v>
      </c>
    </row>
    <row r="104" spans="1:16" x14ac:dyDescent="0.55000000000000004">
      <c r="A104" s="44" t="s">
        <v>582</v>
      </c>
      <c r="B104" s="9">
        <v>102</v>
      </c>
      <c r="C104" t="s">
        <v>223</v>
      </c>
      <c r="D104" s="2" t="s">
        <v>513</v>
      </c>
      <c r="E104">
        <v>1233</v>
      </c>
      <c r="F104">
        <v>622</v>
      </c>
      <c r="G104" t="s">
        <v>512</v>
      </c>
      <c r="H104">
        <v>93.1</v>
      </c>
      <c r="I104">
        <f t="shared" si="2"/>
        <v>13.2</v>
      </c>
      <c r="J104">
        <f t="shared" si="3"/>
        <v>6.7</v>
      </c>
      <c r="K104" s="69" t="s">
        <v>746</v>
      </c>
      <c r="L104" s="69" t="s">
        <v>746</v>
      </c>
      <c r="M104" s="69" t="s">
        <v>746</v>
      </c>
      <c r="N104" s="69" t="s">
        <v>746</v>
      </c>
      <c r="O104" s="69" t="s">
        <v>746</v>
      </c>
      <c r="P104" s="69" t="s">
        <v>746</v>
      </c>
    </row>
    <row r="105" spans="1:16" x14ac:dyDescent="0.55000000000000004">
      <c r="A105" s="44">
        <v>36</v>
      </c>
      <c r="B105" s="9">
        <v>100</v>
      </c>
      <c r="C105" t="s">
        <v>287</v>
      </c>
      <c r="D105" s="2" t="s">
        <v>514</v>
      </c>
      <c r="E105">
        <v>1175</v>
      </c>
      <c r="F105">
        <v>598</v>
      </c>
      <c r="H105">
        <v>51.5</v>
      </c>
      <c r="I105">
        <f t="shared" si="2"/>
        <v>22.8</v>
      </c>
      <c r="J105">
        <f t="shared" si="3"/>
        <v>11.6</v>
      </c>
      <c r="K105" t="s">
        <v>739</v>
      </c>
      <c r="L105" t="s">
        <v>740</v>
      </c>
      <c r="M105" t="s">
        <v>741</v>
      </c>
      <c r="N105" t="s">
        <v>742</v>
      </c>
      <c r="O105" s="68" t="s">
        <v>746</v>
      </c>
      <c r="P105" s="68" t="s">
        <v>746</v>
      </c>
    </row>
    <row r="106" spans="1:16" x14ac:dyDescent="0.55000000000000004">
      <c r="A106" s="44">
        <v>35</v>
      </c>
      <c r="B106" s="9">
        <v>101</v>
      </c>
      <c r="C106" t="s">
        <v>285</v>
      </c>
      <c r="D106" s="2" t="s">
        <v>515</v>
      </c>
      <c r="E106">
        <v>58</v>
      </c>
      <c r="F106">
        <v>24</v>
      </c>
      <c r="H106">
        <v>41.6</v>
      </c>
      <c r="I106">
        <f t="shared" si="2"/>
        <v>1.4</v>
      </c>
      <c r="J106">
        <f t="shared" si="3"/>
        <v>0.6</v>
      </c>
      <c r="K106" t="s">
        <v>743</v>
      </c>
      <c r="L106" s="68" t="s">
        <v>746</v>
      </c>
      <c r="M106" s="68" t="s">
        <v>746</v>
      </c>
      <c r="N106" s="68" t="s">
        <v>746</v>
      </c>
      <c r="O106" s="68" t="s">
        <v>746</v>
      </c>
      <c r="P106" s="68" t="s">
        <v>746</v>
      </c>
    </row>
  </sheetData>
  <autoFilter ref="A1:G106" xr:uid="{7C915BDC-0E50-4EB6-95A0-CC74E8AA64C6}">
    <sortState xmlns:xlrd2="http://schemas.microsoft.com/office/spreadsheetml/2017/richdata2" ref="A2:G106">
      <sortCondition ref="D1:D106"/>
    </sortState>
  </autoFilter>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250353-7810-437D-97FA-3672A8F9C8E9}">
  <sheetPr codeName="Sheet9">
    <tabColor rgb="FF0F8472"/>
  </sheetPr>
  <dimension ref="A1:AG123"/>
  <sheetViews>
    <sheetView zoomScaleNormal="100" workbookViewId="0"/>
  </sheetViews>
  <sheetFormatPr defaultColWidth="3.5" defaultRowHeight="21" customHeight="1" x14ac:dyDescent="0.55000000000000004"/>
  <cols>
    <col min="1" max="16384" width="3.5" style="11"/>
  </cols>
  <sheetData>
    <row r="1" spans="1:33" ht="21" customHeight="1" x14ac:dyDescent="0.55000000000000004">
      <c r="A1" s="37"/>
      <c r="F1" s="37" t="s">
        <v>171</v>
      </c>
      <c r="G1" s="37"/>
      <c r="I1" s="37"/>
      <c r="M1" s="37"/>
      <c r="Q1" s="37" t="s">
        <v>172</v>
      </c>
      <c r="V1" s="37"/>
      <c r="AF1" s="37" t="s">
        <v>170</v>
      </c>
    </row>
    <row r="2" spans="1:33" ht="21" customHeight="1" x14ac:dyDescent="0.55000000000000004">
      <c r="B2" s="13" t="s">
        <v>766</v>
      </c>
      <c r="C2" s="12"/>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row>
    <row r="10" spans="1:33" ht="21" customHeight="1" x14ac:dyDescent="0.55000000000000004">
      <c r="G10" s="35" t="s">
        <v>767</v>
      </c>
      <c r="H10" s="27"/>
      <c r="I10" s="27"/>
      <c r="J10" s="27"/>
      <c r="K10" s="27"/>
      <c r="L10" s="11" t="s">
        <v>768</v>
      </c>
    </row>
    <row r="13" spans="1:33" ht="21" customHeight="1" x14ac:dyDescent="0.55000000000000004">
      <c r="D13" s="13" t="s">
        <v>32</v>
      </c>
      <c r="E13" s="12"/>
      <c r="F13" s="12"/>
      <c r="G13" s="12"/>
      <c r="H13" s="12"/>
      <c r="I13" s="12"/>
      <c r="J13" s="12"/>
      <c r="K13" s="12"/>
      <c r="L13" s="12"/>
      <c r="M13" s="12"/>
      <c r="N13" s="12"/>
      <c r="O13" s="12"/>
      <c r="P13" s="12"/>
      <c r="Q13" s="12"/>
      <c r="R13" s="12"/>
      <c r="S13" s="12"/>
      <c r="T13" s="12"/>
      <c r="U13" s="12"/>
      <c r="V13" s="12"/>
      <c r="W13" s="12"/>
      <c r="X13" s="12"/>
      <c r="Y13" s="12"/>
      <c r="Z13" s="12"/>
      <c r="AA13" s="12"/>
      <c r="AB13" s="12"/>
      <c r="AC13" s="12"/>
      <c r="AD13" s="12"/>
      <c r="AE13" s="12"/>
      <c r="AF13" s="12"/>
      <c r="AG13" s="12"/>
    </row>
    <row r="21" spans="1:33" ht="21" customHeight="1" x14ac:dyDescent="0.55000000000000004">
      <c r="G21" s="11" t="s">
        <v>141</v>
      </c>
    </row>
    <row r="22" spans="1:33" ht="21" customHeight="1" x14ac:dyDescent="0.55000000000000004">
      <c r="F22" s="14" t="s">
        <v>30</v>
      </c>
      <c r="G22" s="11" t="s">
        <v>140</v>
      </c>
    </row>
    <row r="24" spans="1:33" ht="21" customHeight="1" thickBot="1" x14ac:dyDescent="0.45">
      <c r="F24" s="26" t="s">
        <v>40</v>
      </c>
      <c r="Q24" s="26" t="s">
        <v>41</v>
      </c>
    </row>
    <row r="25" spans="1:33" ht="21" customHeight="1" thickTop="1" thickBot="1" x14ac:dyDescent="0.6">
      <c r="A25" s="37" t="s">
        <v>147</v>
      </c>
      <c r="F25" s="111" t="s">
        <v>755</v>
      </c>
      <c r="G25" s="112"/>
      <c r="H25" s="112"/>
      <c r="I25" s="112"/>
      <c r="J25" s="112"/>
      <c r="K25" s="112"/>
      <c r="L25" s="112"/>
      <c r="M25" s="112"/>
      <c r="N25" s="112"/>
      <c r="O25" s="113"/>
      <c r="Q25" s="111" t="s">
        <v>583</v>
      </c>
      <c r="R25" s="112"/>
      <c r="S25" s="112"/>
      <c r="T25" s="113"/>
    </row>
    <row r="26" spans="1:33" ht="21" customHeight="1" thickTop="1" x14ac:dyDescent="0.55000000000000004"/>
    <row r="28" spans="1:33" ht="21" customHeight="1" x14ac:dyDescent="0.55000000000000004">
      <c r="D28" s="13" t="s">
        <v>33</v>
      </c>
      <c r="E28" s="12"/>
      <c r="F28" s="12"/>
      <c r="G28" s="12"/>
      <c r="H28" s="12"/>
      <c r="I28" s="12"/>
      <c r="J28" s="12"/>
      <c r="K28" s="12"/>
      <c r="L28" s="12"/>
      <c r="M28" s="12"/>
      <c r="N28" s="12"/>
      <c r="O28" s="12"/>
      <c r="P28" s="12"/>
      <c r="Q28" s="12"/>
      <c r="R28" s="12"/>
      <c r="S28" s="12"/>
      <c r="T28" s="12"/>
      <c r="U28" s="12"/>
      <c r="V28" s="12"/>
      <c r="W28" s="12"/>
      <c r="X28" s="12"/>
      <c r="Y28" s="12"/>
      <c r="Z28" s="12"/>
      <c r="AA28" s="12"/>
      <c r="AB28" s="12"/>
      <c r="AC28" s="12"/>
      <c r="AD28" s="12"/>
      <c r="AE28" s="12"/>
      <c r="AF28" s="12"/>
      <c r="AG28" s="12"/>
    </row>
    <row r="35" spans="1:33" ht="21" customHeight="1" x14ac:dyDescent="0.55000000000000004">
      <c r="H35" s="11" t="s">
        <v>142</v>
      </c>
    </row>
    <row r="36" spans="1:33" ht="21" customHeight="1" x14ac:dyDescent="0.55000000000000004">
      <c r="F36" s="14"/>
      <c r="G36" s="14" t="s">
        <v>30</v>
      </c>
      <c r="H36" s="11" t="s">
        <v>143</v>
      </c>
    </row>
    <row r="37" spans="1:33" ht="21" customHeight="1" x14ac:dyDescent="0.55000000000000004">
      <c r="F37" s="14"/>
    </row>
    <row r="38" spans="1:33" ht="21" customHeight="1" x14ac:dyDescent="0.55000000000000004">
      <c r="G38" s="11" t="s">
        <v>79</v>
      </c>
    </row>
    <row r="39" spans="1:33" ht="21" customHeight="1" thickBot="1" x14ac:dyDescent="0.45">
      <c r="F39" s="26" t="s">
        <v>40</v>
      </c>
      <c r="Q39" s="26" t="s">
        <v>42</v>
      </c>
    </row>
    <row r="40" spans="1:33" ht="21" customHeight="1" thickTop="1" thickBot="1" x14ac:dyDescent="0.6">
      <c r="A40" s="37" t="s">
        <v>159</v>
      </c>
      <c r="F40" s="111" t="s">
        <v>756</v>
      </c>
      <c r="G40" s="112"/>
      <c r="H40" s="112"/>
      <c r="I40" s="112"/>
      <c r="J40" s="112"/>
      <c r="K40" s="112"/>
      <c r="L40" s="112"/>
      <c r="M40" s="112"/>
      <c r="N40" s="112"/>
      <c r="O40" s="113"/>
      <c r="Q40" s="111" t="s">
        <v>132</v>
      </c>
      <c r="R40" s="113"/>
    </row>
    <row r="41" spans="1:33" ht="21" customHeight="1" thickTop="1" x14ac:dyDescent="0.55000000000000004"/>
    <row r="43" spans="1:33" ht="21" customHeight="1" x14ac:dyDescent="0.55000000000000004">
      <c r="D43" s="13" t="s">
        <v>34</v>
      </c>
      <c r="E43" s="12"/>
      <c r="F43" s="12"/>
      <c r="G43" s="12"/>
      <c r="H43" s="12"/>
      <c r="I43" s="12"/>
      <c r="J43" s="12"/>
      <c r="K43" s="12"/>
      <c r="L43" s="12"/>
      <c r="M43" s="12"/>
      <c r="N43" s="12"/>
      <c r="O43" s="12"/>
      <c r="P43" s="12"/>
      <c r="Q43" s="12"/>
      <c r="R43" s="12"/>
      <c r="S43" s="12"/>
      <c r="T43" s="12"/>
      <c r="U43" s="12"/>
      <c r="V43" s="12"/>
      <c r="W43" s="12"/>
      <c r="X43" s="12"/>
      <c r="Y43" s="12"/>
      <c r="Z43" s="12"/>
      <c r="AA43" s="12"/>
      <c r="AB43" s="12"/>
      <c r="AC43" s="12"/>
      <c r="AD43" s="12"/>
      <c r="AE43" s="12"/>
      <c r="AF43" s="12"/>
      <c r="AG43" s="12"/>
    </row>
    <row r="55" spans="1:20" ht="21" customHeight="1" x14ac:dyDescent="0.55000000000000004">
      <c r="F55" s="14" t="s">
        <v>30</v>
      </c>
      <c r="G55" s="11" t="s">
        <v>36</v>
      </c>
    </row>
    <row r="56" spans="1:20" ht="21" customHeight="1" x14ac:dyDescent="0.55000000000000004">
      <c r="F56" s="14"/>
      <c r="P56" s="29" t="s">
        <v>85</v>
      </c>
      <c r="Q56" s="29"/>
      <c r="R56" s="29"/>
      <c r="S56" s="29"/>
      <c r="T56" s="11" t="s">
        <v>145</v>
      </c>
    </row>
    <row r="57" spans="1:20" ht="21" customHeight="1" x14ac:dyDescent="0.55000000000000004">
      <c r="F57" s="14"/>
      <c r="P57" s="14" t="s">
        <v>30</v>
      </c>
      <c r="Q57" s="11" t="s">
        <v>144</v>
      </c>
    </row>
    <row r="58" spans="1:20" ht="21" customHeight="1" x14ac:dyDescent="0.55000000000000004">
      <c r="F58" s="14"/>
    </row>
    <row r="59" spans="1:20" ht="21" customHeight="1" thickBot="1" x14ac:dyDescent="0.45">
      <c r="F59" s="14"/>
      <c r="Q59" s="26" t="s">
        <v>43</v>
      </c>
    </row>
    <row r="60" spans="1:20" ht="21" customHeight="1" thickTop="1" thickBot="1" x14ac:dyDescent="0.6">
      <c r="A60" s="37" t="s">
        <v>194</v>
      </c>
      <c r="F60" s="14"/>
      <c r="Q60" s="111" t="s">
        <v>778</v>
      </c>
      <c r="R60" s="113"/>
    </row>
    <row r="61" spans="1:20" ht="21" customHeight="1" thickTop="1" x14ac:dyDescent="0.55000000000000004">
      <c r="E61" s="11" t="s">
        <v>197</v>
      </c>
    </row>
    <row r="62" spans="1:20" ht="21" customHeight="1" thickBot="1" x14ac:dyDescent="0.6">
      <c r="E62" s="24"/>
      <c r="F62" s="39" t="s">
        <v>16</v>
      </c>
      <c r="G62" s="40" t="s">
        <v>17</v>
      </c>
      <c r="H62" s="40" t="s">
        <v>18</v>
      </c>
      <c r="I62" s="40" t="s">
        <v>19</v>
      </c>
      <c r="J62" s="24"/>
    </row>
    <row r="63" spans="1:20" ht="21" customHeight="1" x14ac:dyDescent="0.55000000000000004">
      <c r="A63" s="37" t="s">
        <v>158</v>
      </c>
      <c r="E63" s="38">
        <v>1</v>
      </c>
      <c r="F63" s="8"/>
      <c r="G63" s="114" t="s">
        <v>24</v>
      </c>
      <c r="H63" s="114"/>
      <c r="I63" s="115"/>
      <c r="J63" s="24"/>
    </row>
    <row r="64" spans="1:20" ht="21" customHeight="1" x14ac:dyDescent="0.55000000000000004">
      <c r="E64" s="38">
        <v>2</v>
      </c>
      <c r="F64" s="133" t="s">
        <v>25</v>
      </c>
      <c r="G64" s="134"/>
      <c r="H64" s="134"/>
      <c r="I64" s="135"/>
      <c r="J64" s="24"/>
    </row>
    <row r="65" spans="1:33" ht="21" customHeight="1" x14ac:dyDescent="0.55000000000000004">
      <c r="E65" s="38">
        <v>3</v>
      </c>
      <c r="F65" s="133" t="s">
        <v>385</v>
      </c>
      <c r="G65" s="134"/>
      <c r="H65" s="134"/>
      <c r="I65" s="135"/>
      <c r="J65" s="24"/>
    </row>
    <row r="66" spans="1:33" ht="21" customHeight="1" thickBot="1" x14ac:dyDescent="0.6">
      <c r="A66" s="37"/>
      <c r="E66" s="38">
        <v>4</v>
      </c>
      <c r="F66" s="130"/>
      <c r="G66" s="131"/>
      <c r="H66" s="131"/>
      <c r="I66" s="132"/>
      <c r="J66" s="24"/>
    </row>
    <row r="67" spans="1:33" ht="21" customHeight="1" x14ac:dyDescent="0.55000000000000004">
      <c r="E67" s="24"/>
      <c r="F67" s="24"/>
      <c r="G67" s="24"/>
      <c r="H67" s="24"/>
      <c r="I67" s="24"/>
      <c r="J67" s="24"/>
    </row>
    <row r="68" spans="1:33" ht="21" customHeight="1" thickBot="1" x14ac:dyDescent="0.45">
      <c r="Q68" s="26" t="s">
        <v>191</v>
      </c>
    </row>
    <row r="69" spans="1:33" ht="21" customHeight="1" thickTop="1" thickBot="1" x14ac:dyDescent="0.6">
      <c r="A69" s="37" t="s">
        <v>196</v>
      </c>
      <c r="Q69" s="111" t="s">
        <v>195</v>
      </c>
      <c r="R69" s="112"/>
      <c r="S69" s="112"/>
      <c r="T69" s="113"/>
    </row>
    <row r="70" spans="1:33" ht="21" customHeight="1" thickTop="1" x14ac:dyDescent="0.55000000000000004">
      <c r="Q70" s="45" t="s">
        <v>187</v>
      </c>
    </row>
    <row r="72" spans="1:33" ht="21" customHeight="1" x14ac:dyDescent="0.55000000000000004">
      <c r="G72" s="11" t="s">
        <v>80</v>
      </c>
    </row>
    <row r="75" spans="1:33" ht="21" customHeight="1" x14ac:dyDescent="0.55000000000000004">
      <c r="D75" s="13" t="s">
        <v>35</v>
      </c>
      <c r="E75" s="12"/>
      <c r="F75" s="12"/>
      <c r="G75" s="12"/>
      <c r="H75" s="12"/>
      <c r="I75" s="12"/>
      <c r="J75" s="12"/>
      <c r="K75" s="12"/>
      <c r="L75" s="12"/>
      <c r="M75" s="12"/>
      <c r="N75" s="12"/>
      <c r="O75" s="12"/>
      <c r="P75" s="12"/>
      <c r="Q75" s="12"/>
      <c r="R75" s="12"/>
      <c r="S75" s="12"/>
      <c r="T75" s="12"/>
      <c r="U75" s="12"/>
      <c r="V75" s="12"/>
      <c r="W75" s="12"/>
      <c r="X75" s="12"/>
      <c r="Y75" s="12"/>
      <c r="Z75" s="12"/>
      <c r="AA75" s="12"/>
      <c r="AB75" s="12"/>
      <c r="AC75" s="12"/>
      <c r="AD75" s="12"/>
      <c r="AE75" s="12"/>
      <c r="AF75" s="12"/>
      <c r="AG75" s="12"/>
    </row>
    <row r="77" spans="1:33" ht="21" customHeight="1" x14ac:dyDescent="0.55000000000000004">
      <c r="F77" s="14" t="s">
        <v>30</v>
      </c>
      <c r="G77" s="11" t="s">
        <v>38</v>
      </c>
    </row>
    <row r="78" spans="1:33" ht="21" customHeight="1" x14ac:dyDescent="0.55000000000000004">
      <c r="G78" s="11" t="s">
        <v>189</v>
      </c>
    </row>
    <row r="79" spans="1:33" ht="21" customHeight="1" thickBot="1" x14ac:dyDescent="0.45">
      <c r="Q79" s="26" t="s">
        <v>43</v>
      </c>
    </row>
    <row r="80" spans="1:33" ht="21" customHeight="1" thickTop="1" thickBot="1" x14ac:dyDescent="0.6">
      <c r="A80" s="37" t="s">
        <v>185</v>
      </c>
      <c r="Q80" s="111" t="s">
        <v>779</v>
      </c>
      <c r="R80" s="113"/>
    </row>
    <row r="81" spans="1:33" ht="21" customHeight="1" thickTop="1" x14ac:dyDescent="0.55000000000000004">
      <c r="Q81" s="45" t="s">
        <v>186</v>
      </c>
    </row>
    <row r="82" spans="1:33" ht="21" customHeight="1" x14ac:dyDescent="0.55000000000000004">
      <c r="E82" s="38"/>
      <c r="F82" s="39" t="s">
        <v>16</v>
      </c>
      <c r="G82" s="40" t="s">
        <v>17</v>
      </c>
      <c r="H82" s="40" t="s">
        <v>18</v>
      </c>
      <c r="I82" s="40" t="s">
        <v>19</v>
      </c>
      <c r="J82" s="40" t="s">
        <v>20</v>
      </c>
      <c r="K82" s="40" t="s">
        <v>21</v>
      </c>
      <c r="L82" s="40" t="s">
        <v>22</v>
      </c>
      <c r="M82" s="40" t="s">
        <v>23</v>
      </c>
      <c r="N82" s="41"/>
    </row>
    <row r="83" spans="1:33" ht="21" customHeight="1" x14ac:dyDescent="0.55000000000000004">
      <c r="A83" s="37" t="s">
        <v>157</v>
      </c>
      <c r="E83" s="38">
        <v>1</v>
      </c>
      <c r="F83" s="11" t="s">
        <v>39</v>
      </c>
      <c r="G83" s="136" t="s">
        <v>28</v>
      </c>
      <c r="H83" s="136"/>
      <c r="I83" s="136"/>
      <c r="J83" s="137" t="s">
        <v>27</v>
      </c>
      <c r="K83" s="137"/>
      <c r="L83" s="138" t="s">
        <v>29</v>
      </c>
      <c r="M83" s="138"/>
      <c r="N83" s="25"/>
    </row>
    <row r="84" spans="1:33" ht="21" customHeight="1" x14ac:dyDescent="0.55000000000000004">
      <c r="E84" s="38">
        <v>2</v>
      </c>
      <c r="F84" s="11">
        <v>1</v>
      </c>
      <c r="G84" s="139"/>
      <c r="H84" s="139"/>
      <c r="I84" s="139"/>
      <c r="J84" s="140"/>
      <c r="K84" s="140"/>
      <c r="L84" s="141"/>
      <c r="M84" s="141"/>
      <c r="N84" s="25"/>
    </row>
    <row r="85" spans="1:33" ht="21" customHeight="1" x14ac:dyDescent="0.55000000000000004">
      <c r="E85" s="38"/>
      <c r="F85" s="25"/>
      <c r="G85" s="25"/>
      <c r="H85" s="25"/>
      <c r="I85" s="25"/>
      <c r="J85" s="25"/>
      <c r="K85" s="25"/>
      <c r="L85" s="25"/>
      <c r="M85" s="25"/>
      <c r="N85" s="25"/>
    </row>
    <row r="87" spans="1:33" ht="21" customHeight="1" thickBot="1" x14ac:dyDescent="0.45">
      <c r="Q87" s="26" t="s">
        <v>191</v>
      </c>
    </row>
    <row r="88" spans="1:33" ht="21" customHeight="1" thickTop="1" thickBot="1" x14ac:dyDescent="0.6">
      <c r="A88" s="37" t="s">
        <v>190</v>
      </c>
      <c r="Q88" s="111" t="s">
        <v>193</v>
      </c>
      <c r="R88" s="112"/>
      <c r="S88" s="112"/>
      <c r="T88" s="113"/>
    </row>
    <row r="89" spans="1:33" ht="21" customHeight="1" thickTop="1" x14ac:dyDescent="0.55000000000000004">
      <c r="Q89" s="45" t="s">
        <v>187</v>
      </c>
    </row>
    <row r="90" spans="1:33" ht="21" customHeight="1" thickBot="1" x14ac:dyDescent="0.45">
      <c r="F90" s="26" t="s">
        <v>44</v>
      </c>
    </row>
    <row r="91" spans="1:33" ht="21" customHeight="1" thickTop="1" thickBot="1" x14ac:dyDescent="0.6">
      <c r="A91" s="37" t="s">
        <v>188</v>
      </c>
      <c r="F91" s="111" t="s">
        <v>174</v>
      </c>
      <c r="G91" s="112"/>
      <c r="H91" s="112"/>
      <c r="I91" s="113"/>
    </row>
    <row r="92" spans="1:33" ht="21" customHeight="1" thickTop="1" x14ac:dyDescent="0.55000000000000004">
      <c r="F92" s="45" t="s">
        <v>187</v>
      </c>
    </row>
    <row r="95" spans="1:33" ht="21" customHeight="1" x14ac:dyDescent="0.55000000000000004">
      <c r="D95" s="13" t="s">
        <v>35</v>
      </c>
      <c r="E95" s="12"/>
      <c r="F95" s="12"/>
      <c r="G95" s="12"/>
      <c r="H95" s="12"/>
      <c r="I95" s="12"/>
      <c r="J95" s="12"/>
      <c r="K95" s="12"/>
      <c r="L95" s="12"/>
      <c r="M95" s="12"/>
      <c r="N95" s="12"/>
      <c r="O95" s="12"/>
      <c r="P95" s="12"/>
      <c r="Q95" s="12"/>
      <c r="R95" s="12"/>
      <c r="S95" s="12"/>
      <c r="T95" s="12"/>
      <c r="U95" s="12"/>
      <c r="V95" s="12"/>
      <c r="W95" s="12"/>
      <c r="X95" s="12"/>
      <c r="Y95" s="12"/>
      <c r="Z95" s="12"/>
      <c r="AA95" s="12"/>
      <c r="AB95" s="12"/>
      <c r="AC95" s="12"/>
      <c r="AD95" s="12"/>
      <c r="AE95" s="12"/>
      <c r="AF95" s="12"/>
      <c r="AG95" s="12"/>
    </row>
    <row r="97" spans="6:14" ht="21" customHeight="1" thickBot="1" x14ac:dyDescent="0.6">
      <c r="F97" s="14" t="s">
        <v>30</v>
      </c>
      <c r="G97" s="11" t="s">
        <v>31</v>
      </c>
    </row>
    <row r="98" spans="6:14" ht="21" customHeight="1" x14ac:dyDescent="0.55000000000000004">
      <c r="F98" s="15"/>
      <c r="G98" s="16"/>
      <c r="H98" s="16"/>
      <c r="I98" s="16"/>
      <c r="J98" s="16"/>
      <c r="K98" s="16"/>
      <c r="L98" s="16"/>
      <c r="M98" s="16"/>
      <c r="N98" s="17"/>
    </row>
    <row r="99" spans="6:14" ht="21" customHeight="1" x14ac:dyDescent="0.55000000000000004">
      <c r="F99" s="18"/>
      <c r="N99" s="19"/>
    </row>
    <row r="100" spans="6:14" ht="21" customHeight="1" x14ac:dyDescent="0.55000000000000004">
      <c r="F100" s="18"/>
      <c r="N100" s="19"/>
    </row>
    <row r="101" spans="6:14" ht="21" customHeight="1" thickBot="1" x14ac:dyDescent="0.6">
      <c r="F101" s="20"/>
      <c r="G101" s="21"/>
      <c r="H101" s="21"/>
      <c r="I101" s="21"/>
      <c r="J101" s="21"/>
      <c r="K101" s="21"/>
      <c r="L101" s="21"/>
      <c r="M101" s="21"/>
      <c r="N101" s="22"/>
    </row>
    <row r="120" spans="1:8" ht="21" customHeight="1" x14ac:dyDescent="0.55000000000000004">
      <c r="H120" s="11" t="s">
        <v>81</v>
      </c>
    </row>
    <row r="122" spans="1:8" ht="21" customHeight="1" x14ac:dyDescent="0.55000000000000004">
      <c r="B122" s="11" t="s">
        <v>28</v>
      </c>
    </row>
    <row r="123" spans="1:8" ht="21" customHeight="1" x14ac:dyDescent="0.55000000000000004">
      <c r="A123" s="37" t="s">
        <v>133</v>
      </c>
    </row>
  </sheetData>
  <mergeCells count="19">
    <mergeCell ref="F91:I91"/>
    <mergeCell ref="Q80:R80"/>
    <mergeCell ref="F25:O25"/>
    <mergeCell ref="F40:O40"/>
    <mergeCell ref="G63:I63"/>
    <mergeCell ref="F64:I64"/>
    <mergeCell ref="F65:I65"/>
    <mergeCell ref="G83:I83"/>
    <mergeCell ref="J83:K83"/>
    <mergeCell ref="L83:M83"/>
    <mergeCell ref="Q40:R40"/>
    <mergeCell ref="G84:I84"/>
    <mergeCell ref="J84:K84"/>
    <mergeCell ref="L84:M84"/>
    <mergeCell ref="Q88:T88"/>
    <mergeCell ref="Q60:R60"/>
    <mergeCell ref="Q69:T69"/>
    <mergeCell ref="F66:I66"/>
    <mergeCell ref="Q25:T25"/>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3729" r:id="rId3" name="Button 1">
              <controlPr defaultSize="0" print="0" autoFill="0" autoPict="0" macro="[0]!設定_人口_ボタン1_Click">
                <anchor moveWithCells="1" sizeWithCells="1">
                  <from>
                    <xdr:col>6</xdr:col>
                    <xdr:colOff>82550</xdr:colOff>
                    <xdr:row>97</xdr:row>
                    <xdr:rowOff>184150</xdr:rowOff>
                  </from>
                  <to>
                    <xdr:col>12</xdr:col>
                    <xdr:colOff>139700</xdr:colOff>
                    <xdr:row>100</xdr:row>
                    <xdr:rowOff>57150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AFD64E-8D8E-4C63-80F1-DB498D6299B0}">
  <sheetPr codeName="Sheet23"/>
  <dimension ref="A1:BT53"/>
  <sheetViews>
    <sheetView zoomScale="80" zoomScaleNormal="80" workbookViewId="0"/>
  </sheetViews>
  <sheetFormatPr defaultColWidth="3.5" defaultRowHeight="21.15" customHeight="1" x14ac:dyDescent="0.55000000000000004"/>
  <sheetData>
    <row r="1" spans="1:72" ht="21.15" customHeight="1" x14ac:dyDescent="0.55000000000000004">
      <c r="A1" s="78"/>
      <c r="B1" s="78"/>
      <c r="C1" s="78"/>
      <c r="D1" s="78"/>
      <c r="E1" s="78"/>
      <c r="F1" s="78"/>
      <c r="G1" s="78"/>
      <c r="H1" s="78"/>
      <c r="I1" s="78"/>
      <c r="J1" s="78"/>
      <c r="K1" s="78"/>
      <c r="L1" s="78"/>
      <c r="M1" s="78"/>
      <c r="N1" s="78"/>
      <c r="O1" s="78"/>
      <c r="P1" s="78"/>
      <c r="Q1" s="78"/>
      <c r="R1" s="78"/>
      <c r="S1" s="78"/>
      <c r="T1" s="78"/>
      <c r="U1" s="78"/>
      <c r="V1" s="78"/>
      <c r="W1" s="78"/>
      <c r="X1" s="78"/>
      <c r="Y1" s="78"/>
      <c r="Z1" s="78"/>
      <c r="AA1" s="78"/>
      <c r="AB1" s="78"/>
      <c r="AC1" s="78"/>
      <c r="AD1" s="78"/>
      <c r="AE1" s="78"/>
      <c r="AF1" s="78"/>
      <c r="AG1" s="78"/>
      <c r="AH1" s="78"/>
      <c r="AI1" s="78"/>
      <c r="AJ1" s="78"/>
      <c r="AK1" s="78"/>
      <c r="AL1" s="78"/>
      <c r="AM1" s="78"/>
      <c r="AN1" s="78"/>
      <c r="AO1" s="78"/>
      <c r="AP1" s="78"/>
      <c r="AQ1" s="78"/>
      <c r="AR1" s="78"/>
      <c r="AS1" s="78"/>
      <c r="AT1" s="78"/>
      <c r="AU1" s="78"/>
      <c r="AV1" s="78"/>
      <c r="AW1" s="78"/>
      <c r="AX1" s="78"/>
      <c r="AY1" s="78"/>
      <c r="AZ1" s="78"/>
      <c r="BA1" s="78"/>
      <c r="BB1" s="78"/>
      <c r="BC1" s="78"/>
      <c r="BD1" s="78"/>
      <c r="BE1" s="78"/>
      <c r="BF1" s="78"/>
      <c r="BG1" s="78"/>
      <c r="BH1" s="78"/>
      <c r="BI1" s="78"/>
      <c r="BJ1" s="78"/>
      <c r="BK1" s="78"/>
      <c r="BL1" s="78"/>
      <c r="BM1" s="78"/>
      <c r="BN1" s="78"/>
      <c r="BO1" s="78"/>
      <c r="BP1" s="78"/>
      <c r="BQ1" s="78"/>
      <c r="BR1" s="78"/>
      <c r="BS1" s="78"/>
      <c r="BT1" s="78"/>
    </row>
    <row r="2" spans="1:72" ht="21.15" customHeight="1" x14ac:dyDescent="0.55000000000000004">
      <c r="A2" s="78"/>
      <c r="B2" s="79"/>
      <c r="C2" s="79"/>
      <c r="D2" s="79"/>
      <c r="E2" s="79"/>
      <c r="F2" s="79"/>
      <c r="G2" s="79"/>
      <c r="H2" s="79"/>
      <c r="I2" s="79"/>
      <c r="J2" s="79"/>
      <c r="K2" s="79"/>
      <c r="L2" s="79"/>
      <c r="M2" s="79"/>
      <c r="N2" s="79"/>
      <c r="O2" s="79"/>
      <c r="P2" s="79"/>
      <c r="Q2" s="79"/>
      <c r="R2" s="79"/>
      <c r="S2" s="79"/>
      <c r="T2" s="79"/>
      <c r="U2" s="79"/>
      <c r="V2" s="79"/>
      <c r="W2" s="79"/>
      <c r="X2" s="79"/>
      <c r="Y2" s="79"/>
      <c r="Z2" s="79"/>
      <c r="AA2" s="79"/>
      <c r="AB2" s="79"/>
      <c r="AC2" s="79"/>
      <c r="AD2" s="79"/>
      <c r="AE2" s="79"/>
      <c r="AF2" s="79"/>
      <c r="AG2" s="79"/>
      <c r="AH2" s="79"/>
      <c r="AI2" s="79"/>
      <c r="AJ2" s="79"/>
      <c r="AK2" s="79"/>
      <c r="AL2" s="79"/>
      <c r="AM2" s="79"/>
      <c r="AN2" s="79"/>
      <c r="AO2" s="79"/>
      <c r="AP2" s="79"/>
      <c r="AQ2" s="79"/>
      <c r="AR2" s="79"/>
      <c r="AS2" s="79"/>
      <c r="AT2" s="79"/>
      <c r="AU2" s="79"/>
      <c r="AV2" s="79"/>
      <c r="AW2" s="79"/>
      <c r="AX2" s="79"/>
      <c r="AY2" s="79"/>
      <c r="AZ2" s="79"/>
      <c r="BA2" s="79"/>
      <c r="BB2" s="79"/>
      <c r="BC2" s="79"/>
      <c r="BD2" s="79"/>
      <c r="BE2" s="79"/>
      <c r="BF2" s="79"/>
      <c r="BG2" s="79"/>
      <c r="BH2" s="79"/>
      <c r="BI2" s="79"/>
      <c r="BJ2" s="79"/>
      <c r="BK2" s="79"/>
      <c r="BL2" s="79"/>
      <c r="BM2" s="79"/>
      <c r="BN2" s="79"/>
      <c r="BO2" s="79"/>
      <c r="BP2" s="79"/>
      <c r="BQ2" s="79"/>
      <c r="BR2" s="79"/>
      <c r="BS2" s="79"/>
      <c r="BT2" s="78"/>
    </row>
    <row r="3" spans="1:72" ht="21.15" customHeight="1" x14ac:dyDescent="0.55000000000000004">
      <c r="A3" s="78"/>
      <c r="B3" s="79"/>
      <c r="C3" s="79"/>
      <c r="D3" s="80"/>
      <c r="E3" s="80"/>
      <c r="F3" s="80"/>
      <c r="G3" s="81" t="s">
        <v>62</v>
      </c>
      <c r="H3" s="79"/>
      <c r="I3" s="79"/>
      <c r="J3" s="79"/>
      <c r="K3" s="81" t="s">
        <v>61</v>
      </c>
      <c r="L3" s="79"/>
      <c r="M3" s="79"/>
      <c r="N3" s="79"/>
      <c r="O3" s="81" t="s">
        <v>60</v>
      </c>
      <c r="P3" s="79"/>
      <c r="Q3" s="79"/>
      <c r="R3" s="79"/>
      <c r="S3" s="81" t="s">
        <v>59</v>
      </c>
      <c r="T3" s="79"/>
      <c r="U3" s="79"/>
      <c r="V3" s="79"/>
      <c r="W3" s="81" t="s">
        <v>58</v>
      </c>
      <c r="X3" s="79"/>
      <c r="Y3" s="79"/>
      <c r="Z3" s="79"/>
      <c r="AA3" s="81" t="s">
        <v>57</v>
      </c>
      <c r="AB3" s="79"/>
      <c r="AC3" s="79"/>
      <c r="AD3" s="79"/>
      <c r="AE3" s="81" t="s">
        <v>56</v>
      </c>
      <c r="AF3" s="79"/>
      <c r="AG3" s="79"/>
      <c r="AH3" s="79"/>
      <c r="AI3" s="81" t="s">
        <v>55</v>
      </c>
      <c r="AJ3" s="79"/>
      <c r="AK3" s="79"/>
      <c r="AL3" s="79"/>
      <c r="AM3" s="81" t="s">
        <v>54</v>
      </c>
      <c r="AN3" s="79"/>
      <c r="AO3" s="79"/>
      <c r="AP3" s="79"/>
      <c r="AQ3" s="81" t="s">
        <v>53</v>
      </c>
      <c r="AR3" s="79"/>
      <c r="AS3" s="79"/>
      <c r="AT3" s="79"/>
      <c r="AU3" s="81" t="s">
        <v>52</v>
      </c>
      <c r="AV3" s="79"/>
      <c r="AW3" s="79"/>
      <c r="AX3" s="79"/>
      <c r="AY3" s="81" t="s">
        <v>51</v>
      </c>
      <c r="AZ3" s="79"/>
      <c r="BA3" s="79"/>
      <c r="BB3" s="79"/>
      <c r="BC3" s="81" t="s">
        <v>50</v>
      </c>
      <c r="BD3" s="79"/>
      <c r="BE3" s="79"/>
      <c r="BF3" s="79"/>
      <c r="BG3" s="81" t="s">
        <v>49</v>
      </c>
      <c r="BH3" s="79"/>
      <c r="BI3" s="79"/>
      <c r="BJ3" s="79"/>
      <c r="BK3" s="81" t="s">
        <v>48</v>
      </c>
      <c r="BL3" s="79"/>
      <c r="BM3" s="79"/>
      <c r="BN3" s="79"/>
      <c r="BO3" s="81" t="s">
        <v>47</v>
      </c>
      <c r="BP3" s="79"/>
      <c r="BQ3" s="79"/>
      <c r="BR3" s="79"/>
      <c r="BS3" s="79"/>
      <c r="BT3" s="78"/>
    </row>
    <row r="4" spans="1:72" ht="21.15" customHeight="1" thickBot="1" x14ac:dyDescent="0.6">
      <c r="A4" s="78"/>
      <c r="B4" s="79"/>
      <c r="C4" s="80"/>
      <c r="D4" s="80"/>
      <c r="E4" s="80"/>
      <c r="F4" s="80"/>
      <c r="G4" s="79"/>
      <c r="H4" s="79"/>
      <c r="I4" s="79"/>
      <c r="J4" s="79"/>
      <c r="K4" s="79"/>
      <c r="L4" s="79"/>
      <c r="M4" s="79"/>
      <c r="N4" s="79"/>
      <c r="O4" s="79"/>
      <c r="P4" s="79"/>
      <c r="Q4" s="79"/>
      <c r="R4" s="79"/>
      <c r="S4" s="79"/>
      <c r="T4" s="79"/>
      <c r="U4" s="79"/>
      <c r="V4" s="79"/>
      <c r="W4" s="79"/>
      <c r="X4" s="79"/>
      <c r="Y4" s="79"/>
      <c r="Z4" s="79"/>
      <c r="AA4" s="79"/>
      <c r="AB4" s="79"/>
      <c r="AC4" s="79"/>
      <c r="AD4" s="79"/>
      <c r="AE4" s="79"/>
      <c r="AF4" s="79"/>
      <c r="AG4" s="79"/>
      <c r="AH4" s="79"/>
      <c r="AI4" s="79"/>
      <c r="AJ4" s="79"/>
      <c r="AK4" s="79"/>
      <c r="AL4" s="79"/>
      <c r="AM4" s="79"/>
      <c r="AN4" s="79"/>
      <c r="AO4" s="79"/>
      <c r="AP4" s="79"/>
      <c r="AQ4" s="79"/>
      <c r="AR4" s="79"/>
      <c r="AS4" s="79"/>
      <c r="AT4" s="79"/>
      <c r="AU4" s="79"/>
      <c r="AV4" s="79"/>
      <c r="AW4" s="79"/>
      <c r="AX4" s="79"/>
      <c r="AY4" s="79"/>
      <c r="AZ4" s="79"/>
      <c r="BA4" s="79"/>
      <c r="BB4" s="79"/>
      <c r="BC4" s="79"/>
      <c r="BD4" s="79"/>
      <c r="BE4" s="79"/>
      <c r="BF4" s="79"/>
      <c r="BG4" s="79"/>
      <c r="BH4" s="79"/>
      <c r="BI4" s="79"/>
      <c r="BJ4" s="79"/>
      <c r="BK4" s="79"/>
      <c r="BL4" s="79"/>
      <c r="BM4" s="79"/>
      <c r="BN4" s="79"/>
      <c r="BO4" s="79"/>
      <c r="BP4" s="79"/>
      <c r="BQ4" s="79"/>
      <c r="BR4" s="79"/>
      <c r="BS4" s="79"/>
      <c r="BT4" s="78"/>
    </row>
    <row r="5" spans="1:72" ht="21.15" customHeight="1" x14ac:dyDescent="0.55000000000000004">
      <c r="A5" s="78"/>
      <c r="B5" s="79"/>
      <c r="C5" s="80"/>
      <c r="D5" s="80"/>
      <c r="E5" s="80"/>
      <c r="F5" s="80"/>
      <c r="G5" s="79"/>
      <c r="H5" s="79"/>
      <c r="I5" s="79"/>
      <c r="J5" s="79"/>
      <c r="K5" s="79"/>
      <c r="L5" s="79"/>
      <c r="M5" s="79"/>
      <c r="N5" s="79"/>
      <c r="O5" s="79"/>
      <c r="P5" s="79"/>
      <c r="Q5" s="79"/>
      <c r="R5" s="79"/>
      <c r="S5" s="79"/>
      <c r="T5" s="79"/>
      <c r="U5" s="79"/>
      <c r="V5" s="79"/>
      <c r="W5" s="79"/>
      <c r="X5" s="79"/>
      <c r="Y5" s="79"/>
      <c r="Z5" s="79"/>
      <c r="AA5" s="79"/>
      <c r="AB5" s="79"/>
      <c r="AC5" s="79"/>
      <c r="AD5" s="79"/>
      <c r="AE5" s="79"/>
      <c r="AF5" s="79"/>
      <c r="AG5" s="79"/>
      <c r="AH5" s="79"/>
      <c r="AI5" s="79"/>
      <c r="AJ5" s="79"/>
      <c r="AK5" s="79"/>
      <c r="AL5" s="79"/>
      <c r="AM5" s="79"/>
      <c r="AN5" s="79"/>
      <c r="AO5" s="79"/>
      <c r="AP5" s="79"/>
      <c r="AQ5" s="79"/>
      <c r="AR5" s="79"/>
      <c r="AS5" s="79"/>
      <c r="AT5" s="79"/>
      <c r="AU5" s="79"/>
      <c r="AV5" s="79"/>
      <c r="AW5" s="79"/>
      <c r="AX5" s="79"/>
      <c r="AY5" s="79"/>
      <c r="AZ5" s="79"/>
      <c r="BA5" s="79"/>
      <c r="BB5" s="79"/>
      <c r="BC5" s="79"/>
      <c r="BD5" s="79"/>
      <c r="BE5" s="79"/>
      <c r="BF5" s="79"/>
      <c r="BG5" s="79"/>
      <c r="BH5" s="79"/>
      <c r="BI5" s="79"/>
      <c r="BJ5" s="79"/>
      <c r="BK5" s="79"/>
      <c r="BL5" s="79"/>
      <c r="BM5" s="79"/>
      <c r="BN5" s="104"/>
      <c r="BO5" s="142" t="s">
        <v>69</v>
      </c>
      <c r="BP5" s="142"/>
      <c r="BQ5" s="143"/>
      <c r="BR5" s="79"/>
      <c r="BS5" s="79"/>
      <c r="BT5" s="78"/>
    </row>
    <row r="6" spans="1:72" ht="21.15" customHeight="1" thickBot="1" x14ac:dyDescent="0.6">
      <c r="A6" s="78"/>
      <c r="B6" s="79"/>
      <c r="C6" s="80"/>
      <c r="D6" s="80"/>
      <c r="E6" s="80"/>
      <c r="F6" s="80"/>
      <c r="G6" s="79"/>
      <c r="H6" s="79"/>
      <c r="I6" s="79"/>
      <c r="J6" s="79"/>
      <c r="K6" s="79"/>
      <c r="L6" s="79"/>
      <c r="M6" s="79"/>
      <c r="N6" s="79"/>
      <c r="O6" s="79"/>
      <c r="P6" s="79"/>
      <c r="Q6" s="79"/>
      <c r="R6" s="79"/>
      <c r="S6" s="79"/>
      <c r="T6" s="79"/>
      <c r="U6" s="79"/>
      <c r="V6" s="79"/>
      <c r="W6" s="79"/>
      <c r="X6" s="79"/>
      <c r="Y6" s="79"/>
      <c r="Z6" s="79"/>
      <c r="AA6" s="79"/>
      <c r="AB6" s="79"/>
      <c r="AC6" s="79"/>
      <c r="AD6" s="79"/>
      <c r="AE6" s="79"/>
      <c r="AF6" s="79"/>
      <c r="AG6" s="79"/>
      <c r="AH6" s="79"/>
      <c r="AI6" s="79"/>
      <c r="AJ6" s="79"/>
      <c r="AK6" s="79"/>
      <c r="AL6" s="79"/>
      <c r="AM6" s="79"/>
      <c r="AN6" s="79"/>
      <c r="AO6" s="79"/>
      <c r="AP6" s="79"/>
      <c r="AQ6" s="79"/>
      <c r="AR6" s="79"/>
      <c r="AS6" s="79"/>
      <c r="AT6" s="79"/>
      <c r="AU6" s="79"/>
      <c r="AV6" s="79"/>
      <c r="AW6" s="79"/>
      <c r="AX6" s="79"/>
      <c r="AY6" s="79"/>
      <c r="AZ6" s="79"/>
      <c r="BA6" s="79"/>
      <c r="BB6" s="79"/>
      <c r="BC6" s="79"/>
      <c r="BD6" s="79"/>
      <c r="BE6" s="79"/>
      <c r="BF6" s="79"/>
      <c r="BG6" s="79"/>
      <c r="BH6" s="79"/>
      <c r="BI6" s="79"/>
      <c r="BJ6" s="79"/>
      <c r="BK6" s="79"/>
      <c r="BL6" s="79"/>
      <c r="BM6" s="79"/>
      <c r="BN6" s="144" t="s">
        <v>771</v>
      </c>
      <c r="BO6" s="145"/>
      <c r="BP6" s="145"/>
      <c r="BQ6" s="146"/>
      <c r="BR6" s="79"/>
      <c r="BS6" s="79"/>
      <c r="BT6" s="78"/>
    </row>
    <row r="7" spans="1:72" ht="21.15" customHeight="1" x14ac:dyDescent="0.55000000000000004">
      <c r="A7" s="78"/>
      <c r="B7" s="79"/>
      <c r="C7" s="81" t="s">
        <v>46</v>
      </c>
      <c r="D7" s="79"/>
      <c r="E7" s="79"/>
      <c r="F7" s="79"/>
      <c r="G7" s="79"/>
      <c r="H7" s="79"/>
      <c r="I7" s="79"/>
      <c r="J7" s="79"/>
      <c r="K7" s="82" t="s">
        <v>46</v>
      </c>
      <c r="L7" s="142" t="str">
        <f>VLOOKUP(K7,市町村データ!A2:P106,MATCH(手順書_大字_市町村なまえ!$G$63, 市町村データ!A1:P1, 0),FALSE)</f>
        <v>新座</v>
      </c>
      <c r="M7" s="154"/>
      <c r="N7" s="154"/>
      <c r="O7" s="83"/>
      <c r="P7" s="84"/>
      <c r="Q7" s="84"/>
      <c r="R7" s="84"/>
      <c r="S7" s="83"/>
      <c r="T7" s="84"/>
      <c r="U7" s="84"/>
      <c r="V7" s="84"/>
      <c r="W7" s="82" t="s">
        <v>63</v>
      </c>
      <c r="X7" s="142" t="str">
        <f>VLOOKUP(W7,市町村データ!A2:P106,MATCH(手順書_大字_市町村なまえ!$G$63, 市町村データ!A1:P1, 0),FALSE)</f>
        <v>北野</v>
      </c>
      <c r="Y7" s="154"/>
      <c r="Z7" s="159"/>
      <c r="AA7" s="82" t="s">
        <v>134</v>
      </c>
      <c r="AB7" s="142" t="str">
        <f>VLOOKUP(AA7,市町村データ!A2:P106,MATCH(手順書_大字_市町村なまえ!$G$63, 市町村データ!A1:P1, 0),FALSE)</f>
        <v>東北</v>
      </c>
      <c r="AC7" s="154"/>
      <c r="AD7" s="154"/>
      <c r="AE7" s="84"/>
      <c r="AF7" s="84"/>
      <c r="AG7" s="84"/>
      <c r="AH7" s="84"/>
      <c r="AI7" s="85"/>
      <c r="AJ7" s="79"/>
      <c r="AK7" s="79"/>
      <c r="AL7" s="79"/>
      <c r="AM7" s="86"/>
      <c r="AN7" s="79"/>
      <c r="AO7" s="79"/>
      <c r="AP7" s="79"/>
      <c r="AQ7" s="86"/>
      <c r="AR7" s="79"/>
      <c r="AS7" s="79"/>
      <c r="AT7" s="79"/>
      <c r="AU7" s="79"/>
      <c r="AV7" s="79"/>
      <c r="AW7" s="79"/>
      <c r="AX7" s="79"/>
      <c r="AY7" s="79"/>
      <c r="AZ7" s="79"/>
      <c r="BA7" s="79"/>
      <c r="BB7" s="79"/>
      <c r="BC7" s="79"/>
      <c r="BD7" s="79"/>
      <c r="BE7" s="79"/>
      <c r="BF7" s="79"/>
      <c r="BG7" s="79"/>
      <c r="BH7" s="79"/>
      <c r="BI7" s="79"/>
      <c r="BJ7" s="79"/>
      <c r="BK7" s="86"/>
      <c r="BL7" s="79"/>
      <c r="BM7" s="79"/>
      <c r="BN7" s="144" t="s">
        <v>772</v>
      </c>
      <c r="BO7" s="145"/>
      <c r="BP7" s="145"/>
      <c r="BQ7" s="146"/>
      <c r="BR7" s="79"/>
      <c r="BS7" s="79"/>
      <c r="BT7" s="78"/>
    </row>
    <row r="8" spans="1:72" ht="21.15" customHeight="1" thickBot="1" x14ac:dyDescent="0.6">
      <c r="A8" s="78"/>
      <c r="B8" s="79"/>
      <c r="C8" s="79"/>
      <c r="D8" s="79"/>
      <c r="E8" s="79"/>
      <c r="F8" s="79"/>
      <c r="G8" s="79"/>
      <c r="H8" s="79"/>
      <c r="I8" s="79"/>
      <c r="J8" s="79"/>
      <c r="K8" s="150" t="str">
        <f>VLOOKUP(K7,市町村データ!A2:P106,MATCH(手順書_大字_市町村なまえ!$F$64, 市町村データ!A1:P1, 0),FALSE)</f>
        <v>にいざ</v>
      </c>
      <c r="L8" s="151"/>
      <c r="M8" s="151"/>
      <c r="N8" s="151"/>
      <c r="O8" s="87"/>
      <c r="P8" s="87"/>
      <c r="Q8" s="87"/>
      <c r="R8" s="87"/>
      <c r="S8" s="87"/>
      <c r="T8" s="87"/>
      <c r="U8" s="87"/>
      <c r="V8" s="87"/>
      <c r="W8" s="150" t="str">
        <f>VLOOKUP(W7,市町村データ!A2:P106,MATCH(手順書_大字_市町村なまえ!$F$64, 市町村データ!A1:P1, 0),FALSE)</f>
        <v>きたの</v>
      </c>
      <c r="X8" s="151"/>
      <c r="Y8" s="151"/>
      <c r="Z8" s="157"/>
      <c r="AA8" s="150" t="str">
        <f>VLOOKUP(AA7,市町村データ!A2:P106,MATCH(手順書_大字_市町村なまえ!$F$64, 市町村データ!A1:P1, 0),FALSE)</f>
        <v>とおほく</v>
      </c>
      <c r="AB8" s="151"/>
      <c r="AC8" s="151"/>
      <c r="AD8" s="151"/>
      <c r="AE8" s="87"/>
      <c r="AF8" s="87"/>
      <c r="AG8" s="87"/>
      <c r="AH8" s="87"/>
      <c r="AI8" s="85"/>
      <c r="AJ8" s="79"/>
      <c r="AK8" s="79"/>
      <c r="AL8" s="79"/>
      <c r="AM8" s="87"/>
      <c r="AN8" s="87"/>
      <c r="AO8" s="87"/>
      <c r="AP8" s="87"/>
      <c r="AQ8" s="87"/>
      <c r="AR8" s="87"/>
      <c r="AS8" s="87"/>
      <c r="AT8" s="87"/>
      <c r="AU8" s="79"/>
      <c r="AV8" s="79"/>
      <c r="AW8" s="79"/>
      <c r="AX8" s="79"/>
      <c r="AY8" s="79"/>
      <c r="AZ8" s="79"/>
      <c r="BA8" s="79"/>
      <c r="BB8" s="79"/>
      <c r="BC8" s="79"/>
      <c r="BD8" s="79"/>
      <c r="BE8" s="79"/>
      <c r="BF8" s="79"/>
      <c r="BG8" s="79"/>
      <c r="BH8" s="79"/>
      <c r="BI8" s="79"/>
      <c r="BJ8" s="79"/>
      <c r="BK8" s="79"/>
      <c r="BL8" s="79"/>
      <c r="BM8" s="79"/>
      <c r="BN8" s="147"/>
      <c r="BO8" s="148"/>
      <c r="BP8" s="148"/>
      <c r="BQ8" s="149"/>
      <c r="BR8" s="79"/>
      <c r="BS8" s="88"/>
      <c r="BT8" s="78"/>
    </row>
    <row r="9" spans="1:72" ht="21.15" customHeight="1" x14ac:dyDescent="0.55000000000000004">
      <c r="A9" s="78"/>
      <c r="B9" s="79"/>
      <c r="C9" s="79"/>
      <c r="D9" s="79"/>
      <c r="E9" s="79"/>
      <c r="F9" s="79"/>
      <c r="G9" s="79"/>
      <c r="H9" s="79"/>
      <c r="I9" s="79"/>
      <c r="J9" s="79"/>
      <c r="K9" s="150" t="str">
        <f>VLOOKUP(K7,市町村データ!A2:P106,MATCH(手順書_大字_市町村なまえ!$F$65, 市町村データ!A1:P1, 0),FALSE)</f>
        <v>352-0006</v>
      </c>
      <c r="L9" s="151"/>
      <c r="M9" s="151"/>
      <c r="N9" s="151"/>
      <c r="O9" s="89"/>
      <c r="P9" s="89"/>
      <c r="Q9" s="89"/>
      <c r="R9" s="89"/>
      <c r="S9" s="89"/>
      <c r="T9" s="89"/>
      <c r="U9" s="89"/>
      <c r="V9" s="89"/>
      <c r="W9" s="150" t="str">
        <f>VLOOKUP(W7,市町村データ!A2:P106,MATCH(手順書_大字_市町村なまえ!$F$65, 市町村データ!A1:P1, 0),FALSE)</f>
        <v>352-0003</v>
      </c>
      <c r="X9" s="151"/>
      <c r="Y9" s="151"/>
      <c r="Z9" s="157"/>
      <c r="AA9" s="150" t="str">
        <f>VLOOKUP(AA7,市町村データ!A2:P106,MATCH(手順書_大字_市町村なまえ!$F$65, 市町村データ!A1:P1, 0),FALSE)</f>
        <v>352-0001</v>
      </c>
      <c r="AB9" s="151"/>
      <c r="AC9" s="151"/>
      <c r="AD9" s="151"/>
      <c r="AE9" s="87"/>
      <c r="AF9" s="87"/>
      <c r="AG9" s="87"/>
      <c r="AH9" s="87"/>
      <c r="AI9" s="85"/>
      <c r="AJ9" s="79"/>
      <c r="AK9" s="79"/>
      <c r="AL9" s="79"/>
      <c r="AM9" s="89"/>
      <c r="AN9" s="89"/>
      <c r="AO9" s="89"/>
      <c r="AP9" s="89"/>
      <c r="AQ9" s="89"/>
      <c r="AR9" s="89"/>
      <c r="AS9" s="89"/>
      <c r="AT9" s="89"/>
      <c r="AU9" s="79"/>
      <c r="AV9" s="79"/>
      <c r="AW9" s="79"/>
      <c r="AX9" s="79"/>
      <c r="AY9" s="79"/>
      <c r="AZ9" s="79"/>
      <c r="BA9" s="79"/>
      <c r="BB9" s="79"/>
      <c r="BC9" s="79"/>
      <c r="BD9" s="79"/>
      <c r="BE9" s="79"/>
      <c r="BF9" s="79"/>
      <c r="BG9" s="79"/>
      <c r="BH9" s="79"/>
      <c r="BI9" s="79"/>
      <c r="BJ9" s="79"/>
      <c r="BK9" s="79"/>
      <c r="BL9" s="79"/>
      <c r="BM9" s="79"/>
      <c r="BN9" s="79"/>
      <c r="BO9" s="79"/>
      <c r="BP9" s="79"/>
      <c r="BQ9" s="79"/>
      <c r="BR9" s="79"/>
      <c r="BS9" s="88"/>
      <c r="BT9" s="78"/>
    </row>
    <row r="10" spans="1:72" ht="21.15" customHeight="1" thickBot="1" x14ac:dyDescent="0.6">
      <c r="A10" s="78"/>
      <c r="B10" s="79"/>
      <c r="C10" s="79"/>
      <c r="D10" s="79"/>
      <c r="E10" s="79"/>
      <c r="F10" s="79"/>
      <c r="G10" s="79"/>
      <c r="H10" s="79"/>
      <c r="I10" s="79"/>
      <c r="J10" s="79"/>
      <c r="K10" s="152"/>
      <c r="L10" s="153"/>
      <c r="M10" s="153"/>
      <c r="N10" s="153"/>
      <c r="O10" s="79"/>
      <c r="P10" s="79"/>
      <c r="Q10" s="79"/>
      <c r="R10" s="79"/>
      <c r="S10" s="79"/>
      <c r="T10" s="79"/>
      <c r="U10" s="79"/>
      <c r="V10" s="79"/>
      <c r="W10" s="155"/>
      <c r="X10" s="156"/>
      <c r="Y10" s="156"/>
      <c r="Z10" s="158"/>
      <c r="AA10" s="152"/>
      <c r="AB10" s="153"/>
      <c r="AC10" s="153"/>
      <c r="AD10" s="153"/>
      <c r="AE10" s="79"/>
      <c r="AF10" s="79"/>
      <c r="AG10" s="79"/>
      <c r="AH10" s="79"/>
      <c r="AI10" s="85"/>
      <c r="AJ10" s="79"/>
      <c r="AK10" s="79"/>
      <c r="AL10" s="79"/>
      <c r="AM10" s="79"/>
      <c r="AN10" s="79"/>
      <c r="AO10" s="79"/>
      <c r="AP10" s="79"/>
      <c r="AQ10" s="79"/>
      <c r="AR10" s="79"/>
      <c r="AS10" s="79"/>
      <c r="AT10" s="79"/>
      <c r="AU10" s="79"/>
      <c r="AV10" s="79"/>
      <c r="AW10" s="79"/>
      <c r="AX10" s="79"/>
      <c r="AY10" s="79"/>
      <c r="AZ10" s="79"/>
      <c r="BA10" s="79"/>
      <c r="BB10" s="79"/>
      <c r="BC10" s="79"/>
      <c r="BD10" s="79"/>
      <c r="BE10" s="79"/>
      <c r="BF10" s="79"/>
      <c r="BG10" s="79"/>
      <c r="BH10" s="79"/>
      <c r="BI10" s="79"/>
      <c r="BJ10" s="79"/>
      <c r="BK10" s="79"/>
      <c r="BL10" s="79"/>
      <c r="BM10" s="79"/>
      <c r="BN10" s="79"/>
      <c r="BO10" s="79"/>
      <c r="BP10" s="79"/>
      <c r="BQ10" s="79"/>
      <c r="BR10" s="79"/>
      <c r="BS10" s="88"/>
      <c r="BT10" s="78"/>
    </row>
    <row r="11" spans="1:72" ht="21.15" customHeight="1" x14ac:dyDescent="0.55000000000000004">
      <c r="A11" s="78"/>
      <c r="B11" s="79"/>
      <c r="C11" s="81" t="s">
        <v>63</v>
      </c>
      <c r="D11" s="79"/>
      <c r="E11" s="79"/>
      <c r="F11" s="79"/>
      <c r="G11" s="82" t="s">
        <v>64</v>
      </c>
      <c r="H11" s="142" t="str">
        <f>VLOOKUP(G11,市町村データ!A2:P106,MATCH(手順書_大字_市町村なまえ!$G$63, 市町村データ!A1:P1, 0),FALSE)</f>
        <v>中野</v>
      </c>
      <c r="I11" s="154"/>
      <c r="J11" s="159"/>
      <c r="K11" s="82" t="s">
        <v>65</v>
      </c>
      <c r="L11" s="142" t="str">
        <f>VLOOKUP(K11,市町村データ!A2:P106,MATCH(手順書_大字_市町村なまえ!$G$63, 市町村データ!A1:P1, 0),FALSE)</f>
        <v>大和田</v>
      </c>
      <c r="M11" s="154"/>
      <c r="N11" s="154"/>
      <c r="O11" s="84"/>
      <c r="P11" s="84"/>
      <c r="Q11" s="84"/>
      <c r="R11" s="84"/>
      <c r="S11" s="90"/>
      <c r="T11" s="84"/>
      <c r="U11" s="84"/>
      <c r="V11" s="84"/>
      <c r="W11" s="85"/>
      <c r="X11" s="79"/>
      <c r="Y11" s="79"/>
      <c r="Z11" s="79"/>
      <c r="AA11" s="84"/>
      <c r="AB11" s="84"/>
      <c r="AC11" s="84"/>
      <c r="AD11" s="84"/>
      <c r="AE11" s="82" t="s">
        <v>66</v>
      </c>
      <c r="AF11" s="142" t="str">
        <f>VLOOKUP(AE11,市町村データ!A2:P106,MATCH(手順書_大字_市町村なまえ!$G$63, 市町村データ!A1:P1, 0),FALSE)</f>
        <v>東</v>
      </c>
      <c r="AG11" s="154"/>
      <c r="AH11" s="154"/>
      <c r="AI11" s="84"/>
      <c r="AJ11" s="84"/>
      <c r="AK11" s="84"/>
      <c r="AL11" s="84"/>
      <c r="AM11" s="84"/>
      <c r="AN11" s="84"/>
      <c r="AO11" s="84"/>
      <c r="AP11" s="84"/>
      <c r="AQ11" s="91"/>
      <c r="AR11" s="79"/>
      <c r="AS11" s="79"/>
      <c r="AT11" s="79"/>
      <c r="AU11" s="79"/>
      <c r="AV11" s="79"/>
      <c r="AW11" s="79"/>
      <c r="AX11" s="79"/>
      <c r="AY11" s="79"/>
      <c r="AZ11" s="79"/>
      <c r="BA11" s="79"/>
      <c r="BB11" s="79"/>
      <c r="BC11" s="79"/>
      <c r="BD11" s="79"/>
      <c r="BE11" s="79"/>
      <c r="BF11" s="79"/>
      <c r="BG11" s="79"/>
      <c r="BH11" s="79"/>
      <c r="BI11" s="79"/>
      <c r="BJ11" s="79"/>
      <c r="BK11" s="79"/>
      <c r="BL11" s="79"/>
      <c r="BM11" s="79"/>
      <c r="BN11" s="79"/>
      <c r="BO11" s="79"/>
      <c r="BP11" s="79"/>
      <c r="BQ11" s="79"/>
      <c r="BR11" s="79"/>
      <c r="BS11" s="88"/>
      <c r="BT11" s="78"/>
    </row>
    <row r="12" spans="1:72" ht="21.15" customHeight="1" x14ac:dyDescent="0.55000000000000004">
      <c r="A12" s="78"/>
      <c r="B12" s="79"/>
      <c r="C12" s="79"/>
      <c r="D12" s="79"/>
      <c r="E12" s="79"/>
      <c r="F12" s="79"/>
      <c r="G12" s="150" t="str">
        <f>VLOOKUP(G11,市町村データ!A2:P106,MATCH(手順書_大字_市町村なまえ!$F$64, 市町村データ!A1:P1, 0),FALSE)</f>
        <v>なかの</v>
      </c>
      <c r="H12" s="151"/>
      <c r="I12" s="151"/>
      <c r="J12" s="157"/>
      <c r="K12" s="150" t="str">
        <f>VLOOKUP(K11,市町村データ!A2:P106,MATCH(手順書_大字_市町村なまえ!$F$64, 市町村データ!A1:P1, 0),FALSE)</f>
        <v>おおわだ</v>
      </c>
      <c r="L12" s="151"/>
      <c r="M12" s="151"/>
      <c r="N12" s="151"/>
      <c r="O12" s="79"/>
      <c r="P12" s="79"/>
      <c r="Q12" s="79"/>
      <c r="R12" s="79"/>
      <c r="S12" s="87"/>
      <c r="T12" s="87"/>
      <c r="U12" s="87"/>
      <c r="V12" s="87"/>
      <c r="W12" s="92"/>
      <c r="X12" s="87"/>
      <c r="Y12" s="87"/>
      <c r="Z12" s="87"/>
      <c r="AA12" s="87"/>
      <c r="AB12" s="87"/>
      <c r="AC12" s="87"/>
      <c r="AD12" s="87"/>
      <c r="AE12" s="150" t="str">
        <f>VLOOKUP(AE11,市町村データ!A2:P106,MATCH(手順書_大字_市町村なまえ!$F$64, 市町村データ!A1:P1, 0),FALSE)</f>
        <v>ひがし</v>
      </c>
      <c r="AF12" s="151"/>
      <c r="AG12" s="151"/>
      <c r="AH12" s="151"/>
      <c r="AI12" s="87"/>
      <c r="AJ12" s="87"/>
      <c r="AK12" s="87"/>
      <c r="AL12" s="87"/>
      <c r="AM12" s="87"/>
      <c r="AN12" s="87"/>
      <c r="AO12" s="87"/>
      <c r="AP12" s="87"/>
      <c r="AQ12" s="92"/>
      <c r="AR12" s="87"/>
      <c r="AS12" s="87"/>
      <c r="AT12" s="87"/>
      <c r="AU12" s="79"/>
      <c r="AV12" s="79"/>
      <c r="AW12" s="79"/>
      <c r="AX12" s="79"/>
      <c r="AY12" s="79"/>
      <c r="AZ12" s="79"/>
      <c r="BA12" s="79"/>
      <c r="BB12" s="79"/>
      <c r="BC12" s="79"/>
      <c r="BD12" s="79"/>
      <c r="BE12" s="79"/>
      <c r="BF12" s="79"/>
      <c r="BG12" s="79"/>
      <c r="BH12" s="79"/>
      <c r="BI12" s="79"/>
      <c r="BJ12" s="79"/>
      <c r="BK12" s="79"/>
      <c r="BL12" s="79"/>
      <c r="BM12" s="79"/>
      <c r="BN12" s="79"/>
      <c r="BO12" s="79"/>
      <c r="BP12" s="79"/>
      <c r="BQ12" s="79"/>
      <c r="BR12" s="79"/>
      <c r="BS12" s="88"/>
      <c r="BT12" s="78"/>
    </row>
    <row r="13" spans="1:72" ht="21.15" customHeight="1" x14ac:dyDescent="0.55000000000000004">
      <c r="A13" s="78"/>
      <c r="B13" s="79"/>
      <c r="C13" s="79"/>
      <c r="D13" s="79"/>
      <c r="E13" s="79"/>
      <c r="F13" s="79"/>
      <c r="G13" s="150" t="str">
        <f>VLOOKUP(G11,市町村データ!A2:P106,MATCH(手順書_大字_市町村なまえ!$F$65, 市町村データ!A1:P1, 0),FALSE)</f>
        <v>352-0005</v>
      </c>
      <c r="H13" s="151"/>
      <c r="I13" s="151"/>
      <c r="J13" s="157"/>
      <c r="K13" s="150" t="str">
        <f>VLOOKUP(K11,市町村データ!A2:P106,MATCH(手順書_大字_市町村なまえ!$F$65, 市町村データ!A1:P1, 0),FALSE)</f>
        <v>352-0004</v>
      </c>
      <c r="L13" s="151"/>
      <c r="M13" s="151"/>
      <c r="N13" s="151"/>
      <c r="O13" s="79"/>
      <c r="P13" s="79"/>
      <c r="Q13" s="79"/>
      <c r="R13" s="79"/>
      <c r="S13" s="87"/>
      <c r="T13" s="87"/>
      <c r="U13" s="87"/>
      <c r="V13" s="87"/>
      <c r="W13" s="92"/>
      <c r="X13" s="87"/>
      <c r="Y13" s="87"/>
      <c r="Z13" s="87"/>
      <c r="AA13" s="87"/>
      <c r="AB13" s="87"/>
      <c r="AC13" s="87"/>
      <c r="AD13" s="87"/>
      <c r="AE13" s="150" t="str">
        <f>VLOOKUP(AE11,市町村データ!A2:P106,MATCH(手順書_大字_市町村なまえ!$F$65, 市町村データ!A1:P1, 0),FALSE)</f>
        <v>352-0002</v>
      </c>
      <c r="AF13" s="151"/>
      <c r="AG13" s="151"/>
      <c r="AH13" s="151"/>
      <c r="AI13" s="87"/>
      <c r="AJ13" s="87"/>
      <c r="AK13" s="87"/>
      <c r="AL13" s="87"/>
      <c r="AM13" s="87"/>
      <c r="AN13" s="87"/>
      <c r="AO13" s="87"/>
      <c r="AP13" s="87"/>
      <c r="AQ13" s="93"/>
      <c r="AR13" s="89"/>
      <c r="AS13" s="89"/>
      <c r="AT13" s="89"/>
      <c r="AU13" s="79"/>
      <c r="AV13" s="79"/>
      <c r="AW13" s="79"/>
      <c r="AX13" s="79"/>
      <c r="AY13" s="79"/>
      <c r="AZ13" s="79"/>
      <c r="BA13" s="79"/>
      <c r="BB13" s="79"/>
      <c r="BC13" s="79"/>
      <c r="BD13" s="79"/>
      <c r="BE13" s="79"/>
      <c r="BF13" s="79"/>
      <c r="BG13" s="79"/>
      <c r="BH13" s="79"/>
      <c r="BI13" s="79"/>
      <c r="BJ13" s="79"/>
      <c r="BK13" s="79"/>
      <c r="BL13" s="79"/>
      <c r="BM13" s="79"/>
      <c r="BN13" s="79"/>
      <c r="BO13" s="79"/>
      <c r="BP13" s="79"/>
      <c r="BQ13" s="79"/>
      <c r="BR13" s="79"/>
      <c r="BS13" s="88"/>
      <c r="BT13" s="78"/>
    </row>
    <row r="14" spans="1:72" ht="21.15" customHeight="1" thickBot="1" x14ac:dyDescent="0.6">
      <c r="A14" s="78"/>
      <c r="B14" s="79"/>
      <c r="C14" s="79"/>
      <c r="D14" s="79"/>
      <c r="E14" s="79"/>
      <c r="F14" s="79"/>
      <c r="G14" s="155"/>
      <c r="H14" s="156"/>
      <c r="I14" s="156"/>
      <c r="J14" s="158"/>
      <c r="K14" s="155"/>
      <c r="L14" s="156"/>
      <c r="M14" s="156"/>
      <c r="N14" s="156"/>
      <c r="O14" s="79"/>
      <c r="P14" s="79"/>
      <c r="Q14" s="79"/>
      <c r="R14" s="79"/>
      <c r="S14" s="79"/>
      <c r="T14" s="79"/>
      <c r="U14" s="79"/>
      <c r="V14" s="79"/>
      <c r="W14" s="85"/>
      <c r="X14" s="79"/>
      <c r="Y14" s="79"/>
      <c r="Z14" s="79"/>
      <c r="AA14" s="79"/>
      <c r="AB14" s="79"/>
      <c r="AC14" s="79"/>
      <c r="AD14" s="79"/>
      <c r="AE14" s="152"/>
      <c r="AF14" s="153"/>
      <c r="AG14" s="153"/>
      <c r="AH14" s="153"/>
      <c r="AI14" s="79"/>
      <c r="AJ14" s="79"/>
      <c r="AK14" s="79"/>
      <c r="AL14" s="79"/>
      <c r="AM14" s="79"/>
      <c r="AN14" s="79"/>
      <c r="AO14" s="79"/>
      <c r="AP14" s="79"/>
      <c r="AQ14" s="85"/>
      <c r="AR14" s="79"/>
      <c r="AS14" s="79"/>
      <c r="AT14" s="79"/>
      <c r="AU14" s="79"/>
      <c r="AV14" s="79"/>
      <c r="AW14" s="79"/>
      <c r="AX14" s="79"/>
      <c r="AY14" s="79"/>
      <c r="AZ14" s="79"/>
      <c r="BA14" s="79"/>
      <c r="BB14" s="79"/>
      <c r="BC14" s="79"/>
      <c r="BD14" s="79"/>
      <c r="BE14" s="79"/>
      <c r="BF14" s="79"/>
      <c r="BG14" s="79"/>
      <c r="BH14" s="79"/>
      <c r="BI14" s="79"/>
      <c r="BJ14" s="79"/>
      <c r="BK14" s="79"/>
      <c r="BL14" s="79"/>
      <c r="BM14" s="79"/>
      <c r="BN14" s="79"/>
      <c r="BO14" s="79"/>
      <c r="BP14" s="79"/>
      <c r="BQ14" s="79"/>
      <c r="BR14" s="79"/>
      <c r="BS14" s="88"/>
      <c r="BT14" s="78"/>
    </row>
    <row r="15" spans="1:72" ht="21.15" customHeight="1" x14ac:dyDescent="0.55000000000000004">
      <c r="A15" s="78"/>
      <c r="B15" s="79"/>
      <c r="C15" s="81" t="s">
        <v>134</v>
      </c>
      <c r="D15" s="79"/>
      <c r="E15" s="79"/>
      <c r="F15" s="79"/>
      <c r="G15" s="85"/>
      <c r="H15" s="79"/>
      <c r="I15" s="79"/>
      <c r="J15" s="79"/>
      <c r="K15" s="85"/>
      <c r="L15" s="79"/>
      <c r="M15" s="79"/>
      <c r="N15" s="79"/>
      <c r="O15" s="94"/>
      <c r="P15" s="79"/>
      <c r="Q15" s="79"/>
      <c r="R15" s="79"/>
      <c r="S15" s="94"/>
      <c r="T15" s="79"/>
      <c r="U15" s="79"/>
      <c r="V15" s="79"/>
      <c r="W15" s="82" t="s">
        <v>67</v>
      </c>
      <c r="X15" s="142" t="str">
        <f>VLOOKUP(W15,市町村データ!A2:P106,MATCH(手順書_大字_市町村なまえ!$G$63, 市町村データ!A1:P1, 0),FALSE)</f>
        <v>野火止</v>
      </c>
      <c r="Y15" s="154"/>
      <c r="Z15" s="154"/>
      <c r="AA15" s="84"/>
      <c r="AB15" s="84"/>
      <c r="AC15" s="84"/>
      <c r="AD15" s="84"/>
      <c r="AE15" s="84"/>
      <c r="AF15" s="84"/>
      <c r="AG15" s="84"/>
      <c r="AH15" s="84"/>
      <c r="AI15" s="84"/>
      <c r="AJ15" s="84"/>
      <c r="AK15" s="84"/>
      <c r="AL15" s="84"/>
      <c r="AM15" s="82" t="s">
        <v>68</v>
      </c>
      <c r="AN15" s="142" t="str">
        <f>VLOOKUP(AM15,市町村データ!A2:P106,MATCH(手順書_大字_市町村なまえ!$G$63, 市町村データ!A1:P1, 0),FALSE)</f>
        <v>畑中</v>
      </c>
      <c r="AO15" s="154"/>
      <c r="AP15" s="159"/>
      <c r="AQ15" s="91"/>
      <c r="AR15" s="79"/>
      <c r="AS15" s="79"/>
      <c r="AT15" s="79"/>
      <c r="AU15" s="79"/>
      <c r="AV15" s="79"/>
      <c r="AW15" s="79"/>
      <c r="AX15" s="79"/>
      <c r="AY15" s="79"/>
      <c r="AZ15" s="79"/>
      <c r="BA15" s="79"/>
      <c r="BB15" s="79"/>
      <c r="BC15" s="79"/>
      <c r="BD15" s="79"/>
      <c r="BE15" s="79"/>
      <c r="BF15" s="79"/>
      <c r="BG15" s="79"/>
      <c r="BH15" s="79"/>
      <c r="BI15" s="79"/>
      <c r="BJ15" s="79"/>
      <c r="BK15" s="86"/>
      <c r="BL15" s="79"/>
      <c r="BM15" s="79"/>
      <c r="BN15" s="79"/>
      <c r="BO15" s="79"/>
      <c r="BP15" s="79"/>
      <c r="BQ15" s="79"/>
      <c r="BR15" s="79"/>
      <c r="BS15" s="88"/>
      <c r="BT15" s="78"/>
    </row>
    <row r="16" spans="1:72" ht="21.15" customHeight="1" x14ac:dyDescent="0.55000000000000004">
      <c r="A16" s="78"/>
      <c r="B16" s="79"/>
      <c r="C16" s="79"/>
      <c r="D16" s="79"/>
      <c r="E16" s="79"/>
      <c r="F16" s="79"/>
      <c r="G16" s="92"/>
      <c r="H16" s="87"/>
      <c r="I16" s="87"/>
      <c r="J16" s="87"/>
      <c r="K16" s="92"/>
      <c r="L16" s="87"/>
      <c r="M16" s="87"/>
      <c r="N16" s="87"/>
      <c r="O16" s="87"/>
      <c r="P16" s="87"/>
      <c r="Q16" s="87"/>
      <c r="R16" s="87"/>
      <c r="S16" s="87"/>
      <c r="T16" s="87"/>
      <c r="U16" s="87"/>
      <c r="V16" s="87"/>
      <c r="W16" s="150" t="str">
        <f>VLOOKUP(W15,市町村データ!A2:P106,MATCH(手順書_大字_市町村なまえ!$F$64, 市町村データ!A1:P1, 0),FALSE)</f>
        <v>のびとめ</v>
      </c>
      <c r="X16" s="151"/>
      <c r="Y16" s="151"/>
      <c r="Z16" s="151"/>
      <c r="AA16" s="87"/>
      <c r="AB16" s="87"/>
      <c r="AC16" s="87"/>
      <c r="AD16" s="87"/>
      <c r="AE16" s="87"/>
      <c r="AF16" s="87"/>
      <c r="AG16" s="87"/>
      <c r="AH16" s="87"/>
      <c r="AI16" s="87"/>
      <c r="AJ16" s="87"/>
      <c r="AK16" s="87"/>
      <c r="AL16" s="87"/>
      <c r="AM16" s="150" t="str">
        <f>VLOOKUP(AM15,市町村データ!A2:P106,MATCH(手順書_大字_市町村なまえ!$F$64, 市町村データ!A1:P1, 0),FALSE)</f>
        <v>はたなか</v>
      </c>
      <c r="AN16" s="151"/>
      <c r="AO16" s="151"/>
      <c r="AP16" s="157"/>
      <c r="AQ16" s="92"/>
      <c r="AR16" s="87"/>
      <c r="AS16" s="87"/>
      <c r="AT16" s="87"/>
      <c r="AU16" s="79"/>
      <c r="AV16" s="79"/>
      <c r="AW16" s="79"/>
      <c r="AX16" s="79"/>
      <c r="AY16" s="79"/>
      <c r="AZ16" s="79"/>
      <c r="BA16" s="79"/>
      <c r="BB16" s="79"/>
      <c r="BC16" s="79"/>
      <c r="BD16" s="79"/>
      <c r="BE16" s="79"/>
      <c r="BF16" s="79"/>
      <c r="BG16" s="79"/>
      <c r="BH16" s="79"/>
      <c r="BI16" s="79"/>
      <c r="BJ16" s="79"/>
      <c r="BK16" s="87"/>
      <c r="BL16" s="87"/>
      <c r="BM16" s="87"/>
      <c r="BN16" s="87"/>
      <c r="BO16" s="79"/>
      <c r="BP16" s="79"/>
      <c r="BQ16" s="79"/>
      <c r="BR16" s="79"/>
      <c r="BS16" s="88"/>
      <c r="BT16" s="78"/>
    </row>
    <row r="17" spans="1:72" ht="21.15" customHeight="1" x14ac:dyDescent="0.55000000000000004">
      <c r="A17" s="78"/>
      <c r="B17" s="79"/>
      <c r="C17" s="79"/>
      <c r="D17" s="79"/>
      <c r="E17" s="79"/>
      <c r="F17" s="79"/>
      <c r="G17" s="92"/>
      <c r="H17" s="87"/>
      <c r="I17" s="87"/>
      <c r="J17" s="87"/>
      <c r="K17" s="92"/>
      <c r="L17" s="87"/>
      <c r="M17" s="87"/>
      <c r="N17" s="87"/>
      <c r="O17" s="87"/>
      <c r="P17" s="87"/>
      <c r="Q17" s="87"/>
      <c r="R17" s="87"/>
      <c r="S17" s="87"/>
      <c r="T17" s="87"/>
      <c r="U17" s="87"/>
      <c r="V17" s="87"/>
      <c r="W17" s="150" t="str">
        <f>VLOOKUP(W15,市町村データ!A2:P106,MATCH(手順書_大字_市町村なまえ!$F$65, 市町村データ!A1:P1, 0),FALSE)</f>
        <v>352-0011</v>
      </c>
      <c r="X17" s="151"/>
      <c r="Y17" s="151"/>
      <c r="Z17" s="151"/>
      <c r="AA17" s="87"/>
      <c r="AB17" s="87"/>
      <c r="AC17" s="87"/>
      <c r="AD17" s="87"/>
      <c r="AE17" s="87"/>
      <c r="AF17" s="87"/>
      <c r="AG17" s="87"/>
      <c r="AH17" s="87"/>
      <c r="AI17" s="87"/>
      <c r="AJ17" s="87"/>
      <c r="AK17" s="87"/>
      <c r="AL17" s="87"/>
      <c r="AM17" s="150" t="str">
        <f>VLOOKUP(AM15,市町村データ!A2:P106,MATCH(手順書_大字_市町村なまえ!$F$65, 市町村データ!A1:P1, 0),FALSE)</f>
        <v>352-0012</v>
      </c>
      <c r="AN17" s="151"/>
      <c r="AO17" s="151"/>
      <c r="AP17" s="157"/>
      <c r="AQ17" s="93"/>
      <c r="AR17" s="89"/>
      <c r="AS17" s="89"/>
      <c r="AT17" s="89"/>
      <c r="AU17" s="79"/>
      <c r="AV17" s="79"/>
      <c r="AW17" s="79"/>
      <c r="AX17" s="79"/>
      <c r="AY17" s="79"/>
      <c r="AZ17" s="79"/>
      <c r="BA17" s="79"/>
      <c r="BB17" s="79"/>
      <c r="BC17" s="79"/>
      <c r="BD17" s="79"/>
      <c r="BE17" s="79"/>
      <c r="BF17" s="79"/>
      <c r="BG17" s="79"/>
      <c r="BH17" s="79"/>
      <c r="BI17" s="79"/>
      <c r="BJ17" s="79"/>
      <c r="BK17" s="89"/>
      <c r="BL17" s="89"/>
      <c r="BM17" s="89"/>
      <c r="BN17" s="89"/>
      <c r="BO17" s="79"/>
      <c r="BP17" s="79"/>
      <c r="BQ17" s="79"/>
      <c r="BR17" s="79"/>
      <c r="BS17" s="79"/>
      <c r="BT17" s="78"/>
    </row>
    <row r="18" spans="1:72" ht="21.15" customHeight="1" thickBot="1" x14ac:dyDescent="0.6">
      <c r="A18" s="78"/>
      <c r="B18" s="79"/>
      <c r="C18" s="79"/>
      <c r="D18" s="79"/>
      <c r="E18" s="79"/>
      <c r="F18" s="79"/>
      <c r="G18" s="85"/>
      <c r="H18" s="79"/>
      <c r="I18" s="79"/>
      <c r="J18" s="79"/>
      <c r="K18" s="85"/>
      <c r="L18" s="79"/>
      <c r="M18" s="79"/>
      <c r="N18" s="79"/>
      <c r="O18" s="79"/>
      <c r="P18" s="79"/>
      <c r="Q18" s="79"/>
      <c r="R18" s="79"/>
      <c r="S18" s="79"/>
      <c r="T18" s="79"/>
      <c r="U18" s="79"/>
      <c r="V18" s="79"/>
      <c r="W18" s="155"/>
      <c r="X18" s="156"/>
      <c r="Y18" s="156"/>
      <c r="Z18" s="156"/>
      <c r="AA18" s="79"/>
      <c r="AB18" s="79"/>
      <c r="AC18" s="79"/>
      <c r="AD18" s="79"/>
      <c r="AE18" s="79"/>
      <c r="AF18" s="79"/>
      <c r="AG18" s="79"/>
      <c r="AH18" s="79"/>
      <c r="AI18" s="79"/>
      <c r="AJ18" s="79"/>
      <c r="AK18" s="79"/>
      <c r="AL18" s="79"/>
      <c r="AM18" s="155"/>
      <c r="AN18" s="156"/>
      <c r="AO18" s="156"/>
      <c r="AP18" s="158"/>
      <c r="AQ18" s="85"/>
      <c r="AR18" s="79"/>
      <c r="AS18" s="79"/>
      <c r="AT18" s="79"/>
      <c r="AU18" s="79"/>
      <c r="AV18" s="79"/>
      <c r="AW18" s="79"/>
      <c r="AX18" s="79"/>
      <c r="AY18" s="79"/>
      <c r="AZ18" s="79"/>
      <c r="BA18" s="79"/>
      <c r="BB18" s="79"/>
      <c r="BC18" s="79"/>
      <c r="BD18" s="79"/>
      <c r="BE18" s="79"/>
      <c r="BF18" s="79"/>
      <c r="BG18" s="79"/>
      <c r="BH18" s="79"/>
      <c r="BI18" s="79"/>
      <c r="BJ18" s="79"/>
      <c r="BK18" s="79"/>
      <c r="BL18" s="79"/>
      <c r="BM18" s="79"/>
      <c r="BN18" s="79"/>
      <c r="BO18" s="79"/>
      <c r="BP18" s="79"/>
      <c r="BQ18" s="79"/>
      <c r="BR18" s="79"/>
      <c r="BS18" s="79"/>
      <c r="BT18" s="78"/>
    </row>
    <row r="19" spans="1:72" ht="21.15" customHeight="1" x14ac:dyDescent="0.55000000000000004">
      <c r="A19" s="78"/>
      <c r="B19" s="79"/>
      <c r="C19" s="81" t="s">
        <v>64</v>
      </c>
      <c r="D19" s="79"/>
      <c r="E19" s="79"/>
      <c r="F19" s="79"/>
      <c r="G19" s="95"/>
      <c r="H19" s="84"/>
      <c r="I19" s="84"/>
      <c r="J19" s="84"/>
      <c r="K19" s="95"/>
      <c r="L19" s="84"/>
      <c r="M19" s="84"/>
      <c r="N19" s="84"/>
      <c r="O19" s="82" t="s">
        <v>516</v>
      </c>
      <c r="P19" s="142" t="str">
        <f>VLOOKUP(O19,市町村データ!A2:P106,MATCH(手順書_大字_市町村なまえ!$G$63, 市町村データ!A1:P1, 0),FALSE)</f>
        <v>菅沢</v>
      </c>
      <c r="Q19" s="154"/>
      <c r="R19" s="154"/>
      <c r="S19" s="84"/>
      <c r="T19" s="84"/>
      <c r="U19" s="84"/>
      <c r="V19" s="84"/>
      <c r="W19" s="85"/>
      <c r="X19" s="79"/>
      <c r="Y19" s="79"/>
      <c r="Z19" s="79"/>
      <c r="AA19" s="79"/>
      <c r="AB19" s="79"/>
      <c r="AC19" s="79"/>
      <c r="AD19" s="79"/>
      <c r="AE19" s="79"/>
      <c r="AF19" s="79"/>
      <c r="AG19" s="79"/>
      <c r="AH19" s="79"/>
      <c r="AI19" s="79"/>
      <c r="AJ19" s="79"/>
      <c r="AK19" s="79"/>
      <c r="AL19" s="79"/>
      <c r="AM19" s="85"/>
      <c r="AN19" s="79"/>
      <c r="AO19" s="79"/>
      <c r="AP19" s="79"/>
      <c r="AQ19" s="84"/>
      <c r="AR19" s="84"/>
      <c r="AS19" s="84"/>
      <c r="AT19" s="84"/>
      <c r="AU19" s="91"/>
      <c r="AV19" s="79"/>
      <c r="AW19" s="79"/>
      <c r="AX19" s="79"/>
      <c r="AY19" s="86"/>
      <c r="AZ19" s="79"/>
      <c r="BA19" s="79"/>
      <c r="BB19" s="79"/>
      <c r="BC19" s="86"/>
      <c r="BD19" s="79"/>
      <c r="BE19" s="79"/>
      <c r="BF19" s="79"/>
      <c r="BG19" s="86"/>
      <c r="BH19" s="79"/>
      <c r="BI19" s="79"/>
      <c r="BJ19" s="79"/>
      <c r="BK19" s="86"/>
      <c r="BL19" s="79"/>
      <c r="BM19" s="79"/>
      <c r="BN19" s="79"/>
      <c r="BO19" s="79"/>
      <c r="BP19" s="79"/>
      <c r="BQ19" s="79"/>
      <c r="BR19" s="79"/>
      <c r="BS19" s="79"/>
      <c r="BT19" s="78"/>
    </row>
    <row r="20" spans="1:72" ht="21.15" customHeight="1" x14ac:dyDescent="0.55000000000000004">
      <c r="A20" s="78"/>
      <c r="B20" s="79"/>
      <c r="C20" s="79"/>
      <c r="D20" s="79"/>
      <c r="E20" s="79"/>
      <c r="F20" s="79"/>
      <c r="G20" s="87"/>
      <c r="H20" s="87"/>
      <c r="I20" s="87"/>
      <c r="J20" s="87"/>
      <c r="K20" s="87"/>
      <c r="L20" s="87"/>
      <c r="M20" s="87"/>
      <c r="N20" s="87"/>
      <c r="O20" s="150" t="str">
        <f>VLOOKUP(O19,市町村データ!A2:P106,MATCH(手順書_大字_市町村なまえ!$F$64, 市町村データ!A1:P1, 0),FALSE)</f>
        <v>すがさわ</v>
      </c>
      <c r="P20" s="151"/>
      <c r="Q20" s="151"/>
      <c r="R20" s="151"/>
      <c r="S20" s="87"/>
      <c r="T20" s="87"/>
      <c r="U20" s="87"/>
      <c r="V20" s="87"/>
      <c r="W20" s="92"/>
      <c r="X20" s="87"/>
      <c r="Y20" s="87"/>
      <c r="Z20" s="87"/>
      <c r="AA20" s="87"/>
      <c r="AB20" s="87"/>
      <c r="AC20" s="87"/>
      <c r="AD20" s="87"/>
      <c r="AE20" s="87"/>
      <c r="AF20" s="87"/>
      <c r="AG20" s="87"/>
      <c r="AH20" s="87"/>
      <c r="AI20" s="87"/>
      <c r="AJ20" s="87"/>
      <c r="AK20" s="87"/>
      <c r="AL20" s="87"/>
      <c r="AM20" s="92"/>
      <c r="AN20" s="87"/>
      <c r="AO20" s="87"/>
      <c r="AP20" s="87"/>
      <c r="AQ20" s="87"/>
      <c r="AR20" s="87"/>
      <c r="AS20" s="87"/>
      <c r="AT20" s="87"/>
      <c r="AU20" s="92"/>
      <c r="AV20" s="87"/>
      <c r="AW20" s="87"/>
      <c r="AX20" s="87"/>
      <c r="AY20" s="87"/>
      <c r="AZ20" s="87"/>
      <c r="BA20" s="87"/>
      <c r="BB20" s="87"/>
      <c r="BC20" s="87"/>
      <c r="BD20" s="87"/>
      <c r="BE20" s="87"/>
      <c r="BF20" s="87"/>
      <c r="BG20" s="87"/>
      <c r="BH20" s="87"/>
      <c r="BI20" s="87"/>
      <c r="BJ20" s="87"/>
      <c r="BK20" s="87"/>
      <c r="BL20" s="87"/>
      <c r="BM20" s="87"/>
      <c r="BN20" s="87"/>
      <c r="BO20" s="79"/>
      <c r="BP20" s="79"/>
      <c r="BQ20" s="79"/>
      <c r="BR20" s="79"/>
      <c r="BS20" s="79"/>
      <c r="BT20" s="78"/>
    </row>
    <row r="21" spans="1:72" ht="21.15" customHeight="1" x14ac:dyDescent="0.55000000000000004">
      <c r="A21" s="78"/>
      <c r="B21" s="79"/>
      <c r="C21" s="79"/>
      <c r="D21" s="79"/>
      <c r="E21" s="79"/>
      <c r="F21" s="79"/>
      <c r="G21" s="89"/>
      <c r="H21" s="89"/>
      <c r="I21" s="89"/>
      <c r="J21" s="89"/>
      <c r="K21" s="89"/>
      <c r="L21" s="89"/>
      <c r="M21" s="89"/>
      <c r="N21" s="89"/>
      <c r="O21" s="150" t="str">
        <f>VLOOKUP(O19,市町村データ!A2:P106,MATCH(手順書_大字_市町村なまえ!$F$65, 市町村データ!A1:P1, 0),FALSE)</f>
        <v>352-0017</v>
      </c>
      <c r="P21" s="151"/>
      <c r="Q21" s="151"/>
      <c r="R21" s="151"/>
      <c r="S21" s="87"/>
      <c r="T21" s="87"/>
      <c r="U21" s="87"/>
      <c r="V21" s="87"/>
      <c r="W21" s="92"/>
      <c r="X21" s="87"/>
      <c r="Y21" s="87"/>
      <c r="Z21" s="87"/>
      <c r="AA21" s="87"/>
      <c r="AB21" s="87"/>
      <c r="AC21" s="87"/>
      <c r="AD21" s="87"/>
      <c r="AE21" s="87"/>
      <c r="AF21" s="87"/>
      <c r="AG21" s="87"/>
      <c r="AH21" s="87"/>
      <c r="AI21" s="87"/>
      <c r="AJ21" s="87"/>
      <c r="AK21" s="87"/>
      <c r="AL21" s="87"/>
      <c r="AM21" s="92"/>
      <c r="AN21" s="87"/>
      <c r="AO21" s="87"/>
      <c r="AP21" s="87"/>
      <c r="AQ21" s="87"/>
      <c r="AR21" s="87"/>
      <c r="AS21" s="87"/>
      <c r="AT21" s="87"/>
      <c r="AU21" s="93"/>
      <c r="AV21" s="89"/>
      <c r="AW21" s="89"/>
      <c r="AX21" s="89"/>
      <c r="AY21" s="89"/>
      <c r="AZ21" s="89"/>
      <c r="BA21" s="89"/>
      <c r="BB21" s="89"/>
      <c r="BC21" s="89"/>
      <c r="BD21" s="89"/>
      <c r="BE21" s="89"/>
      <c r="BF21" s="89"/>
      <c r="BG21" s="89"/>
      <c r="BH21" s="89"/>
      <c r="BI21" s="89"/>
      <c r="BJ21" s="89"/>
      <c r="BK21" s="89"/>
      <c r="BL21" s="89"/>
      <c r="BM21" s="89"/>
      <c r="BN21" s="89"/>
      <c r="BO21" s="79"/>
      <c r="BP21" s="79"/>
      <c r="BQ21" s="79"/>
      <c r="BR21" s="79"/>
      <c r="BS21" s="79"/>
      <c r="BT21" s="78"/>
    </row>
    <row r="22" spans="1:72" ht="21.15" customHeight="1" thickBot="1" x14ac:dyDescent="0.6">
      <c r="A22" s="78"/>
      <c r="B22" s="79"/>
      <c r="C22" s="79"/>
      <c r="D22" s="79"/>
      <c r="E22" s="79"/>
      <c r="F22" s="79"/>
      <c r="G22" s="79"/>
      <c r="H22" s="79"/>
      <c r="I22" s="79"/>
      <c r="J22" s="79"/>
      <c r="K22" s="79"/>
      <c r="L22" s="79"/>
      <c r="M22" s="79"/>
      <c r="N22" s="79"/>
      <c r="O22" s="152"/>
      <c r="P22" s="153"/>
      <c r="Q22" s="153"/>
      <c r="R22" s="153"/>
      <c r="S22" s="79"/>
      <c r="T22" s="79"/>
      <c r="U22" s="79"/>
      <c r="V22" s="79"/>
      <c r="W22" s="85"/>
      <c r="X22" s="79"/>
      <c r="Y22" s="79"/>
      <c r="Z22" s="79"/>
      <c r="AA22" s="79"/>
      <c r="AB22" s="79"/>
      <c r="AC22" s="79"/>
      <c r="AD22" s="79"/>
      <c r="AE22" s="79"/>
      <c r="AF22" s="79"/>
      <c r="AG22" s="79"/>
      <c r="AH22" s="79"/>
      <c r="AI22" s="79"/>
      <c r="AJ22" s="79"/>
      <c r="AK22" s="79"/>
      <c r="AL22" s="79"/>
      <c r="AM22" s="85"/>
      <c r="AN22" s="79"/>
      <c r="AO22" s="79"/>
      <c r="AP22" s="79"/>
      <c r="AQ22" s="79"/>
      <c r="AR22" s="79"/>
      <c r="AS22" s="79"/>
      <c r="AT22" s="79"/>
      <c r="AU22" s="85"/>
      <c r="AV22" s="79"/>
      <c r="AW22" s="79"/>
      <c r="AX22" s="79"/>
      <c r="AY22" s="79"/>
      <c r="AZ22" s="79"/>
      <c r="BA22" s="79"/>
      <c r="BB22" s="79"/>
      <c r="BC22" s="79"/>
      <c r="BD22" s="79"/>
      <c r="BE22" s="79"/>
      <c r="BF22" s="79"/>
      <c r="BG22" s="79"/>
      <c r="BH22" s="79"/>
      <c r="BI22" s="79"/>
      <c r="BJ22" s="79"/>
      <c r="BK22" s="79"/>
      <c r="BL22" s="79"/>
      <c r="BM22" s="79"/>
      <c r="BN22" s="79"/>
      <c r="BO22" s="79"/>
      <c r="BP22" s="79"/>
      <c r="BQ22" s="79"/>
      <c r="BR22" s="79"/>
      <c r="BS22" s="79"/>
      <c r="BT22" s="78"/>
    </row>
    <row r="23" spans="1:72" ht="21.15" customHeight="1" x14ac:dyDescent="0.55000000000000004">
      <c r="A23" s="78"/>
      <c r="B23" s="79"/>
      <c r="C23" s="81" t="s">
        <v>65</v>
      </c>
      <c r="D23" s="79"/>
      <c r="E23" s="79"/>
      <c r="F23" s="79"/>
      <c r="G23" s="79"/>
      <c r="H23" s="79"/>
      <c r="I23" s="79"/>
      <c r="J23" s="79"/>
      <c r="K23" s="79"/>
      <c r="L23" s="79"/>
      <c r="M23" s="79"/>
      <c r="N23" s="79"/>
      <c r="O23" s="82" t="s">
        <v>518</v>
      </c>
      <c r="P23" s="142" t="str">
        <f>VLOOKUP(O23,市町村データ!A2:P106,MATCH(手順書_大字_市町村なまえ!$G$63, 市町村データ!A1:P1, 0),FALSE)</f>
        <v>あたご</v>
      </c>
      <c r="Q23" s="154"/>
      <c r="R23" s="154"/>
      <c r="S23" s="84"/>
      <c r="T23" s="84"/>
      <c r="U23" s="84"/>
      <c r="V23" s="84"/>
      <c r="W23" s="84"/>
      <c r="X23" s="84"/>
      <c r="Y23" s="84"/>
      <c r="Z23" s="84"/>
      <c r="AA23" s="82" t="s">
        <v>520</v>
      </c>
      <c r="AB23" s="142" t="str">
        <f>VLOOKUP(AA23,市町村データ!A2:P106,MATCH(手順書_大字_市町村なまえ!$G$63, 市町村データ!A1:P1, 0),FALSE)</f>
        <v>本多</v>
      </c>
      <c r="AC23" s="154"/>
      <c r="AD23" s="154"/>
      <c r="AE23" s="84"/>
      <c r="AF23" s="84"/>
      <c r="AG23" s="84"/>
      <c r="AH23" s="84"/>
      <c r="AI23" s="82" t="s">
        <v>533</v>
      </c>
      <c r="AJ23" s="142" t="str">
        <f>VLOOKUP(AI23,市町村データ!A2:P106,MATCH(手順書_大字_市町村なまえ!$G$63, 市町村データ!A1:P1, 0),FALSE)</f>
        <v>堀ノ内</v>
      </c>
      <c r="AK23" s="154"/>
      <c r="AL23" s="159"/>
      <c r="AM23" s="82" t="s">
        <v>536</v>
      </c>
      <c r="AN23" s="142" t="str">
        <f>VLOOKUP(AM23,市町村データ!A2:P106,MATCH(手順書_大字_市町村なまえ!$G$63, 市町村データ!A1:P1, 0),FALSE)</f>
        <v>馬場</v>
      </c>
      <c r="AO23" s="154"/>
      <c r="AP23" s="154"/>
      <c r="AQ23" s="84"/>
      <c r="AR23" s="84"/>
      <c r="AS23" s="84"/>
      <c r="AT23" s="84"/>
      <c r="AU23" s="82" t="s">
        <v>539</v>
      </c>
      <c r="AV23" s="142" t="str">
        <f>VLOOKUP(AU23,市町村データ!A2:P106,MATCH(手順書_大字_市町村なまえ!$G$63, 市町村データ!A1:P1, 0),FALSE)</f>
        <v>新塚</v>
      </c>
      <c r="AW23" s="154"/>
      <c r="AX23" s="154"/>
      <c r="AY23" s="84"/>
      <c r="AZ23" s="84"/>
      <c r="BA23" s="84"/>
      <c r="BB23" s="84"/>
      <c r="BC23" s="91"/>
      <c r="BD23" s="79"/>
      <c r="BE23" s="79"/>
      <c r="BF23" s="79"/>
      <c r="BG23" s="86"/>
      <c r="BH23" s="79"/>
      <c r="BI23" s="79"/>
      <c r="BJ23" s="79"/>
      <c r="BK23" s="79"/>
      <c r="BL23" s="79"/>
      <c r="BM23" s="79"/>
      <c r="BN23" s="79"/>
      <c r="BO23" s="86"/>
      <c r="BP23" s="79"/>
      <c r="BQ23" s="79"/>
      <c r="BR23" s="79"/>
      <c r="BS23" s="79"/>
      <c r="BT23" s="78"/>
    </row>
    <row r="24" spans="1:72" ht="21.15" customHeight="1" x14ac:dyDescent="0.55000000000000004">
      <c r="A24" s="78"/>
      <c r="B24" s="79"/>
      <c r="C24" s="79"/>
      <c r="D24" s="79"/>
      <c r="E24" s="79"/>
      <c r="F24" s="79"/>
      <c r="G24" s="79"/>
      <c r="H24" s="79"/>
      <c r="I24" s="79"/>
      <c r="J24" s="79"/>
      <c r="K24" s="79"/>
      <c r="L24" s="79"/>
      <c r="M24" s="79"/>
      <c r="N24" s="79"/>
      <c r="O24" s="150" t="str">
        <f>VLOOKUP(O23,市町村データ!A2:P106,MATCH(手順書_大字_市町村なまえ!$F$64, 市町村データ!A1:P1, 0),FALSE)</f>
        <v>あたご</v>
      </c>
      <c r="P24" s="151"/>
      <c r="Q24" s="151"/>
      <c r="R24" s="151"/>
      <c r="S24" s="87"/>
      <c r="T24" s="87"/>
      <c r="U24" s="87"/>
      <c r="V24" s="87"/>
      <c r="W24" s="87"/>
      <c r="X24" s="87"/>
      <c r="Y24" s="87"/>
      <c r="Z24" s="87"/>
      <c r="AA24" s="150" t="str">
        <f>VLOOKUP(AA23,市町村データ!A2:P106,MATCH(手順書_大字_市町村なまえ!$F$64, 市町村データ!A1:P1, 0),FALSE)</f>
        <v>ほんだ</v>
      </c>
      <c r="AB24" s="151"/>
      <c r="AC24" s="151"/>
      <c r="AD24" s="151"/>
      <c r="AE24" s="87"/>
      <c r="AF24" s="87"/>
      <c r="AG24" s="87"/>
      <c r="AH24" s="87"/>
      <c r="AI24" s="150" t="str">
        <f>VLOOKUP(AI23,市町村データ!A2:P106,MATCH(手順書_大字_市町村なまえ!$F$64, 市町村データ!A1:P1, 0),FALSE)</f>
        <v>ほりのうち</v>
      </c>
      <c r="AJ24" s="151"/>
      <c r="AK24" s="151"/>
      <c r="AL24" s="157"/>
      <c r="AM24" s="150" t="str">
        <f>VLOOKUP(AM23,市町村データ!A2:P106,MATCH(手順書_大字_市町村なまえ!$F$64, 市町村データ!A1:P1, 0),FALSE)</f>
        <v>ばば</v>
      </c>
      <c r="AN24" s="151"/>
      <c r="AO24" s="151"/>
      <c r="AP24" s="151"/>
      <c r="AQ24" s="87"/>
      <c r="AR24" s="87"/>
      <c r="AS24" s="87"/>
      <c r="AT24" s="87"/>
      <c r="AU24" s="150" t="str">
        <f>VLOOKUP(AU23,市町村データ!A2:P106,MATCH(手順書_大字_市町村なまえ!$F$64, 市町村データ!A1:P1, 0),FALSE)</f>
        <v>にいづか</v>
      </c>
      <c r="AV24" s="151"/>
      <c r="AW24" s="151"/>
      <c r="AX24" s="151"/>
      <c r="AY24" s="87"/>
      <c r="AZ24" s="87"/>
      <c r="BA24" s="87"/>
      <c r="BB24" s="87"/>
      <c r="BC24" s="92"/>
      <c r="BD24" s="87"/>
      <c r="BE24" s="87"/>
      <c r="BF24" s="87"/>
      <c r="BG24" s="87"/>
      <c r="BH24" s="87"/>
      <c r="BI24" s="87"/>
      <c r="BJ24" s="87"/>
      <c r="BK24" s="79"/>
      <c r="BL24" s="79"/>
      <c r="BM24" s="79"/>
      <c r="BN24" s="79"/>
      <c r="BO24" s="87"/>
      <c r="BP24" s="50"/>
      <c r="BQ24" s="50"/>
      <c r="BR24" s="50"/>
      <c r="BS24" s="79"/>
      <c r="BT24" s="78"/>
    </row>
    <row r="25" spans="1:72" ht="21.15" customHeight="1" x14ac:dyDescent="0.55000000000000004">
      <c r="A25" s="78"/>
      <c r="B25" s="79"/>
      <c r="C25" s="79"/>
      <c r="D25" s="79"/>
      <c r="E25" s="79"/>
      <c r="F25" s="79"/>
      <c r="G25" s="79"/>
      <c r="H25" s="79"/>
      <c r="I25" s="79"/>
      <c r="J25" s="79"/>
      <c r="K25" s="79"/>
      <c r="L25" s="79"/>
      <c r="M25" s="79"/>
      <c r="N25" s="79"/>
      <c r="O25" s="150" t="str">
        <f>VLOOKUP(O23,市町村データ!A2:P106,MATCH(手順書_大字_市町村なまえ!$F$65, 市町村データ!A1:P1, 0),FALSE)</f>
        <v>352-0021</v>
      </c>
      <c r="P25" s="151"/>
      <c r="Q25" s="151"/>
      <c r="R25" s="151"/>
      <c r="S25" s="87"/>
      <c r="T25" s="87"/>
      <c r="U25" s="87"/>
      <c r="V25" s="87"/>
      <c r="W25" s="87"/>
      <c r="X25" s="87"/>
      <c r="Y25" s="87"/>
      <c r="Z25" s="87"/>
      <c r="AA25" s="150" t="str">
        <f>VLOOKUP(AA23,市町村データ!A2:P106,MATCH(手順書_大字_市町村なまえ!$F$65, 市町村データ!A1:P1, 0),FALSE)</f>
        <v>352-0022</v>
      </c>
      <c r="AB25" s="151"/>
      <c r="AC25" s="151"/>
      <c r="AD25" s="151"/>
      <c r="AE25" s="87"/>
      <c r="AF25" s="87"/>
      <c r="AG25" s="87"/>
      <c r="AH25" s="87"/>
      <c r="AI25" s="150" t="str">
        <f>VLOOKUP(AI23,市町村データ!A2:P106,MATCH(手順書_大字_市町村なまえ!$F$65, 市町村データ!A1:P1, 0),FALSE)</f>
        <v>352-0023</v>
      </c>
      <c r="AJ25" s="151"/>
      <c r="AK25" s="151"/>
      <c r="AL25" s="157"/>
      <c r="AM25" s="150" t="str">
        <f>VLOOKUP(AM23,市町村データ!A2:P106,MATCH(手順書_大字_市町村なまえ!$F$65, 市町村データ!A1:P1, 0),FALSE)</f>
        <v>352-0016</v>
      </c>
      <c r="AN25" s="151"/>
      <c r="AO25" s="151"/>
      <c r="AP25" s="151"/>
      <c r="AQ25" s="87"/>
      <c r="AR25" s="87"/>
      <c r="AS25" s="87"/>
      <c r="AT25" s="87"/>
      <c r="AU25" s="150" t="str">
        <f>VLOOKUP(AU23,市町村データ!A2:P106,MATCH(手順書_大字_市町村なまえ!$F$65, 市町村データ!A1:P1, 0),FALSE)</f>
        <v>352-0013</v>
      </c>
      <c r="AV25" s="151"/>
      <c r="AW25" s="151"/>
      <c r="AX25" s="151"/>
      <c r="AY25" s="87"/>
      <c r="AZ25" s="87"/>
      <c r="BA25" s="87"/>
      <c r="BB25" s="87"/>
      <c r="BC25" s="93"/>
      <c r="BD25" s="89"/>
      <c r="BE25" s="89"/>
      <c r="BF25" s="89"/>
      <c r="BG25" s="89"/>
      <c r="BH25" s="89"/>
      <c r="BI25" s="89"/>
      <c r="BJ25" s="89"/>
      <c r="BK25" s="79"/>
      <c r="BL25" s="79"/>
      <c r="BM25" s="79"/>
      <c r="BN25" s="79"/>
      <c r="BO25" s="89"/>
      <c r="BP25" s="51"/>
      <c r="BQ25" s="51"/>
      <c r="BR25" s="51"/>
      <c r="BS25" s="79"/>
      <c r="BT25" s="78"/>
    </row>
    <row r="26" spans="1:72" ht="21.15" customHeight="1" thickBot="1" x14ac:dyDescent="0.6">
      <c r="A26" s="78"/>
      <c r="B26" s="79"/>
      <c r="C26" s="79"/>
      <c r="D26" s="79"/>
      <c r="E26" s="79"/>
      <c r="F26" s="79"/>
      <c r="G26" s="79"/>
      <c r="H26" s="79"/>
      <c r="I26" s="79"/>
      <c r="J26" s="79"/>
      <c r="K26" s="79"/>
      <c r="L26" s="79"/>
      <c r="M26" s="79"/>
      <c r="N26" s="79"/>
      <c r="O26" s="152"/>
      <c r="P26" s="153"/>
      <c r="Q26" s="153"/>
      <c r="R26" s="153"/>
      <c r="S26" s="79"/>
      <c r="T26" s="79"/>
      <c r="U26" s="79"/>
      <c r="V26" s="79"/>
      <c r="W26" s="79"/>
      <c r="X26" s="79"/>
      <c r="Y26" s="79"/>
      <c r="Z26" s="79"/>
      <c r="AA26" s="152"/>
      <c r="AB26" s="153"/>
      <c r="AC26" s="153"/>
      <c r="AD26" s="153"/>
      <c r="AE26" s="79"/>
      <c r="AF26" s="79"/>
      <c r="AG26" s="79"/>
      <c r="AH26" s="79"/>
      <c r="AI26" s="155"/>
      <c r="AJ26" s="156"/>
      <c r="AK26" s="156"/>
      <c r="AL26" s="158"/>
      <c r="AM26" s="155"/>
      <c r="AN26" s="156"/>
      <c r="AO26" s="156"/>
      <c r="AP26" s="156"/>
      <c r="AQ26" s="79"/>
      <c r="AR26" s="79"/>
      <c r="AS26" s="79"/>
      <c r="AT26" s="79"/>
      <c r="AU26" s="152"/>
      <c r="AV26" s="153"/>
      <c r="AW26" s="153"/>
      <c r="AX26" s="153"/>
      <c r="AY26" s="79"/>
      <c r="AZ26" s="79"/>
      <c r="BA26" s="79"/>
      <c r="BB26" s="79"/>
      <c r="BC26" s="85"/>
      <c r="BD26" s="79"/>
      <c r="BE26" s="79"/>
      <c r="BF26" s="79"/>
      <c r="BG26" s="79"/>
      <c r="BH26" s="79"/>
      <c r="BI26" s="79"/>
      <c r="BJ26" s="79"/>
      <c r="BK26" s="79"/>
      <c r="BL26" s="79"/>
      <c r="BM26" s="79"/>
      <c r="BN26" s="79"/>
      <c r="BO26" s="79"/>
      <c r="BP26" s="52"/>
      <c r="BQ26" s="52"/>
      <c r="BR26" s="52"/>
      <c r="BS26" s="79"/>
      <c r="BT26" s="78"/>
    </row>
    <row r="27" spans="1:72" ht="21.15" customHeight="1" x14ac:dyDescent="0.55000000000000004">
      <c r="A27" s="78"/>
      <c r="B27" s="79"/>
      <c r="C27" s="81" t="s">
        <v>66</v>
      </c>
      <c r="D27" s="79"/>
      <c r="E27" s="79"/>
      <c r="F27" s="79"/>
      <c r="G27" s="79"/>
      <c r="H27" s="79"/>
      <c r="I27" s="79"/>
      <c r="J27" s="79"/>
      <c r="K27" s="79"/>
      <c r="L27" s="79"/>
      <c r="M27" s="79"/>
      <c r="N27" s="79"/>
      <c r="O27" s="84"/>
      <c r="P27" s="84"/>
      <c r="Q27" s="84"/>
      <c r="R27" s="84"/>
      <c r="S27" s="82" t="s">
        <v>542</v>
      </c>
      <c r="T27" s="142" t="str">
        <f>VLOOKUP(S27,市町村データ!A2:P106,MATCH(手順書_大字_市町村なまえ!$G$63, 市町村データ!A1:P1, 0),FALSE)</f>
        <v>西堀</v>
      </c>
      <c r="U27" s="154"/>
      <c r="V27" s="154"/>
      <c r="W27" s="84"/>
      <c r="X27" s="84"/>
      <c r="Y27" s="84"/>
      <c r="Z27" s="84"/>
      <c r="AA27" s="82" t="s">
        <v>544</v>
      </c>
      <c r="AB27" s="142" t="str">
        <f>VLOOKUP(AA27,市町村データ!A2:P106,MATCH(手順書_大字_市町村なまえ!$G$63, 市町村データ!A1:P1, 0),FALSE)</f>
        <v>石神</v>
      </c>
      <c r="AC27" s="154"/>
      <c r="AD27" s="159"/>
      <c r="AE27" s="96"/>
      <c r="AF27" s="84"/>
      <c r="AG27" s="84"/>
      <c r="AH27" s="84"/>
      <c r="AI27" s="79"/>
      <c r="AJ27" s="79"/>
      <c r="AK27" s="79"/>
      <c r="AL27" s="79"/>
      <c r="AM27" s="85"/>
      <c r="AN27" s="79"/>
      <c r="AO27" s="79"/>
      <c r="AP27" s="79"/>
      <c r="AQ27" s="79"/>
      <c r="AR27" s="79"/>
      <c r="AS27" s="79"/>
      <c r="AT27" s="79"/>
      <c r="AU27" s="82" t="s">
        <v>546</v>
      </c>
      <c r="AV27" s="142" t="str">
        <f>VLOOKUP(AU27,市町村データ!A2:P106,MATCH(手順書_大字_市町村なまえ!$G$63, 市町村データ!A1:P1, 0),FALSE)</f>
        <v>栄</v>
      </c>
      <c r="AW27" s="154"/>
      <c r="AX27" s="154"/>
      <c r="AY27" s="84"/>
      <c r="AZ27" s="84"/>
      <c r="BA27" s="84"/>
      <c r="BB27" s="84"/>
      <c r="BC27" s="84"/>
      <c r="BD27" s="84"/>
      <c r="BE27" s="84"/>
      <c r="BF27" s="84"/>
      <c r="BG27" s="84"/>
      <c r="BH27" s="84"/>
      <c r="BI27" s="84"/>
      <c r="BJ27" s="84"/>
      <c r="BK27" s="84"/>
      <c r="BL27" s="84"/>
      <c r="BM27" s="84"/>
      <c r="BN27" s="84"/>
      <c r="BO27" s="91"/>
      <c r="BP27" s="79"/>
      <c r="BQ27" s="79"/>
      <c r="BR27" s="79"/>
      <c r="BS27" s="79"/>
      <c r="BT27" s="78"/>
    </row>
    <row r="28" spans="1:72" ht="21.15" customHeight="1" x14ac:dyDescent="0.55000000000000004">
      <c r="A28" s="78"/>
      <c r="B28" s="79"/>
      <c r="C28" s="79"/>
      <c r="D28" s="79"/>
      <c r="E28" s="79"/>
      <c r="F28" s="79"/>
      <c r="G28" s="79"/>
      <c r="H28" s="79"/>
      <c r="I28" s="79"/>
      <c r="J28" s="79"/>
      <c r="K28" s="79"/>
      <c r="L28" s="79"/>
      <c r="M28" s="79"/>
      <c r="N28" s="79"/>
      <c r="O28" s="79"/>
      <c r="P28" s="79"/>
      <c r="Q28" s="79"/>
      <c r="R28" s="79"/>
      <c r="S28" s="150" t="str">
        <f>VLOOKUP(S27,市町村データ!A2:P106,MATCH(手順書_大字_市町村なまえ!$F$64, 市町村データ!A1:P1, 0),FALSE)</f>
        <v>にしぼり</v>
      </c>
      <c r="T28" s="151"/>
      <c r="U28" s="151"/>
      <c r="V28" s="151"/>
      <c r="W28" s="87"/>
      <c r="X28" s="87"/>
      <c r="Y28" s="87"/>
      <c r="Z28" s="87"/>
      <c r="AA28" s="150" t="str">
        <f>VLOOKUP(AA27,市町村データ!A2:P106,MATCH(手順書_大字_市町村なまえ!$F$64, 市町村データ!A1:P1, 0),FALSE)</f>
        <v>いしがみ</v>
      </c>
      <c r="AB28" s="151"/>
      <c r="AC28" s="151"/>
      <c r="AD28" s="157"/>
      <c r="AE28" s="92"/>
      <c r="AF28" s="87"/>
      <c r="AG28" s="87"/>
      <c r="AH28" s="87"/>
      <c r="AI28" s="87"/>
      <c r="AJ28" s="87"/>
      <c r="AK28" s="87"/>
      <c r="AL28" s="87"/>
      <c r="AM28" s="92"/>
      <c r="AN28" s="87"/>
      <c r="AO28" s="87"/>
      <c r="AP28" s="87"/>
      <c r="AQ28" s="87"/>
      <c r="AR28" s="87"/>
      <c r="AS28" s="87"/>
      <c r="AT28" s="87"/>
      <c r="AU28" s="150" t="str">
        <f>VLOOKUP(AU27,市町村データ!A2:P106,MATCH(手順書_大字_市町村なまえ!$F$64, 市町村データ!A1:P1, 0),FALSE)</f>
        <v>さかえ</v>
      </c>
      <c r="AV28" s="151"/>
      <c r="AW28" s="151"/>
      <c r="AX28" s="151"/>
      <c r="AY28" s="87"/>
      <c r="AZ28" s="87"/>
      <c r="BA28" s="87"/>
      <c r="BB28" s="87"/>
      <c r="BC28" s="87"/>
      <c r="BD28" s="87"/>
      <c r="BE28" s="87"/>
      <c r="BF28" s="87"/>
      <c r="BG28" s="87"/>
      <c r="BH28" s="87"/>
      <c r="BI28" s="87"/>
      <c r="BJ28" s="87"/>
      <c r="BK28" s="87"/>
      <c r="BL28" s="87"/>
      <c r="BM28" s="87"/>
      <c r="BN28" s="87"/>
      <c r="BO28" s="92"/>
      <c r="BP28" s="50"/>
      <c r="BQ28" s="50"/>
      <c r="BR28" s="50"/>
      <c r="BS28" s="79"/>
      <c r="BT28" s="78"/>
    </row>
    <row r="29" spans="1:72" ht="21.15" customHeight="1" x14ac:dyDescent="0.55000000000000004">
      <c r="A29" s="78"/>
      <c r="B29" s="79"/>
      <c r="C29" s="79"/>
      <c r="D29" s="79"/>
      <c r="E29" s="79"/>
      <c r="F29" s="79"/>
      <c r="G29" s="79"/>
      <c r="H29" s="79"/>
      <c r="I29" s="79"/>
      <c r="J29" s="79"/>
      <c r="K29" s="79"/>
      <c r="L29" s="79"/>
      <c r="M29" s="79"/>
      <c r="N29" s="79"/>
      <c r="O29" s="79"/>
      <c r="P29" s="79"/>
      <c r="Q29" s="79"/>
      <c r="R29" s="79"/>
      <c r="S29" s="150" t="str">
        <f>VLOOKUP(S27,市町村データ!A2:P106,MATCH(手順書_大字_市町村なまえ!$F$65, 市町村データ!A1:P1, 0),FALSE)</f>
        <v>352-0031</v>
      </c>
      <c r="T29" s="151"/>
      <c r="U29" s="151"/>
      <c r="V29" s="151"/>
      <c r="W29" s="87"/>
      <c r="X29" s="87"/>
      <c r="Y29" s="87"/>
      <c r="Z29" s="87"/>
      <c r="AA29" s="150" t="str">
        <f>VLOOKUP(AA27,市町村データ!A2:P106,MATCH(手順書_大字_市町村なまえ!$F$65, 市町村データ!A1:P1, 0),FALSE)</f>
        <v>352-0033</v>
      </c>
      <c r="AB29" s="151"/>
      <c r="AC29" s="151"/>
      <c r="AD29" s="157"/>
      <c r="AE29" s="92"/>
      <c r="AF29" s="87"/>
      <c r="AG29" s="87"/>
      <c r="AH29" s="87"/>
      <c r="AI29" s="87"/>
      <c r="AJ29" s="87"/>
      <c r="AK29" s="87"/>
      <c r="AL29" s="87"/>
      <c r="AM29" s="92"/>
      <c r="AN29" s="87"/>
      <c r="AO29" s="87"/>
      <c r="AP29" s="87"/>
      <c r="AQ29" s="87"/>
      <c r="AR29" s="87"/>
      <c r="AS29" s="87"/>
      <c r="AT29" s="87"/>
      <c r="AU29" s="150" t="str">
        <f>VLOOKUP(AU27,市町村データ!A2:P106,MATCH(手順書_大字_市町村なまえ!$F$65, 市町村データ!A1:P1, 0),FALSE)</f>
        <v>352-0014</v>
      </c>
      <c r="AV29" s="151"/>
      <c r="AW29" s="151"/>
      <c r="AX29" s="151"/>
      <c r="AY29" s="87"/>
      <c r="AZ29" s="87"/>
      <c r="BA29" s="87"/>
      <c r="BB29" s="87"/>
      <c r="BC29" s="87"/>
      <c r="BD29" s="87"/>
      <c r="BE29" s="87"/>
      <c r="BF29" s="87"/>
      <c r="BG29" s="87"/>
      <c r="BH29" s="87"/>
      <c r="BI29" s="87"/>
      <c r="BJ29" s="87"/>
      <c r="BK29" s="87"/>
      <c r="BL29" s="87"/>
      <c r="BM29" s="87"/>
      <c r="BN29" s="87"/>
      <c r="BO29" s="93"/>
      <c r="BP29" s="51"/>
      <c r="BQ29" s="51"/>
      <c r="BR29" s="51"/>
      <c r="BS29" s="79"/>
      <c r="BT29" s="78"/>
    </row>
    <row r="30" spans="1:72" ht="21.15" customHeight="1" thickBot="1" x14ac:dyDescent="0.6">
      <c r="A30" s="78"/>
      <c r="B30" s="79"/>
      <c r="C30" s="79"/>
      <c r="D30" s="79"/>
      <c r="E30" s="79"/>
      <c r="F30" s="79"/>
      <c r="G30" s="79"/>
      <c r="H30" s="79"/>
      <c r="I30" s="79"/>
      <c r="J30" s="79"/>
      <c r="K30" s="79"/>
      <c r="L30" s="79"/>
      <c r="M30" s="79"/>
      <c r="N30" s="79"/>
      <c r="O30" s="79"/>
      <c r="P30" s="79"/>
      <c r="Q30" s="79"/>
      <c r="R30" s="79"/>
      <c r="S30" s="155"/>
      <c r="T30" s="156"/>
      <c r="U30" s="156"/>
      <c r="V30" s="156"/>
      <c r="W30" s="79"/>
      <c r="X30" s="79"/>
      <c r="Y30" s="79"/>
      <c r="Z30" s="79"/>
      <c r="AA30" s="155"/>
      <c r="AB30" s="156"/>
      <c r="AC30" s="156"/>
      <c r="AD30" s="158"/>
      <c r="AE30" s="85"/>
      <c r="AF30" s="79"/>
      <c r="AG30" s="79"/>
      <c r="AH30" s="79"/>
      <c r="AI30" s="79"/>
      <c r="AJ30" s="79"/>
      <c r="AK30" s="79"/>
      <c r="AL30" s="79"/>
      <c r="AM30" s="85"/>
      <c r="AN30" s="79"/>
      <c r="AO30" s="79"/>
      <c r="AP30" s="79"/>
      <c r="AQ30" s="79"/>
      <c r="AR30" s="79"/>
      <c r="AS30" s="79"/>
      <c r="AT30" s="79"/>
      <c r="AU30" s="152"/>
      <c r="AV30" s="153"/>
      <c r="AW30" s="153"/>
      <c r="AX30" s="153"/>
      <c r="AY30" s="79"/>
      <c r="AZ30" s="79"/>
      <c r="BA30" s="79"/>
      <c r="BB30" s="79"/>
      <c r="BC30" s="79"/>
      <c r="BD30" s="79"/>
      <c r="BE30" s="79"/>
      <c r="BF30" s="79"/>
      <c r="BG30" s="79"/>
      <c r="BH30" s="79"/>
      <c r="BI30" s="79"/>
      <c r="BJ30" s="79"/>
      <c r="BK30" s="79"/>
      <c r="BL30" s="79"/>
      <c r="BM30" s="79"/>
      <c r="BN30" s="79"/>
      <c r="BO30" s="85"/>
      <c r="BP30" s="52"/>
      <c r="BQ30" s="52"/>
      <c r="BR30" s="52"/>
      <c r="BS30" s="79"/>
      <c r="BT30" s="78"/>
    </row>
    <row r="31" spans="1:72" ht="21.15" customHeight="1" x14ac:dyDescent="0.55000000000000004">
      <c r="A31" s="78"/>
      <c r="B31" s="79"/>
      <c r="C31" s="81" t="s">
        <v>67</v>
      </c>
      <c r="D31" s="79"/>
      <c r="E31" s="79"/>
      <c r="F31" s="79"/>
      <c r="G31" s="82" t="s">
        <v>548</v>
      </c>
      <c r="H31" s="142" t="str">
        <f>VLOOKUP(G31,市町村データ!A2:P106,MATCH(手順書_大字_市町村なまえ!$G$63, 市町村データ!A1:P1, 0),FALSE)</f>
        <v>新堀</v>
      </c>
      <c r="I31" s="154"/>
      <c r="J31" s="154"/>
      <c r="K31" s="84"/>
      <c r="L31" s="84"/>
      <c r="M31" s="84"/>
      <c r="N31" s="84"/>
      <c r="O31" s="84"/>
      <c r="P31" s="84"/>
      <c r="Q31" s="84"/>
      <c r="R31" s="84"/>
      <c r="S31" s="85"/>
      <c r="T31" s="79"/>
      <c r="U31" s="79"/>
      <c r="V31" s="79"/>
      <c r="W31" s="96"/>
      <c r="X31" s="84"/>
      <c r="Y31" s="84"/>
      <c r="Z31" s="84"/>
      <c r="AA31" s="85"/>
      <c r="AB31" s="79"/>
      <c r="AC31" s="79"/>
      <c r="AD31" s="79"/>
      <c r="AE31" s="84"/>
      <c r="AF31" s="84"/>
      <c r="AG31" s="84"/>
      <c r="AH31" s="84"/>
      <c r="AI31" s="82" t="s">
        <v>550</v>
      </c>
      <c r="AJ31" s="142" t="str">
        <f>VLOOKUP(AI31,市町村データ!A2:P106,MATCH(手順書_大字_市町村なまえ!$G$63, 市町村データ!A1:P1, 0),FALSE)</f>
        <v>道場</v>
      </c>
      <c r="AK31" s="154"/>
      <c r="AL31" s="154"/>
      <c r="AM31" s="84"/>
      <c r="AN31" s="84"/>
      <c r="AO31" s="84"/>
      <c r="AP31" s="84"/>
      <c r="AQ31" s="97"/>
      <c r="AR31" s="84"/>
      <c r="AS31" s="84"/>
      <c r="AT31" s="84"/>
      <c r="AU31" s="82" t="s">
        <v>552</v>
      </c>
      <c r="AV31" s="142" t="str">
        <f>VLOOKUP(AU31,市町村データ!A2:P106,MATCH(手順書_大字_市町村なまえ!$G$63, 市町村データ!A1:P1, 0),FALSE)</f>
        <v>池田</v>
      </c>
      <c r="AW31" s="154"/>
      <c r="AX31" s="154"/>
      <c r="AY31" s="84"/>
      <c r="AZ31" s="84"/>
      <c r="BA31" s="84"/>
      <c r="BB31" s="84"/>
      <c r="BC31" s="84"/>
      <c r="BD31" s="84"/>
      <c r="BE31" s="84"/>
      <c r="BF31" s="84"/>
      <c r="BG31" s="84"/>
      <c r="BH31" s="84"/>
      <c r="BI31" s="84"/>
      <c r="BJ31" s="84"/>
      <c r="BK31" s="84"/>
      <c r="BL31" s="84"/>
      <c r="BM31" s="84"/>
      <c r="BN31" s="84"/>
      <c r="BO31" s="91"/>
      <c r="BP31" s="79"/>
      <c r="BQ31" s="79"/>
      <c r="BR31" s="79"/>
      <c r="BS31" s="79"/>
      <c r="BT31" s="78"/>
    </row>
    <row r="32" spans="1:72" ht="21.15" customHeight="1" x14ac:dyDescent="0.55000000000000004">
      <c r="A32" s="78"/>
      <c r="B32" s="79"/>
      <c r="C32" s="79"/>
      <c r="D32" s="79"/>
      <c r="E32" s="79"/>
      <c r="F32" s="79"/>
      <c r="G32" s="150" t="str">
        <f>VLOOKUP(G31,市町村データ!A2:P106,MATCH(手順書_大字_市町村なまえ!$F$64, 市町村データ!A1:P1, 0),FALSE)</f>
        <v>しんぼり</v>
      </c>
      <c r="H32" s="151"/>
      <c r="I32" s="151"/>
      <c r="J32" s="151"/>
      <c r="K32" s="87"/>
      <c r="L32" s="87"/>
      <c r="M32" s="87"/>
      <c r="N32" s="87"/>
      <c r="O32" s="87"/>
      <c r="P32" s="87"/>
      <c r="Q32" s="87"/>
      <c r="R32" s="87"/>
      <c r="S32" s="92"/>
      <c r="T32" s="87"/>
      <c r="U32" s="87"/>
      <c r="V32" s="87"/>
      <c r="W32" s="85"/>
      <c r="X32" s="79"/>
      <c r="Y32" s="79"/>
      <c r="Z32" s="79"/>
      <c r="AA32" s="92"/>
      <c r="AB32" s="87"/>
      <c r="AC32" s="87"/>
      <c r="AD32" s="87"/>
      <c r="AE32" s="87"/>
      <c r="AF32" s="87"/>
      <c r="AG32" s="87"/>
      <c r="AH32" s="87"/>
      <c r="AI32" s="150" t="str">
        <f>VLOOKUP(AI31,市町村データ!A2:P106,MATCH(手順書_大字_市町村なまえ!$F$64, 市町村データ!A1:P1, 0),FALSE)</f>
        <v>どうじょう</v>
      </c>
      <c r="AJ32" s="151"/>
      <c r="AK32" s="151"/>
      <c r="AL32" s="151"/>
      <c r="AM32" s="87"/>
      <c r="AN32" s="87"/>
      <c r="AO32" s="87"/>
      <c r="AP32" s="87"/>
      <c r="AQ32" s="92"/>
      <c r="AR32" s="87"/>
      <c r="AS32" s="87"/>
      <c r="AT32" s="87"/>
      <c r="AU32" s="150" t="str">
        <f>VLOOKUP(AU31,市町村データ!A2:P106,MATCH(手順書_大字_市町村なまえ!$F$64, 市町村データ!A1:P1, 0),FALSE)</f>
        <v>いけだ</v>
      </c>
      <c r="AV32" s="151"/>
      <c r="AW32" s="151"/>
      <c r="AX32" s="151"/>
      <c r="AY32" s="87"/>
      <c r="AZ32" s="87"/>
      <c r="BA32" s="87"/>
      <c r="BB32" s="87"/>
      <c r="BC32" s="87"/>
      <c r="BD32" s="87"/>
      <c r="BE32" s="87"/>
      <c r="BF32" s="87"/>
      <c r="BG32" s="87"/>
      <c r="BH32" s="87"/>
      <c r="BI32" s="87"/>
      <c r="BJ32" s="87"/>
      <c r="BK32" s="87"/>
      <c r="BL32" s="87"/>
      <c r="BM32" s="87"/>
      <c r="BN32" s="87"/>
      <c r="BO32" s="92"/>
      <c r="BP32" s="50"/>
      <c r="BQ32" s="50"/>
      <c r="BR32" s="50"/>
      <c r="BS32" s="79"/>
      <c r="BT32" s="78"/>
    </row>
    <row r="33" spans="1:72" ht="21.15" customHeight="1" x14ac:dyDescent="0.55000000000000004">
      <c r="A33" s="78"/>
      <c r="B33" s="79"/>
      <c r="C33" s="79"/>
      <c r="D33" s="79"/>
      <c r="E33" s="79"/>
      <c r="F33" s="79"/>
      <c r="G33" s="150" t="str">
        <f>VLOOKUP(G31,市町村データ!A2:P106,MATCH(手順書_大字_市町村なまえ!$F$65, 市町村データ!A1:P1, 0),FALSE)</f>
        <v>352-0032</v>
      </c>
      <c r="H33" s="151"/>
      <c r="I33" s="151"/>
      <c r="J33" s="151"/>
      <c r="K33" s="87"/>
      <c r="L33" s="87"/>
      <c r="M33" s="87"/>
      <c r="N33" s="87"/>
      <c r="O33" s="87"/>
      <c r="P33" s="87"/>
      <c r="Q33" s="87"/>
      <c r="R33" s="87"/>
      <c r="S33" s="92"/>
      <c r="T33" s="87"/>
      <c r="U33" s="87"/>
      <c r="V33" s="87"/>
      <c r="W33" s="85"/>
      <c r="X33" s="79"/>
      <c r="Y33" s="79"/>
      <c r="Z33" s="79"/>
      <c r="AA33" s="92"/>
      <c r="AB33" s="87"/>
      <c r="AC33" s="87"/>
      <c r="AD33" s="87"/>
      <c r="AE33" s="87"/>
      <c r="AF33" s="87"/>
      <c r="AG33" s="87"/>
      <c r="AH33" s="87"/>
      <c r="AI33" s="150" t="str">
        <f>VLOOKUP(AI31,市町村データ!A2:P106,MATCH(手順書_大字_市町村なまえ!$F$65, 市町村データ!A1:P1, 0),FALSE)</f>
        <v>352-0024</v>
      </c>
      <c r="AJ33" s="151"/>
      <c r="AK33" s="151"/>
      <c r="AL33" s="151"/>
      <c r="AM33" s="87"/>
      <c r="AN33" s="87"/>
      <c r="AO33" s="87"/>
      <c r="AP33" s="87"/>
      <c r="AQ33" s="93"/>
      <c r="AR33" s="89"/>
      <c r="AS33" s="89"/>
      <c r="AT33" s="89"/>
      <c r="AU33" s="150" t="str">
        <f>VLOOKUP(AU31,市町村データ!A2:P106,MATCH(手順書_大字_市町村なまえ!$F$65, 市町村データ!A1:P1, 0),FALSE)</f>
        <v>352-0015</v>
      </c>
      <c r="AV33" s="151"/>
      <c r="AW33" s="151"/>
      <c r="AX33" s="151"/>
      <c r="AY33" s="87"/>
      <c r="AZ33" s="87"/>
      <c r="BA33" s="87"/>
      <c r="BB33" s="87"/>
      <c r="BC33" s="87"/>
      <c r="BD33" s="87"/>
      <c r="BE33" s="87"/>
      <c r="BF33" s="87"/>
      <c r="BG33" s="87"/>
      <c r="BH33" s="87"/>
      <c r="BI33" s="87"/>
      <c r="BJ33" s="87"/>
      <c r="BK33" s="87"/>
      <c r="BL33" s="87"/>
      <c r="BM33" s="87"/>
      <c r="BN33" s="87"/>
      <c r="BO33" s="93"/>
      <c r="BP33" s="51"/>
      <c r="BQ33" s="51"/>
      <c r="BR33" s="51"/>
      <c r="BS33" s="79"/>
      <c r="BT33" s="78"/>
    </row>
    <row r="34" spans="1:72" ht="21.15" customHeight="1" thickBot="1" x14ac:dyDescent="0.6">
      <c r="A34" s="78"/>
      <c r="B34" s="79"/>
      <c r="C34" s="79"/>
      <c r="D34" s="79"/>
      <c r="E34" s="79"/>
      <c r="F34" s="79"/>
      <c r="G34" s="152"/>
      <c r="H34" s="153"/>
      <c r="I34" s="153"/>
      <c r="J34" s="153"/>
      <c r="K34" s="79"/>
      <c r="L34" s="79"/>
      <c r="M34" s="79"/>
      <c r="N34" s="79"/>
      <c r="O34" s="79"/>
      <c r="P34" s="79"/>
      <c r="Q34" s="79"/>
      <c r="R34" s="79"/>
      <c r="S34" s="85"/>
      <c r="T34" s="79"/>
      <c r="U34" s="79"/>
      <c r="V34" s="79"/>
      <c r="W34" s="85"/>
      <c r="X34" s="79"/>
      <c r="Y34" s="79"/>
      <c r="Z34" s="79"/>
      <c r="AA34" s="85"/>
      <c r="AB34" s="79"/>
      <c r="AC34" s="79"/>
      <c r="AD34" s="79"/>
      <c r="AE34" s="79"/>
      <c r="AF34" s="79"/>
      <c r="AG34" s="79"/>
      <c r="AH34" s="79"/>
      <c r="AI34" s="152"/>
      <c r="AJ34" s="153"/>
      <c r="AK34" s="153"/>
      <c r="AL34" s="153"/>
      <c r="AM34" s="79"/>
      <c r="AN34" s="79"/>
      <c r="AO34" s="79"/>
      <c r="AP34" s="79"/>
      <c r="AQ34" s="85"/>
      <c r="AR34" s="79"/>
      <c r="AS34" s="79"/>
      <c r="AT34" s="79"/>
      <c r="AU34" s="152"/>
      <c r="AV34" s="153"/>
      <c r="AW34" s="153"/>
      <c r="AX34" s="153"/>
      <c r="AY34" s="79"/>
      <c r="AZ34" s="79"/>
      <c r="BA34" s="79"/>
      <c r="BB34" s="79"/>
      <c r="BC34" s="79"/>
      <c r="BD34" s="79"/>
      <c r="BE34" s="79"/>
      <c r="BF34" s="79"/>
      <c r="BG34" s="79"/>
      <c r="BH34" s="79"/>
      <c r="BI34" s="79"/>
      <c r="BJ34" s="79"/>
      <c r="BK34" s="79"/>
      <c r="BL34" s="79"/>
      <c r="BM34" s="79"/>
      <c r="BN34" s="79"/>
      <c r="BO34" s="85"/>
      <c r="BP34" s="52"/>
      <c r="BQ34" s="52"/>
      <c r="BR34" s="52"/>
      <c r="BS34" s="79"/>
      <c r="BT34" s="78"/>
    </row>
    <row r="35" spans="1:72" ht="21.15" customHeight="1" x14ac:dyDescent="0.55000000000000004">
      <c r="A35" s="78"/>
      <c r="B35" s="79"/>
      <c r="C35" s="81" t="s">
        <v>68</v>
      </c>
      <c r="D35" s="79"/>
      <c r="E35" s="79"/>
      <c r="F35" s="79"/>
      <c r="G35" s="84"/>
      <c r="H35" s="84"/>
      <c r="I35" s="84"/>
      <c r="J35" s="84"/>
      <c r="K35" s="84"/>
      <c r="L35" s="84"/>
      <c r="M35" s="84"/>
      <c r="N35" s="84"/>
      <c r="O35" s="84"/>
      <c r="P35" s="84"/>
      <c r="Q35" s="84"/>
      <c r="R35" s="84"/>
      <c r="S35" s="84"/>
      <c r="T35" s="84"/>
      <c r="U35" s="84"/>
      <c r="V35" s="84"/>
      <c r="W35" s="79"/>
      <c r="X35" s="79"/>
      <c r="Y35" s="79"/>
      <c r="Z35" s="79"/>
      <c r="AA35" s="85"/>
      <c r="AB35" s="79"/>
      <c r="AC35" s="79"/>
      <c r="AD35" s="79"/>
      <c r="AE35" s="79"/>
      <c r="AF35" s="79"/>
      <c r="AG35" s="79"/>
      <c r="AH35" s="79"/>
      <c r="AI35" s="97"/>
      <c r="AJ35" s="84"/>
      <c r="AK35" s="84"/>
      <c r="AL35" s="84"/>
      <c r="AM35" s="95"/>
      <c r="AN35" s="84"/>
      <c r="AO35" s="84"/>
      <c r="AP35" s="84"/>
      <c r="AQ35" s="86"/>
      <c r="AR35" s="79"/>
      <c r="AS35" s="79"/>
      <c r="AT35" s="79"/>
      <c r="AU35" s="95"/>
      <c r="AV35" s="84"/>
      <c r="AW35" s="84"/>
      <c r="AX35" s="84"/>
      <c r="AY35" s="95"/>
      <c r="AZ35" s="84"/>
      <c r="BA35" s="84"/>
      <c r="BB35" s="84"/>
      <c r="BC35" s="82" t="s">
        <v>554</v>
      </c>
      <c r="BD35" s="142" t="str">
        <f>VLOOKUP(BC35,市町村データ!A2:P106,MATCH(手順書_大字_市町村なまえ!$G$63, 市町村データ!A1:P1, 0),FALSE)</f>
        <v>片山</v>
      </c>
      <c r="BE35" s="154"/>
      <c r="BF35" s="154"/>
      <c r="BG35" s="84"/>
      <c r="BH35" s="84"/>
      <c r="BI35" s="84"/>
      <c r="BJ35" s="84"/>
      <c r="BK35" s="84"/>
      <c r="BL35" s="84"/>
      <c r="BM35" s="84"/>
      <c r="BN35" s="84"/>
      <c r="BO35" s="91"/>
      <c r="BP35" s="79"/>
      <c r="BQ35" s="79"/>
      <c r="BR35" s="79"/>
      <c r="BS35" s="79"/>
      <c r="BT35" s="78"/>
    </row>
    <row r="36" spans="1:72" ht="21.15" customHeight="1" x14ac:dyDescent="0.55000000000000004">
      <c r="A36" s="78"/>
      <c r="B36" s="79"/>
      <c r="C36" s="79"/>
      <c r="D36" s="79"/>
      <c r="E36" s="79"/>
      <c r="F36" s="79"/>
      <c r="G36" s="79"/>
      <c r="H36" s="79"/>
      <c r="I36" s="79"/>
      <c r="J36" s="79"/>
      <c r="K36" s="79"/>
      <c r="L36" s="79"/>
      <c r="M36" s="79"/>
      <c r="N36" s="79"/>
      <c r="O36" s="79"/>
      <c r="P36" s="79"/>
      <c r="Q36" s="79"/>
      <c r="R36" s="79"/>
      <c r="S36" s="79"/>
      <c r="T36" s="79"/>
      <c r="U36" s="79"/>
      <c r="V36" s="79"/>
      <c r="W36" s="79"/>
      <c r="X36" s="79"/>
      <c r="Y36" s="79"/>
      <c r="Z36" s="79"/>
      <c r="AA36" s="92"/>
      <c r="AB36" s="87"/>
      <c r="AC36" s="87"/>
      <c r="AD36" s="87"/>
      <c r="AE36" s="87"/>
      <c r="AF36" s="87"/>
      <c r="AG36" s="87"/>
      <c r="AH36" s="87"/>
      <c r="AI36" s="98"/>
      <c r="AJ36" s="50"/>
      <c r="AK36" s="50"/>
      <c r="AL36" s="50"/>
      <c r="AM36" s="50"/>
      <c r="AN36" s="50"/>
      <c r="AO36" s="50"/>
      <c r="AP36" s="50"/>
      <c r="AQ36" s="50"/>
      <c r="AR36" s="50"/>
      <c r="AS36" s="50"/>
      <c r="AT36" s="50"/>
      <c r="AU36" s="50"/>
      <c r="AV36" s="50"/>
      <c r="AW36" s="50"/>
      <c r="AX36" s="50"/>
      <c r="AY36" s="50"/>
      <c r="AZ36" s="50"/>
      <c r="BA36" s="50"/>
      <c r="BB36" s="50"/>
      <c r="BC36" s="150" t="str">
        <f>VLOOKUP(BC35,市町村データ!A2:P106,MATCH(手順書_大字_市町村なまえ!$F$64, 市町村データ!A1:P1, 0),FALSE)</f>
        <v>かたやま</v>
      </c>
      <c r="BD36" s="151"/>
      <c r="BE36" s="151"/>
      <c r="BF36" s="151"/>
      <c r="BG36" s="87"/>
      <c r="BH36" s="87"/>
      <c r="BI36" s="87"/>
      <c r="BJ36" s="87"/>
      <c r="BK36" s="87"/>
      <c r="BL36" s="87"/>
      <c r="BM36" s="87"/>
      <c r="BN36" s="87"/>
      <c r="BO36" s="98"/>
      <c r="BP36" s="50"/>
      <c r="BQ36" s="50"/>
      <c r="BR36" s="50"/>
      <c r="BS36" s="79"/>
      <c r="BT36" s="78"/>
    </row>
    <row r="37" spans="1:72" ht="21.15" customHeight="1" x14ac:dyDescent="0.55000000000000004">
      <c r="A37" s="78"/>
      <c r="B37" s="79"/>
      <c r="C37" s="79"/>
      <c r="D37" s="79"/>
      <c r="E37" s="79"/>
      <c r="F37" s="79"/>
      <c r="G37" s="79"/>
      <c r="H37" s="79"/>
      <c r="I37" s="79"/>
      <c r="J37" s="79"/>
      <c r="K37" s="79"/>
      <c r="L37" s="79"/>
      <c r="M37" s="79"/>
      <c r="N37" s="79"/>
      <c r="O37" s="79"/>
      <c r="P37" s="79"/>
      <c r="Q37" s="79"/>
      <c r="R37" s="79"/>
      <c r="S37" s="79"/>
      <c r="T37" s="79"/>
      <c r="U37" s="79"/>
      <c r="V37" s="79"/>
      <c r="W37" s="79"/>
      <c r="X37" s="79"/>
      <c r="Y37" s="79"/>
      <c r="Z37" s="79"/>
      <c r="AA37" s="92"/>
      <c r="AB37" s="87"/>
      <c r="AC37" s="87"/>
      <c r="AD37" s="87"/>
      <c r="AE37" s="87"/>
      <c r="AF37" s="87"/>
      <c r="AG37" s="87"/>
      <c r="AH37" s="87"/>
      <c r="AI37" s="99"/>
      <c r="AJ37" s="51"/>
      <c r="AK37" s="51"/>
      <c r="AL37" s="51"/>
      <c r="AM37" s="51"/>
      <c r="AN37" s="51"/>
      <c r="AO37" s="51"/>
      <c r="AP37" s="51"/>
      <c r="AQ37" s="51"/>
      <c r="AR37" s="51"/>
      <c r="AS37" s="51"/>
      <c r="AT37" s="51"/>
      <c r="AU37" s="51"/>
      <c r="AV37" s="51"/>
      <c r="AW37" s="51"/>
      <c r="AX37" s="51"/>
      <c r="AY37" s="51"/>
      <c r="AZ37" s="51"/>
      <c r="BA37" s="51"/>
      <c r="BB37" s="51"/>
      <c r="BC37" s="150" t="str">
        <f>VLOOKUP(BC35,市町村データ!A2:P106,MATCH(手順書_大字_市町村なまえ!$F$65, 市町村データ!A1:P1, 0),FALSE)</f>
        <v>352-0025</v>
      </c>
      <c r="BD37" s="151"/>
      <c r="BE37" s="151"/>
      <c r="BF37" s="151"/>
      <c r="BG37" s="87"/>
      <c r="BH37" s="87"/>
      <c r="BI37" s="87"/>
      <c r="BJ37" s="87"/>
      <c r="BK37" s="87"/>
      <c r="BL37" s="87"/>
      <c r="BM37" s="87"/>
      <c r="BN37" s="87"/>
      <c r="BO37" s="99"/>
      <c r="BP37" s="51"/>
      <c r="BQ37" s="51"/>
      <c r="BR37" s="51"/>
      <c r="BS37" s="79"/>
      <c r="BT37" s="78"/>
    </row>
    <row r="38" spans="1:72" ht="21.15" customHeight="1" thickBot="1" x14ac:dyDescent="0.6">
      <c r="A38" s="78"/>
      <c r="B38" s="79"/>
      <c r="C38" s="79"/>
      <c r="D38" s="79"/>
      <c r="E38" s="79"/>
      <c r="F38" s="79"/>
      <c r="G38" s="79"/>
      <c r="H38" s="79"/>
      <c r="I38" s="79"/>
      <c r="J38" s="79"/>
      <c r="K38" s="79"/>
      <c r="L38" s="79"/>
      <c r="M38" s="79"/>
      <c r="N38" s="79"/>
      <c r="O38" s="79"/>
      <c r="P38" s="79"/>
      <c r="Q38" s="79"/>
      <c r="R38" s="79"/>
      <c r="S38" s="79"/>
      <c r="T38" s="79"/>
      <c r="U38" s="79"/>
      <c r="V38" s="79"/>
      <c r="W38" s="79"/>
      <c r="X38" s="79"/>
      <c r="Y38" s="79"/>
      <c r="Z38" s="79"/>
      <c r="AA38" s="85"/>
      <c r="AB38" s="79"/>
      <c r="AC38" s="79"/>
      <c r="AD38" s="79"/>
      <c r="AE38" s="79"/>
      <c r="AF38" s="79"/>
      <c r="AG38" s="79"/>
      <c r="AH38" s="79"/>
      <c r="AI38" s="99"/>
      <c r="AJ38" s="51"/>
      <c r="AK38" s="51"/>
      <c r="AL38" s="51"/>
      <c r="AM38" s="51"/>
      <c r="AN38" s="51"/>
      <c r="AO38" s="51"/>
      <c r="AP38" s="51"/>
      <c r="AQ38" s="51"/>
      <c r="AR38" s="51"/>
      <c r="AS38" s="51"/>
      <c r="AT38" s="51"/>
      <c r="AU38" s="51"/>
      <c r="AV38" s="51"/>
      <c r="AW38" s="51"/>
      <c r="AX38" s="51"/>
      <c r="AY38" s="51"/>
      <c r="AZ38" s="51"/>
      <c r="BA38" s="51"/>
      <c r="BB38" s="51"/>
      <c r="BC38" s="152"/>
      <c r="BD38" s="153"/>
      <c r="BE38" s="153"/>
      <c r="BF38" s="153"/>
      <c r="BG38" s="79"/>
      <c r="BH38" s="79"/>
      <c r="BI38" s="79"/>
      <c r="BJ38" s="79"/>
      <c r="BK38" s="79"/>
      <c r="BL38" s="79"/>
      <c r="BM38" s="79"/>
      <c r="BN38" s="79"/>
      <c r="BO38" s="99"/>
      <c r="BP38" s="51"/>
      <c r="BQ38" s="51"/>
      <c r="BR38" s="51"/>
      <c r="BS38" s="79"/>
      <c r="BT38" s="78"/>
    </row>
    <row r="39" spans="1:72" ht="21.15" customHeight="1" x14ac:dyDescent="0.55000000000000004">
      <c r="A39" s="78"/>
      <c r="B39" s="79"/>
      <c r="C39" s="81" t="s">
        <v>516</v>
      </c>
      <c r="D39" s="79"/>
      <c r="E39" s="79"/>
      <c r="F39" s="79"/>
      <c r="G39" s="79"/>
      <c r="H39" s="79"/>
      <c r="I39" s="79"/>
      <c r="J39" s="79"/>
      <c r="K39" s="79"/>
      <c r="L39" s="79"/>
      <c r="M39" s="79"/>
      <c r="N39" s="79"/>
      <c r="O39" s="79"/>
      <c r="P39" s="79"/>
      <c r="Q39" s="79"/>
      <c r="R39" s="79"/>
      <c r="S39" s="79"/>
      <c r="T39" s="79"/>
      <c r="U39" s="79"/>
      <c r="V39" s="79"/>
      <c r="W39" s="79"/>
      <c r="X39" s="79"/>
      <c r="Y39" s="79"/>
      <c r="Z39" s="79"/>
      <c r="AA39" s="84"/>
      <c r="AB39" s="84"/>
      <c r="AC39" s="84"/>
      <c r="AD39" s="84"/>
      <c r="AE39" s="84"/>
      <c r="AF39" s="84"/>
      <c r="AG39" s="84"/>
      <c r="AH39" s="84"/>
      <c r="AI39" s="51"/>
      <c r="AJ39" s="51"/>
      <c r="AK39" s="51"/>
      <c r="AL39" s="51"/>
      <c r="AM39" s="51"/>
      <c r="AN39" s="51"/>
      <c r="AO39" s="51"/>
      <c r="AP39" s="51"/>
      <c r="AQ39" s="51"/>
      <c r="AR39" s="51"/>
      <c r="AS39" s="51"/>
      <c r="AT39" s="51"/>
      <c r="AU39" s="51"/>
      <c r="AV39" s="51"/>
      <c r="AW39" s="51"/>
      <c r="AX39" s="51"/>
      <c r="AY39" s="82" t="s">
        <v>556</v>
      </c>
      <c r="AZ39" s="142" t="str">
        <f>VLOOKUP(AY39,市町村データ!A2:P106,MATCH(手順書_大字_市町村なまえ!$G$63, 市町村データ!A1:P1, 0),FALSE)</f>
        <v>野寺</v>
      </c>
      <c r="BA39" s="154"/>
      <c r="BB39" s="154"/>
      <c r="BC39" s="84"/>
      <c r="BD39" s="84"/>
      <c r="BE39" s="84"/>
      <c r="BF39" s="84"/>
      <c r="BG39" s="84"/>
      <c r="BH39" s="84"/>
      <c r="BI39" s="84"/>
      <c r="BJ39" s="84"/>
      <c r="BK39" s="84"/>
      <c r="BL39" s="84"/>
      <c r="BM39" s="84"/>
      <c r="BN39" s="84"/>
      <c r="BO39" s="84"/>
      <c r="BP39" s="84"/>
      <c r="BQ39" s="84"/>
      <c r="BR39" s="84"/>
      <c r="BS39" s="85"/>
      <c r="BT39" s="78"/>
    </row>
    <row r="40" spans="1:72" ht="21.15" customHeight="1" x14ac:dyDescent="0.55000000000000004">
      <c r="A40" s="78"/>
      <c r="B40" s="79"/>
      <c r="C40" s="79"/>
      <c r="D40" s="79"/>
      <c r="E40" s="79"/>
      <c r="F40" s="79"/>
      <c r="G40" s="79"/>
      <c r="H40" s="79"/>
      <c r="I40" s="79"/>
      <c r="J40" s="79"/>
      <c r="K40" s="79"/>
      <c r="L40" s="79"/>
      <c r="M40" s="79"/>
      <c r="N40" s="79"/>
      <c r="O40" s="79"/>
      <c r="P40" s="79"/>
      <c r="Q40" s="79"/>
      <c r="R40" s="79"/>
      <c r="S40" s="79"/>
      <c r="T40" s="79"/>
      <c r="U40" s="79"/>
      <c r="V40" s="79"/>
      <c r="W40" s="79"/>
      <c r="X40" s="79"/>
      <c r="Y40" s="79"/>
      <c r="Z40" s="79"/>
      <c r="AA40" s="79"/>
      <c r="AB40" s="79"/>
      <c r="AC40" s="79"/>
      <c r="AD40" s="79"/>
      <c r="AE40" s="79"/>
      <c r="AF40" s="79"/>
      <c r="AG40" s="79"/>
      <c r="AH40" s="79"/>
      <c r="AI40" s="51"/>
      <c r="AJ40" s="51"/>
      <c r="AK40" s="51"/>
      <c r="AL40" s="51"/>
      <c r="AM40" s="51"/>
      <c r="AN40" s="51"/>
      <c r="AO40" s="51"/>
      <c r="AP40" s="51"/>
      <c r="AQ40" s="51"/>
      <c r="AR40" s="51"/>
      <c r="AS40" s="51"/>
      <c r="AT40" s="51"/>
      <c r="AU40" s="51"/>
      <c r="AV40" s="51"/>
      <c r="AW40" s="51"/>
      <c r="AX40" s="51"/>
      <c r="AY40" s="150" t="str">
        <f>VLOOKUP(AY39,市町村データ!A2:P106,MATCH(手順書_大字_市町村なまえ!$F$64, 市町村データ!A1:P1, 0),FALSE)</f>
        <v>のでら</v>
      </c>
      <c r="AZ40" s="151"/>
      <c r="BA40" s="151"/>
      <c r="BB40" s="151"/>
      <c r="BC40" s="87"/>
      <c r="BD40" s="87"/>
      <c r="BE40" s="87"/>
      <c r="BF40" s="87"/>
      <c r="BG40" s="87"/>
      <c r="BH40" s="87"/>
      <c r="BI40" s="87"/>
      <c r="BJ40" s="87"/>
      <c r="BK40" s="87"/>
      <c r="BL40" s="87"/>
      <c r="BM40" s="87"/>
      <c r="BN40" s="87"/>
      <c r="BO40" s="87"/>
      <c r="BP40" s="87"/>
      <c r="BQ40" s="87"/>
      <c r="BR40" s="87"/>
      <c r="BS40" s="85"/>
      <c r="BT40" s="78"/>
    </row>
    <row r="41" spans="1:72" ht="21.15" customHeight="1" x14ac:dyDescent="0.55000000000000004">
      <c r="A41" s="78"/>
      <c r="B41" s="79"/>
      <c r="C41" s="79"/>
      <c r="D41" s="79"/>
      <c r="E41" s="79"/>
      <c r="F41" s="79"/>
      <c r="G41" s="79"/>
      <c r="H41" s="79"/>
      <c r="I41" s="79"/>
      <c r="J41" s="79"/>
      <c r="K41" s="79"/>
      <c r="L41" s="79"/>
      <c r="M41" s="79"/>
      <c r="N41" s="79"/>
      <c r="O41" s="79"/>
      <c r="P41" s="79"/>
      <c r="Q41" s="79"/>
      <c r="R41" s="79"/>
      <c r="S41" s="79"/>
      <c r="T41" s="79"/>
      <c r="U41" s="79"/>
      <c r="V41" s="79"/>
      <c r="W41" s="79"/>
      <c r="X41" s="79"/>
      <c r="Y41" s="79"/>
      <c r="Z41" s="79"/>
      <c r="AA41" s="79"/>
      <c r="AB41" s="79"/>
      <c r="AC41" s="79"/>
      <c r="AD41" s="79"/>
      <c r="AE41" s="79"/>
      <c r="AF41" s="79"/>
      <c r="AG41" s="79"/>
      <c r="AH41" s="79"/>
      <c r="AI41" s="51"/>
      <c r="AJ41" s="51"/>
      <c r="AK41" s="51"/>
      <c r="AL41" s="51"/>
      <c r="AM41" s="51"/>
      <c r="AN41" s="51"/>
      <c r="AO41" s="51"/>
      <c r="AP41" s="51"/>
      <c r="AQ41" s="51"/>
      <c r="AR41" s="51"/>
      <c r="AS41" s="51"/>
      <c r="AT41" s="51"/>
      <c r="AU41" s="51"/>
      <c r="AV41" s="51"/>
      <c r="AW41" s="51"/>
      <c r="AX41" s="51"/>
      <c r="AY41" s="150" t="str">
        <f>VLOOKUP(AY39,市町村データ!A2:P106,MATCH(手順書_大字_市町村なまえ!$F$65, 市町村データ!A1:P1, 0),FALSE)</f>
        <v>352-0034</v>
      </c>
      <c r="AZ41" s="151"/>
      <c r="BA41" s="151"/>
      <c r="BB41" s="151"/>
      <c r="BC41" s="87"/>
      <c r="BD41" s="87"/>
      <c r="BE41" s="87"/>
      <c r="BF41" s="87"/>
      <c r="BG41" s="87"/>
      <c r="BH41" s="87"/>
      <c r="BI41" s="87"/>
      <c r="BJ41" s="87"/>
      <c r="BK41" s="87"/>
      <c r="BL41" s="87"/>
      <c r="BM41" s="87"/>
      <c r="BN41" s="87"/>
      <c r="BO41" s="87"/>
      <c r="BP41" s="87"/>
      <c r="BQ41" s="87"/>
      <c r="BR41" s="87"/>
      <c r="BS41" s="85"/>
      <c r="BT41" s="78"/>
    </row>
    <row r="42" spans="1:72" ht="21.15" customHeight="1" thickBot="1" x14ac:dyDescent="0.6">
      <c r="A42" s="78"/>
      <c r="B42" s="79"/>
      <c r="C42" s="79"/>
      <c r="D42" s="79"/>
      <c r="E42" s="79"/>
      <c r="F42" s="79"/>
      <c r="G42" s="79"/>
      <c r="H42" s="79"/>
      <c r="I42" s="79"/>
      <c r="J42" s="79"/>
      <c r="K42" s="79"/>
      <c r="L42" s="79"/>
      <c r="M42" s="79"/>
      <c r="N42" s="79"/>
      <c r="O42" s="79"/>
      <c r="P42" s="79"/>
      <c r="Q42" s="79"/>
      <c r="R42" s="79"/>
      <c r="S42" s="79"/>
      <c r="T42" s="79"/>
      <c r="U42" s="79"/>
      <c r="V42" s="79"/>
      <c r="W42" s="79"/>
      <c r="X42" s="79"/>
      <c r="Y42" s="79"/>
      <c r="Z42" s="79"/>
      <c r="AA42" s="79"/>
      <c r="AB42" s="79"/>
      <c r="AC42" s="79"/>
      <c r="AD42" s="79"/>
      <c r="AE42" s="79"/>
      <c r="AF42" s="79"/>
      <c r="AG42" s="79"/>
      <c r="AH42" s="79"/>
      <c r="AI42" s="51"/>
      <c r="AJ42" s="51"/>
      <c r="AK42" s="51"/>
      <c r="AL42" s="51"/>
      <c r="AM42" s="51"/>
      <c r="AN42" s="51"/>
      <c r="AO42" s="51"/>
      <c r="AP42" s="51"/>
      <c r="AQ42" s="51"/>
      <c r="AR42" s="51"/>
      <c r="AS42" s="51"/>
      <c r="AT42" s="51"/>
      <c r="AU42" s="51"/>
      <c r="AV42" s="51"/>
      <c r="AW42" s="51"/>
      <c r="AX42" s="51"/>
      <c r="AY42" s="152"/>
      <c r="AZ42" s="153"/>
      <c r="BA42" s="153"/>
      <c r="BB42" s="153"/>
      <c r="BC42" s="79"/>
      <c r="BD42" s="79"/>
      <c r="BE42" s="79"/>
      <c r="BF42" s="79"/>
      <c r="BG42" s="79"/>
      <c r="BH42" s="79"/>
      <c r="BI42" s="79"/>
      <c r="BJ42" s="79"/>
      <c r="BK42" s="79"/>
      <c r="BL42" s="79"/>
      <c r="BM42" s="79"/>
      <c r="BN42" s="79"/>
      <c r="BO42" s="79"/>
      <c r="BP42" s="79"/>
      <c r="BQ42" s="79"/>
      <c r="BR42" s="79"/>
      <c r="BS42" s="85"/>
      <c r="BT42" s="78"/>
    </row>
    <row r="43" spans="1:72" ht="21.15" customHeight="1" x14ac:dyDescent="0.55000000000000004">
      <c r="A43" s="78"/>
      <c r="B43" s="79"/>
      <c r="C43" s="81" t="s">
        <v>518</v>
      </c>
      <c r="D43" s="79"/>
      <c r="E43" s="79"/>
      <c r="F43" s="79"/>
      <c r="G43" s="79"/>
      <c r="H43" s="79"/>
      <c r="I43" s="79"/>
      <c r="J43" s="79"/>
      <c r="K43" s="79"/>
      <c r="L43" s="79"/>
      <c r="M43" s="79"/>
      <c r="N43" s="79"/>
      <c r="O43" s="79"/>
      <c r="P43" s="79"/>
      <c r="Q43" s="79"/>
      <c r="R43" s="79"/>
      <c r="S43" s="79"/>
      <c r="T43" s="79"/>
      <c r="U43" s="79"/>
      <c r="V43" s="79"/>
      <c r="W43" s="79"/>
      <c r="X43" s="79"/>
      <c r="Y43" s="79"/>
      <c r="Z43" s="79"/>
      <c r="AA43" s="79"/>
      <c r="AB43" s="79"/>
      <c r="AC43" s="79"/>
      <c r="AD43" s="79"/>
      <c r="AE43" s="79"/>
      <c r="AF43" s="79"/>
      <c r="AG43" s="79"/>
      <c r="AH43" s="79"/>
      <c r="AI43" s="51"/>
      <c r="AJ43" s="51"/>
      <c r="AK43" s="51"/>
      <c r="AL43" s="51"/>
      <c r="AM43" s="51"/>
      <c r="AN43" s="51"/>
      <c r="AO43" s="51"/>
      <c r="AP43" s="51"/>
      <c r="AQ43" s="51"/>
      <c r="AR43" s="51"/>
      <c r="AS43" s="51"/>
      <c r="AT43" s="51"/>
      <c r="AU43" s="51"/>
      <c r="AV43" s="51"/>
      <c r="AW43" s="51"/>
      <c r="AX43" s="51"/>
      <c r="AY43" s="82" t="s">
        <v>558</v>
      </c>
      <c r="AZ43" s="142" t="str">
        <f>VLOOKUP(AY43,市町村データ!A2:P106,MATCH(手順書_大字_市町村なまえ!$G$63, 市町村データ!A1:P1, 0),FALSE)</f>
        <v>栗原</v>
      </c>
      <c r="BA43" s="154"/>
      <c r="BB43" s="154"/>
      <c r="BC43" s="84"/>
      <c r="BD43" s="84"/>
      <c r="BE43" s="84"/>
      <c r="BF43" s="84"/>
      <c r="BG43" s="84"/>
      <c r="BH43" s="84"/>
      <c r="BI43" s="84"/>
      <c r="BJ43" s="84"/>
      <c r="BK43" s="100"/>
      <c r="BL43" s="101"/>
      <c r="BM43" s="101"/>
      <c r="BN43" s="101"/>
      <c r="BO43" s="101"/>
      <c r="BP43" s="101"/>
      <c r="BQ43" s="101"/>
      <c r="BR43" s="101"/>
      <c r="BS43" s="79"/>
      <c r="BT43" s="78"/>
    </row>
    <row r="44" spans="1:72" ht="21.15" customHeight="1" x14ac:dyDescent="0.55000000000000004">
      <c r="A44" s="78"/>
      <c r="B44" s="79"/>
      <c r="C44" s="79"/>
      <c r="D44" s="79"/>
      <c r="E44" s="79"/>
      <c r="F44" s="79"/>
      <c r="G44" s="79"/>
      <c r="H44" s="79"/>
      <c r="I44" s="79"/>
      <c r="J44" s="79"/>
      <c r="K44" s="79"/>
      <c r="L44" s="79"/>
      <c r="M44" s="79"/>
      <c r="N44" s="79"/>
      <c r="O44" s="79"/>
      <c r="P44" s="79"/>
      <c r="Q44" s="79"/>
      <c r="R44" s="79"/>
      <c r="S44" s="79"/>
      <c r="T44" s="79"/>
      <c r="U44" s="79"/>
      <c r="V44" s="79"/>
      <c r="W44" s="79"/>
      <c r="X44" s="79"/>
      <c r="Y44" s="79"/>
      <c r="Z44" s="79"/>
      <c r="AA44" s="79"/>
      <c r="AB44" s="79"/>
      <c r="AC44" s="79"/>
      <c r="AD44" s="79"/>
      <c r="AE44" s="79"/>
      <c r="AF44" s="79"/>
      <c r="AG44" s="79"/>
      <c r="AH44" s="79"/>
      <c r="AI44" s="51"/>
      <c r="AJ44" s="51"/>
      <c r="AK44" s="51"/>
      <c r="AL44" s="51"/>
      <c r="AM44" s="51"/>
      <c r="AN44" s="51"/>
      <c r="AO44" s="51"/>
      <c r="AP44" s="51"/>
      <c r="AQ44" s="51"/>
      <c r="AR44" s="51"/>
      <c r="AS44" s="51"/>
      <c r="AT44" s="51"/>
      <c r="AU44" s="51"/>
      <c r="AV44" s="51"/>
      <c r="AW44" s="51"/>
      <c r="AX44" s="51"/>
      <c r="AY44" s="150" t="str">
        <f>VLOOKUP(AY43,市町村データ!A2:P106,MATCH(手順書_大字_市町村なまえ!$F$64, 市町村データ!A1:P1, 0),FALSE)</f>
        <v>くりはら</v>
      </c>
      <c r="AZ44" s="151"/>
      <c r="BA44" s="151"/>
      <c r="BB44" s="151"/>
      <c r="BC44" s="87"/>
      <c r="BD44" s="87"/>
      <c r="BE44" s="87"/>
      <c r="BF44" s="87"/>
      <c r="BG44" s="87"/>
      <c r="BH44" s="87"/>
      <c r="BI44" s="87"/>
      <c r="BJ44" s="87"/>
      <c r="BK44" s="99"/>
      <c r="BL44" s="51"/>
      <c r="BM44" s="51"/>
      <c r="BN44" s="51"/>
      <c r="BO44" s="51"/>
      <c r="BP44" s="51"/>
      <c r="BQ44" s="51"/>
      <c r="BR44" s="51"/>
      <c r="BS44" s="79"/>
      <c r="BT44" s="78"/>
    </row>
    <row r="45" spans="1:72" ht="21.15" customHeight="1" x14ac:dyDescent="0.55000000000000004">
      <c r="A45" s="78"/>
      <c r="B45" s="79"/>
      <c r="C45" s="79"/>
      <c r="D45" s="79"/>
      <c r="E45" s="79"/>
      <c r="F45" s="79"/>
      <c r="G45" s="79"/>
      <c r="H45" s="79"/>
      <c r="I45" s="79"/>
      <c r="J45" s="79"/>
      <c r="K45" s="79"/>
      <c r="L45" s="79"/>
      <c r="M45" s="79"/>
      <c r="N45" s="79"/>
      <c r="O45" s="79"/>
      <c r="P45" s="79"/>
      <c r="Q45" s="79"/>
      <c r="R45" s="79"/>
      <c r="S45" s="79"/>
      <c r="T45" s="79"/>
      <c r="U45" s="79"/>
      <c r="V45" s="79"/>
      <c r="W45" s="79"/>
      <c r="X45" s="79"/>
      <c r="Y45" s="79"/>
      <c r="Z45" s="79"/>
      <c r="AA45" s="79"/>
      <c r="AB45" s="79"/>
      <c r="AC45" s="79"/>
      <c r="AD45" s="79"/>
      <c r="AE45" s="79"/>
      <c r="AF45" s="79"/>
      <c r="AG45" s="79"/>
      <c r="AH45" s="79"/>
      <c r="AI45" s="51"/>
      <c r="AJ45" s="51"/>
      <c r="AK45" s="51"/>
      <c r="AL45" s="51"/>
      <c r="AM45" s="51"/>
      <c r="AN45" s="51"/>
      <c r="AO45" s="51"/>
      <c r="AP45" s="51"/>
      <c r="AQ45" s="51"/>
      <c r="AR45" s="51"/>
      <c r="AS45" s="51"/>
      <c r="AT45" s="51"/>
      <c r="AU45" s="51"/>
      <c r="AV45" s="51"/>
      <c r="AW45" s="51"/>
      <c r="AX45" s="51"/>
      <c r="AY45" s="150" t="str">
        <f>VLOOKUP(AY43,市町村データ!A2:P106,MATCH(手順書_大字_市町村なまえ!$F$65, 市町村データ!A1:P1, 0),FALSE)</f>
        <v>352-0035</v>
      </c>
      <c r="AZ45" s="151"/>
      <c r="BA45" s="151"/>
      <c r="BB45" s="151"/>
      <c r="BC45" s="87"/>
      <c r="BD45" s="87"/>
      <c r="BE45" s="87"/>
      <c r="BF45" s="87"/>
      <c r="BG45" s="87"/>
      <c r="BH45" s="87"/>
      <c r="BI45" s="87"/>
      <c r="BJ45" s="87"/>
      <c r="BK45" s="99"/>
      <c r="BL45" s="51"/>
      <c r="BM45" s="51"/>
      <c r="BN45" s="51"/>
      <c r="BO45" s="51"/>
      <c r="BP45" s="51"/>
      <c r="BQ45" s="51"/>
      <c r="BR45" s="51"/>
      <c r="BS45" s="79"/>
      <c r="BT45" s="78"/>
    </row>
    <row r="46" spans="1:72" ht="21.15" customHeight="1" x14ac:dyDescent="0.55000000000000004">
      <c r="A46" s="78"/>
      <c r="B46" s="79"/>
      <c r="C46" s="79"/>
      <c r="D46" s="79"/>
      <c r="E46" s="79"/>
      <c r="F46" s="79"/>
      <c r="G46" s="79"/>
      <c r="H46" s="79"/>
      <c r="I46" s="79"/>
      <c r="J46" s="79"/>
      <c r="K46" s="79"/>
      <c r="L46" s="79"/>
      <c r="M46" s="79"/>
      <c r="N46" s="79"/>
      <c r="O46" s="79"/>
      <c r="P46" s="79"/>
      <c r="Q46" s="79"/>
      <c r="R46" s="79"/>
      <c r="S46" s="79"/>
      <c r="T46" s="79"/>
      <c r="U46" s="79"/>
      <c r="V46" s="79"/>
      <c r="W46" s="79"/>
      <c r="X46" s="79"/>
      <c r="Y46" s="79"/>
      <c r="Z46" s="79"/>
      <c r="AA46" s="79"/>
      <c r="AB46" s="79"/>
      <c r="AC46" s="79"/>
      <c r="AD46" s="79"/>
      <c r="AE46" s="79"/>
      <c r="AF46" s="79"/>
      <c r="AG46" s="79"/>
      <c r="AH46" s="79"/>
      <c r="AI46" s="51"/>
      <c r="AJ46" s="51"/>
      <c r="AK46" s="51"/>
      <c r="AL46" s="51"/>
      <c r="AM46" s="51"/>
      <c r="AN46" s="51"/>
      <c r="AO46" s="51"/>
      <c r="AP46" s="51"/>
      <c r="AQ46" s="51"/>
      <c r="AR46" s="51"/>
      <c r="AS46" s="51"/>
      <c r="AT46" s="51"/>
      <c r="AU46" s="51"/>
      <c r="AV46" s="51"/>
      <c r="AW46" s="51"/>
      <c r="AX46" s="51"/>
      <c r="AY46" s="155"/>
      <c r="AZ46" s="156"/>
      <c r="BA46" s="156"/>
      <c r="BB46" s="156"/>
      <c r="BC46" s="79"/>
      <c r="BD46" s="79"/>
      <c r="BE46" s="79"/>
      <c r="BF46" s="79"/>
      <c r="BG46" s="79"/>
      <c r="BH46" s="79"/>
      <c r="BI46" s="79"/>
      <c r="BJ46" s="79"/>
      <c r="BK46" s="99"/>
      <c r="BL46" s="51"/>
      <c r="BM46" s="51"/>
      <c r="BN46" s="51"/>
      <c r="BO46" s="51"/>
      <c r="BP46" s="51"/>
      <c r="BQ46" s="51"/>
      <c r="BR46" s="51"/>
      <c r="BS46" s="79"/>
      <c r="BT46" s="78"/>
    </row>
    <row r="47" spans="1:72" ht="21.15" customHeight="1" x14ac:dyDescent="0.55000000000000004">
      <c r="A47" s="78"/>
      <c r="B47" s="79"/>
      <c r="C47" s="81" t="s">
        <v>520</v>
      </c>
      <c r="D47" s="79"/>
      <c r="E47" s="79"/>
      <c r="F47" s="79"/>
      <c r="G47" s="79"/>
      <c r="H47" s="79"/>
      <c r="I47" s="79"/>
      <c r="J47" s="79"/>
      <c r="K47" s="79"/>
      <c r="L47" s="79"/>
      <c r="M47" s="79"/>
      <c r="N47" s="79"/>
      <c r="O47" s="79"/>
      <c r="P47" s="79"/>
      <c r="Q47" s="79"/>
      <c r="R47" s="79"/>
      <c r="S47" s="79"/>
      <c r="T47" s="79"/>
      <c r="U47" s="79"/>
      <c r="V47" s="79"/>
      <c r="W47" s="79"/>
      <c r="X47" s="79"/>
      <c r="Y47" s="79"/>
      <c r="Z47" s="79"/>
      <c r="AA47" s="79"/>
      <c r="AB47" s="79"/>
      <c r="AC47" s="79"/>
      <c r="AD47" s="79"/>
      <c r="AE47" s="79"/>
      <c r="AF47" s="79"/>
      <c r="AG47" s="79"/>
      <c r="AH47" s="79"/>
      <c r="AI47" s="51"/>
      <c r="AJ47" s="51"/>
      <c r="AK47" s="51"/>
      <c r="AL47" s="51"/>
      <c r="AM47" s="51"/>
      <c r="AN47" s="51"/>
      <c r="AO47" s="51"/>
      <c r="AP47" s="51"/>
      <c r="AQ47" s="51"/>
      <c r="AR47" s="51"/>
      <c r="AS47" s="51"/>
      <c r="AT47" s="51"/>
      <c r="AU47" s="51"/>
      <c r="AV47" s="51"/>
      <c r="AW47" s="51"/>
      <c r="AX47" s="51"/>
      <c r="AY47" s="85"/>
      <c r="AZ47" s="79"/>
      <c r="BA47" s="79"/>
      <c r="BB47" s="79"/>
      <c r="BC47" s="79"/>
      <c r="BD47" s="79"/>
      <c r="BE47" s="79"/>
      <c r="BF47" s="79"/>
      <c r="BG47" s="79"/>
      <c r="BH47" s="79"/>
      <c r="BI47" s="79"/>
      <c r="BJ47" s="79"/>
      <c r="BK47" s="99"/>
      <c r="BL47" s="51"/>
      <c r="BM47" s="51"/>
      <c r="BN47" s="51"/>
      <c r="BO47" s="51"/>
      <c r="BP47" s="51"/>
      <c r="BQ47" s="51"/>
      <c r="BR47" s="51"/>
      <c r="BS47" s="79"/>
      <c r="BT47" s="78"/>
    </row>
    <row r="48" spans="1:72" ht="21.15" customHeight="1" x14ac:dyDescent="0.55000000000000004">
      <c r="A48" s="78"/>
      <c r="B48" s="79"/>
      <c r="C48" s="79"/>
      <c r="D48" s="79"/>
      <c r="E48" s="79"/>
      <c r="F48" s="79"/>
      <c r="G48" s="79"/>
      <c r="H48" s="79"/>
      <c r="I48" s="79"/>
      <c r="J48" s="79"/>
      <c r="K48" s="79"/>
      <c r="L48" s="79"/>
      <c r="M48" s="79"/>
      <c r="N48" s="79"/>
      <c r="O48" s="79"/>
      <c r="P48" s="79"/>
      <c r="Q48" s="79"/>
      <c r="R48" s="79"/>
      <c r="S48" s="79"/>
      <c r="T48" s="79"/>
      <c r="U48" s="79"/>
      <c r="V48" s="79"/>
      <c r="W48" s="79"/>
      <c r="X48" s="79"/>
      <c r="Y48" s="79"/>
      <c r="Z48" s="79"/>
      <c r="AA48" s="79"/>
      <c r="AB48" s="79"/>
      <c r="AC48" s="79"/>
      <c r="AD48" s="79"/>
      <c r="AE48" s="79"/>
      <c r="AF48" s="79"/>
      <c r="AG48" s="79"/>
      <c r="AH48" s="79"/>
      <c r="AI48" s="51"/>
      <c r="AJ48" s="51"/>
      <c r="AK48" s="51"/>
      <c r="AL48" s="51"/>
      <c r="AM48" s="51"/>
      <c r="AN48" s="51"/>
      <c r="AO48" s="51"/>
      <c r="AP48" s="51"/>
      <c r="AQ48" s="51"/>
      <c r="AR48" s="51"/>
      <c r="AS48" s="51"/>
      <c r="AT48" s="51"/>
      <c r="AU48" s="51"/>
      <c r="AV48" s="51"/>
      <c r="AW48" s="51"/>
      <c r="AX48" s="51"/>
      <c r="AY48" s="92"/>
      <c r="AZ48" s="87"/>
      <c r="BA48" s="87"/>
      <c r="BB48" s="87"/>
      <c r="BC48" s="87"/>
      <c r="BD48" s="87"/>
      <c r="BE48" s="87"/>
      <c r="BF48" s="87"/>
      <c r="BG48" s="87"/>
      <c r="BH48" s="87"/>
      <c r="BI48" s="87"/>
      <c r="BJ48" s="87"/>
      <c r="BK48" s="99"/>
      <c r="BL48" s="51"/>
      <c r="BM48" s="51"/>
      <c r="BN48" s="51"/>
      <c r="BO48" s="51"/>
      <c r="BP48" s="51"/>
      <c r="BQ48" s="51"/>
      <c r="BR48" s="51"/>
      <c r="BS48" s="79"/>
      <c r="BT48" s="78"/>
    </row>
    <row r="49" spans="1:72" ht="21.15" customHeight="1" x14ac:dyDescent="0.55000000000000004">
      <c r="A49" s="78"/>
      <c r="B49" s="79"/>
      <c r="C49" s="79"/>
      <c r="D49" s="79"/>
      <c r="E49" s="79"/>
      <c r="F49" s="79"/>
      <c r="G49" s="79"/>
      <c r="H49" s="79"/>
      <c r="I49" s="79"/>
      <c r="J49" s="79"/>
      <c r="K49" s="79"/>
      <c r="L49" s="79"/>
      <c r="M49" s="79"/>
      <c r="N49" s="79"/>
      <c r="O49" s="79"/>
      <c r="P49" s="79"/>
      <c r="Q49" s="79"/>
      <c r="R49" s="79"/>
      <c r="S49" s="79"/>
      <c r="T49" s="79"/>
      <c r="U49" s="79"/>
      <c r="V49" s="79"/>
      <c r="W49" s="79"/>
      <c r="X49" s="79"/>
      <c r="Y49" s="79"/>
      <c r="Z49" s="79"/>
      <c r="AA49" s="79"/>
      <c r="AB49" s="79"/>
      <c r="AC49" s="79"/>
      <c r="AD49" s="79"/>
      <c r="AE49" s="79"/>
      <c r="AF49" s="79"/>
      <c r="AG49" s="79"/>
      <c r="AH49" s="79"/>
      <c r="AI49" s="51"/>
      <c r="AJ49" s="51"/>
      <c r="AK49" s="51"/>
      <c r="AL49" s="51"/>
      <c r="AM49" s="51"/>
      <c r="AN49" s="51"/>
      <c r="AO49" s="51"/>
      <c r="AP49" s="51"/>
      <c r="AQ49" s="51"/>
      <c r="AR49" s="51"/>
      <c r="AS49" s="51"/>
      <c r="AT49" s="51"/>
      <c r="AU49" s="51"/>
      <c r="AV49" s="51"/>
      <c r="AW49" s="51"/>
      <c r="AX49" s="51"/>
      <c r="AY49" s="92"/>
      <c r="AZ49" s="87"/>
      <c r="BA49" s="87"/>
      <c r="BB49" s="87"/>
      <c r="BC49" s="87"/>
      <c r="BD49" s="87"/>
      <c r="BE49" s="87"/>
      <c r="BF49" s="87"/>
      <c r="BG49" s="87"/>
      <c r="BH49" s="87"/>
      <c r="BI49" s="87"/>
      <c r="BJ49" s="87"/>
      <c r="BK49" s="99"/>
      <c r="BL49" s="51"/>
      <c r="BM49" s="51"/>
      <c r="BN49" s="51"/>
      <c r="BO49" s="51"/>
      <c r="BP49" s="51"/>
      <c r="BQ49" s="51"/>
      <c r="BR49" s="51"/>
      <c r="BS49" s="79"/>
      <c r="BT49" s="78"/>
    </row>
    <row r="50" spans="1:72" ht="21.15" customHeight="1" thickBot="1" x14ac:dyDescent="0.6">
      <c r="A50" s="78"/>
      <c r="B50" s="79"/>
      <c r="C50" s="79"/>
      <c r="D50" s="79"/>
      <c r="E50" s="79"/>
      <c r="F50" s="79"/>
      <c r="G50" s="79"/>
      <c r="H50" s="79"/>
      <c r="I50" s="79"/>
      <c r="J50" s="79"/>
      <c r="K50" s="79"/>
      <c r="L50" s="79"/>
      <c r="M50" s="79"/>
      <c r="N50" s="79"/>
      <c r="O50" s="79"/>
      <c r="P50" s="79"/>
      <c r="Q50" s="79"/>
      <c r="R50" s="79"/>
      <c r="S50" s="79"/>
      <c r="T50" s="79"/>
      <c r="U50" s="79"/>
      <c r="V50" s="79"/>
      <c r="W50" s="79"/>
      <c r="X50" s="79"/>
      <c r="Y50" s="79"/>
      <c r="Z50" s="79"/>
      <c r="AA50" s="79"/>
      <c r="AB50" s="79"/>
      <c r="AC50" s="79"/>
      <c r="AD50" s="79"/>
      <c r="AE50" s="79"/>
      <c r="AF50" s="79"/>
      <c r="AG50" s="79"/>
      <c r="AH50" s="79"/>
      <c r="AI50" s="79"/>
      <c r="AJ50" s="79"/>
      <c r="AK50" s="79"/>
      <c r="AL50" s="79"/>
      <c r="AM50" s="79"/>
      <c r="AN50" s="79"/>
      <c r="AO50" s="79"/>
      <c r="AP50" s="79"/>
      <c r="AQ50" s="79"/>
      <c r="AR50" s="79"/>
      <c r="AS50" s="79"/>
      <c r="AT50" s="79"/>
      <c r="AU50" s="79"/>
      <c r="AV50" s="51"/>
      <c r="AW50" s="51"/>
      <c r="AX50" s="51"/>
      <c r="AY50" s="85"/>
      <c r="AZ50" s="79"/>
      <c r="BA50" s="79"/>
      <c r="BB50" s="79"/>
      <c r="BC50" s="79"/>
      <c r="BD50" s="79"/>
      <c r="BE50" s="79"/>
      <c r="BF50" s="79"/>
      <c r="BG50" s="79"/>
      <c r="BH50" s="79"/>
      <c r="BI50" s="79"/>
      <c r="BJ50" s="79"/>
      <c r="BK50" s="85"/>
      <c r="BL50" s="79"/>
      <c r="BM50" s="79"/>
      <c r="BN50" s="79"/>
      <c r="BO50" s="51"/>
      <c r="BP50" s="51"/>
      <c r="BQ50" s="51"/>
      <c r="BR50" s="51"/>
      <c r="BS50" s="51"/>
      <c r="BT50" s="78"/>
    </row>
    <row r="51" spans="1:72" ht="21.15" customHeight="1" x14ac:dyDescent="0.55000000000000004">
      <c r="A51" s="78"/>
      <c r="B51" s="79" t="s">
        <v>162</v>
      </c>
      <c r="C51" s="79"/>
      <c r="D51" s="79"/>
      <c r="E51" s="79"/>
      <c r="F51" s="79"/>
      <c r="G51" s="102"/>
      <c r="H51" s="79"/>
      <c r="I51" s="79"/>
      <c r="J51" s="79"/>
      <c r="K51" s="79"/>
      <c r="L51" s="79"/>
      <c r="M51" s="79"/>
      <c r="N51" s="79"/>
      <c r="O51" s="79"/>
      <c r="P51" s="79"/>
      <c r="Q51" s="79"/>
      <c r="R51" s="79"/>
      <c r="S51" s="79"/>
      <c r="T51" s="79"/>
      <c r="U51" s="79"/>
      <c r="V51" s="79"/>
      <c r="W51" s="79"/>
      <c r="X51" s="79"/>
      <c r="Y51" s="79"/>
      <c r="Z51" s="79"/>
      <c r="AA51" s="79"/>
      <c r="AB51" s="79"/>
      <c r="AC51" s="79"/>
      <c r="AD51" s="79"/>
      <c r="AE51" s="79"/>
      <c r="AF51" s="79"/>
      <c r="AG51" s="79"/>
      <c r="AH51" s="79"/>
      <c r="AI51" s="79"/>
      <c r="AJ51" s="79"/>
      <c r="AK51" s="79"/>
      <c r="AL51" s="79"/>
      <c r="AM51" s="52"/>
      <c r="AN51" s="52"/>
      <c r="AO51" s="52"/>
      <c r="AP51" s="52"/>
      <c r="AQ51" s="52"/>
      <c r="AR51" s="52"/>
      <c r="AS51" s="52"/>
      <c r="AT51" s="52"/>
      <c r="AU51" s="52"/>
      <c r="AV51" s="52"/>
      <c r="AW51" s="52"/>
      <c r="AX51" s="52"/>
      <c r="AY51" s="103"/>
      <c r="AZ51" s="103"/>
      <c r="BA51" s="103"/>
      <c r="BB51" s="103"/>
      <c r="BC51" s="103"/>
      <c r="BD51" s="103"/>
      <c r="BE51" s="103"/>
      <c r="BF51" s="103"/>
      <c r="BG51" s="103"/>
      <c r="BH51" s="103"/>
      <c r="BI51" s="103"/>
      <c r="BJ51" s="103"/>
      <c r="BK51" s="52"/>
      <c r="BL51" s="52"/>
      <c r="BM51" s="52"/>
      <c r="BN51" s="52"/>
      <c r="BO51" s="52"/>
      <c r="BP51" s="52"/>
      <c r="BQ51" s="52"/>
      <c r="BR51" s="52"/>
      <c r="BS51" s="52"/>
      <c r="BT51" s="78"/>
    </row>
    <row r="52" spans="1:72" ht="21.15" customHeight="1" x14ac:dyDescent="0.55000000000000004">
      <c r="A52" s="78"/>
      <c r="B52" s="79" t="s">
        <v>161</v>
      </c>
      <c r="C52" s="79"/>
      <c r="D52" s="79"/>
      <c r="E52" s="79"/>
      <c r="F52" s="79"/>
      <c r="G52" s="79"/>
      <c r="H52" s="79"/>
      <c r="I52" s="79"/>
      <c r="J52" s="79"/>
      <c r="K52" s="79"/>
      <c r="L52" s="79"/>
      <c r="M52" s="79"/>
      <c r="N52" s="79"/>
      <c r="O52" s="79"/>
      <c r="P52" s="79"/>
      <c r="Q52" s="79"/>
      <c r="R52" s="79"/>
      <c r="S52" s="79"/>
      <c r="T52" s="79"/>
      <c r="U52" s="79"/>
      <c r="V52" s="79"/>
      <c r="W52" s="79"/>
      <c r="X52" s="79"/>
      <c r="Y52" s="79"/>
      <c r="Z52" s="79"/>
      <c r="AA52" s="79"/>
      <c r="AB52" s="79"/>
      <c r="AC52" s="79"/>
      <c r="AD52" s="79"/>
      <c r="AE52" s="79"/>
      <c r="AF52" s="79"/>
      <c r="AG52" s="79"/>
      <c r="AH52" s="79"/>
      <c r="AI52" s="79"/>
      <c r="AJ52" s="79"/>
      <c r="AK52" s="79"/>
      <c r="AL52" s="79"/>
      <c r="AM52" s="79"/>
      <c r="AN52" s="79"/>
      <c r="AO52" s="79"/>
      <c r="AP52" s="79"/>
      <c r="AQ52" s="79"/>
      <c r="AR52" s="79"/>
      <c r="AS52" s="79"/>
      <c r="AT52" s="79"/>
      <c r="AU52" s="79"/>
      <c r="AV52" s="79"/>
      <c r="AW52" s="79"/>
      <c r="AX52" s="79"/>
      <c r="AY52" s="79"/>
      <c r="AZ52" s="79"/>
      <c r="BA52" s="79"/>
      <c r="BB52" s="79"/>
      <c r="BC52" s="79"/>
      <c r="BD52" s="79"/>
      <c r="BE52" s="79"/>
      <c r="BF52" s="79"/>
      <c r="BG52" s="79"/>
      <c r="BH52" s="79"/>
      <c r="BI52" s="79"/>
      <c r="BJ52" s="79"/>
      <c r="BK52" s="79"/>
      <c r="BL52" s="79"/>
      <c r="BM52" s="79"/>
      <c r="BN52" s="79"/>
      <c r="BO52" s="79"/>
      <c r="BP52" s="79"/>
      <c r="BQ52" s="79"/>
      <c r="BR52" s="79"/>
      <c r="BS52" s="79"/>
      <c r="BT52" s="78"/>
    </row>
    <row r="53" spans="1:72" ht="21.15" customHeight="1" x14ac:dyDescent="0.55000000000000004">
      <c r="A53" s="78"/>
      <c r="B53" s="78"/>
      <c r="C53" s="78"/>
      <c r="D53" s="78"/>
      <c r="E53" s="78"/>
      <c r="F53" s="78"/>
      <c r="G53" s="78"/>
      <c r="H53" s="78"/>
      <c r="I53" s="78"/>
      <c r="J53" s="78"/>
      <c r="K53" s="78"/>
      <c r="L53" s="78"/>
      <c r="M53" s="78"/>
      <c r="N53" s="78"/>
      <c r="O53" s="78"/>
      <c r="P53" s="78"/>
      <c r="Q53" s="78"/>
      <c r="R53" s="78"/>
      <c r="S53" s="78"/>
      <c r="T53" s="78"/>
      <c r="U53" s="78"/>
      <c r="V53" s="78"/>
      <c r="W53" s="78"/>
      <c r="X53" s="78"/>
      <c r="Y53" s="78"/>
      <c r="Z53" s="78"/>
      <c r="AA53" s="78"/>
      <c r="AB53" s="78"/>
      <c r="AC53" s="78"/>
      <c r="AD53" s="78"/>
      <c r="AE53" s="78"/>
      <c r="AF53" s="78"/>
      <c r="AG53" s="78"/>
      <c r="AH53" s="78"/>
      <c r="AI53" s="78"/>
      <c r="AJ53" s="78"/>
      <c r="AK53" s="78"/>
      <c r="AL53" s="78"/>
      <c r="AM53" s="78"/>
      <c r="AN53" s="78"/>
      <c r="AO53" s="78"/>
      <c r="AP53" s="78"/>
      <c r="AQ53" s="78"/>
      <c r="AR53" s="78"/>
      <c r="AS53" s="78"/>
      <c r="AT53" s="78"/>
      <c r="AU53" s="78"/>
      <c r="AV53" s="78"/>
      <c r="AW53" s="78"/>
      <c r="AX53" s="78"/>
      <c r="AY53" s="78"/>
      <c r="AZ53" s="78"/>
      <c r="BA53" s="78"/>
      <c r="BB53" s="78"/>
      <c r="BC53" s="78"/>
      <c r="BD53" s="78"/>
      <c r="BE53" s="78"/>
      <c r="BF53" s="78"/>
      <c r="BG53" s="78"/>
      <c r="BH53" s="78"/>
      <c r="BI53" s="78"/>
      <c r="BJ53" s="78"/>
      <c r="BK53" s="78"/>
      <c r="BL53" s="78"/>
      <c r="BM53" s="78"/>
      <c r="BN53" s="78"/>
      <c r="BO53" s="78"/>
      <c r="BP53" s="78"/>
      <c r="BQ53" s="78"/>
      <c r="BR53" s="78"/>
      <c r="BS53" s="78"/>
      <c r="BT53" s="78"/>
    </row>
  </sheetData>
  <mergeCells count="96">
    <mergeCell ref="L7:N7"/>
    <mergeCell ref="X7:Z7"/>
    <mergeCell ref="AB7:AD7"/>
    <mergeCell ref="K8:N8"/>
    <mergeCell ref="W8:Z8"/>
    <mergeCell ref="AA8:AD8"/>
    <mergeCell ref="K9:N9"/>
    <mergeCell ref="W9:Z9"/>
    <mergeCell ref="AA9:AD9"/>
    <mergeCell ref="K10:N10"/>
    <mergeCell ref="W10:Z10"/>
    <mergeCell ref="AA10:AD10"/>
    <mergeCell ref="H11:J11"/>
    <mergeCell ref="L11:N11"/>
    <mergeCell ref="AF11:AH11"/>
    <mergeCell ref="G12:J12"/>
    <mergeCell ref="K12:N12"/>
    <mergeCell ref="AE12:AH12"/>
    <mergeCell ref="G13:J13"/>
    <mergeCell ref="K13:N13"/>
    <mergeCell ref="AE13:AH13"/>
    <mergeCell ref="G14:J14"/>
    <mergeCell ref="K14:N14"/>
    <mergeCell ref="AE14:AH14"/>
    <mergeCell ref="O22:R22"/>
    <mergeCell ref="X15:Z15"/>
    <mergeCell ref="AN15:AP15"/>
    <mergeCell ref="W16:Z16"/>
    <mergeCell ref="AM16:AP16"/>
    <mergeCell ref="W17:Z17"/>
    <mergeCell ref="AM17:AP17"/>
    <mergeCell ref="W18:Z18"/>
    <mergeCell ref="AM18:AP18"/>
    <mergeCell ref="P19:R19"/>
    <mergeCell ref="O20:R20"/>
    <mergeCell ref="O21:R21"/>
    <mergeCell ref="O24:R24"/>
    <mergeCell ref="AA24:AD24"/>
    <mergeCell ref="AI24:AL24"/>
    <mergeCell ref="AM24:AP24"/>
    <mergeCell ref="AU24:AX24"/>
    <mergeCell ref="P23:R23"/>
    <mergeCell ref="AB23:AD23"/>
    <mergeCell ref="AJ23:AL23"/>
    <mergeCell ref="AN23:AP23"/>
    <mergeCell ref="AV23:AX23"/>
    <mergeCell ref="O26:R26"/>
    <mergeCell ref="AA26:AD26"/>
    <mergeCell ref="AI26:AL26"/>
    <mergeCell ref="AM26:AP26"/>
    <mergeCell ref="AU26:AX26"/>
    <mergeCell ref="O25:R25"/>
    <mergeCell ref="AA25:AD25"/>
    <mergeCell ref="AI25:AL25"/>
    <mergeCell ref="AM25:AP25"/>
    <mergeCell ref="AU25:AX25"/>
    <mergeCell ref="T27:V27"/>
    <mergeCell ref="AB27:AD27"/>
    <mergeCell ref="AV27:AX27"/>
    <mergeCell ref="S28:V28"/>
    <mergeCell ref="AA28:AD28"/>
    <mergeCell ref="AU28:AX28"/>
    <mergeCell ref="S29:V29"/>
    <mergeCell ref="AA29:AD29"/>
    <mergeCell ref="AU29:AX29"/>
    <mergeCell ref="S30:V30"/>
    <mergeCell ref="AA30:AD30"/>
    <mergeCell ref="AU30:AX30"/>
    <mergeCell ref="H31:J31"/>
    <mergeCell ref="AJ31:AL31"/>
    <mergeCell ref="AV31:AX31"/>
    <mergeCell ref="G32:J32"/>
    <mergeCell ref="AI32:AL32"/>
    <mergeCell ref="AU32:AX32"/>
    <mergeCell ref="G33:J33"/>
    <mergeCell ref="AI33:AL33"/>
    <mergeCell ref="AU33:AX33"/>
    <mergeCell ref="G34:J34"/>
    <mergeCell ref="AI34:AL34"/>
    <mergeCell ref="AU34:AX34"/>
    <mergeCell ref="AY42:BB42"/>
    <mergeCell ref="AZ43:BB43"/>
    <mergeCell ref="AY44:BB44"/>
    <mergeCell ref="AY45:BB45"/>
    <mergeCell ref="AY46:BB46"/>
    <mergeCell ref="BO5:BQ5"/>
    <mergeCell ref="BN6:BQ6"/>
    <mergeCell ref="BN7:BQ7"/>
    <mergeCell ref="BN8:BQ8"/>
    <mergeCell ref="AY41:BB41"/>
    <mergeCell ref="BD35:BF35"/>
    <mergeCell ref="BC36:BF36"/>
    <mergeCell ref="BC37:BF37"/>
    <mergeCell ref="BC38:BF38"/>
    <mergeCell ref="AZ39:BB39"/>
    <mergeCell ref="AY40:BB40"/>
  </mergeCells>
  <phoneticPr fontId="1"/>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FF20BF-2BFF-4BB7-9F9D-BCE62CDE5317}">
  <sheetPr codeName="Sheet10">
    <tabColor rgb="FF0F8472"/>
  </sheetPr>
  <dimension ref="A1:AG123"/>
  <sheetViews>
    <sheetView zoomScaleNormal="100" workbookViewId="0"/>
  </sheetViews>
  <sheetFormatPr defaultColWidth="3.5" defaultRowHeight="21" customHeight="1" x14ac:dyDescent="0.55000000000000004"/>
  <cols>
    <col min="1" max="16384" width="3.5" style="11"/>
  </cols>
  <sheetData>
    <row r="1" spans="1:33" ht="21" customHeight="1" x14ac:dyDescent="0.55000000000000004">
      <c r="A1" s="37"/>
      <c r="F1" s="37" t="s">
        <v>171</v>
      </c>
      <c r="G1" s="37"/>
      <c r="I1" s="37"/>
      <c r="M1" s="37"/>
      <c r="Q1" s="37" t="s">
        <v>172</v>
      </c>
      <c r="V1" s="37"/>
      <c r="AF1" s="37" t="s">
        <v>170</v>
      </c>
    </row>
    <row r="2" spans="1:33" ht="21" customHeight="1" x14ac:dyDescent="0.55000000000000004">
      <c r="B2" s="13" t="s">
        <v>766</v>
      </c>
      <c r="C2" s="12"/>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row>
    <row r="10" spans="1:33" ht="21" customHeight="1" x14ac:dyDescent="0.55000000000000004">
      <c r="G10" s="35" t="s">
        <v>767</v>
      </c>
      <c r="H10" s="27"/>
      <c r="I10" s="27"/>
      <c r="J10" s="27"/>
      <c r="K10" s="27"/>
      <c r="L10" s="11" t="s">
        <v>768</v>
      </c>
    </row>
    <row r="13" spans="1:33" ht="21" customHeight="1" x14ac:dyDescent="0.55000000000000004">
      <c r="D13" s="13" t="s">
        <v>32</v>
      </c>
      <c r="E13" s="12"/>
      <c r="F13" s="12"/>
      <c r="G13" s="12"/>
      <c r="H13" s="12"/>
      <c r="I13" s="12"/>
      <c r="J13" s="12"/>
      <c r="K13" s="12"/>
      <c r="L13" s="12"/>
      <c r="M13" s="12"/>
      <c r="N13" s="12"/>
      <c r="O13" s="12"/>
      <c r="P13" s="12"/>
      <c r="Q13" s="12"/>
      <c r="R13" s="12"/>
      <c r="S13" s="12"/>
      <c r="T13" s="12"/>
      <c r="U13" s="12"/>
      <c r="V13" s="12"/>
      <c r="W13" s="12"/>
      <c r="X13" s="12"/>
      <c r="Y13" s="12"/>
      <c r="Z13" s="12"/>
      <c r="AA13" s="12"/>
      <c r="AB13" s="12"/>
      <c r="AC13" s="12"/>
      <c r="AD13" s="12"/>
      <c r="AE13" s="12"/>
      <c r="AF13" s="12"/>
      <c r="AG13" s="12"/>
    </row>
    <row r="21" spans="1:33" ht="21" customHeight="1" x14ac:dyDescent="0.55000000000000004">
      <c r="G21" s="11" t="s">
        <v>141</v>
      </c>
    </row>
    <row r="22" spans="1:33" ht="21" customHeight="1" x14ac:dyDescent="0.55000000000000004">
      <c r="F22" s="14" t="s">
        <v>30</v>
      </c>
      <c r="G22" s="11" t="s">
        <v>140</v>
      </c>
    </row>
    <row r="24" spans="1:33" ht="21" customHeight="1" thickBot="1" x14ac:dyDescent="0.45">
      <c r="F24" s="26" t="s">
        <v>40</v>
      </c>
      <c r="Q24" s="26" t="s">
        <v>41</v>
      </c>
    </row>
    <row r="25" spans="1:33" ht="21" customHeight="1" thickTop="1" thickBot="1" x14ac:dyDescent="0.6">
      <c r="A25" s="37" t="s">
        <v>147</v>
      </c>
      <c r="F25" s="111" t="s">
        <v>758</v>
      </c>
      <c r="G25" s="112"/>
      <c r="H25" s="112"/>
      <c r="I25" s="112"/>
      <c r="J25" s="112"/>
      <c r="K25" s="112"/>
      <c r="L25" s="112"/>
      <c r="M25" s="112"/>
      <c r="N25" s="112"/>
      <c r="O25" s="113"/>
      <c r="Q25" s="111" t="s">
        <v>583</v>
      </c>
      <c r="R25" s="112"/>
      <c r="S25" s="112"/>
      <c r="T25" s="113"/>
    </row>
    <row r="26" spans="1:33" ht="21" customHeight="1" thickTop="1" x14ac:dyDescent="0.55000000000000004"/>
    <row r="28" spans="1:33" ht="21" customHeight="1" x14ac:dyDescent="0.55000000000000004">
      <c r="D28" s="13" t="s">
        <v>33</v>
      </c>
      <c r="E28" s="12"/>
      <c r="F28" s="12"/>
      <c r="G28" s="12"/>
      <c r="H28" s="12"/>
      <c r="I28" s="12"/>
      <c r="J28" s="12"/>
      <c r="K28" s="12"/>
      <c r="L28" s="12"/>
      <c r="M28" s="12"/>
      <c r="N28" s="12"/>
      <c r="O28" s="12"/>
      <c r="P28" s="12"/>
      <c r="Q28" s="12"/>
      <c r="R28" s="12"/>
      <c r="S28" s="12"/>
      <c r="T28" s="12"/>
      <c r="U28" s="12"/>
      <c r="V28" s="12"/>
      <c r="W28" s="12"/>
      <c r="X28" s="12"/>
      <c r="Y28" s="12"/>
      <c r="Z28" s="12"/>
      <c r="AA28" s="12"/>
      <c r="AB28" s="12"/>
      <c r="AC28" s="12"/>
      <c r="AD28" s="12"/>
      <c r="AE28" s="12"/>
      <c r="AF28" s="12"/>
      <c r="AG28" s="12"/>
    </row>
    <row r="35" spans="1:33" ht="21" customHeight="1" x14ac:dyDescent="0.55000000000000004">
      <c r="H35" s="11" t="s">
        <v>142</v>
      </c>
    </row>
    <row r="36" spans="1:33" ht="21" customHeight="1" x14ac:dyDescent="0.55000000000000004">
      <c r="F36" s="14"/>
      <c r="G36" s="14" t="s">
        <v>30</v>
      </c>
      <c r="H36" s="11" t="s">
        <v>143</v>
      </c>
    </row>
    <row r="37" spans="1:33" ht="21" customHeight="1" x14ac:dyDescent="0.55000000000000004">
      <c r="F37" s="14"/>
    </row>
    <row r="38" spans="1:33" ht="21" customHeight="1" x14ac:dyDescent="0.55000000000000004">
      <c r="G38" s="11" t="s">
        <v>79</v>
      </c>
    </row>
    <row r="39" spans="1:33" ht="21" customHeight="1" thickBot="1" x14ac:dyDescent="0.45">
      <c r="F39" s="26" t="s">
        <v>40</v>
      </c>
      <c r="Q39" s="26" t="s">
        <v>42</v>
      </c>
    </row>
    <row r="40" spans="1:33" ht="21" customHeight="1" thickTop="1" thickBot="1" x14ac:dyDescent="0.6">
      <c r="A40" s="37" t="s">
        <v>159</v>
      </c>
      <c r="F40" s="111" t="s">
        <v>757</v>
      </c>
      <c r="G40" s="112"/>
      <c r="H40" s="112"/>
      <c r="I40" s="112"/>
      <c r="J40" s="112"/>
      <c r="K40" s="112"/>
      <c r="L40" s="112"/>
      <c r="M40" s="112"/>
      <c r="N40" s="112"/>
      <c r="O40" s="113"/>
      <c r="Q40" s="111" t="s">
        <v>132</v>
      </c>
      <c r="R40" s="113"/>
    </row>
    <row r="41" spans="1:33" ht="21" customHeight="1" thickTop="1" x14ac:dyDescent="0.55000000000000004"/>
    <row r="43" spans="1:33" ht="21" customHeight="1" x14ac:dyDescent="0.55000000000000004">
      <c r="D43" s="13" t="s">
        <v>34</v>
      </c>
      <c r="E43" s="12"/>
      <c r="F43" s="12"/>
      <c r="G43" s="12"/>
      <c r="H43" s="12"/>
      <c r="I43" s="12"/>
      <c r="J43" s="12"/>
      <c r="K43" s="12"/>
      <c r="L43" s="12"/>
      <c r="M43" s="12"/>
      <c r="N43" s="12"/>
      <c r="O43" s="12"/>
      <c r="P43" s="12"/>
      <c r="Q43" s="12"/>
      <c r="R43" s="12"/>
      <c r="S43" s="12"/>
      <c r="T43" s="12"/>
      <c r="U43" s="12"/>
      <c r="V43" s="12"/>
      <c r="W43" s="12"/>
      <c r="X43" s="12"/>
      <c r="Y43" s="12"/>
      <c r="Z43" s="12"/>
      <c r="AA43" s="12"/>
      <c r="AB43" s="12"/>
      <c r="AC43" s="12"/>
      <c r="AD43" s="12"/>
      <c r="AE43" s="12"/>
      <c r="AF43" s="12"/>
      <c r="AG43" s="12"/>
    </row>
    <row r="55" spans="1:20" ht="21" customHeight="1" x14ac:dyDescent="0.55000000000000004">
      <c r="F55" s="14" t="s">
        <v>30</v>
      </c>
      <c r="G55" s="11" t="s">
        <v>36</v>
      </c>
    </row>
    <row r="56" spans="1:20" ht="21" customHeight="1" x14ac:dyDescent="0.55000000000000004">
      <c r="F56" s="14"/>
      <c r="P56" s="29" t="s">
        <v>85</v>
      </c>
      <c r="Q56" s="29"/>
      <c r="R56" s="29"/>
      <c r="S56" s="29"/>
      <c r="T56" s="11" t="s">
        <v>145</v>
      </c>
    </row>
    <row r="57" spans="1:20" ht="21" customHeight="1" x14ac:dyDescent="0.55000000000000004">
      <c r="F57" s="14"/>
      <c r="P57" s="14" t="s">
        <v>30</v>
      </c>
      <c r="Q57" s="11" t="s">
        <v>144</v>
      </c>
    </row>
    <row r="58" spans="1:20" ht="21" customHeight="1" x14ac:dyDescent="0.55000000000000004">
      <c r="F58" s="14"/>
    </row>
    <row r="59" spans="1:20" ht="21" customHeight="1" thickBot="1" x14ac:dyDescent="0.45">
      <c r="F59" s="14"/>
      <c r="Q59" s="26" t="s">
        <v>43</v>
      </c>
    </row>
    <row r="60" spans="1:20" ht="21" customHeight="1" thickTop="1" thickBot="1" x14ac:dyDescent="0.6">
      <c r="A60" s="37" t="s">
        <v>194</v>
      </c>
      <c r="F60" s="14"/>
      <c r="Q60" s="111" t="s">
        <v>778</v>
      </c>
      <c r="R60" s="113"/>
    </row>
    <row r="61" spans="1:20" ht="21" customHeight="1" thickTop="1" x14ac:dyDescent="0.55000000000000004">
      <c r="E61" s="11" t="s">
        <v>197</v>
      </c>
    </row>
    <row r="62" spans="1:20" ht="21" customHeight="1" thickBot="1" x14ac:dyDescent="0.6">
      <c r="E62" s="24"/>
      <c r="F62" s="39" t="s">
        <v>16</v>
      </c>
      <c r="G62" s="40" t="s">
        <v>17</v>
      </c>
      <c r="H62" s="40" t="s">
        <v>18</v>
      </c>
      <c r="I62" s="40" t="s">
        <v>19</v>
      </c>
      <c r="J62" s="24"/>
    </row>
    <row r="63" spans="1:20" ht="21" customHeight="1" x14ac:dyDescent="0.55000000000000004">
      <c r="A63" s="37" t="s">
        <v>158</v>
      </c>
      <c r="E63" s="38">
        <v>1</v>
      </c>
      <c r="F63" s="8"/>
      <c r="G63" s="114" t="s">
        <v>24</v>
      </c>
      <c r="H63" s="114"/>
      <c r="I63" s="115"/>
      <c r="J63" s="24"/>
    </row>
    <row r="64" spans="1:20" ht="21" customHeight="1" x14ac:dyDescent="0.55000000000000004">
      <c r="E64" s="38">
        <v>2</v>
      </c>
      <c r="F64" s="160" t="s">
        <v>635</v>
      </c>
      <c r="G64" s="161"/>
      <c r="H64" s="161"/>
      <c r="I64" s="162"/>
      <c r="J64" s="24"/>
    </row>
    <row r="65" spans="1:33" ht="21" customHeight="1" x14ac:dyDescent="0.55000000000000004">
      <c r="E65" s="38">
        <v>3</v>
      </c>
      <c r="F65" s="160" t="s">
        <v>636</v>
      </c>
      <c r="G65" s="161"/>
      <c r="H65" s="161"/>
      <c r="I65" s="162"/>
      <c r="J65" s="24"/>
    </row>
    <row r="66" spans="1:33" ht="21" customHeight="1" thickBot="1" x14ac:dyDescent="0.6">
      <c r="A66" s="37"/>
      <c r="E66" s="38">
        <v>4</v>
      </c>
      <c r="F66" s="163" t="s">
        <v>637</v>
      </c>
      <c r="G66" s="164"/>
      <c r="H66" s="164"/>
      <c r="I66" s="165"/>
      <c r="J66" s="24"/>
    </row>
    <row r="67" spans="1:33" ht="21" customHeight="1" x14ac:dyDescent="0.55000000000000004">
      <c r="E67" s="24"/>
      <c r="F67" s="24"/>
      <c r="G67" s="24"/>
      <c r="H67" s="24"/>
      <c r="I67" s="24"/>
      <c r="J67" s="24"/>
    </row>
    <row r="68" spans="1:33" ht="21" customHeight="1" thickBot="1" x14ac:dyDescent="0.45">
      <c r="Q68" s="26" t="s">
        <v>191</v>
      </c>
    </row>
    <row r="69" spans="1:33" ht="21" customHeight="1" thickTop="1" thickBot="1" x14ac:dyDescent="0.6">
      <c r="A69" s="37" t="s">
        <v>196</v>
      </c>
      <c r="Q69" s="111" t="s">
        <v>195</v>
      </c>
      <c r="R69" s="112"/>
      <c r="S69" s="112"/>
      <c r="T69" s="113"/>
    </row>
    <row r="70" spans="1:33" ht="21" customHeight="1" thickTop="1" x14ac:dyDescent="0.55000000000000004">
      <c r="Q70" s="45" t="s">
        <v>187</v>
      </c>
    </row>
    <row r="72" spans="1:33" ht="21" customHeight="1" x14ac:dyDescent="0.55000000000000004">
      <c r="G72" s="11" t="s">
        <v>80</v>
      </c>
    </row>
    <row r="75" spans="1:33" ht="21" customHeight="1" x14ac:dyDescent="0.55000000000000004">
      <c r="D75" s="13" t="s">
        <v>35</v>
      </c>
      <c r="E75" s="12"/>
      <c r="F75" s="12"/>
      <c r="G75" s="12"/>
      <c r="H75" s="12"/>
      <c r="I75" s="12"/>
      <c r="J75" s="12"/>
      <c r="K75" s="12"/>
      <c r="L75" s="12"/>
      <c r="M75" s="12"/>
      <c r="N75" s="12"/>
      <c r="O75" s="12"/>
      <c r="P75" s="12"/>
      <c r="Q75" s="12"/>
      <c r="R75" s="12"/>
      <c r="S75" s="12"/>
      <c r="T75" s="12"/>
      <c r="U75" s="12"/>
      <c r="V75" s="12"/>
      <c r="W75" s="12"/>
      <c r="X75" s="12"/>
      <c r="Y75" s="12"/>
      <c r="Z75" s="12"/>
      <c r="AA75" s="12"/>
      <c r="AB75" s="12"/>
      <c r="AC75" s="12"/>
      <c r="AD75" s="12"/>
      <c r="AE75" s="12"/>
      <c r="AF75" s="12"/>
      <c r="AG75" s="12"/>
    </row>
    <row r="77" spans="1:33" ht="21" customHeight="1" x14ac:dyDescent="0.55000000000000004">
      <c r="F77" s="14" t="s">
        <v>30</v>
      </c>
      <c r="G77" s="11" t="s">
        <v>38</v>
      </c>
    </row>
    <row r="78" spans="1:33" ht="21" customHeight="1" x14ac:dyDescent="0.55000000000000004">
      <c r="G78" s="11" t="s">
        <v>189</v>
      </c>
    </row>
    <row r="79" spans="1:33" ht="21" customHeight="1" thickBot="1" x14ac:dyDescent="0.45">
      <c r="Q79" s="26" t="s">
        <v>43</v>
      </c>
    </row>
    <row r="80" spans="1:33" ht="21" customHeight="1" thickTop="1" thickBot="1" x14ac:dyDescent="0.6">
      <c r="A80" s="37" t="s">
        <v>185</v>
      </c>
      <c r="Q80" s="111" t="s">
        <v>779</v>
      </c>
      <c r="R80" s="113"/>
    </row>
    <row r="81" spans="1:33" ht="21" customHeight="1" thickTop="1" x14ac:dyDescent="0.55000000000000004">
      <c r="Q81" s="45" t="s">
        <v>186</v>
      </c>
    </row>
    <row r="82" spans="1:33" ht="21" customHeight="1" x14ac:dyDescent="0.55000000000000004">
      <c r="E82" s="38"/>
      <c r="F82" s="39" t="s">
        <v>16</v>
      </c>
      <c r="G82" s="40" t="s">
        <v>17</v>
      </c>
      <c r="H82" s="40" t="s">
        <v>18</v>
      </c>
      <c r="I82" s="40" t="s">
        <v>19</v>
      </c>
      <c r="J82" s="40" t="s">
        <v>20</v>
      </c>
      <c r="K82" s="40" t="s">
        <v>21</v>
      </c>
      <c r="L82" s="40" t="s">
        <v>22</v>
      </c>
      <c r="M82" s="40" t="s">
        <v>23</v>
      </c>
      <c r="N82" s="41"/>
    </row>
    <row r="83" spans="1:33" ht="21" customHeight="1" x14ac:dyDescent="0.55000000000000004">
      <c r="A83" s="37" t="s">
        <v>157</v>
      </c>
      <c r="E83" s="38">
        <v>1</v>
      </c>
      <c r="F83" s="11" t="s">
        <v>39</v>
      </c>
      <c r="G83" s="136" t="s">
        <v>28</v>
      </c>
      <c r="H83" s="136"/>
      <c r="I83" s="136"/>
      <c r="J83" s="137" t="s">
        <v>27</v>
      </c>
      <c r="K83" s="137"/>
      <c r="L83" s="138" t="s">
        <v>29</v>
      </c>
      <c r="M83" s="138"/>
      <c r="N83" s="25"/>
    </row>
    <row r="84" spans="1:33" ht="21" customHeight="1" x14ac:dyDescent="0.55000000000000004">
      <c r="E84" s="38">
        <v>2</v>
      </c>
      <c r="F84" s="11">
        <v>1</v>
      </c>
      <c r="G84" s="139"/>
      <c r="H84" s="139"/>
      <c r="I84" s="139"/>
      <c r="J84" s="140"/>
      <c r="K84" s="140"/>
      <c r="L84" s="141"/>
      <c r="M84" s="141"/>
      <c r="N84" s="25"/>
    </row>
    <row r="85" spans="1:33" ht="21" customHeight="1" x14ac:dyDescent="0.55000000000000004">
      <c r="E85" s="38"/>
      <c r="F85" s="25"/>
      <c r="G85" s="25"/>
      <c r="H85" s="25"/>
      <c r="I85" s="25"/>
      <c r="J85" s="25"/>
      <c r="K85" s="25"/>
      <c r="L85" s="25"/>
      <c r="M85" s="25"/>
      <c r="N85" s="25"/>
    </row>
    <row r="87" spans="1:33" ht="21" customHeight="1" thickBot="1" x14ac:dyDescent="0.45">
      <c r="Q87" s="26" t="s">
        <v>191</v>
      </c>
    </row>
    <row r="88" spans="1:33" ht="21" customHeight="1" thickTop="1" thickBot="1" x14ac:dyDescent="0.6">
      <c r="A88" s="37" t="s">
        <v>190</v>
      </c>
      <c r="Q88" s="111" t="s">
        <v>193</v>
      </c>
      <c r="R88" s="112"/>
      <c r="S88" s="112"/>
      <c r="T88" s="113"/>
    </row>
    <row r="89" spans="1:33" ht="21" customHeight="1" thickTop="1" x14ac:dyDescent="0.55000000000000004">
      <c r="Q89" s="45" t="s">
        <v>187</v>
      </c>
    </row>
    <row r="90" spans="1:33" ht="21" customHeight="1" thickBot="1" x14ac:dyDescent="0.45">
      <c r="F90" s="26" t="s">
        <v>44</v>
      </c>
    </row>
    <row r="91" spans="1:33" ht="21" customHeight="1" thickTop="1" thickBot="1" x14ac:dyDescent="0.6">
      <c r="A91" s="37" t="s">
        <v>188</v>
      </c>
      <c r="F91" s="111" t="s">
        <v>174</v>
      </c>
      <c r="G91" s="112"/>
      <c r="H91" s="112"/>
      <c r="I91" s="113"/>
    </row>
    <row r="92" spans="1:33" ht="21" customHeight="1" thickTop="1" x14ac:dyDescent="0.55000000000000004">
      <c r="F92" s="45" t="s">
        <v>187</v>
      </c>
    </row>
    <row r="95" spans="1:33" ht="21" customHeight="1" x14ac:dyDescent="0.55000000000000004">
      <c r="D95" s="13" t="s">
        <v>35</v>
      </c>
      <c r="E95" s="12"/>
      <c r="F95" s="12"/>
      <c r="G95" s="12"/>
      <c r="H95" s="12"/>
      <c r="I95" s="12"/>
      <c r="J95" s="12"/>
      <c r="K95" s="12"/>
      <c r="L95" s="12"/>
      <c r="M95" s="12"/>
      <c r="N95" s="12"/>
      <c r="O95" s="12"/>
      <c r="P95" s="12"/>
      <c r="Q95" s="12"/>
      <c r="R95" s="12"/>
      <c r="S95" s="12"/>
      <c r="T95" s="12"/>
      <c r="U95" s="12"/>
      <c r="V95" s="12"/>
      <c r="W95" s="12"/>
      <c r="X95" s="12"/>
      <c r="Y95" s="12"/>
      <c r="Z95" s="12"/>
      <c r="AA95" s="12"/>
      <c r="AB95" s="12"/>
      <c r="AC95" s="12"/>
      <c r="AD95" s="12"/>
      <c r="AE95" s="12"/>
      <c r="AF95" s="12"/>
      <c r="AG95" s="12"/>
    </row>
    <row r="97" spans="6:14" ht="21" customHeight="1" thickBot="1" x14ac:dyDescent="0.6">
      <c r="F97" s="14" t="s">
        <v>30</v>
      </c>
      <c r="G97" s="11" t="s">
        <v>31</v>
      </c>
    </row>
    <row r="98" spans="6:14" ht="21" customHeight="1" x14ac:dyDescent="0.55000000000000004">
      <c r="F98" s="15"/>
      <c r="G98" s="16"/>
      <c r="H98" s="16"/>
      <c r="I98" s="16"/>
      <c r="J98" s="16"/>
      <c r="K98" s="16"/>
      <c r="L98" s="16"/>
      <c r="M98" s="16"/>
      <c r="N98" s="17"/>
    </row>
    <row r="99" spans="6:14" ht="21" customHeight="1" x14ac:dyDescent="0.55000000000000004">
      <c r="F99" s="18"/>
      <c r="N99" s="19"/>
    </row>
    <row r="100" spans="6:14" ht="21" customHeight="1" x14ac:dyDescent="0.55000000000000004">
      <c r="F100" s="18"/>
      <c r="N100" s="19"/>
    </row>
    <row r="101" spans="6:14" ht="21" customHeight="1" thickBot="1" x14ac:dyDescent="0.6">
      <c r="F101" s="20"/>
      <c r="G101" s="21"/>
      <c r="H101" s="21"/>
      <c r="I101" s="21"/>
      <c r="J101" s="21"/>
      <c r="K101" s="21"/>
      <c r="L101" s="21"/>
      <c r="M101" s="21"/>
      <c r="N101" s="22"/>
    </row>
    <row r="120" spans="1:8" ht="21" customHeight="1" x14ac:dyDescent="0.55000000000000004">
      <c r="H120" s="11" t="s">
        <v>81</v>
      </c>
    </row>
    <row r="122" spans="1:8" ht="21" customHeight="1" x14ac:dyDescent="0.55000000000000004">
      <c r="B122" s="11" t="s">
        <v>28</v>
      </c>
    </row>
    <row r="123" spans="1:8" ht="21" customHeight="1" x14ac:dyDescent="0.55000000000000004">
      <c r="A123" s="37" t="s">
        <v>133</v>
      </c>
    </row>
  </sheetData>
  <mergeCells count="19">
    <mergeCell ref="G83:I83"/>
    <mergeCell ref="J83:K83"/>
    <mergeCell ref="L83:M83"/>
    <mergeCell ref="F25:O25"/>
    <mergeCell ref="Q25:T25"/>
    <mergeCell ref="F40:O40"/>
    <mergeCell ref="Q40:R40"/>
    <mergeCell ref="Q60:R60"/>
    <mergeCell ref="G63:I63"/>
    <mergeCell ref="F64:I64"/>
    <mergeCell ref="F65:I65"/>
    <mergeCell ref="F66:I66"/>
    <mergeCell ref="Q69:T69"/>
    <mergeCell ref="Q80:R80"/>
    <mergeCell ref="G84:I84"/>
    <mergeCell ref="J84:K84"/>
    <mergeCell ref="L84:M84"/>
    <mergeCell ref="Q88:T88"/>
    <mergeCell ref="F91:I91"/>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print="0" autoFill="0" autoPict="0" macro="[0]!設定_人口_ボタン1_Click">
                <anchor moveWithCells="1" sizeWithCells="1">
                  <from>
                    <xdr:col>6</xdr:col>
                    <xdr:colOff>82550</xdr:colOff>
                    <xdr:row>97</xdr:row>
                    <xdr:rowOff>184150</xdr:rowOff>
                  </from>
                  <to>
                    <xdr:col>12</xdr:col>
                    <xdr:colOff>139700</xdr:colOff>
                    <xdr:row>100</xdr:row>
                    <xdr:rowOff>57150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3138C1-9BEE-4B6B-90B5-6318236D8F6B}">
  <sheetPr codeName="Sheet24"/>
  <dimension ref="A1:BT53"/>
  <sheetViews>
    <sheetView zoomScale="80" zoomScaleNormal="80" workbookViewId="0"/>
  </sheetViews>
  <sheetFormatPr defaultColWidth="3.5" defaultRowHeight="21.15" customHeight="1" x14ac:dyDescent="0.55000000000000004"/>
  <sheetData>
    <row r="1" spans="1:72" ht="21.15" customHeight="1" x14ac:dyDescent="0.55000000000000004">
      <c r="A1" s="78"/>
      <c r="B1" s="78"/>
      <c r="C1" s="78"/>
      <c r="D1" s="78"/>
      <c r="E1" s="78"/>
      <c r="F1" s="78"/>
      <c r="G1" s="78"/>
      <c r="H1" s="78"/>
      <c r="I1" s="78"/>
      <c r="J1" s="78"/>
      <c r="K1" s="78"/>
      <c r="L1" s="78"/>
      <c r="M1" s="78"/>
      <c r="N1" s="78"/>
      <c r="O1" s="78"/>
      <c r="P1" s="78"/>
      <c r="Q1" s="78"/>
      <c r="R1" s="78"/>
      <c r="S1" s="78"/>
      <c r="T1" s="78"/>
      <c r="U1" s="78"/>
      <c r="V1" s="78"/>
      <c r="W1" s="78"/>
      <c r="X1" s="78"/>
      <c r="Y1" s="78"/>
      <c r="Z1" s="78"/>
      <c r="AA1" s="78"/>
      <c r="AB1" s="78"/>
      <c r="AC1" s="78"/>
      <c r="AD1" s="78"/>
      <c r="AE1" s="78"/>
      <c r="AF1" s="78"/>
      <c r="AG1" s="78"/>
      <c r="AH1" s="78"/>
      <c r="AI1" s="78"/>
      <c r="AJ1" s="78"/>
      <c r="AK1" s="78"/>
      <c r="AL1" s="78"/>
      <c r="AM1" s="78"/>
      <c r="AN1" s="78"/>
      <c r="AO1" s="78"/>
      <c r="AP1" s="78"/>
      <c r="AQ1" s="78"/>
      <c r="AR1" s="78"/>
      <c r="AS1" s="78"/>
      <c r="AT1" s="78"/>
      <c r="AU1" s="78"/>
      <c r="AV1" s="78"/>
      <c r="AW1" s="78"/>
      <c r="AX1" s="78"/>
      <c r="AY1" s="78"/>
      <c r="AZ1" s="78"/>
      <c r="BA1" s="78"/>
      <c r="BB1" s="78"/>
      <c r="BC1" s="78"/>
      <c r="BD1" s="78"/>
      <c r="BE1" s="78"/>
      <c r="BF1" s="78"/>
      <c r="BG1" s="78"/>
      <c r="BH1" s="78"/>
      <c r="BI1" s="78"/>
      <c r="BJ1" s="78"/>
      <c r="BK1" s="78"/>
      <c r="BL1" s="78"/>
      <c r="BM1" s="78"/>
      <c r="BN1" s="78"/>
      <c r="BO1" s="78"/>
      <c r="BP1" s="78"/>
      <c r="BQ1" s="78"/>
      <c r="BR1" s="78"/>
      <c r="BS1" s="78"/>
      <c r="BT1" s="78"/>
    </row>
    <row r="2" spans="1:72" ht="21.15" customHeight="1" x14ac:dyDescent="0.55000000000000004">
      <c r="A2" s="78"/>
      <c r="B2" s="79"/>
      <c r="C2" s="79"/>
      <c r="D2" s="79"/>
      <c r="E2" s="79"/>
      <c r="F2" s="79"/>
      <c r="G2" s="79"/>
      <c r="H2" s="79"/>
      <c r="I2" s="79"/>
      <c r="J2" s="79"/>
      <c r="K2" s="79"/>
      <c r="L2" s="79"/>
      <c r="M2" s="79"/>
      <c r="N2" s="79"/>
      <c r="O2" s="79"/>
      <c r="P2" s="79"/>
      <c r="Q2" s="79"/>
      <c r="R2" s="79"/>
      <c r="S2" s="79"/>
      <c r="T2" s="79"/>
      <c r="U2" s="79"/>
      <c r="V2" s="79"/>
      <c r="W2" s="79"/>
      <c r="X2" s="79"/>
      <c r="Y2" s="79"/>
      <c r="Z2" s="79"/>
      <c r="AA2" s="79"/>
      <c r="AB2" s="79"/>
      <c r="AC2" s="79"/>
      <c r="AD2" s="79"/>
      <c r="AE2" s="79"/>
      <c r="AF2" s="79"/>
      <c r="AG2" s="79"/>
      <c r="AH2" s="79"/>
      <c r="AI2" s="79"/>
      <c r="AJ2" s="79"/>
      <c r="AK2" s="79"/>
      <c r="AL2" s="79"/>
      <c r="AM2" s="79"/>
      <c r="AN2" s="79"/>
      <c r="AO2" s="79"/>
      <c r="AP2" s="79"/>
      <c r="AQ2" s="79"/>
      <c r="AR2" s="79"/>
      <c r="AS2" s="79"/>
      <c r="AT2" s="79"/>
      <c r="AU2" s="79"/>
      <c r="AV2" s="79"/>
      <c r="AW2" s="79"/>
      <c r="AX2" s="79"/>
      <c r="AY2" s="79"/>
      <c r="AZ2" s="79"/>
      <c r="BA2" s="79"/>
      <c r="BB2" s="79"/>
      <c r="BC2" s="79"/>
      <c r="BD2" s="79"/>
      <c r="BE2" s="79"/>
      <c r="BF2" s="79"/>
      <c r="BG2" s="79"/>
      <c r="BH2" s="79"/>
      <c r="BI2" s="79"/>
      <c r="BJ2" s="79"/>
      <c r="BK2" s="79"/>
      <c r="BL2" s="79"/>
      <c r="BM2" s="79"/>
      <c r="BN2" s="79"/>
      <c r="BO2" s="79"/>
      <c r="BP2" s="79"/>
      <c r="BQ2" s="79"/>
      <c r="BR2" s="79"/>
      <c r="BS2" s="79"/>
      <c r="BT2" s="78"/>
    </row>
    <row r="3" spans="1:72" ht="21.15" customHeight="1" x14ac:dyDescent="0.55000000000000004">
      <c r="A3" s="78"/>
      <c r="B3" s="79"/>
      <c r="C3" s="79"/>
      <c r="D3" s="80"/>
      <c r="E3" s="80"/>
      <c r="F3" s="80"/>
      <c r="G3" s="81" t="s">
        <v>62</v>
      </c>
      <c r="H3" s="79"/>
      <c r="I3" s="79"/>
      <c r="J3" s="79"/>
      <c r="K3" s="81" t="s">
        <v>61</v>
      </c>
      <c r="L3" s="79"/>
      <c r="M3" s="79"/>
      <c r="N3" s="79"/>
      <c r="O3" s="81" t="s">
        <v>60</v>
      </c>
      <c r="P3" s="79"/>
      <c r="Q3" s="79"/>
      <c r="R3" s="79"/>
      <c r="S3" s="81" t="s">
        <v>59</v>
      </c>
      <c r="T3" s="79"/>
      <c r="U3" s="79"/>
      <c r="V3" s="79"/>
      <c r="W3" s="81" t="s">
        <v>58</v>
      </c>
      <c r="X3" s="79"/>
      <c r="Y3" s="79"/>
      <c r="Z3" s="79"/>
      <c r="AA3" s="81" t="s">
        <v>57</v>
      </c>
      <c r="AB3" s="79"/>
      <c r="AC3" s="79"/>
      <c r="AD3" s="79"/>
      <c r="AE3" s="81" t="s">
        <v>56</v>
      </c>
      <c r="AF3" s="79"/>
      <c r="AG3" s="79"/>
      <c r="AH3" s="79"/>
      <c r="AI3" s="81" t="s">
        <v>55</v>
      </c>
      <c r="AJ3" s="79"/>
      <c r="AK3" s="79"/>
      <c r="AL3" s="79"/>
      <c r="AM3" s="81" t="s">
        <v>54</v>
      </c>
      <c r="AN3" s="79"/>
      <c r="AO3" s="79"/>
      <c r="AP3" s="79"/>
      <c r="AQ3" s="81" t="s">
        <v>53</v>
      </c>
      <c r="AR3" s="79"/>
      <c r="AS3" s="79"/>
      <c r="AT3" s="79"/>
      <c r="AU3" s="81" t="s">
        <v>52</v>
      </c>
      <c r="AV3" s="79"/>
      <c r="AW3" s="79"/>
      <c r="AX3" s="79"/>
      <c r="AY3" s="81" t="s">
        <v>51</v>
      </c>
      <c r="AZ3" s="79"/>
      <c r="BA3" s="79"/>
      <c r="BB3" s="79"/>
      <c r="BC3" s="81" t="s">
        <v>50</v>
      </c>
      <c r="BD3" s="79"/>
      <c r="BE3" s="79"/>
      <c r="BF3" s="79"/>
      <c r="BG3" s="81" t="s">
        <v>49</v>
      </c>
      <c r="BH3" s="79"/>
      <c r="BI3" s="79"/>
      <c r="BJ3" s="79"/>
      <c r="BK3" s="81" t="s">
        <v>48</v>
      </c>
      <c r="BL3" s="79"/>
      <c r="BM3" s="79"/>
      <c r="BN3" s="79"/>
      <c r="BO3" s="81" t="s">
        <v>47</v>
      </c>
      <c r="BP3" s="79"/>
      <c r="BQ3" s="79"/>
      <c r="BR3" s="79"/>
      <c r="BS3" s="79"/>
      <c r="BT3" s="78"/>
    </row>
    <row r="4" spans="1:72" ht="21.15" customHeight="1" thickBot="1" x14ac:dyDescent="0.6">
      <c r="A4" s="78"/>
      <c r="B4" s="79"/>
      <c r="C4" s="80"/>
      <c r="D4" s="80"/>
      <c r="E4" s="80"/>
      <c r="F4" s="80"/>
      <c r="G4" s="79"/>
      <c r="H4" s="79"/>
      <c r="I4" s="79"/>
      <c r="J4" s="79"/>
      <c r="K4" s="79"/>
      <c r="L4" s="79"/>
      <c r="M4" s="79"/>
      <c r="N4" s="79"/>
      <c r="O4" s="79"/>
      <c r="P4" s="79"/>
      <c r="Q4" s="79"/>
      <c r="R4" s="79"/>
      <c r="S4" s="79"/>
      <c r="T4" s="79"/>
      <c r="U4" s="79"/>
      <c r="V4" s="79"/>
      <c r="W4" s="79"/>
      <c r="X4" s="79"/>
      <c r="Y4" s="79"/>
      <c r="Z4" s="79"/>
      <c r="AA4" s="79"/>
      <c r="AB4" s="79"/>
      <c r="AC4" s="79"/>
      <c r="AD4" s="79"/>
      <c r="AE4" s="79"/>
      <c r="AF4" s="79"/>
      <c r="AG4" s="79"/>
      <c r="AH4" s="79"/>
      <c r="AI4" s="79"/>
      <c r="AJ4" s="79"/>
      <c r="AK4" s="79"/>
      <c r="AL4" s="79"/>
      <c r="AM4" s="79"/>
      <c r="AN4" s="79"/>
      <c r="AO4" s="79"/>
      <c r="AP4" s="79"/>
      <c r="AQ4" s="79"/>
      <c r="AR4" s="79"/>
      <c r="AS4" s="79"/>
      <c r="AT4" s="79"/>
      <c r="AU4" s="79"/>
      <c r="AV4" s="79"/>
      <c r="AW4" s="79"/>
      <c r="AX4" s="79"/>
      <c r="AY4" s="79"/>
      <c r="AZ4" s="79"/>
      <c r="BA4" s="79"/>
      <c r="BB4" s="79"/>
      <c r="BC4" s="79"/>
      <c r="BD4" s="79"/>
      <c r="BE4" s="79"/>
      <c r="BF4" s="79"/>
      <c r="BG4" s="79"/>
      <c r="BH4" s="79"/>
      <c r="BI4" s="79"/>
      <c r="BJ4" s="79"/>
      <c r="BK4" s="79"/>
      <c r="BL4" s="79"/>
      <c r="BM4" s="79"/>
      <c r="BN4" s="79"/>
      <c r="BO4" s="79"/>
      <c r="BP4" s="79"/>
      <c r="BQ4" s="79"/>
      <c r="BR4" s="79"/>
      <c r="BS4" s="79"/>
      <c r="BT4" s="78"/>
    </row>
    <row r="5" spans="1:72" ht="21.15" customHeight="1" x14ac:dyDescent="0.55000000000000004">
      <c r="A5" s="78"/>
      <c r="B5" s="79"/>
      <c r="C5" s="80"/>
      <c r="D5" s="80"/>
      <c r="E5" s="80"/>
      <c r="F5" s="80"/>
      <c r="G5" s="79"/>
      <c r="H5" s="79"/>
      <c r="I5" s="79"/>
      <c r="J5" s="79"/>
      <c r="K5" s="79"/>
      <c r="L5" s="79"/>
      <c r="M5" s="79"/>
      <c r="N5" s="79"/>
      <c r="O5" s="79"/>
      <c r="P5" s="79"/>
      <c r="Q5" s="79"/>
      <c r="R5" s="79"/>
      <c r="S5" s="79"/>
      <c r="T5" s="79"/>
      <c r="U5" s="79"/>
      <c r="V5" s="79"/>
      <c r="W5" s="79"/>
      <c r="X5" s="79"/>
      <c r="Y5" s="79"/>
      <c r="Z5" s="79"/>
      <c r="AA5" s="79"/>
      <c r="AB5" s="79"/>
      <c r="AC5" s="79"/>
      <c r="AD5" s="79"/>
      <c r="AE5" s="79"/>
      <c r="AF5" s="79"/>
      <c r="AG5" s="79"/>
      <c r="AH5" s="79"/>
      <c r="AI5" s="79"/>
      <c r="AJ5" s="79"/>
      <c r="AK5" s="79"/>
      <c r="AL5" s="79"/>
      <c r="AM5" s="79"/>
      <c r="AN5" s="79"/>
      <c r="AO5" s="79"/>
      <c r="AP5" s="79"/>
      <c r="AQ5" s="79"/>
      <c r="AR5" s="79"/>
      <c r="AS5" s="79"/>
      <c r="AT5" s="79"/>
      <c r="AU5" s="79"/>
      <c r="AV5" s="79"/>
      <c r="AW5" s="79"/>
      <c r="AX5" s="79"/>
      <c r="AY5" s="79"/>
      <c r="AZ5" s="79"/>
      <c r="BA5" s="79"/>
      <c r="BB5" s="79"/>
      <c r="BC5" s="79"/>
      <c r="BD5" s="79"/>
      <c r="BE5" s="79"/>
      <c r="BF5" s="79"/>
      <c r="BG5" s="79"/>
      <c r="BH5" s="79"/>
      <c r="BI5" s="79"/>
      <c r="BJ5" s="79"/>
      <c r="BK5" s="79"/>
      <c r="BL5" s="79"/>
      <c r="BM5" s="79"/>
      <c r="BN5" s="104"/>
      <c r="BO5" s="142" t="s">
        <v>69</v>
      </c>
      <c r="BP5" s="142"/>
      <c r="BQ5" s="143"/>
      <c r="BR5" s="79"/>
      <c r="BS5" s="79"/>
      <c r="BT5" s="78"/>
    </row>
    <row r="6" spans="1:72" ht="21.15" customHeight="1" thickBot="1" x14ac:dyDescent="0.6">
      <c r="A6" s="78"/>
      <c r="B6" s="79"/>
      <c r="C6" s="80"/>
      <c r="D6" s="80"/>
      <c r="E6" s="80"/>
      <c r="F6" s="80"/>
      <c r="G6" s="79"/>
      <c r="H6" s="79"/>
      <c r="I6" s="79"/>
      <c r="J6" s="79"/>
      <c r="K6" s="79"/>
      <c r="L6" s="79"/>
      <c r="M6" s="79"/>
      <c r="N6" s="79"/>
      <c r="O6" s="79"/>
      <c r="P6" s="79"/>
      <c r="Q6" s="79"/>
      <c r="R6" s="79"/>
      <c r="S6" s="79"/>
      <c r="T6" s="79"/>
      <c r="U6" s="79"/>
      <c r="V6" s="79"/>
      <c r="W6" s="79"/>
      <c r="X6" s="79"/>
      <c r="Y6" s="79"/>
      <c r="Z6" s="79"/>
      <c r="AA6" s="79"/>
      <c r="AB6" s="79"/>
      <c r="AC6" s="79"/>
      <c r="AD6" s="79"/>
      <c r="AE6" s="79"/>
      <c r="AF6" s="79"/>
      <c r="AG6" s="79"/>
      <c r="AH6" s="79"/>
      <c r="AI6" s="79"/>
      <c r="AJ6" s="79"/>
      <c r="AK6" s="79"/>
      <c r="AL6" s="79"/>
      <c r="AM6" s="79"/>
      <c r="AN6" s="79"/>
      <c r="AO6" s="79"/>
      <c r="AP6" s="79"/>
      <c r="AQ6" s="79"/>
      <c r="AR6" s="79"/>
      <c r="AS6" s="79"/>
      <c r="AT6" s="79"/>
      <c r="AU6" s="79"/>
      <c r="AV6" s="79"/>
      <c r="AW6" s="79"/>
      <c r="AX6" s="79"/>
      <c r="AY6" s="79"/>
      <c r="AZ6" s="79"/>
      <c r="BA6" s="79"/>
      <c r="BB6" s="79"/>
      <c r="BC6" s="79"/>
      <c r="BD6" s="79"/>
      <c r="BE6" s="79"/>
      <c r="BF6" s="79"/>
      <c r="BG6" s="79"/>
      <c r="BH6" s="79"/>
      <c r="BI6" s="79"/>
      <c r="BJ6" s="79"/>
      <c r="BK6" s="79"/>
      <c r="BL6" s="79"/>
      <c r="BM6" s="79"/>
      <c r="BN6" s="166" t="s">
        <v>773</v>
      </c>
      <c r="BO6" s="145"/>
      <c r="BP6" s="145"/>
      <c r="BQ6" s="146"/>
      <c r="BR6" s="79"/>
      <c r="BS6" s="79"/>
      <c r="BT6" s="78"/>
    </row>
    <row r="7" spans="1:72" ht="21.15" customHeight="1" x14ac:dyDescent="0.55000000000000004">
      <c r="A7" s="78"/>
      <c r="B7" s="79"/>
      <c r="C7" s="81" t="s">
        <v>46</v>
      </c>
      <c r="D7" s="79"/>
      <c r="E7" s="79"/>
      <c r="F7" s="79"/>
      <c r="G7" s="79"/>
      <c r="H7" s="79"/>
      <c r="I7" s="79"/>
      <c r="J7" s="79"/>
      <c r="K7" s="82">
        <v>1</v>
      </c>
      <c r="L7" s="142" t="str">
        <f>VLOOKUP(K7,市町村データ!A2:P106,MATCH(手順書_丁目_交通!$G$63, 市町村データ!A1:P1, 0),FALSE)</f>
        <v>新座3</v>
      </c>
      <c r="M7" s="154"/>
      <c r="N7" s="159"/>
      <c r="O7" s="82">
        <v>2</v>
      </c>
      <c r="P7" s="142" t="str">
        <f>VLOOKUP(O7,市町村データ!A2:P106,MATCH(手順書_丁目_交通!$G$63, 市町村データ!A1:P1, 0),FALSE)</f>
        <v>新座2</v>
      </c>
      <c r="Q7" s="154"/>
      <c r="R7" s="159"/>
      <c r="S7" s="82">
        <v>3</v>
      </c>
      <c r="T7" s="142" t="str">
        <f>VLOOKUP(S7,市町村データ!A2:P106,MATCH(手順書_丁目_交通!$G$63, 市町村データ!A1:P1, 0),FALSE)</f>
        <v>新座1</v>
      </c>
      <c r="U7" s="154"/>
      <c r="V7" s="159"/>
      <c r="W7" s="82">
        <v>4</v>
      </c>
      <c r="X7" s="142" t="str">
        <f>VLOOKUP(W7,市町村データ!A2:P106,MATCH(手順書_丁目_交通!$G$63, 市町村データ!A1:P1, 0),FALSE)</f>
        <v>北野3</v>
      </c>
      <c r="Y7" s="154"/>
      <c r="Z7" s="159"/>
      <c r="AA7" s="82">
        <v>5</v>
      </c>
      <c r="AB7" s="142" t="str">
        <f>VLOOKUP(AA7,市町村データ!A2:P106,MATCH(手順書_丁目_交通!$G$63, 市町村データ!A1:P1, 0),FALSE)</f>
        <v>東北1</v>
      </c>
      <c r="AC7" s="154"/>
      <c r="AD7" s="159"/>
      <c r="AE7" s="82">
        <v>6</v>
      </c>
      <c r="AF7" s="142" t="str">
        <f>VLOOKUP(AE7,市町村データ!A2:P106,MATCH(手順書_丁目_交通!$G$63, 市町村データ!A1:P1, 0),FALSE)</f>
        <v>東北2</v>
      </c>
      <c r="AG7" s="154"/>
      <c r="AH7" s="159"/>
      <c r="AI7" s="85"/>
      <c r="AJ7" s="79"/>
      <c r="AK7" s="79"/>
      <c r="AL7" s="79"/>
      <c r="AM7" s="86"/>
      <c r="AN7" s="79"/>
      <c r="AO7" s="79"/>
      <c r="AP7" s="79"/>
      <c r="AQ7" s="86"/>
      <c r="AR7" s="79"/>
      <c r="AS7" s="79"/>
      <c r="AT7" s="79"/>
      <c r="AU7" s="79"/>
      <c r="AV7" s="79"/>
      <c r="AW7" s="79"/>
      <c r="AX7" s="79"/>
      <c r="AY7" s="79"/>
      <c r="AZ7" s="79"/>
      <c r="BA7" s="79"/>
      <c r="BB7" s="79"/>
      <c r="BC7" s="79"/>
      <c r="BD7" s="79"/>
      <c r="BE7" s="79"/>
      <c r="BF7" s="79"/>
      <c r="BG7" s="79"/>
      <c r="BH7" s="79"/>
      <c r="BI7" s="79"/>
      <c r="BJ7" s="79"/>
      <c r="BK7" s="86"/>
      <c r="BL7" s="79"/>
      <c r="BM7" s="79"/>
      <c r="BN7" s="166" t="s">
        <v>774</v>
      </c>
      <c r="BO7" s="145"/>
      <c r="BP7" s="145"/>
      <c r="BQ7" s="146"/>
      <c r="BR7" s="79"/>
      <c r="BS7" s="79"/>
      <c r="BT7" s="78"/>
    </row>
    <row r="8" spans="1:72" ht="21.15" customHeight="1" thickBot="1" x14ac:dyDescent="0.6">
      <c r="A8" s="78"/>
      <c r="B8" s="79"/>
      <c r="C8" s="79"/>
      <c r="D8" s="79"/>
      <c r="E8" s="79"/>
      <c r="F8" s="79"/>
      <c r="G8" s="79"/>
      <c r="H8" s="79"/>
      <c r="I8" s="79"/>
      <c r="J8" s="79"/>
      <c r="K8" s="150" t="str">
        <f>VLOOKUP(K7,市町村データ!A2:P106,MATCH(手順書_丁目_交通!$F$64, 市町村データ!A1:P1, 0),FALSE)</f>
        <v>○団地南</v>
      </c>
      <c r="L8" s="151"/>
      <c r="M8" s="151"/>
      <c r="N8" s="157"/>
      <c r="O8" s="150" t="str">
        <f>VLOOKUP(O7,市町村データ!A2:P106,MATCH(手順書_丁目_交通!$F$64, 市町村データ!A1:P1, 0),FALSE)</f>
        <v/>
      </c>
      <c r="P8" s="151"/>
      <c r="Q8" s="151"/>
      <c r="R8" s="157"/>
      <c r="S8" s="150" t="str">
        <f>VLOOKUP(S7,市町村データ!A2:P106,MATCH(手順書_丁目_交通!$F$64, 市町村データ!A1:P1, 0),FALSE)</f>
        <v>○富士見ヶ丘</v>
      </c>
      <c r="T8" s="151"/>
      <c r="U8" s="151"/>
      <c r="V8" s="157"/>
      <c r="W8" s="150" t="str">
        <f>VLOOKUP(W7,市町村データ!A2:P106,MATCH(手順書_丁目_交通!$F$64, 市町村データ!A1:P1, 0),FALSE)</f>
        <v>○東寮前</v>
      </c>
      <c r="X8" s="151"/>
      <c r="Y8" s="151"/>
      <c r="Z8" s="157"/>
      <c r="AA8" s="150" t="str">
        <f>VLOOKUP(AA7,市町村データ!A2:P106,MATCH(手順書_丁目_交通!$F$64, 市町村データ!A1:P1, 0),FALSE)</f>
        <v>○新座志木中央総合病院</v>
      </c>
      <c r="AB8" s="151"/>
      <c r="AC8" s="151"/>
      <c r="AD8" s="157"/>
      <c r="AE8" s="150" t="str">
        <f>VLOOKUP(AE7,市町村データ!A2:P106,MATCH(手順書_丁目_交通!$F$64, 市町村データ!A1:P1, 0),FALSE)</f>
        <v>○東北通り</v>
      </c>
      <c r="AF8" s="151"/>
      <c r="AG8" s="151"/>
      <c r="AH8" s="157"/>
      <c r="AI8" s="85"/>
      <c r="AJ8" s="79"/>
      <c r="AK8" s="79"/>
      <c r="AL8" s="79"/>
      <c r="AM8" s="87"/>
      <c r="AN8" s="87"/>
      <c r="AO8" s="87"/>
      <c r="AP8" s="87"/>
      <c r="AQ8" s="87"/>
      <c r="AR8" s="87"/>
      <c r="AS8" s="87"/>
      <c r="AT8" s="87"/>
      <c r="AU8" s="79"/>
      <c r="AV8" s="79"/>
      <c r="AW8" s="79"/>
      <c r="AX8" s="79"/>
      <c r="AY8" s="79"/>
      <c r="AZ8" s="79"/>
      <c r="BA8" s="79"/>
      <c r="BB8" s="79"/>
      <c r="BC8" s="79"/>
      <c r="BD8" s="79"/>
      <c r="BE8" s="79"/>
      <c r="BF8" s="79"/>
      <c r="BG8" s="79"/>
      <c r="BH8" s="79"/>
      <c r="BI8" s="79"/>
      <c r="BJ8" s="79"/>
      <c r="BK8" s="79"/>
      <c r="BL8" s="79"/>
      <c r="BM8" s="79"/>
      <c r="BN8" s="167" t="s">
        <v>775</v>
      </c>
      <c r="BO8" s="168"/>
      <c r="BP8" s="168"/>
      <c r="BQ8" s="169"/>
      <c r="BR8" s="79"/>
      <c r="BS8" s="88"/>
      <c r="BT8" s="78"/>
    </row>
    <row r="9" spans="1:72" ht="21.15" customHeight="1" x14ac:dyDescent="0.55000000000000004">
      <c r="A9" s="78"/>
      <c r="B9" s="79"/>
      <c r="C9" s="79"/>
      <c r="D9" s="79"/>
      <c r="E9" s="79"/>
      <c r="F9" s="79"/>
      <c r="G9" s="79"/>
      <c r="H9" s="79"/>
      <c r="I9" s="79"/>
      <c r="J9" s="79"/>
      <c r="K9" s="150" t="str">
        <f>VLOOKUP(K7,市町村データ!A2:P106,MATCH(手順書_丁目_交通!$F$65, 市町村データ!A1:P1, 0),FALSE)</f>
        <v>○新座団地東</v>
      </c>
      <c r="L9" s="151"/>
      <c r="M9" s="151"/>
      <c r="N9" s="157"/>
      <c r="O9" s="150" t="str">
        <f>VLOOKUP(O7,市町村データ!A2:P106,MATCH(手順書_丁目_交通!$F$65, 市町村データ!A1:P1, 0),FALSE)</f>
        <v/>
      </c>
      <c r="P9" s="151"/>
      <c r="Q9" s="151"/>
      <c r="R9" s="157"/>
      <c r="S9" s="150" t="str">
        <f>VLOOKUP(S7,市町村データ!A2:P106,MATCH(手順書_丁目_交通!$F$65, 市町村データ!A1:P1, 0),FALSE)</f>
        <v>○富士見ヶ丘団地</v>
      </c>
      <c r="T9" s="151"/>
      <c r="U9" s="151"/>
      <c r="V9" s="157"/>
      <c r="W9" s="150" t="str">
        <f>VLOOKUP(W7,市町村データ!A2:P106,MATCH(手順書_丁目_交通!$F$65, 市町村データ!A1:P1, 0),FALSE)</f>
        <v/>
      </c>
      <c r="X9" s="151"/>
      <c r="Y9" s="151"/>
      <c r="Z9" s="157"/>
      <c r="AA9" s="150" t="str">
        <f>VLOOKUP(AA7,市町村データ!A2:P106,MATCH(手順書_丁目_交通!$F$65, 市町村データ!A1:P1, 0),FALSE)</f>
        <v>○すきっぷたうん</v>
      </c>
      <c r="AB9" s="151"/>
      <c r="AC9" s="151"/>
      <c r="AD9" s="157"/>
      <c r="AE9" s="150" t="str">
        <f>VLOOKUP(AE7,市町村データ!A2:P106,MATCH(手順書_丁目_交通!$F$65, 市町村データ!A1:P1, 0),FALSE)</f>
        <v>○東北二丁目</v>
      </c>
      <c r="AF9" s="151"/>
      <c r="AG9" s="151"/>
      <c r="AH9" s="157"/>
      <c r="AI9" s="85"/>
      <c r="AJ9" s="79"/>
      <c r="AK9" s="79"/>
      <c r="AL9" s="79"/>
      <c r="AM9" s="89"/>
      <c r="AN9" s="89"/>
      <c r="AO9" s="89"/>
      <c r="AP9" s="89"/>
      <c r="AQ9" s="89"/>
      <c r="AR9" s="89"/>
      <c r="AS9" s="89"/>
      <c r="AT9" s="89"/>
      <c r="AU9" s="79"/>
      <c r="AV9" s="79"/>
      <c r="AW9" s="79"/>
      <c r="AX9" s="79"/>
      <c r="AY9" s="79"/>
      <c r="AZ9" s="79"/>
      <c r="BA9" s="79"/>
      <c r="BB9" s="79"/>
      <c r="BC9" s="79"/>
      <c r="BD9" s="79"/>
      <c r="BE9" s="79"/>
      <c r="BF9" s="79"/>
      <c r="BG9" s="79"/>
      <c r="BH9" s="79"/>
      <c r="BI9" s="79"/>
      <c r="BJ9" s="79"/>
      <c r="BK9" s="79"/>
      <c r="BL9" s="79"/>
      <c r="BM9" s="79"/>
      <c r="BN9" s="79"/>
      <c r="BO9" s="79"/>
      <c r="BP9" s="79"/>
      <c r="BQ9" s="79"/>
      <c r="BR9" s="79"/>
      <c r="BS9" s="88"/>
      <c r="BT9" s="78"/>
    </row>
    <row r="10" spans="1:72" ht="21.15" customHeight="1" thickBot="1" x14ac:dyDescent="0.6">
      <c r="A10" s="78"/>
      <c r="B10" s="79"/>
      <c r="C10" s="79"/>
      <c r="D10" s="79"/>
      <c r="E10" s="79"/>
      <c r="F10" s="79"/>
      <c r="G10" s="79"/>
      <c r="H10" s="79"/>
      <c r="I10" s="79"/>
      <c r="J10" s="79"/>
      <c r="K10" s="170" t="str">
        <f>VLOOKUP(K7,市町村データ!A2:P106,MATCH(手順書_丁目_交通!$F$66, 市町村データ!A1:P1, 0),FALSE)</f>
        <v>○新座団地</v>
      </c>
      <c r="L10" s="171"/>
      <c r="M10" s="171"/>
      <c r="N10" s="172"/>
      <c r="O10" s="170" t="str">
        <f>VLOOKUP(O7,市町村データ!A2:P106,MATCH(手順書_丁目_交通!$F$66, 市町村データ!A1:P1, 0),FALSE)</f>
        <v/>
      </c>
      <c r="P10" s="171"/>
      <c r="Q10" s="171"/>
      <c r="R10" s="172"/>
      <c r="S10" s="170" t="str">
        <f>VLOOKUP(S7,市町村データ!A2:P106,MATCH(手順書_丁目_交通!$F$66, 市町村データ!A1:P1, 0),FALSE)</f>
        <v/>
      </c>
      <c r="T10" s="171"/>
      <c r="U10" s="171"/>
      <c r="V10" s="172"/>
      <c r="W10" s="170" t="str">
        <f>VLOOKUP(W7,市町村データ!A2:P106,MATCH(手順書_丁目_交通!$F$66, 市町村データ!A1:P1, 0),FALSE)</f>
        <v/>
      </c>
      <c r="X10" s="171"/>
      <c r="Y10" s="171"/>
      <c r="Z10" s="172"/>
      <c r="AA10" s="170" t="str">
        <f>VLOOKUP(AA7,市町村データ!A2:P106,MATCH(手順書_丁目_交通!$F$66, 市町村データ!A1:P1, 0),FALSE)</f>
        <v/>
      </c>
      <c r="AB10" s="171"/>
      <c r="AC10" s="171"/>
      <c r="AD10" s="172"/>
      <c r="AE10" s="170" t="str">
        <f>VLOOKUP(AE7,市町村データ!A2:P106,MATCH(手順書_丁目_交通!$F$66, 市町村データ!A1:P1, 0),FALSE)</f>
        <v>○志木駅南</v>
      </c>
      <c r="AF10" s="171"/>
      <c r="AG10" s="171"/>
      <c r="AH10" s="172"/>
      <c r="AI10" s="85"/>
      <c r="AJ10" s="79"/>
      <c r="AK10" s="79"/>
      <c r="AL10" s="79"/>
      <c r="AM10" s="79"/>
      <c r="AN10" s="79"/>
      <c r="AO10" s="79"/>
      <c r="AP10" s="79"/>
      <c r="AQ10" s="79"/>
      <c r="AR10" s="79"/>
      <c r="AS10" s="79"/>
      <c r="AT10" s="79"/>
      <c r="AU10" s="79"/>
      <c r="AV10" s="79"/>
      <c r="AW10" s="79"/>
      <c r="AX10" s="79"/>
      <c r="AY10" s="79"/>
      <c r="AZ10" s="79"/>
      <c r="BA10" s="79"/>
      <c r="BB10" s="79"/>
      <c r="BC10" s="79"/>
      <c r="BD10" s="79"/>
      <c r="BE10" s="79"/>
      <c r="BF10" s="79"/>
      <c r="BG10" s="79"/>
      <c r="BH10" s="79"/>
      <c r="BI10" s="79"/>
      <c r="BJ10" s="79"/>
      <c r="BK10" s="79"/>
      <c r="BL10" s="79"/>
      <c r="BM10" s="79"/>
      <c r="BN10" s="79"/>
      <c r="BO10" s="79"/>
      <c r="BP10" s="79"/>
      <c r="BQ10" s="79"/>
      <c r="BR10" s="79"/>
      <c r="BS10" s="88"/>
      <c r="BT10" s="78"/>
    </row>
    <row r="11" spans="1:72" ht="21.15" customHeight="1" x14ac:dyDescent="0.55000000000000004">
      <c r="A11" s="78"/>
      <c r="B11" s="79"/>
      <c r="C11" s="81" t="s">
        <v>63</v>
      </c>
      <c r="D11" s="79"/>
      <c r="E11" s="79"/>
      <c r="F11" s="79"/>
      <c r="G11" s="82">
        <v>7</v>
      </c>
      <c r="H11" s="142" t="str">
        <f>VLOOKUP(G11,市町村データ!A2:P106,MATCH(手順書_丁目_交通!$G$63, 市町村データ!A1:P1, 0),FALSE)</f>
        <v>中野2</v>
      </c>
      <c r="I11" s="154"/>
      <c r="J11" s="159"/>
      <c r="K11" s="82">
        <v>8</v>
      </c>
      <c r="L11" s="142" t="str">
        <f>VLOOKUP(K11,市町村データ!A2:P106,MATCH(手順書_丁目_交通!$G$63, 市町村データ!A1:P1, 0),FALSE)</f>
        <v>大和田4</v>
      </c>
      <c r="M11" s="154"/>
      <c r="N11" s="154"/>
      <c r="O11" s="84"/>
      <c r="P11" s="84"/>
      <c r="Q11" s="84"/>
      <c r="R11" s="84"/>
      <c r="S11" s="82">
        <v>9</v>
      </c>
      <c r="T11" s="142" t="str">
        <f>VLOOKUP(S11,市町村データ!A2:P106,MATCH(手順書_丁目_交通!$G$63, 市町村データ!A1:P1, 0),FALSE)</f>
        <v>大和田5</v>
      </c>
      <c r="U11" s="154"/>
      <c r="V11" s="159"/>
      <c r="W11" s="82">
        <v>10</v>
      </c>
      <c r="X11" s="142" t="str">
        <f>VLOOKUP(W11,市町村データ!A2:P106,MATCH(手順書_丁目_交通!$G$63, 市町村データ!A1:P1, 0),FALSE)</f>
        <v>北野2</v>
      </c>
      <c r="Y11" s="154"/>
      <c r="Z11" s="159"/>
      <c r="AA11" s="82">
        <v>11</v>
      </c>
      <c r="AB11" s="142" t="str">
        <f>VLOOKUP(AA11,市町村データ!A2:P106,MATCH(手順書_丁目_交通!$G$63, 市町村データ!A1:P1, 0),FALSE)</f>
        <v>北野1</v>
      </c>
      <c r="AC11" s="154"/>
      <c r="AD11" s="159"/>
      <c r="AE11" s="82">
        <v>12</v>
      </c>
      <c r="AF11" s="142" t="str">
        <f>VLOOKUP(AE11,市町村データ!A2:P106,MATCH(手順書_丁目_交通!$G$63, 市町村データ!A1:P1, 0),FALSE)</f>
        <v>東3</v>
      </c>
      <c r="AG11" s="154"/>
      <c r="AH11" s="159"/>
      <c r="AI11" s="82">
        <v>13</v>
      </c>
      <c r="AJ11" s="142" t="str">
        <f>VLOOKUP(AI11,市町村データ!A2:P106,MATCH(手順書_丁目_交通!$G$63, 市町村データ!A1:P1, 0),FALSE)</f>
        <v>東2</v>
      </c>
      <c r="AK11" s="154"/>
      <c r="AL11" s="159"/>
      <c r="AM11" s="82">
        <v>14</v>
      </c>
      <c r="AN11" s="142" t="str">
        <f>VLOOKUP(AM11,市町村データ!A2:P106,MATCH(手順書_丁目_交通!$G$63, 市町村データ!A1:P1, 0),FALSE)</f>
        <v>東1</v>
      </c>
      <c r="AO11" s="154"/>
      <c r="AP11" s="159"/>
      <c r="AQ11" s="91"/>
      <c r="AR11" s="79"/>
      <c r="AS11" s="79"/>
      <c r="AT11" s="79"/>
      <c r="AU11" s="79"/>
      <c r="AV11" s="79"/>
      <c r="AW11" s="79"/>
      <c r="AX11" s="79"/>
      <c r="AY11" s="79"/>
      <c r="AZ11" s="79"/>
      <c r="BA11" s="79"/>
      <c r="BB11" s="79"/>
      <c r="BC11" s="79"/>
      <c r="BD11" s="79"/>
      <c r="BE11" s="79"/>
      <c r="BF11" s="79"/>
      <c r="BG11" s="79"/>
      <c r="BH11" s="79"/>
      <c r="BI11" s="79"/>
      <c r="BJ11" s="79"/>
      <c r="BK11" s="79"/>
      <c r="BL11" s="79"/>
      <c r="BM11" s="79"/>
      <c r="BN11" s="79"/>
      <c r="BO11" s="79"/>
      <c r="BP11" s="79"/>
      <c r="BQ11" s="79"/>
      <c r="BR11" s="79"/>
      <c r="BS11" s="88"/>
      <c r="BT11" s="78"/>
    </row>
    <row r="12" spans="1:72" ht="21.15" customHeight="1" x14ac:dyDescent="0.55000000000000004">
      <c r="A12" s="78"/>
      <c r="B12" s="79"/>
      <c r="C12" s="79"/>
      <c r="D12" s="79"/>
      <c r="E12" s="79"/>
      <c r="F12" s="79"/>
      <c r="G12" s="150" t="str">
        <f>VLOOKUP(G11,市町村データ!A2:P106,MATCH(手順書_丁目_交通!$F$64, 市町村データ!A1:P1, 0),FALSE)</f>
        <v/>
      </c>
      <c r="H12" s="151"/>
      <c r="I12" s="151"/>
      <c r="J12" s="157"/>
      <c r="K12" s="150" t="str">
        <f>VLOOKUP(K11,市町村データ!A2:P106,MATCH(手順書_丁目_交通!$F$64, 市町村データ!A1:P1, 0),FALSE)</f>
        <v>○新座柳瀬高校入口</v>
      </c>
      <c r="L12" s="151"/>
      <c r="M12" s="151"/>
      <c r="N12" s="151"/>
      <c r="O12" s="79"/>
      <c r="P12" s="79"/>
      <c r="Q12" s="79"/>
      <c r="R12" s="79"/>
      <c r="S12" s="150" t="str">
        <f>VLOOKUP(S11,市町村データ!A2:P106,MATCH(手順書_丁目_交通!$F$64, 市町村データ!A1:P1, 0),FALSE)</f>
        <v>○新座車庫</v>
      </c>
      <c r="T12" s="151"/>
      <c r="U12" s="151"/>
      <c r="V12" s="157"/>
      <c r="W12" s="150" t="str">
        <f>VLOOKUP(W11,市町村データ!A2:P106,MATCH(手順書_丁目_交通!$F$64, 市町村データ!A1:P1, 0),FALSE)</f>
        <v/>
      </c>
      <c r="X12" s="151"/>
      <c r="Y12" s="151"/>
      <c r="Z12" s="157"/>
      <c r="AA12" s="150" t="str">
        <f>VLOOKUP(AA11,市町村データ!A2:P106,MATCH(手順書_丁目_交通!$F$64, 市町村データ!A1:P1, 0),FALSE)</f>
        <v>○北野入口</v>
      </c>
      <c r="AB12" s="151"/>
      <c r="AC12" s="151"/>
      <c r="AD12" s="157"/>
      <c r="AE12" s="150" t="str">
        <f>VLOOKUP(AE11,市町村データ!A2:P106,MATCH(手順書_丁目_交通!$F$64, 市町村データ!A1:P1, 0),FALSE)</f>
        <v>○東三丁目</v>
      </c>
      <c r="AF12" s="151"/>
      <c r="AG12" s="151"/>
      <c r="AH12" s="157"/>
      <c r="AI12" s="150" t="str">
        <f>VLOOKUP(AI11,市町村データ!A2:P106,MATCH(手順書_丁目_交通!$F$64, 市町村データ!A1:P1, 0),FALSE)</f>
        <v/>
      </c>
      <c r="AJ12" s="151"/>
      <c r="AK12" s="151"/>
      <c r="AL12" s="157"/>
      <c r="AM12" s="150" t="str">
        <f>VLOOKUP(AM11,市町村データ!A2:P106,MATCH(手順書_丁目_交通!$F$64, 市町村データ!A1:P1, 0),FALSE)</f>
        <v>○東一丁目</v>
      </c>
      <c r="AN12" s="151"/>
      <c r="AO12" s="151"/>
      <c r="AP12" s="157"/>
      <c r="AQ12" s="92"/>
      <c r="AR12" s="87"/>
      <c r="AS12" s="87"/>
      <c r="AT12" s="87"/>
      <c r="AU12" s="79"/>
      <c r="AV12" s="79"/>
      <c r="AW12" s="79"/>
      <c r="AX12" s="79"/>
      <c r="AY12" s="79"/>
      <c r="AZ12" s="79"/>
      <c r="BA12" s="79"/>
      <c r="BB12" s="79"/>
      <c r="BC12" s="79"/>
      <c r="BD12" s="79"/>
      <c r="BE12" s="79"/>
      <c r="BF12" s="79"/>
      <c r="BG12" s="79"/>
      <c r="BH12" s="79"/>
      <c r="BI12" s="79"/>
      <c r="BJ12" s="79"/>
      <c r="BK12" s="79"/>
      <c r="BL12" s="79"/>
      <c r="BM12" s="79"/>
      <c r="BN12" s="79"/>
      <c r="BO12" s="79"/>
      <c r="BP12" s="79"/>
      <c r="BQ12" s="79"/>
      <c r="BR12" s="79"/>
      <c r="BS12" s="88"/>
      <c r="BT12" s="78"/>
    </row>
    <row r="13" spans="1:72" ht="21.15" customHeight="1" x14ac:dyDescent="0.55000000000000004">
      <c r="A13" s="78"/>
      <c r="B13" s="79"/>
      <c r="C13" s="79"/>
      <c r="D13" s="79"/>
      <c r="E13" s="79"/>
      <c r="F13" s="79"/>
      <c r="G13" s="150" t="str">
        <f>VLOOKUP(G11,市町村データ!A2:P106,MATCH(手順書_丁目_交通!$F$65, 市町村データ!A1:P1, 0),FALSE)</f>
        <v/>
      </c>
      <c r="H13" s="151"/>
      <c r="I13" s="151"/>
      <c r="J13" s="157"/>
      <c r="K13" s="150" t="str">
        <f>VLOOKUP(K11,市町村データ!A2:P106,MATCH(手順書_丁目_交通!$F$65, 市町村データ!A1:P1, 0),FALSE)</f>
        <v>○英橋</v>
      </c>
      <c r="L13" s="151"/>
      <c r="M13" s="151"/>
      <c r="N13" s="151"/>
      <c r="O13" s="79"/>
      <c r="P13" s="79"/>
      <c r="Q13" s="79"/>
      <c r="R13" s="79"/>
      <c r="S13" s="150" t="str">
        <f>VLOOKUP(S11,市町村データ!A2:P106,MATCH(手順書_丁目_交通!$F$65, 市町村データ!A1:P1, 0),FALSE)</f>
        <v/>
      </c>
      <c r="T13" s="151"/>
      <c r="U13" s="151"/>
      <c r="V13" s="157"/>
      <c r="W13" s="150" t="str">
        <f>VLOOKUP(W11,市町村データ!A2:P106,MATCH(手順書_丁目_交通!$F$65, 市町村データ!A1:P1, 0),FALSE)</f>
        <v/>
      </c>
      <c r="X13" s="151"/>
      <c r="Y13" s="151"/>
      <c r="Z13" s="157"/>
      <c r="AA13" s="150" t="str">
        <f>VLOOKUP(AA11,市町村データ!A2:P106,MATCH(手順書_丁目_交通!$F$65, 市町村データ!A1:P1, 0),FALSE)</f>
        <v>○立教前</v>
      </c>
      <c r="AB13" s="151"/>
      <c r="AC13" s="151"/>
      <c r="AD13" s="157"/>
      <c r="AE13" s="150" t="str">
        <f>VLOOKUP(AE11,市町村データ!A2:P106,MATCH(手順書_丁目_交通!$F$65, 市町村データ!A1:P1, 0),FALSE)</f>
        <v/>
      </c>
      <c r="AF13" s="151"/>
      <c r="AG13" s="151"/>
      <c r="AH13" s="157"/>
      <c r="AI13" s="150" t="str">
        <f>VLOOKUP(AI11,市町村データ!A2:P106,MATCH(手順書_丁目_交通!$F$65, 市町村データ!A1:P1, 0),FALSE)</f>
        <v/>
      </c>
      <c r="AJ13" s="151"/>
      <c r="AK13" s="151"/>
      <c r="AL13" s="157"/>
      <c r="AM13" s="150" t="str">
        <f>VLOOKUP(AM11,市町村データ!A2:P106,MATCH(手順書_丁目_交通!$F$65, 市町村データ!A1:P1, 0),FALSE)</f>
        <v/>
      </c>
      <c r="AN13" s="151"/>
      <c r="AO13" s="151"/>
      <c r="AP13" s="157"/>
      <c r="AQ13" s="93"/>
      <c r="AR13" s="89"/>
      <c r="AS13" s="89"/>
      <c r="AT13" s="89"/>
      <c r="AU13" s="79"/>
      <c r="AV13" s="79"/>
      <c r="AW13" s="79"/>
      <c r="AX13" s="79"/>
      <c r="AY13" s="79"/>
      <c r="AZ13" s="79"/>
      <c r="BA13" s="79"/>
      <c r="BB13" s="79"/>
      <c r="BC13" s="79"/>
      <c r="BD13" s="79"/>
      <c r="BE13" s="79"/>
      <c r="BF13" s="79"/>
      <c r="BG13" s="79"/>
      <c r="BH13" s="79"/>
      <c r="BI13" s="79"/>
      <c r="BJ13" s="79"/>
      <c r="BK13" s="79"/>
      <c r="BL13" s="79"/>
      <c r="BM13" s="79"/>
      <c r="BN13" s="79"/>
      <c r="BO13" s="79"/>
      <c r="BP13" s="79"/>
      <c r="BQ13" s="79"/>
      <c r="BR13" s="79"/>
      <c r="BS13" s="88"/>
      <c r="BT13" s="78"/>
    </row>
    <row r="14" spans="1:72" ht="21.15" customHeight="1" thickBot="1" x14ac:dyDescent="0.6">
      <c r="A14" s="78"/>
      <c r="B14" s="79"/>
      <c r="C14" s="79"/>
      <c r="D14" s="79"/>
      <c r="E14" s="79"/>
      <c r="F14" s="79"/>
      <c r="G14" s="170" t="str">
        <f>VLOOKUP(G11,市町村データ!A2:P106,MATCH(手順書_丁目_交通!$F$66, 市町村データ!A1:P1, 0),FALSE)</f>
        <v/>
      </c>
      <c r="H14" s="171"/>
      <c r="I14" s="171"/>
      <c r="J14" s="172"/>
      <c r="K14" s="170" t="str">
        <f>VLOOKUP(K11,市町村データ!A2:P106,MATCH(手順書_丁目_交通!$F$66, 市町村データ!A1:P1, 0),FALSE)</f>
        <v>○大和田</v>
      </c>
      <c r="L14" s="171"/>
      <c r="M14" s="171"/>
      <c r="N14" s="171"/>
      <c r="O14" s="79"/>
      <c r="P14" s="79"/>
      <c r="Q14" s="79"/>
      <c r="R14" s="79"/>
      <c r="S14" s="170" t="str">
        <f>VLOOKUP(S11,市町村データ!A2:P106,MATCH(手順書_丁目_交通!$F$66, 市町村データ!A1:P1, 0),FALSE)</f>
        <v/>
      </c>
      <c r="T14" s="171"/>
      <c r="U14" s="171"/>
      <c r="V14" s="172"/>
      <c r="W14" s="170" t="str">
        <f>VLOOKUP(W11,市町村データ!A2:P106,MATCH(手順書_丁目_交通!$F$66, 市町村データ!A1:P1, 0),FALSE)</f>
        <v/>
      </c>
      <c r="X14" s="171"/>
      <c r="Y14" s="171"/>
      <c r="Z14" s="172"/>
      <c r="AA14" s="170" t="str">
        <f>VLOOKUP(AA11,市町村データ!A2:P106,MATCH(手順書_丁目_交通!$F$66, 市町村データ!A1:P1, 0),FALSE)</f>
        <v/>
      </c>
      <c r="AB14" s="171"/>
      <c r="AC14" s="171"/>
      <c r="AD14" s="172"/>
      <c r="AE14" s="170" t="str">
        <f>VLOOKUP(AE11,市町村データ!A2:P106,MATCH(手順書_丁目_交通!$F$66, 市町村データ!A1:P1, 0),FALSE)</f>
        <v/>
      </c>
      <c r="AF14" s="171"/>
      <c r="AG14" s="171"/>
      <c r="AH14" s="172"/>
      <c r="AI14" s="170" t="str">
        <f>VLOOKUP(AI11,市町村データ!A2:P106,MATCH(手順書_丁目_交通!$F$66, 市町村データ!A1:P1, 0),FALSE)</f>
        <v/>
      </c>
      <c r="AJ14" s="171"/>
      <c r="AK14" s="171"/>
      <c r="AL14" s="172"/>
      <c r="AM14" s="170" t="str">
        <f>VLOOKUP(AM11,市町村データ!A2:P106,MATCH(手順書_丁目_交通!$F$66, 市町村データ!A1:P1, 0),FALSE)</f>
        <v/>
      </c>
      <c r="AN14" s="171"/>
      <c r="AO14" s="171"/>
      <c r="AP14" s="172"/>
      <c r="AQ14" s="85"/>
      <c r="AR14" s="79"/>
      <c r="AS14" s="79"/>
      <c r="AT14" s="79"/>
      <c r="AU14" s="79"/>
      <c r="AV14" s="79"/>
      <c r="AW14" s="79"/>
      <c r="AX14" s="79"/>
      <c r="AY14" s="79"/>
      <c r="AZ14" s="79"/>
      <c r="BA14" s="79"/>
      <c r="BB14" s="79"/>
      <c r="BC14" s="79"/>
      <c r="BD14" s="79"/>
      <c r="BE14" s="79"/>
      <c r="BF14" s="79"/>
      <c r="BG14" s="79"/>
      <c r="BH14" s="79"/>
      <c r="BI14" s="79"/>
      <c r="BJ14" s="79"/>
      <c r="BK14" s="79"/>
      <c r="BL14" s="79"/>
      <c r="BM14" s="79"/>
      <c r="BN14" s="79"/>
      <c r="BO14" s="79"/>
      <c r="BP14" s="79"/>
      <c r="BQ14" s="79"/>
      <c r="BR14" s="79"/>
      <c r="BS14" s="88"/>
      <c r="BT14" s="78"/>
    </row>
    <row r="15" spans="1:72" ht="21.15" customHeight="1" x14ac:dyDescent="0.55000000000000004">
      <c r="A15" s="78"/>
      <c r="B15" s="79"/>
      <c r="C15" s="81" t="s">
        <v>134</v>
      </c>
      <c r="D15" s="79"/>
      <c r="E15" s="79"/>
      <c r="F15" s="79"/>
      <c r="G15" s="82">
        <v>15</v>
      </c>
      <c r="H15" s="142" t="str">
        <f>VLOOKUP(G15,市町村データ!A2:P106,MATCH(手順書_丁目_交通!$G$63, 市町村データ!A1:P1, 0),FALSE)</f>
        <v>中野1</v>
      </c>
      <c r="I15" s="154"/>
      <c r="J15" s="159"/>
      <c r="K15" s="82">
        <v>16</v>
      </c>
      <c r="L15" s="142" t="str">
        <f>VLOOKUP(K15,市町村データ!A2:P106,MATCH(手順書_丁目_交通!$G$63, 市町村データ!A1:P1, 0),FALSE)</f>
        <v>大和田3</v>
      </c>
      <c r="M15" s="154"/>
      <c r="N15" s="159"/>
      <c r="O15" s="82">
        <v>17</v>
      </c>
      <c r="P15" s="142" t="str">
        <f>VLOOKUP(O15,市町村データ!A2:P106,MATCH(手順書_丁目_交通!$G$63, 市町村データ!A1:P1, 0),FALSE)</f>
        <v>大和田2</v>
      </c>
      <c r="Q15" s="154"/>
      <c r="R15" s="159"/>
      <c r="S15" s="82">
        <v>18</v>
      </c>
      <c r="T15" s="142" t="str">
        <f>VLOOKUP(S15,市町村データ!A2:P106,MATCH(手順書_丁目_交通!$G$63, 市町村データ!A1:P1, 0),FALSE)</f>
        <v>大和田1</v>
      </c>
      <c r="U15" s="154"/>
      <c r="V15" s="159"/>
      <c r="W15" s="82">
        <v>19</v>
      </c>
      <c r="X15" s="142" t="str">
        <f>VLOOKUP(W15,市町村データ!A2:P106,MATCH(手順書_丁目_交通!$G$63, 市町村データ!A1:P1, 0),FALSE)</f>
        <v>野火止5</v>
      </c>
      <c r="Y15" s="154"/>
      <c r="Z15" s="159"/>
      <c r="AA15" s="82">
        <v>20</v>
      </c>
      <c r="AB15" s="142" t="str">
        <f>VLOOKUP(AA15,市町村データ!A2:P106,MATCH(手順書_丁目_交通!$G$63, 市町村データ!A1:P1, 0),FALSE)</f>
        <v>野火止6</v>
      </c>
      <c r="AC15" s="154"/>
      <c r="AD15" s="159"/>
      <c r="AE15" s="82">
        <v>21</v>
      </c>
      <c r="AF15" s="142" t="str">
        <f>VLOOKUP(AE15,市町村データ!A2:P106,MATCH(手順書_丁目_交通!$G$63, 市町村データ!A1:P1, 0),FALSE)</f>
        <v>野火止7</v>
      </c>
      <c r="AG15" s="154"/>
      <c r="AH15" s="159"/>
      <c r="AI15" s="82">
        <v>22</v>
      </c>
      <c r="AJ15" s="142" t="str">
        <f>VLOOKUP(AI15,市町村データ!A2:P106,MATCH(手順書_丁目_交通!$G$63, 市町村データ!A1:P1, 0),FALSE)</f>
        <v>野火止8</v>
      </c>
      <c r="AK15" s="154"/>
      <c r="AL15" s="159"/>
      <c r="AM15" s="82">
        <v>23</v>
      </c>
      <c r="AN15" s="142" t="str">
        <f>VLOOKUP(AM15,市町村データ!A2:P106,MATCH(手順書_丁目_交通!$G$63, 市町村データ!A1:P1, 0),FALSE)</f>
        <v>畑中3</v>
      </c>
      <c r="AO15" s="154"/>
      <c r="AP15" s="159"/>
      <c r="AQ15" s="91"/>
      <c r="AR15" s="79"/>
      <c r="AS15" s="79"/>
      <c r="AT15" s="79"/>
      <c r="AU15" s="79"/>
      <c r="AV15" s="79"/>
      <c r="AW15" s="79"/>
      <c r="AX15" s="79"/>
      <c r="AY15" s="79"/>
      <c r="AZ15" s="79"/>
      <c r="BA15" s="79"/>
      <c r="BB15" s="79"/>
      <c r="BC15" s="79"/>
      <c r="BD15" s="79"/>
      <c r="BE15" s="79"/>
      <c r="BF15" s="79"/>
      <c r="BG15" s="79"/>
      <c r="BH15" s="79"/>
      <c r="BI15" s="79"/>
      <c r="BJ15" s="79"/>
      <c r="BK15" s="86"/>
      <c r="BL15" s="79"/>
      <c r="BM15" s="79"/>
      <c r="BN15" s="79"/>
      <c r="BO15" s="79"/>
      <c r="BP15" s="79"/>
      <c r="BQ15" s="79"/>
      <c r="BR15" s="79"/>
      <c r="BS15" s="88"/>
      <c r="BT15" s="78"/>
    </row>
    <row r="16" spans="1:72" ht="21.15" customHeight="1" x14ac:dyDescent="0.55000000000000004">
      <c r="A16" s="78"/>
      <c r="B16" s="79"/>
      <c r="C16" s="79"/>
      <c r="D16" s="79"/>
      <c r="E16" s="79"/>
      <c r="F16" s="79"/>
      <c r="G16" s="150" t="str">
        <f>VLOOKUP(G15,市町村データ!A2:P106,MATCH(手順書_丁目_交通!$F$64, 市町村データ!A1:P1, 0),FALSE)</f>
        <v>○中野</v>
      </c>
      <c r="H16" s="151"/>
      <c r="I16" s="151"/>
      <c r="J16" s="157"/>
      <c r="K16" s="150" t="str">
        <f>VLOOKUP(K15,市町村データ!A2:P106,MATCH(手順書_丁目_交通!$F$64, 市町村データ!A1:P1, 0),FALSE)</f>
        <v>○第二老人福祉センター</v>
      </c>
      <c r="L16" s="151"/>
      <c r="M16" s="151"/>
      <c r="N16" s="157"/>
      <c r="O16" s="150" t="str">
        <f>VLOOKUP(O15,市町村データ!A2:P106,MATCH(手順書_丁目_交通!$F$64, 市町村データ!A1:P1, 0),FALSE)</f>
        <v/>
      </c>
      <c r="P16" s="151"/>
      <c r="Q16" s="151"/>
      <c r="R16" s="157"/>
      <c r="S16" s="150" t="str">
        <f>VLOOKUP(S15,市町村データ!A2:P106,MATCH(手順書_丁目_交通!$F$64, 市町村データ!A1:P1, 0),FALSE)</f>
        <v>○新座駅北入口</v>
      </c>
      <c r="T16" s="151"/>
      <c r="U16" s="151"/>
      <c r="V16" s="157"/>
      <c r="W16" s="150" t="str">
        <f>VLOOKUP(W15,市町村データ!A2:P106,MATCH(手順書_丁目_交通!$F$64, 市町村データ!A1:P1, 0),FALSE)</f>
        <v>◆新座駅</v>
      </c>
      <c r="X16" s="151"/>
      <c r="Y16" s="151"/>
      <c r="Z16" s="157"/>
      <c r="AA16" s="150" t="str">
        <f>VLOOKUP(AA15,市町村データ!A2:P106,MATCH(手順書_丁目_交通!$F$64, 市町村データ!A1:P1, 0),FALSE)</f>
        <v>○中堀</v>
      </c>
      <c r="AB16" s="151"/>
      <c r="AC16" s="151"/>
      <c r="AD16" s="157"/>
      <c r="AE16" s="150" t="str">
        <f>VLOOKUP(AE15,市町村データ!A2:P106,MATCH(手順書_丁目_交通!$F$64, 市町村データ!A1:P1, 0),FALSE)</f>
        <v>○野火止中</v>
      </c>
      <c r="AF16" s="151"/>
      <c r="AG16" s="151"/>
      <c r="AH16" s="157"/>
      <c r="AI16" s="150" t="str">
        <f>VLOOKUP(AI15,市町村データ!A2:P106,MATCH(手順書_丁目_交通!$F$64, 市町村データ!A1:P1, 0),FALSE)</f>
        <v>○新座警察署前</v>
      </c>
      <c r="AJ16" s="151"/>
      <c r="AK16" s="151"/>
      <c r="AL16" s="157"/>
      <c r="AM16" s="150" t="str">
        <f>VLOOKUP(AM15,市町村データ!A2:P106,MATCH(手順書_丁目_交通!$F$64, 市町村データ!A1:P1, 0),FALSE)</f>
        <v>○榎木</v>
      </c>
      <c r="AN16" s="151"/>
      <c r="AO16" s="151"/>
      <c r="AP16" s="157"/>
      <c r="AQ16" s="92"/>
      <c r="AR16" s="87"/>
      <c r="AS16" s="87"/>
      <c r="AT16" s="87"/>
      <c r="AU16" s="79"/>
      <c r="AV16" s="79"/>
      <c r="AW16" s="79"/>
      <c r="AX16" s="79"/>
      <c r="AY16" s="79"/>
      <c r="AZ16" s="79"/>
      <c r="BA16" s="79"/>
      <c r="BB16" s="79"/>
      <c r="BC16" s="79"/>
      <c r="BD16" s="79"/>
      <c r="BE16" s="79"/>
      <c r="BF16" s="79"/>
      <c r="BG16" s="79"/>
      <c r="BH16" s="79"/>
      <c r="BI16" s="79"/>
      <c r="BJ16" s="79"/>
      <c r="BK16" s="87"/>
      <c r="BL16" s="87"/>
      <c r="BM16" s="87"/>
      <c r="BN16" s="87"/>
      <c r="BO16" s="79"/>
      <c r="BP16" s="79"/>
      <c r="BQ16" s="79"/>
      <c r="BR16" s="79"/>
      <c r="BS16" s="88"/>
      <c r="BT16" s="78"/>
    </row>
    <row r="17" spans="1:72" ht="21.15" customHeight="1" x14ac:dyDescent="0.55000000000000004">
      <c r="A17" s="78"/>
      <c r="B17" s="79"/>
      <c r="C17" s="79"/>
      <c r="D17" s="79"/>
      <c r="E17" s="79"/>
      <c r="F17" s="79"/>
      <c r="G17" s="150" t="str">
        <f>VLOOKUP(G15,市町村データ!A2:P106,MATCH(手順書_丁目_交通!$F$65, 市町村データ!A1:P1, 0),FALSE)</f>
        <v>○跡見女子大</v>
      </c>
      <c r="H17" s="151"/>
      <c r="I17" s="151"/>
      <c r="J17" s="157"/>
      <c r="K17" s="150" t="str">
        <f>VLOOKUP(K15,市町村データ!A2:P106,MATCH(手順書_丁目_交通!$F$65, 市町村データ!A1:P1, 0),FALSE)</f>
        <v/>
      </c>
      <c r="L17" s="151"/>
      <c r="M17" s="151"/>
      <c r="N17" s="157"/>
      <c r="O17" s="150" t="str">
        <f>VLOOKUP(O15,市町村データ!A2:P106,MATCH(手順書_丁目_交通!$F$65, 市町村データ!A1:P1, 0),FALSE)</f>
        <v/>
      </c>
      <c r="P17" s="151"/>
      <c r="Q17" s="151"/>
      <c r="R17" s="157"/>
      <c r="S17" s="150" t="str">
        <f>VLOOKUP(S15,市町村データ!A2:P106,MATCH(手順書_丁目_交通!$F$65, 市町村データ!A1:P1, 0),FALSE)</f>
        <v/>
      </c>
      <c r="T17" s="151"/>
      <c r="U17" s="151"/>
      <c r="V17" s="157"/>
      <c r="W17" s="150" t="str">
        <f>VLOOKUP(W15,市町村データ!A2:P106,MATCH(手順書_丁目_交通!$F$65, 市町村データ!A1:P1, 0),FALSE)</f>
        <v>○ふるさと小道</v>
      </c>
      <c r="X17" s="151"/>
      <c r="Y17" s="151"/>
      <c r="Z17" s="157"/>
      <c r="AA17" s="150" t="str">
        <f>VLOOKUP(AA15,市町村データ!A2:P106,MATCH(手順書_丁目_交通!$F$65, 市町村データ!A1:P1, 0),FALSE)</f>
        <v/>
      </c>
      <c r="AB17" s="151"/>
      <c r="AC17" s="151"/>
      <c r="AD17" s="157"/>
      <c r="AE17" s="150" t="str">
        <f>VLOOKUP(AE15,市町村データ!A2:P106,MATCH(手順書_丁目_交通!$F$65, 市町村データ!A1:P1, 0),FALSE)</f>
        <v>○野火止七丁目</v>
      </c>
      <c r="AF17" s="151"/>
      <c r="AG17" s="151"/>
      <c r="AH17" s="157"/>
      <c r="AI17" s="150" t="str">
        <f>VLOOKUP(AI15,市町村データ!A2:P106,MATCH(手順書_丁目_交通!$F$65, 市町村データ!A1:P1, 0),FALSE)</f>
        <v>○野火止大門</v>
      </c>
      <c r="AJ17" s="151"/>
      <c r="AK17" s="151"/>
      <c r="AL17" s="157"/>
      <c r="AM17" s="150" t="str">
        <f>VLOOKUP(AM15,市町村データ!A2:P106,MATCH(手順書_丁目_交通!$F$65, 市町村データ!A1:P1, 0),FALSE)</f>
        <v/>
      </c>
      <c r="AN17" s="151"/>
      <c r="AO17" s="151"/>
      <c r="AP17" s="157"/>
      <c r="AQ17" s="93"/>
      <c r="AR17" s="89"/>
      <c r="AS17" s="89"/>
      <c r="AT17" s="89"/>
      <c r="AU17" s="79"/>
      <c r="AV17" s="79"/>
      <c r="AW17" s="79"/>
      <c r="AX17" s="79"/>
      <c r="AY17" s="79"/>
      <c r="AZ17" s="79"/>
      <c r="BA17" s="79"/>
      <c r="BB17" s="79"/>
      <c r="BC17" s="79"/>
      <c r="BD17" s="79"/>
      <c r="BE17" s="79"/>
      <c r="BF17" s="79"/>
      <c r="BG17" s="79"/>
      <c r="BH17" s="79"/>
      <c r="BI17" s="79"/>
      <c r="BJ17" s="79"/>
      <c r="BK17" s="89"/>
      <c r="BL17" s="89"/>
      <c r="BM17" s="89"/>
      <c r="BN17" s="89"/>
      <c r="BO17" s="79"/>
      <c r="BP17" s="79"/>
      <c r="BQ17" s="79"/>
      <c r="BR17" s="79"/>
      <c r="BS17" s="79"/>
      <c r="BT17" s="78"/>
    </row>
    <row r="18" spans="1:72" ht="21.15" customHeight="1" thickBot="1" x14ac:dyDescent="0.6">
      <c r="A18" s="78"/>
      <c r="B18" s="79"/>
      <c r="C18" s="79"/>
      <c r="D18" s="79"/>
      <c r="E18" s="79"/>
      <c r="F18" s="79"/>
      <c r="G18" s="170" t="str">
        <f>VLOOKUP(G15,市町村データ!A2:P106,MATCH(手順書_丁目_交通!$F$66, 市町村データ!A1:P1, 0),FALSE)</f>
        <v/>
      </c>
      <c r="H18" s="171"/>
      <c r="I18" s="171"/>
      <c r="J18" s="172"/>
      <c r="K18" s="170" t="str">
        <f>VLOOKUP(K15,市町村データ!A2:P106,MATCH(手順書_丁目_交通!$F$66, 市町村データ!A1:P1, 0),FALSE)</f>
        <v/>
      </c>
      <c r="L18" s="171"/>
      <c r="M18" s="171"/>
      <c r="N18" s="172"/>
      <c r="O18" s="170" t="str">
        <f>VLOOKUP(O15,市町村データ!A2:P106,MATCH(手順書_丁目_交通!$F$66, 市町村データ!A1:P1, 0),FALSE)</f>
        <v/>
      </c>
      <c r="P18" s="171"/>
      <c r="Q18" s="171"/>
      <c r="R18" s="172"/>
      <c r="S18" s="170" t="str">
        <f>VLOOKUP(S15,市町村データ!A2:P106,MATCH(手順書_丁目_交通!$F$66, 市町村データ!A1:P1, 0),FALSE)</f>
        <v/>
      </c>
      <c r="T18" s="171"/>
      <c r="U18" s="171"/>
      <c r="V18" s="172"/>
      <c r="W18" s="170" t="str">
        <f>VLOOKUP(W15,市町村データ!A2:P106,MATCH(手順書_丁目_交通!$F$66, 市町村データ!A1:P1, 0),FALSE)</f>
        <v>○野火止角</v>
      </c>
      <c r="X18" s="171"/>
      <c r="Y18" s="171"/>
      <c r="Z18" s="172"/>
      <c r="AA18" s="170" t="str">
        <f>VLOOKUP(AA15,市町村データ!A2:P106,MATCH(手順書_丁目_交通!$F$66, 市町村データ!A1:P1, 0),FALSE)</f>
        <v/>
      </c>
      <c r="AB18" s="171"/>
      <c r="AC18" s="171"/>
      <c r="AD18" s="172"/>
      <c r="AE18" s="170" t="str">
        <f>VLOOKUP(AE15,市町村データ!A2:P106,MATCH(手順書_丁目_交通!$F$66, 市町村データ!A1:P1, 0),FALSE)</f>
        <v>○凸版印刷</v>
      </c>
      <c r="AF18" s="171"/>
      <c r="AG18" s="171"/>
      <c r="AH18" s="172"/>
      <c r="AI18" s="170" t="str">
        <f>VLOOKUP(AI15,市町村データ!A2:P106,MATCH(手順書_丁目_交通!$F$66, 市町村データ!A1:P1, 0),FALSE)</f>
        <v>○野火止坂上</v>
      </c>
      <c r="AJ18" s="171"/>
      <c r="AK18" s="171"/>
      <c r="AL18" s="172"/>
      <c r="AM18" s="170" t="str">
        <f>VLOOKUP(AM15,市町村データ!A2:P106,MATCH(手順書_丁目_交通!$F$66, 市町村データ!A1:P1, 0),FALSE)</f>
        <v/>
      </c>
      <c r="AN18" s="171"/>
      <c r="AO18" s="171"/>
      <c r="AP18" s="172"/>
      <c r="AQ18" s="85"/>
      <c r="AR18" s="79"/>
      <c r="AS18" s="79"/>
      <c r="AT18" s="79"/>
      <c r="AU18" s="79"/>
      <c r="AV18" s="79"/>
      <c r="AW18" s="79"/>
      <c r="AX18" s="79"/>
      <c r="AY18" s="79"/>
      <c r="AZ18" s="79"/>
      <c r="BA18" s="79"/>
      <c r="BB18" s="79"/>
      <c r="BC18" s="79"/>
      <c r="BD18" s="79"/>
      <c r="BE18" s="79"/>
      <c r="BF18" s="79"/>
      <c r="BG18" s="79"/>
      <c r="BH18" s="79"/>
      <c r="BI18" s="79"/>
      <c r="BJ18" s="79"/>
      <c r="BK18" s="79"/>
      <c r="BL18" s="79"/>
      <c r="BM18" s="79"/>
      <c r="BN18" s="79"/>
      <c r="BO18" s="79"/>
      <c r="BP18" s="79"/>
      <c r="BQ18" s="79"/>
      <c r="BR18" s="79"/>
      <c r="BS18" s="79"/>
      <c r="BT18" s="78"/>
    </row>
    <row r="19" spans="1:72" ht="21.15" customHeight="1" x14ac:dyDescent="0.55000000000000004">
      <c r="A19" s="78"/>
      <c r="B19" s="79"/>
      <c r="C19" s="81" t="s">
        <v>64</v>
      </c>
      <c r="D19" s="79"/>
      <c r="E19" s="79"/>
      <c r="F19" s="79"/>
      <c r="G19" s="95"/>
      <c r="H19" s="84"/>
      <c r="I19" s="84"/>
      <c r="J19" s="84"/>
      <c r="K19" s="95"/>
      <c r="L19" s="84"/>
      <c r="M19" s="84"/>
      <c r="N19" s="84"/>
      <c r="O19" s="82">
        <v>24</v>
      </c>
      <c r="P19" s="142" t="str">
        <f>VLOOKUP(O19,市町村データ!A2:P106,MATCH(手順書_丁目_交通!$G$63, 市町村データ!A1:P1, 0),FALSE)</f>
        <v>菅沢2</v>
      </c>
      <c r="Q19" s="154"/>
      <c r="R19" s="159"/>
      <c r="S19" s="82">
        <v>25</v>
      </c>
      <c r="T19" s="142" t="str">
        <f>VLOOKUP(S19,市町村データ!A2:P106,MATCH(手順書_丁目_交通!$G$63, 市町村データ!A1:P1, 0),FALSE)</f>
        <v>菅沢1</v>
      </c>
      <c r="U19" s="154"/>
      <c r="V19" s="159"/>
      <c r="W19" s="82">
        <v>26</v>
      </c>
      <c r="X19" s="142" t="str">
        <f>VLOOKUP(W19,市町村データ!A2:P106,MATCH(手順書_丁目_交通!$G$63, 市町村データ!A1:P1, 0),FALSE)</f>
        <v>野火止4</v>
      </c>
      <c r="Y19" s="154"/>
      <c r="Z19" s="159"/>
      <c r="AA19" s="82">
        <v>27</v>
      </c>
      <c r="AB19" s="142" t="str">
        <f>VLOOKUP(AA19,市町村データ!A2:P106,MATCH(手順書_丁目_交通!$G$63, 市町村データ!A1:P1, 0),FALSE)</f>
        <v>野火止3</v>
      </c>
      <c r="AC19" s="154"/>
      <c r="AD19" s="159"/>
      <c r="AE19" s="82">
        <v>28</v>
      </c>
      <c r="AF19" s="142" t="str">
        <f>VLOOKUP(AE19,市町村データ!A2:P106,MATCH(手順書_丁目_交通!$G$63, 市町村データ!A1:P1, 0),FALSE)</f>
        <v>野火止2</v>
      </c>
      <c r="AG19" s="154"/>
      <c r="AH19" s="159"/>
      <c r="AI19" s="82">
        <v>29</v>
      </c>
      <c r="AJ19" s="142" t="str">
        <f>VLOOKUP(AI19,市町村データ!A2:P106,MATCH(手順書_丁目_交通!$G$63, 市町村データ!A1:P1, 0),FALSE)</f>
        <v>野火止1</v>
      </c>
      <c r="AK19" s="154"/>
      <c r="AL19" s="159"/>
      <c r="AM19" s="82">
        <v>30</v>
      </c>
      <c r="AN19" s="142" t="str">
        <f>VLOOKUP(AM19,市町村データ!A2:P106,MATCH(手順書_丁目_交通!$G$63, 市町村データ!A1:P1, 0),FALSE)</f>
        <v>畑中1</v>
      </c>
      <c r="AO19" s="154"/>
      <c r="AP19" s="159"/>
      <c r="AQ19" s="82">
        <v>31</v>
      </c>
      <c r="AR19" s="142" t="str">
        <f>VLOOKUP(AQ19,市町村データ!A2:P106,MATCH(手順書_丁目_交通!$G$63, 市町村データ!A1:P1, 0),FALSE)</f>
        <v>畑中2</v>
      </c>
      <c r="AS19" s="154"/>
      <c r="AT19" s="159"/>
      <c r="AU19" s="91"/>
      <c r="AV19" s="79"/>
      <c r="AW19" s="79"/>
      <c r="AX19" s="79"/>
      <c r="AY19" s="86"/>
      <c r="AZ19" s="79"/>
      <c r="BA19" s="79"/>
      <c r="BB19" s="79"/>
      <c r="BC19" s="86"/>
      <c r="BD19" s="79"/>
      <c r="BE19" s="79"/>
      <c r="BF19" s="79"/>
      <c r="BG19" s="86"/>
      <c r="BH19" s="79"/>
      <c r="BI19" s="79"/>
      <c r="BJ19" s="79"/>
      <c r="BK19" s="86"/>
      <c r="BL19" s="79"/>
      <c r="BM19" s="79"/>
      <c r="BN19" s="79"/>
      <c r="BO19" s="79"/>
      <c r="BP19" s="79"/>
      <c r="BQ19" s="79"/>
      <c r="BR19" s="79"/>
      <c r="BS19" s="79"/>
      <c r="BT19" s="78"/>
    </row>
    <row r="20" spans="1:72" ht="21.15" customHeight="1" x14ac:dyDescent="0.55000000000000004">
      <c r="A20" s="78"/>
      <c r="B20" s="79"/>
      <c r="C20" s="79"/>
      <c r="D20" s="79"/>
      <c r="E20" s="79"/>
      <c r="F20" s="79"/>
      <c r="G20" s="87"/>
      <c r="H20" s="87"/>
      <c r="I20" s="87"/>
      <c r="J20" s="87"/>
      <c r="K20" s="87"/>
      <c r="L20" s="87"/>
      <c r="M20" s="87"/>
      <c r="N20" s="87"/>
      <c r="O20" s="150" t="str">
        <f>VLOOKUP(O19,市町村データ!A2:P106,MATCH(手順書_丁目_交通!$F$64, 市町村データ!A1:P1, 0),FALSE)</f>
        <v>○十文字女子大前</v>
      </c>
      <c r="P20" s="151"/>
      <c r="Q20" s="151"/>
      <c r="R20" s="157"/>
      <c r="S20" s="150" t="str">
        <f>VLOOKUP(S19,市町村データ!A2:P106,MATCH(手順書_丁目_交通!$F$64, 市町村データ!A1:P1, 0),FALSE)</f>
        <v>○オリエンタル酵母工業前</v>
      </c>
      <c r="T20" s="151"/>
      <c r="U20" s="151"/>
      <c r="V20" s="157"/>
      <c r="W20" s="150" t="str">
        <f>VLOOKUP(W19,市町村データ!A2:P106,MATCH(手順書_丁目_交通!$F$64, 市町村データ!A1:P1, 0),FALSE)</f>
        <v>○望芙台住宅</v>
      </c>
      <c r="X20" s="151"/>
      <c r="Y20" s="151"/>
      <c r="Z20" s="157"/>
      <c r="AA20" s="150" t="str">
        <f>VLOOKUP(AA19,市町村データ!A2:P106,MATCH(手順書_丁目_交通!$F$64, 市町村データ!A1:P1, 0),FALSE)</f>
        <v>○新座市役所</v>
      </c>
      <c r="AB20" s="151"/>
      <c r="AC20" s="151"/>
      <c r="AD20" s="157"/>
      <c r="AE20" s="150" t="str">
        <f>VLOOKUP(AE19,市町村データ!A2:P106,MATCH(手順書_丁目_交通!$F$64, 市町村データ!A1:P1, 0),FALSE)</f>
        <v>○新座中学校</v>
      </c>
      <c r="AF20" s="151"/>
      <c r="AG20" s="151"/>
      <c r="AH20" s="157"/>
      <c r="AI20" s="150" t="str">
        <f>VLOOKUP(AI19,市町村データ!A2:P106,MATCH(手順書_丁目_交通!$F$64, 市町村データ!A1:P1, 0),FALSE)</f>
        <v>○野火止ふれあい公園前</v>
      </c>
      <c r="AJ20" s="151"/>
      <c r="AK20" s="151"/>
      <c r="AL20" s="157"/>
      <c r="AM20" s="150" t="str">
        <f>VLOOKUP(AM19,市町村データ!A2:P106,MATCH(手順書_丁目_交通!$F$64, 市町村データ!A1:P1, 0),FALSE)</f>
        <v>○エクレール前</v>
      </c>
      <c r="AN20" s="151"/>
      <c r="AO20" s="151"/>
      <c r="AP20" s="157"/>
      <c r="AQ20" s="150" t="str">
        <f>VLOOKUP(AQ19,市町村データ!A2:P106,MATCH(手順書_丁目_交通!$F$64, 市町村データ!A1:P1, 0),FALSE)</f>
        <v>○東福寺前</v>
      </c>
      <c r="AR20" s="151"/>
      <c r="AS20" s="151"/>
      <c r="AT20" s="157"/>
      <c r="AU20" s="92"/>
      <c r="AV20" s="87"/>
      <c r="AW20" s="87"/>
      <c r="AX20" s="87"/>
      <c r="AY20" s="87"/>
      <c r="AZ20" s="87"/>
      <c r="BA20" s="87"/>
      <c r="BB20" s="87"/>
      <c r="BC20" s="87"/>
      <c r="BD20" s="87"/>
      <c r="BE20" s="87"/>
      <c r="BF20" s="87"/>
      <c r="BG20" s="87"/>
      <c r="BH20" s="87"/>
      <c r="BI20" s="87"/>
      <c r="BJ20" s="87"/>
      <c r="BK20" s="87"/>
      <c r="BL20" s="87"/>
      <c r="BM20" s="87"/>
      <c r="BN20" s="87"/>
      <c r="BO20" s="79"/>
      <c r="BP20" s="79"/>
      <c r="BQ20" s="79"/>
      <c r="BR20" s="79"/>
      <c r="BS20" s="79"/>
      <c r="BT20" s="78"/>
    </row>
    <row r="21" spans="1:72" ht="21.15" customHeight="1" x14ac:dyDescent="0.55000000000000004">
      <c r="A21" s="78"/>
      <c r="B21" s="79"/>
      <c r="C21" s="79"/>
      <c r="D21" s="79"/>
      <c r="E21" s="79"/>
      <c r="F21" s="79"/>
      <c r="G21" s="89"/>
      <c r="H21" s="89"/>
      <c r="I21" s="89"/>
      <c r="J21" s="89"/>
      <c r="K21" s="89"/>
      <c r="L21" s="89"/>
      <c r="M21" s="89"/>
      <c r="N21" s="89"/>
      <c r="O21" s="150" t="str">
        <f>VLOOKUP(O19,市町村データ!A2:P106,MATCH(手順書_丁目_交通!$F$65, 市町村データ!A1:P1, 0),FALSE)</f>
        <v>○中郷</v>
      </c>
      <c r="P21" s="151"/>
      <c r="Q21" s="151"/>
      <c r="R21" s="157"/>
      <c r="S21" s="150" t="str">
        <f>VLOOKUP(S19,市町村データ!A2:P106,MATCH(手順書_丁目_交通!$F$65, 市町村データ!A1:P1, 0),FALSE)</f>
        <v>○野火止三丁目</v>
      </c>
      <c r="T21" s="151"/>
      <c r="U21" s="151"/>
      <c r="V21" s="157"/>
      <c r="W21" s="150" t="str">
        <f>VLOOKUP(W19,市町村データ!A2:P106,MATCH(手順書_丁目_交通!$F$65, 市町村データ!A1:P1, 0),FALSE)</f>
        <v>○野火止小学校</v>
      </c>
      <c r="X21" s="151"/>
      <c r="Y21" s="151"/>
      <c r="Z21" s="157"/>
      <c r="AA21" s="150" t="str">
        <f>VLOOKUP(AA19,市町村データ!A2:P106,MATCH(手順書_丁目_交通!$F$65, 市町村データ!A1:P1, 0),FALSE)</f>
        <v>○陣屋</v>
      </c>
      <c r="AB21" s="151"/>
      <c r="AC21" s="151"/>
      <c r="AD21" s="157"/>
      <c r="AE21" s="150" t="str">
        <f>VLOOKUP(AE19,市町村データ!A2:P106,MATCH(手順書_丁目_交通!$F$65, 市町村データ!A1:P1, 0),FALSE)</f>
        <v>○台</v>
      </c>
      <c r="AF21" s="151"/>
      <c r="AG21" s="151"/>
      <c r="AH21" s="157"/>
      <c r="AI21" s="150" t="str">
        <f>VLOOKUP(AI19,市町村データ!A2:P106,MATCH(手順書_丁目_交通!$F$65, 市町村データ!A1:P1, 0),FALSE)</f>
        <v/>
      </c>
      <c r="AJ21" s="151"/>
      <c r="AK21" s="151"/>
      <c r="AL21" s="157"/>
      <c r="AM21" s="150" t="str">
        <f>VLOOKUP(AM19,市町村データ!A2:P106,MATCH(手順書_丁目_交通!$F$65, 市町村データ!A1:P1, 0),FALSE)</f>
        <v>○榎木ガード</v>
      </c>
      <c r="AN21" s="151"/>
      <c r="AO21" s="151"/>
      <c r="AP21" s="157"/>
      <c r="AQ21" s="150" t="str">
        <f>VLOOKUP(AQ19,市町村データ!A2:P106,MATCH(手順書_丁目_交通!$F$65, 市町村データ!A1:P1, 0),FALSE)</f>
        <v/>
      </c>
      <c r="AR21" s="151"/>
      <c r="AS21" s="151"/>
      <c r="AT21" s="157"/>
      <c r="AU21" s="93"/>
      <c r="AV21" s="89"/>
      <c r="AW21" s="89"/>
      <c r="AX21" s="89"/>
      <c r="AY21" s="89"/>
      <c r="AZ21" s="89"/>
      <c r="BA21" s="89"/>
      <c r="BB21" s="89"/>
      <c r="BC21" s="89"/>
      <c r="BD21" s="89"/>
      <c r="BE21" s="89"/>
      <c r="BF21" s="89"/>
      <c r="BG21" s="89"/>
      <c r="BH21" s="89"/>
      <c r="BI21" s="89"/>
      <c r="BJ21" s="89"/>
      <c r="BK21" s="89"/>
      <c r="BL21" s="89"/>
      <c r="BM21" s="89"/>
      <c r="BN21" s="89"/>
      <c r="BO21" s="79"/>
      <c r="BP21" s="79"/>
      <c r="BQ21" s="79"/>
      <c r="BR21" s="79"/>
      <c r="BS21" s="79"/>
      <c r="BT21" s="78"/>
    </row>
    <row r="22" spans="1:72" ht="21.15" customHeight="1" thickBot="1" x14ac:dyDescent="0.6">
      <c r="A22" s="78"/>
      <c r="B22" s="79"/>
      <c r="C22" s="79"/>
      <c r="D22" s="79"/>
      <c r="E22" s="79"/>
      <c r="F22" s="79"/>
      <c r="G22" s="79"/>
      <c r="H22" s="79"/>
      <c r="I22" s="79"/>
      <c r="J22" s="79"/>
      <c r="K22" s="79"/>
      <c r="L22" s="79"/>
      <c r="M22" s="79"/>
      <c r="N22" s="79"/>
      <c r="O22" s="170" t="str">
        <f>VLOOKUP(O19,市町村データ!A2:P106,MATCH(手順書_丁目_交通!$F$66, 市町村データ!A1:P1, 0),FALSE)</f>
        <v>○菅沢子供広場</v>
      </c>
      <c r="P22" s="171"/>
      <c r="Q22" s="171"/>
      <c r="R22" s="172"/>
      <c r="S22" s="170" t="str">
        <f>VLOOKUP(S19,市町村データ!A2:P106,MATCH(手順書_丁目_交通!$F$66, 市町村データ!A1:P1, 0),FALSE)</f>
        <v>○あたご橋</v>
      </c>
      <c r="T22" s="171"/>
      <c r="U22" s="171"/>
      <c r="V22" s="172"/>
      <c r="W22" s="170" t="str">
        <f>VLOOKUP(W19,市町村データ!A2:P106,MATCH(手順書_丁目_交通!$F$66, 市町村データ!A1:P1, 0),FALSE)</f>
        <v/>
      </c>
      <c r="X22" s="171"/>
      <c r="Y22" s="171"/>
      <c r="Z22" s="172"/>
      <c r="AA22" s="170" t="str">
        <f>VLOOKUP(AA19,市町村データ!A2:P106,MATCH(手順書_丁目_交通!$F$66, 市町村データ!A1:P1, 0),FALSE)</f>
        <v>○平林寺</v>
      </c>
      <c r="AB22" s="171"/>
      <c r="AC22" s="171"/>
      <c r="AD22" s="172"/>
      <c r="AE22" s="170" t="str">
        <f>VLOOKUP(AE19,市町村データ!A2:P106,MATCH(手順書_丁目_交通!$F$66, 市町村データ!A1:P1, 0),FALSE)</f>
        <v/>
      </c>
      <c r="AF22" s="171"/>
      <c r="AG22" s="171"/>
      <c r="AH22" s="172"/>
      <c r="AI22" s="170" t="str">
        <f>VLOOKUP(AI19,市町村データ!A2:P106,MATCH(手順書_丁目_交通!$F$66, 市町村データ!A1:P1, 0),FALSE)</f>
        <v/>
      </c>
      <c r="AJ22" s="171"/>
      <c r="AK22" s="171"/>
      <c r="AL22" s="172"/>
      <c r="AM22" s="170" t="str">
        <f>VLOOKUP(AM19,市町村データ!A2:P106,MATCH(手順書_丁目_交通!$F$66, 市町村データ!A1:P1, 0),FALSE)</f>
        <v>○畑中ふれあい遊園</v>
      </c>
      <c r="AN22" s="171"/>
      <c r="AO22" s="171"/>
      <c r="AP22" s="172"/>
      <c r="AQ22" s="170" t="str">
        <f>VLOOKUP(AQ19,市町村データ!A2:P106,MATCH(手順書_丁目_交通!$F$66, 市町村データ!A1:P1, 0),FALSE)</f>
        <v/>
      </c>
      <c r="AR22" s="171"/>
      <c r="AS22" s="171"/>
      <c r="AT22" s="172"/>
      <c r="AU22" s="85"/>
      <c r="AV22" s="79"/>
      <c r="AW22" s="79"/>
      <c r="AX22" s="79"/>
      <c r="AY22" s="79"/>
      <c r="AZ22" s="79"/>
      <c r="BA22" s="79"/>
      <c r="BB22" s="79"/>
      <c r="BC22" s="79"/>
      <c r="BD22" s="79"/>
      <c r="BE22" s="79"/>
      <c r="BF22" s="79"/>
      <c r="BG22" s="79"/>
      <c r="BH22" s="79"/>
      <c r="BI22" s="79"/>
      <c r="BJ22" s="79"/>
      <c r="BK22" s="79"/>
      <c r="BL22" s="79"/>
      <c r="BM22" s="79"/>
      <c r="BN22" s="79"/>
      <c r="BO22" s="79"/>
      <c r="BP22" s="79"/>
      <c r="BQ22" s="79"/>
      <c r="BR22" s="79"/>
      <c r="BS22" s="79"/>
      <c r="BT22" s="78"/>
    </row>
    <row r="23" spans="1:72" ht="21.15" customHeight="1" x14ac:dyDescent="0.55000000000000004">
      <c r="A23" s="78"/>
      <c r="B23" s="79"/>
      <c r="C23" s="81" t="s">
        <v>65</v>
      </c>
      <c r="D23" s="79"/>
      <c r="E23" s="79"/>
      <c r="F23" s="79"/>
      <c r="G23" s="79"/>
      <c r="H23" s="79"/>
      <c r="I23" s="79"/>
      <c r="J23" s="79"/>
      <c r="K23" s="79"/>
      <c r="L23" s="79"/>
      <c r="M23" s="79"/>
      <c r="N23" s="79"/>
      <c r="O23" s="82">
        <v>32</v>
      </c>
      <c r="P23" s="142" t="str">
        <f>VLOOKUP(O23,市町村データ!A2:P106,MATCH(手順書_丁目_交通!$G$63, 市町村データ!A1:P1, 0),FALSE)</f>
        <v>あたご3</v>
      </c>
      <c r="Q23" s="154"/>
      <c r="R23" s="159"/>
      <c r="S23" s="82">
        <v>33</v>
      </c>
      <c r="T23" s="142" t="str">
        <f>VLOOKUP(S23,市町村データ!A2:P106,MATCH(手順書_丁目_交通!$G$63, 市町村データ!A1:P1, 0),FALSE)</f>
        <v>あたご2</v>
      </c>
      <c r="U23" s="154"/>
      <c r="V23" s="159"/>
      <c r="W23" s="82">
        <v>34</v>
      </c>
      <c r="X23" s="142" t="str">
        <f>VLOOKUP(W23,市町村データ!A2:P106,MATCH(手順書_丁目_交通!$G$63, 市町村データ!A1:P1, 0),FALSE)</f>
        <v>あたご1</v>
      </c>
      <c r="Y23" s="154"/>
      <c r="Z23" s="159"/>
      <c r="AA23" s="82">
        <v>35</v>
      </c>
      <c r="AB23" s="142" t="str">
        <f>VLOOKUP(AA23,市町村データ!A2:P106,MATCH(手順書_丁目_交通!$G$63, 市町村データ!A1:P1, 0),FALSE)</f>
        <v>本多2</v>
      </c>
      <c r="AC23" s="154"/>
      <c r="AD23" s="159"/>
      <c r="AE23" s="82">
        <v>36</v>
      </c>
      <c r="AF23" s="142" t="str">
        <f>VLOOKUP(AE23,市町村データ!A2:P106,MATCH(手順書_丁目_交通!$G$63, 市町村データ!A1:P1, 0),FALSE)</f>
        <v>本多1</v>
      </c>
      <c r="AG23" s="154"/>
      <c r="AH23" s="159"/>
      <c r="AI23" s="82">
        <v>37</v>
      </c>
      <c r="AJ23" s="142" t="str">
        <f>VLOOKUP(AI23,市町村データ!A2:P106,MATCH(手順書_丁目_交通!$G$63, 市町村データ!A1:P1, 0),FALSE)</f>
        <v>堀ノ内1</v>
      </c>
      <c r="AK23" s="154"/>
      <c r="AL23" s="159"/>
      <c r="AM23" s="82">
        <v>38</v>
      </c>
      <c r="AN23" s="142" t="str">
        <f>VLOOKUP(AM23,市町村データ!A2:P106,MATCH(手順書_丁目_交通!$G$63, 市町村データ!A1:P1, 0),FALSE)</f>
        <v>馬場1</v>
      </c>
      <c r="AO23" s="154"/>
      <c r="AP23" s="159"/>
      <c r="AQ23" s="82">
        <v>39</v>
      </c>
      <c r="AR23" s="142" t="str">
        <f>VLOOKUP(AQ23,市町村データ!A2:P106,MATCH(手順書_丁目_交通!$G$63, 市町村データ!A1:P1, 0),FALSE)</f>
        <v>馬場2</v>
      </c>
      <c r="AS23" s="154"/>
      <c r="AT23" s="159"/>
      <c r="AU23" s="82">
        <v>40</v>
      </c>
      <c r="AV23" s="142" t="str">
        <f>VLOOKUP(AU23,市町村データ!A2:P106,MATCH(手順書_丁目_交通!$G$63, 市町村データ!A1:P1, 0),FALSE)</f>
        <v>新塚1</v>
      </c>
      <c r="AW23" s="154"/>
      <c r="AX23" s="159"/>
      <c r="AY23" s="82">
        <v>41</v>
      </c>
      <c r="AZ23" s="142" t="str">
        <f>VLOOKUP(AY23,市町村データ!A2:P106,MATCH(手順書_丁目_交通!$G$63, 市町村データ!A1:P1, 0),FALSE)</f>
        <v>新塚他の地域</v>
      </c>
      <c r="BA23" s="154"/>
      <c r="BB23" s="159"/>
      <c r="BC23" s="91"/>
      <c r="BD23" s="79"/>
      <c r="BE23" s="79"/>
      <c r="BF23" s="79"/>
      <c r="BG23" s="86"/>
      <c r="BH23" s="79"/>
      <c r="BI23" s="79"/>
      <c r="BJ23" s="79"/>
      <c r="BK23" s="79"/>
      <c r="BL23" s="79"/>
      <c r="BM23" s="79"/>
      <c r="BN23" s="79"/>
      <c r="BO23" s="86"/>
      <c r="BP23" s="79"/>
      <c r="BQ23" s="79"/>
      <c r="BR23" s="79"/>
      <c r="BS23" s="79"/>
      <c r="BT23" s="78"/>
    </row>
    <row r="24" spans="1:72" ht="21.15" customHeight="1" x14ac:dyDescent="0.55000000000000004">
      <c r="A24" s="78"/>
      <c r="B24" s="79"/>
      <c r="C24" s="79"/>
      <c r="D24" s="79"/>
      <c r="E24" s="79"/>
      <c r="F24" s="79"/>
      <c r="G24" s="79"/>
      <c r="H24" s="79"/>
      <c r="I24" s="79"/>
      <c r="J24" s="79"/>
      <c r="K24" s="79"/>
      <c r="L24" s="79"/>
      <c r="M24" s="79"/>
      <c r="N24" s="79"/>
      <c r="O24" s="150" t="str">
        <f>VLOOKUP(O23,市町村データ!A2:P106,MATCH(手順書_丁目_交通!$F$64, 市町村データ!A1:P1, 0),FALSE)</f>
        <v>○あたご第二児童遊園</v>
      </c>
      <c r="P24" s="151"/>
      <c r="Q24" s="151"/>
      <c r="R24" s="157"/>
      <c r="S24" s="150" t="str">
        <f>VLOOKUP(S23,市町村データ!A2:P106,MATCH(手順書_丁目_交通!$F$64, 市町村データ!A1:P1, 0),FALSE)</f>
        <v>○菅沢</v>
      </c>
      <c r="T24" s="151"/>
      <c r="U24" s="151"/>
      <c r="V24" s="157"/>
      <c r="W24" s="150" t="str">
        <f>VLOOKUP(W23,市町村データ!A2:P106,MATCH(手順書_丁目_交通!$F$64, 市町村データ!A1:P1, 0),FALSE)</f>
        <v/>
      </c>
      <c r="X24" s="151"/>
      <c r="Y24" s="151"/>
      <c r="Z24" s="157"/>
      <c r="AA24" s="150" t="str">
        <f>VLOOKUP(AA23,市町村データ!A2:P106,MATCH(手順書_丁目_交通!$F$64, 市町村データ!A1:P1, 0),FALSE)</f>
        <v>○史跡公園</v>
      </c>
      <c r="AB24" s="151"/>
      <c r="AC24" s="151"/>
      <c r="AD24" s="157"/>
      <c r="AE24" s="150" t="str">
        <f>VLOOKUP(AE23,市町村データ!A2:P106,MATCH(手順書_丁目_交通!$F$64, 市町村データ!A1:P1, 0),FALSE)</f>
        <v>○新座総合体育館入口</v>
      </c>
      <c r="AF24" s="151"/>
      <c r="AG24" s="151"/>
      <c r="AH24" s="157"/>
      <c r="AI24" s="150" t="str">
        <f>VLOOKUP(AI23,市町村データ!A2:P106,MATCH(手順書_丁目_交通!$F$64, 市町村データ!A1:P1, 0),FALSE)</f>
        <v/>
      </c>
      <c r="AJ24" s="151"/>
      <c r="AK24" s="151"/>
      <c r="AL24" s="157"/>
      <c r="AM24" s="150" t="str">
        <f>VLOOKUP(AM23,市町村データ!A2:P106,MATCH(手順書_丁目_交通!$F$64, 市町村データ!A1:P1, 0),FALSE)</f>
        <v>○原ヶ谷戸</v>
      </c>
      <c r="AN24" s="151"/>
      <c r="AO24" s="151"/>
      <c r="AP24" s="157"/>
      <c r="AQ24" s="150" t="str">
        <f>VLOOKUP(AQ23,市町村データ!A2:P106,MATCH(手順書_丁目_交通!$F$64, 市町村データ!A1:P1, 0),FALSE)</f>
        <v/>
      </c>
      <c r="AR24" s="151"/>
      <c r="AS24" s="151"/>
      <c r="AT24" s="157"/>
      <c r="AU24" s="150" t="str">
        <f>VLOOKUP(AU23,市町村データ!A2:P106,MATCH(手順書_丁目_交通!$F$64, 市町村データ!A1:P1, 0),FALSE)</f>
        <v>○新座市営墓園</v>
      </c>
      <c r="AV24" s="151"/>
      <c r="AW24" s="151"/>
      <c r="AX24" s="157"/>
      <c r="AY24" s="150" t="str">
        <f>VLOOKUP(AY23,市町村データ!A2:P106,MATCH(手順書_丁目_交通!$F$64, 市町村データ!A1:P1, 0),FALSE)</f>
        <v/>
      </c>
      <c r="AZ24" s="151"/>
      <c r="BA24" s="151"/>
      <c r="BB24" s="157"/>
      <c r="BC24" s="92"/>
      <c r="BD24" s="87"/>
      <c r="BE24" s="87"/>
      <c r="BF24" s="87"/>
      <c r="BG24" s="87"/>
      <c r="BH24" s="87"/>
      <c r="BI24" s="87"/>
      <c r="BJ24" s="87"/>
      <c r="BK24" s="79"/>
      <c r="BL24" s="79"/>
      <c r="BM24" s="79"/>
      <c r="BN24" s="79"/>
      <c r="BO24" s="87"/>
      <c r="BP24" s="50"/>
      <c r="BQ24" s="50"/>
      <c r="BR24" s="50"/>
      <c r="BS24" s="79"/>
      <c r="BT24" s="78"/>
    </row>
    <row r="25" spans="1:72" ht="21.15" customHeight="1" x14ac:dyDescent="0.55000000000000004">
      <c r="A25" s="78"/>
      <c r="B25" s="79"/>
      <c r="C25" s="79"/>
      <c r="D25" s="79"/>
      <c r="E25" s="79"/>
      <c r="F25" s="79"/>
      <c r="G25" s="79"/>
      <c r="H25" s="79"/>
      <c r="I25" s="79"/>
      <c r="J25" s="79"/>
      <c r="K25" s="79"/>
      <c r="L25" s="79"/>
      <c r="M25" s="79"/>
      <c r="N25" s="79"/>
      <c r="O25" s="150" t="str">
        <f>VLOOKUP(O23,市町村データ!A2:P106,MATCH(手順書_丁目_交通!$F$65, 市町村データ!A1:P1, 0),FALSE)</f>
        <v/>
      </c>
      <c r="P25" s="151"/>
      <c r="Q25" s="151"/>
      <c r="R25" s="157"/>
      <c r="S25" s="150" t="str">
        <f>VLOOKUP(S23,市町村データ!A2:P106,MATCH(手順書_丁目_交通!$F$65, 市町村データ!A1:P1, 0),FALSE)</f>
        <v/>
      </c>
      <c r="T25" s="151"/>
      <c r="U25" s="151"/>
      <c r="V25" s="157"/>
      <c r="W25" s="150" t="str">
        <f>VLOOKUP(W23,市町村データ!A2:P106,MATCH(手順書_丁目_交通!$F$65, 市町村データ!A1:P1, 0),FALSE)</f>
        <v/>
      </c>
      <c r="X25" s="151"/>
      <c r="Y25" s="151"/>
      <c r="Z25" s="157"/>
      <c r="AA25" s="150" t="str">
        <f>VLOOKUP(AA23,市町村データ!A2:P106,MATCH(手順書_丁目_交通!$F$65, 市町村データ!A1:P1, 0),FALSE)</f>
        <v/>
      </c>
      <c r="AB25" s="151"/>
      <c r="AC25" s="151"/>
      <c r="AD25" s="157"/>
      <c r="AE25" s="150" t="str">
        <f>VLOOKUP(AE23,市町村データ!A2:P106,MATCH(手順書_丁目_交通!$F$65, 市町村データ!A1:P1, 0),FALSE)</f>
        <v>○本多一丁目</v>
      </c>
      <c r="AF25" s="151"/>
      <c r="AG25" s="151"/>
      <c r="AH25" s="157"/>
      <c r="AI25" s="150" t="str">
        <f>VLOOKUP(AI23,市町村データ!A2:P106,MATCH(手順書_丁目_交通!$F$65, 市町村データ!A1:P1, 0),FALSE)</f>
        <v/>
      </c>
      <c r="AJ25" s="151"/>
      <c r="AK25" s="151"/>
      <c r="AL25" s="157"/>
      <c r="AM25" s="150" t="str">
        <f>VLOOKUP(AM23,市町村データ!A2:P106,MATCH(手順書_丁目_交通!$F$65, 市町村データ!A1:P1, 0),FALSE)</f>
        <v>○蓮光寺前</v>
      </c>
      <c r="AN25" s="151"/>
      <c r="AO25" s="151"/>
      <c r="AP25" s="157"/>
      <c r="AQ25" s="150" t="str">
        <f>VLOOKUP(AQ23,市町村データ!A2:P106,MATCH(手順書_丁目_交通!$F$65, 市町村データ!A1:P1, 0),FALSE)</f>
        <v/>
      </c>
      <c r="AR25" s="151"/>
      <c r="AS25" s="151"/>
      <c r="AT25" s="157"/>
      <c r="AU25" s="150" t="str">
        <f>VLOOKUP(AU23,市町村データ!A2:P106,MATCH(手順書_丁目_交通!$F$65, 市町村データ!A1:P1, 0),FALSE)</f>
        <v/>
      </c>
      <c r="AV25" s="151"/>
      <c r="AW25" s="151"/>
      <c r="AX25" s="157"/>
      <c r="AY25" s="150" t="str">
        <f>VLOOKUP(AY23,市町村データ!A2:P106,MATCH(手順書_丁目_交通!$F$65, 市町村データ!A1:P1, 0),FALSE)</f>
        <v/>
      </c>
      <c r="AZ25" s="151"/>
      <c r="BA25" s="151"/>
      <c r="BB25" s="157"/>
      <c r="BC25" s="93"/>
      <c r="BD25" s="89"/>
      <c r="BE25" s="89"/>
      <c r="BF25" s="89"/>
      <c r="BG25" s="89"/>
      <c r="BH25" s="89"/>
      <c r="BI25" s="89"/>
      <c r="BJ25" s="89"/>
      <c r="BK25" s="79"/>
      <c r="BL25" s="79"/>
      <c r="BM25" s="79"/>
      <c r="BN25" s="79"/>
      <c r="BO25" s="89"/>
      <c r="BP25" s="51"/>
      <c r="BQ25" s="51"/>
      <c r="BR25" s="51"/>
      <c r="BS25" s="79"/>
      <c r="BT25" s="78"/>
    </row>
    <row r="26" spans="1:72" ht="21.15" customHeight="1" thickBot="1" x14ac:dyDescent="0.6">
      <c r="A26" s="78"/>
      <c r="B26" s="79"/>
      <c r="C26" s="79"/>
      <c r="D26" s="79"/>
      <c r="E26" s="79"/>
      <c r="F26" s="79"/>
      <c r="G26" s="79"/>
      <c r="H26" s="79"/>
      <c r="I26" s="79"/>
      <c r="J26" s="79"/>
      <c r="K26" s="79"/>
      <c r="L26" s="79"/>
      <c r="M26" s="79"/>
      <c r="N26" s="79"/>
      <c r="O26" s="170" t="str">
        <f>VLOOKUP(O23,市町村データ!A2:P106,MATCH(手順書_丁目_交通!$F$66, 市町村データ!A1:P1, 0),FALSE)</f>
        <v/>
      </c>
      <c r="P26" s="171"/>
      <c r="Q26" s="171"/>
      <c r="R26" s="172"/>
      <c r="S26" s="170" t="str">
        <f>VLOOKUP(S23,市町村データ!A2:P106,MATCH(手順書_丁目_交通!$F$66, 市町村データ!A1:P1, 0),FALSE)</f>
        <v/>
      </c>
      <c r="T26" s="171"/>
      <c r="U26" s="171"/>
      <c r="V26" s="172"/>
      <c r="W26" s="170" t="str">
        <f>VLOOKUP(W23,市町村データ!A2:P106,MATCH(手順書_丁目_交通!$F$66, 市町村データ!A1:P1, 0),FALSE)</f>
        <v/>
      </c>
      <c r="X26" s="171"/>
      <c r="Y26" s="171"/>
      <c r="Z26" s="172"/>
      <c r="AA26" s="170" t="str">
        <f>VLOOKUP(AA23,市町村データ!A2:P106,MATCH(手順書_丁目_交通!$F$66, 市町村データ!A1:P1, 0),FALSE)</f>
        <v/>
      </c>
      <c r="AB26" s="171"/>
      <c r="AC26" s="171"/>
      <c r="AD26" s="172"/>
      <c r="AE26" s="170" t="str">
        <f>VLOOKUP(AE23,市町村データ!A2:P106,MATCH(手順書_丁目_交通!$F$66, 市町村データ!A1:P1, 0),FALSE)</f>
        <v>○新座営業所</v>
      </c>
      <c r="AF26" s="171"/>
      <c r="AG26" s="171"/>
      <c r="AH26" s="172"/>
      <c r="AI26" s="170" t="str">
        <f>VLOOKUP(AI23,市町村データ!A2:P106,MATCH(手順書_丁目_交通!$F$66, 市町村データ!A1:P1, 0),FALSE)</f>
        <v/>
      </c>
      <c r="AJ26" s="171"/>
      <c r="AK26" s="171"/>
      <c r="AL26" s="172"/>
      <c r="AM26" s="170" t="str">
        <f>VLOOKUP(AM23,市町村データ!A2:P106,MATCH(手順書_丁目_交通!$F$66, 市町村データ!A1:P1, 0),FALSE)</f>
        <v/>
      </c>
      <c r="AN26" s="171"/>
      <c r="AO26" s="171"/>
      <c r="AP26" s="172"/>
      <c r="AQ26" s="170" t="str">
        <f>VLOOKUP(AQ23,市町村データ!A2:P106,MATCH(手順書_丁目_交通!$F$66, 市町村データ!A1:P1, 0),FALSE)</f>
        <v/>
      </c>
      <c r="AR26" s="171"/>
      <c r="AS26" s="171"/>
      <c r="AT26" s="172"/>
      <c r="AU26" s="170" t="str">
        <f>VLOOKUP(AU23,市町村データ!A2:P106,MATCH(手順書_丁目_交通!$F$66, 市町村データ!A1:P1, 0),FALSE)</f>
        <v/>
      </c>
      <c r="AV26" s="171"/>
      <c r="AW26" s="171"/>
      <c r="AX26" s="172"/>
      <c r="AY26" s="170" t="str">
        <f>VLOOKUP(AY23,市町村データ!A2:P106,MATCH(手順書_丁目_交通!$F$66, 市町村データ!A1:P1, 0),FALSE)</f>
        <v/>
      </c>
      <c r="AZ26" s="171"/>
      <c r="BA26" s="171"/>
      <c r="BB26" s="172"/>
      <c r="BC26" s="85"/>
      <c r="BD26" s="79"/>
      <c r="BE26" s="79"/>
      <c r="BF26" s="79"/>
      <c r="BG26" s="79"/>
      <c r="BH26" s="79"/>
      <c r="BI26" s="79"/>
      <c r="BJ26" s="79"/>
      <c r="BK26" s="79"/>
      <c r="BL26" s="79"/>
      <c r="BM26" s="79"/>
      <c r="BN26" s="79"/>
      <c r="BO26" s="79"/>
      <c r="BP26" s="52"/>
      <c r="BQ26" s="52"/>
      <c r="BR26" s="52"/>
      <c r="BS26" s="79"/>
      <c r="BT26" s="78"/>
    </row>
    <row r="27" spans="1:72" ht="21.15" customHeight="1" x14ac:dyDescent="0.55000000000000004">
      <c r="A27" s="78"/>
      <c r="B27" s="79"/>
      <c r="C27" s="81" t="s">
        <v>66</v>
      </c>
      <c r="D27" s="79"/>
      <c r="E27" s="79"/>
      <c r="F27" s="79"/>
      <c r="G27" s="79"/>
      <c r="H27" s="79"/>
      <c r="I27" s="79"/>
      <c r="J27" s="79"/>
      <c r="K27" s="79"/>
      <c r="L27" s="79"/>
      <c r="M27" s="79"/>
      <c r="N27" s="79"/>
      <c r="O27" s="84"/>
      <c r="P27" s="84"/>
      <c r="Q27" s="84"/>
      <c r="R27" s="84"/>
      <c r="S27" s="82">
        <v>42</v>
      </c>
      <c r="T27" s="142" t="str">
        <f>VLOOKUP(S27,市町村データ!A2:P106,MATCH(手順書_丁目_交通!$G$63, 市町村データ!A1:P1, 0),FALSE)</f>
        <v>西堀2</v>
      </c>
      <c r="U27" s="154"/>
      <c r="V27" s="159"/>
      <c r="W27" s="82">
        <v>43</v>
      </c>
      <c r="X27" s="142" t="str">
        <f>VLOOKUP(W27,市町村データ!A2:P106,MATCH(手順書_丁目_交通!$G$63, 市町村データ!A1:P1, 0),FALSE)</f>
        <v>西堀1</v>
      </c>
      <c r="Y27" s="154"/>
      <c r="Z27" s="159"/>
      <c r="AA27" s="82">
        <v>44</v>
      </c>
      <c r="AB27" s="142" t="str">
        <f>VLOOKUP(AA27,市町村データ!A2:P106,MATCH(手順書_丁目_交通!$G$63, 市町村データ!A1:P1, 0),FALSE)</f>
        <v>石神5</v>
      </c>
      <c r="AC27" s="154"/>
      <c r="AD27" s="159"/>
      <c r="AE27" s="82">
        <v>45</v>
      </c>
      <c r="AF27" s="142" t="str">
        <f>VLOOKUP(AE27,市町村データ!A2:P106,MATCH(手順書_丁目_交通!$G$63, 市町村データ!A1:P1, 0),FALSE)</f>
        <v>堀ノ内3</v>
      </c>
      <c r="AG27" s="154"/>
      <c r="AH27" s="159"/>
      <c r="AI27" s="82">
        <v>46</v>
      </c>
      <c r="AJ27" s="142" t="str">
        <f>VLOOKUP(AI27,市町村データ!A2:P106,MATCH(手順書_丁目_交通!$G$63, 市町村データ!A1:P1, 0),FALSE)</f>
        <v>堀ノ内2</v>
      </c>
      <c r="AK27" s="154"/>
      <c r="AL27" s="159"/>
      <c r="AM27" s="82">
        <v>47</v>
      </c>
      <c r="AN27" s="142" t="str">
        <f>VLOOKUP(AM27,市町村データ!A2:P106,MATCH(手順書_丁目_交通!$G$63, 市町村データ!A1:P1, 0),FALSE)</f>
        <v>馬場4</v>
      </c>
      <c r="AO27" s="154"/>
      <c r="AP27" s="159"/>
      <c r="AQ27" s="82">
        <v>48</v>
      </c>
      <c r="AR27" s="142" t="str">
        <f>VLOOKUP(AQ27,市町村データ!A2:P106,MATCH(手順書_丁目_交通!$G$63, 市町村データ!A1:P1, 0),FALSE)</f>
        <v>馬場3</v>
      </c>
      <c r="AS27" s="154"/>
      <c r="AT27" s="159"/>
      <c r="AU27" s="82">
        <v>49</v>
      </c>
      <c r="AV27" s="142" t="str">
        <f>VLOOKUP(AU27,市町村データ!A2:P106,MATCH(手順書_丁目_交通!$G$63, 市町村データ!A1:P1, 0),FALSE)</f>
        <v>栄1</v>
      </c>
      <c r="AW27" s="154"/>
      <c r="AX27" s="159"/>
      <c r="AY27" s="82">
        <v>50</v>
      </c>
      <c r="AZ27" s="142" t="str">
        <f>VLOOKUP(AY27,市町村データ!A2:P106,MATCH(手順書_丁目_交通!$G$63, 市町村データ!A1:P1, 0),FALSE)</f>
        <v>栄2</v>
      </c>
      <c r="BA27" s="154"/>
      <c r="BB27" s="159"/>
      <c r="BC27" s="82">
        <v>51</v>
      </c>
      <c r="BD27" s="142" t="str">
        <f>VLOOKUP(BC27,市町村データ!A2:P106,MATCH(手順書_丁目_交通!$G$63, 市町村データ!A1:P1, 0),FALSE)</f>
        <v>栄3</v>
      </c>
      <c r="BE27" s="154"/>
      <c r="BF27" s="159"/>
      <c r="BG27" s="82">
        <v>52</v>
      </c>
      <c r="BH27" s="142" t="str">
        <f>VLOOKUP(BG27,市町村データ!A2:P106,MATCH(手順書_丁目_交通!$G$63, 市町村データ!A1:P1, 0),FALSE)</f>
        <v>栄4</v>
      </c>
      <c r="BI27" s="154"/>
      <c r="BJ27" s="159"/>
      <c r="BK27" s="82">
        <v>53</v>
      </c>
      <c r="BL27" s="142" t="str">
        <f>VLOOKUP(BK27,市町村データ!A2:P106,MATCH(手順書_丁目_交通!$G$63, 市町村データ!A1:P1, 0),FALSE)</f>
        <v>栄5</v>
      </c>
      <c r="BM27" s="154"/>
      <c r="BN27" s="159"/>
      <c r="BO27" s="91"/>
      <c r="BP27" s="79"/>
      <c r="BQ27" s="79"/>
      <c r="BR27" s="79"/>
      <c r="BS27" s="79"/>
      <c r="BT27" s="78"/>
    </row>
    <row r="28" spans="1:72" ht="21.15" customHeight="1" x14ac:dyDescent="0.55000000000000004">
      <c r="A28" s="78"/>
      <c r="B28" s="79"/>
      <c r="C28" s="79"/>
      <c r="D28" s="79"/>
      <c r="E28" s="79"/>
      <c r="F28" s="79"/>
      <c r="G28" s="79"/>
      <c r="H28" s="79"/>
      <c r="I28" s="79"/>
      <c r="J28" s="79"/>
      <c r="K28" s="79"/>
      <c r="L28" s="79"/>
      <c r="M28" s="79"/>
      <c r="N28" s="79"/>
      <c r="O28" s="79"/>
      <c r="P28" s="79"/>
      <c r="Q28" s="79"/>
      <c r="R28" s="79"/>
      <c r="S28" s="150" t="str">
        <f>VLOOKUP(S27,市町村データ!A2:P106,MATCH(手順書_丁目_交通!$F$64, 市町村データ!A1:P1, 0),FALSE)</f>
        <v>○西堀小学校</v>
      </c>
      <c r="T28" s="151"/>
      <c r="U28" s="151"/>
      <c r="V28" s="157"/>
      <c r="W28" s="150" t="str">
        <f>VLOOKUP(W27,市町村データ!A2:P106,MATCH(手順書_丁目_交通!$F$64, 市町村データ!A1:P1, 0),FALSE)</f>
        <v>○西堀</v>
      </c>
      <c r="X28" s="151"/>
      <c r="Y28" s="151"/>
      <c r="Z28" s="157"/>
      <c r="AA28" s="150" t="str">
        <f>VLOOKUP(AA27,市町村データ!A2:P106,MATCH(手順書_丁目_交通!$F$64, 市町村データ!A1:P1, 0),FALSE)</f>
        <v/>
      </c>
      <c r="AB28" s="151"/>
      <c r="AC28" s="151"/>
      <c r="AD28" s="157"/>
      <c r="AE28" s="150" t="str">
        <f>VLOOKUP(AE27,市町村データ!A2:P106,MATCH(手順書_丁目_交通!$F$64, 市町村データ!A1:P1, 0),FALSE)</f>
        <v>○新座市児童センター前</v>
      </c>
      <c r="AF28" s="151"/>
      <c r="AG28" s="151"/>
      <c r="AH28" s="157"/>
      <c r="AI28" s="150" t="str">
        <f>VLOOKUP(AI27,市町村データ!A2:P106,MATCH(手順書_丁目_交通!$F$64, 市町村データ!A1:P1, 0),FALSE)</f>
        <v/>
      </c>
      <c r="AJ28" s="151"/>
      <c r="AK28" s="151"/>
      <c r="AL28" s="157"/>
      <c r="AM28" s="150" t="str">
        <f>VLOOKUP(AM27,市町村データ!A2:P106,MATCH(手順書_丁目_交通!$F$64, 市町村データ!A1:P1, 0),FALSE)</f>
        <v>○新座高校</v>
      </c>
      <c r="AN28" s="151"/>
      <c r="AO28" s="151"/>
      <c r="AP28" s="157"/>
      <c r="AQ28" s="150" t="str">
        <f>VLOOKUP(AQ27,市町村データ!A2:P106,MATCH(手順書_丁目_交通!$F$64, 市町村データ!A1:P1, 0),FALSE)</f>
        <v/>
      </c>
      <c r="AR28" s="151"/>
      <c r="AS28" s="151"/>
      <c r="AT28" s="157"/>
      <c r="AU28" s="150" t="str">
        <f>VLOOKUP(AU27,市町村データ!A2:P106,MATCH(手順書_丁目_交通!$F$64, 市町村データ!A1:P1, 0),FALSE)</f>
        <v/>
      </c>
      <c r="AV28" s="151"/>
      <c r="AW28" s="151"/>
      <c r="AX28" s="157"/>
      <c r="AY28" s="150" t="str">
        <f>VLOOKUP(AY27,市町村データ!A2:P106,MATCH(手順書_丁目_交通!$F$64, 市町村データ!A1:P1, 0),FALSE)</f>
        <v>○新座栄</v>
      </c>
      <c r="AZ28" s="151"/>
      <c r="BA28" s="151"/>
      <c r="BB28" s="157"/>
      <c r="BC28" s="150" t="str">
        <f>VLOOKUP(BC27,市町村データ!A2:P106,MATCH(手順書_丁目_交通!$F$64, 市町村データ!A1:P1, 0),FALSE)</f>
        <v>○栄公民館前(福祉の里)</v>
      </c>
      <c r="BD28" s="151"/>
      <c r="BE28" s="151"/>
      <c r="BF28" s="157"/>
      <c r="BG28" s="150" t="str">
        <f>VLOOKUP(BG27,市町村データ!A2:P106,MATCH(手順書_丁目_交通!$F$64, 市町村データ!A1:P1, 0),FALSE)</f>
        <v>○都民農園セコニック</v>
      </c>
      <c r="BH28" s="151"/>
      <c r="BI28" s="151"/>
      <c r="BJ28" s="157"/>
      <c r="BK28" s="150" t="str">
        <f>VLOOKUP(BK27,市町村データ!A2:P106,MATCH(手順書_丁目_交通!$F$64, 市町村データ!A1:P1, 0),FALSE)</f>
        <v/>
      </c>
      <c r="BL28" s="151"/>
      <c r="BM28" s="151"/>
      <c r="BN28" s="157"/>
      <c r="BO28" s="92"/>
      <c r="BP28" s="50"/>
      <c r="BQ28" s="50"/>
      <c r="BR28" s="50"/>
      <c r="BS28" s="79"/>
      <c r="BT28" s="78"/>
    </row>
    <row r="29" spans="1:72" ht="21.15" customHeight="1" x14ac:dyDescent="0.55000000000000004">
      <c r="A29" s="78"/>
      <c r="B29" s="79"/>
      <c r="C29" s="79"/>
      <c r="D29" s="79"/>
      <c r="E29" s="79"/>
      <c r="F29" s="79"/>
      <c r="G29" s="79"/>
      <c r="H29" s="79"/>
      <c r="I29" s="79"/>
      <c r="J29" s="79"/>
      <c r="K29" s="79"/>
      <c r="L29" s="79"/>
      <c r="M29" s="79"/>
      <c r="N29" s="79"/>
      <c r="O29" s="79"/>
      <c r="P29" s="79"/>
      <c r="Q29" s="79"/>
      <c r="R29" s="79"/>
      <c r="S29" s="150" t="str">
        <f>VLOOKUP(S27,市町村データ!A2:P106,MATCH(手順書_丁目_交通!$F$65, 市町村データ!A1:P1, 0),FALSE)</f>
        <v>○西堀南</v>
      </c>
      <c r="T29" s="151"/>
      <c r="U29" s="151"/>
      <c r="V29" s="157"/>
      <c r="W29" s="150" t="str">
        <f>VLOOKUP(W27,市町村データ!A2:P106,MATCH(手順書_丁目_交通!$F$65, 市町村データ!A1:P1, 0),FALSE)</f>
        <v>○小山入口</v>
      </c>
      <c r="X29" s="151"/>
      <c r="Y29" s="151"/>
      <c r="Z29" s="157"/>
      <c r="AA29" s="150" t="str">
        <f>VLOOKUP(AA27,市町村データ!A2:P106,MATCH(手順書_丁目_交通!$F$65, 市町村データ!A1:P1, 0),FALSE)</f>
        <v/>
      </c>
      <c r="AB29" s="151"/>
      <c r="AC29" s="151"/>
      <c r="AD29" s="157"/>
      <c r="AE29" s="150" t="str">
        <f>VLOOKUP(AE27,市町村データ!A2:P106,MATCH(手順書_丁目_交通!$F$65, 市町村データ!A1:P1, 0),FALSE)</f>
        <v>○福祉センター入口</v>
      </c>
      <c r="AF29" s="151"/>
      <c r="AG29" s="151"/>
      <c r="AH29" s="157"/>
      <c r="AI29" s="150" t="str">
        <f>VLOOKUP(AI27,市町村データ!A2:P106,MATCH(手順書_丁目_交通!$F$65, 市町村データ!A1:P1, 0),FALSE)</f>
        <v/>
      </c>
      <c r="AJ29" s="151"/>
      <c r="AK29" s="151"/>
      <c r="AL29" s="157"/>
      <c r="AM29" s="150" t="str">
        <f>VLOOKUP(AM27,市町村データ!A2:P106,MATCH(手順書_丁目_交通!$F$65, 市町村データ!A1:P1, 0),FALSE)</f>
        <v/>
      </c>
      <c r="AN29" s="151"/>
      <c r="AO29" s="151"/>
      <c r="AP29" s="157"/>
      <c r="AQ29" s="150" t="str">
        <f>VLOOKUP(AQ27,市町村データ!A2:P106,MATCH(手順書_丁目_交通!$F$65, 市町村データ!A1:P1, 0),FALSE)</f>
        <v/>
      </c>
      <c r="AR29" s="151"/>
      <c r="AS29" s="151"/>
      <c r="AT29" s="157"/>
      <c r="AU29" s="150" t="str">
        <f>VLOOKUP(AU27,市町村データ!A2:P106,MATCH(手順書_丁目_交通!$F$65, 市町村データ!A1:P1, 0),FALSE)</f>
        <v/>
      </c>
      <c r="AV29" s="151"/>
      <c r="AW29" s="151"/>
      <c r="AX29" s="157"/>
      <c r="AY29" s="150" t="str">
        <f>VLOOKUP(AY27,市町村データ!A2:P106,MATCH(手順書_丁目_交通!$F$65, 市町村データ!A1:P1, 0),FALSE)</f>
        <v>○妙音沢入口</v>
      </c>
      <c r="AZ29" s="151"/>
      <c r="BA29" s="151"/>
      <c r="BB29" s="157"/>
      <c r="BC29" s="150" t="str">
        <f>VLOOKUP(BC27,市町村データ!A2:P106,MATCH(手順書_丁目_交通!$F$65, 市町村データ!A1:P1, 0),FALSE)</f>
        <v/>
      </c>
      <c r="BD29" s="151"/>
      <c r="BE29" s="151"/>
      <c r="BF29" s="157"/>
      <c r="BG29" s="150" t="str">
        <f>VLOOKUP(BG27,市町村データ!A2:P106,MATCH(手順書_丁目_交通!$F$65, 市町村データ!A1:P1, 0),FALSE)</f>
        <v/>
      </c>
      <c r="BH29" s="151"/>
      <c r="BI29" s="151"/>
      <c r="BJ29" s="157"/>
      <c r="BK29" s="150" t="str">
        <f>VLOOKUP(BK27,市町村データ!A2:P106,MATCH(手順書_丁目_交通!$F$65, 市町村データ!A1:P1, 0),FALSE)</f>
        <v/>
      </c>
      <c r="BL29" s="151"/>
      <c r="BM29" s="151"/>
      <c r="BN29" s="157"/>
      <c r="BO29" s="93"/>
      <c r="BP29" s="51"/>
      <c r="BQ29" s="51"/>
      <c r="BR29" s="51"/>
      <c r="BS29" s="79"/>
      <c r="BT29" s="78"/>
    </row>
    <row r="30" spans="1:72" ht="21.15" customHeight="1" thickBot="1" x14ac:dyDescent="0.6">
      <c r="A30" s="78"/>
      <c r="B30" s="79"/>
      <c r="C30" s="79"/>
      <c r="D30" s="79"/>
      <c r="E30" s="79"/>
      <c r="F30" s="79"/>
      <c r="G30" s="79"/>
      <c r="H30" s="79"/>
      <c r="I30" s="79"/>
      <c r="J30" s="79"/>
      <c r="K30" s="79"/>
      <c r="L30" s="79"/>
      <c r="M30" s="79"/>
      <c r="N30" s="79"/>
      <c r="O30" s="79"/>
      <c r="P30" s="79"/>
      <c r="Q30" s="79"/>
      <c r="R30" s="79"/>
      <c r="S30" s="170" t="str">
        <f>VLOOKUP(S27,市町村データ!A2:P106,MATCH(手順書_丁目_交通!$F$66, 市町村データ!A1:P1, 0),FALSE)</f>
        <v/>
      </c>
      <c r="T30" s="171"/>
      <c r="U30" s="171"/>
      <c r="V30" s="172"/>
      <c r="W30" s="170" t="str">
        <f>VLOOKUP(W27,市町村データ!A2:P106,MATCH(手順書_丁目_交通!$F$66, 市町村データ!A1:P1, 0),FALSE)</f>
        <v/>
      </c>
      <c r="X30" s="171"/>
      <c r="Y30" s="171"/>
      <c r="Z30" s="172"/>
      <c r="AA30" s="170" t="str">
        <f>VLOOKUP(AA27,市町村データ!A2:P106,MATCH(手順書_丁目_交通!$F$66, 市町村データ!A1:P1, 0),FALSE)</f>
        <v/>
      </c>
      <c r="AB30" s="171"/>
      <c r="AC30" s="171"/>
      <c r="AD30" s="172"/>
      <c r="AE30" s="170" t="str">
        <f>VLOOKUP(AE27,市町村データ!A2:P106,MATCH(手順書_丁目_交通!$F$66, 市町村データ!A1:P1, 0),FALSE)</f>
        <v>○老人福祉センター</v>
      </c>
      <c r="AF30" s="171"/>
      <c r="AG30" s="171"/>
      <c r="AH30" s="172"/>
      <c r="AI30" s="170" t="str">
        <f>VLOOKUP(AI27,市町村データ!A2:P106,MATCH(手順書_丁目_交通!$F$66, 市町村データ!A1:P1, 0),FALSE)</f>
        <v/>
      </c>
      <c r="AJ30" s="171"/>
      <c r="AK30" s="171"/>
      <c r="AL30" s="172"/>
      <c r="AM30" s="170" t="str">
        <f>VLOOKUP(AM27,市町村データ!A2:P106,MATCH(手順書_丁目_交通!$F$66, 市町村データ!A1:P1, 0),FALSE)</f>
        <v/>
      </c>
      <c r="AN30" s="171"/>
      <c r="AO30" s="171"/>
      <c r="AP30" s="172"/>
      <c r="AQ30" s="170" t="str">
        <f>VLOOKUP(AQ27,市町村データ!A2:P106,MATCH(手順書_丁目_交通!$F$66, 市町村データ!A1:P1, 0),FALSE)</f>
        <v/>
      </c>
      <c r="AR30" s="171"/>
      <c r="AS30" s="171"/>
      <c r="AT30" s="172"/>
      <c r="AU30" s="170" t="str">
        <f>VLOOKUP(AU27,市町村データ!A2:P106,MATCH(手順書_丁目_交通!$F$66, 市町村データ!A1:P1, 0),FALSE)</f>
        <v/>
      </c>
      <c r="AV30" s="171"/>
      <c r="AW30" s="171"/>
      <c r="AX30" s="172"/>
      <c r="AY30" s="170" t="str">
        <f>VLOOKUP(AY27,市町村データ!A2:P106,MATCH(手順書_丁目_交通!$F$66, 市町村データ!A1:P1, 0),FALSE)</f>
        <v/>
      </c>
      <c r="AZ30" s="171"/>
      <c r="BA30" s="171"/>
      <c r="BB30" s="172"/>
      <c r="BC30" s="170" t="str">
        <f>VLOOKUP(BC27,市町村データ!A2:P106,MATCH(手順書_丁目_交通!$F$66, 市町村データ!A1:P1, 0),FALSE)</f>
        <v/>
      </c>
      <c r="BD30" s="171"/>
      <c r="BE30" s="171"/>
      <c r="BF30" s="172"/>
      <c r="BG30" s="170" t="str">
        <f>VLOOKUP(BG27,市町村データ!A2:P106,MATCH(手順書_丁目_交通!$F$66, 市町村データ!A1:P1, 0),FALSE)</f>
        <v/>
      </c>
      <c r="BH30" s="171"/>
      <c r="BI30" s="171"/>
      <c r="BJ30" s="172"/>
      <c r="BK30" s="170" t="str">
        <f>VLOOKUP(BK27,市町村データ!A2:P106,MATCH(手順書_丁目_交通!$F$66, 市町村データ!A1:P1, 0),FALSE)</f>
        <v/>
      </c>
      <c r="BL30" s="171"/>
      <c r="BM30" s="171"/>
      <c r="BN30" s="172"/>
      <c r="BO30" s="85"/>
      <c r="BP30" s="52"/>
      <c r="BQ30" s="52"/>
      <c r="BR30" s="52"/>
      <c r="BS30" s="79"/>
      <c r="BT30" s="78"/>
    </row>
    <row r="31" spans="1:72" ht="21.15" customHeight="1" x14ac:dyDescent="0.55000000000000004">
      <c r="A31" s="78"/>
      <c r="B31" s="79"/>
      <c r="C31" s="81" t="s">
        <v>67</v>
      </c>
      <c r="D31" s="79"/>
      <c r="E31" s="79"/>
      <c r="F31" s="79"/>
      <c r="G31" s="82">
        <v>54</v>
      </c>
      <c r="H31" s="142" t="str">
        <f>VLOOKUP(G31,市町村データ!A2:P106,MATCH(手順書_丁目_交通!$G$63, 市町村データ!A1:P1, 0),FALSE)</f>
        <v>新堀3</v>
      </c>
      <c r="I31" s="154"/>
      <c r="J31" s="159"/>
      <c r="K31" s="82">
        <v>55</v>
      </c>
      <c r="L31" s="142" t="str">
        <f>VLOOKUP(K31,市町村データ!A2:P106,MATCH(手順書_丁目_交通!$G$63, 市町村データ!A1:P1, 0),FALSE)</f>
        <v>新堀2</v>
      </c>
      <c r="M31" s="154"/>
      <c r="N31" s="159"/>
      <c r="O31" s="82">
        <v>56</v>
      </c>
      <c r="P31" s="142" t="str">
        <f>VLOOKUP(O31,市町村データ!A2:P106,MATCH(手順書_丁目_交通!$G$63, 市町村データ!A1:P1, 0),FALSE)</f>
        <v>新堀1</v>
      </c>
      <c r="Q31" s="154"/>
      <c r="R31" s="159"/>
      <c r="S31" s="82">
        <v>57</v>
      </c>
      <c r="T31" s="142" t="str">
        <f>VLOOKUP(S31,市町村データ!A2:P106,MATCH(手順書_丁目_交通!$G$63, 市町村データ!A1:P1, 0),FALSE)</f>
        <v>西堀3</v>
      </c>
      <c r="U31" s="154"/>
      <c r="V31" s="159"/>
      <c r="W31" s="96"/>
      <c r="X31" s="84"/>
      <c r="Y31" s="84"/>
      <c r="Z31" s="84"/>
      <c r="AA31" s="82">
        <v>58</v>
      </c>
      <c r="AB31" s="142" t="str">
        <f>VLOOKUP(AA31,市町村データ!A2:P106,MATCH(手順書_丁目_交通!$G$63, 市町村データ!A1:P1, 0),FALSE)</f>
        <v>石神4</v>
      </c>
      <c r="AC31" s="154"/>
      <c r="AD31" s="159"/>
      <c r="AE31" s="82">
        <v>59</v>
      </c>
      <c r="AF31" s="142" t="str">
        <f>VLOOKUP(AE31,市町村データ!A2:P106,MATCH(手順書_丁目_交通!$G$63, 市町村データ!A1:P1, 0),FALSE)</f>
        <v>石神1</v>
      </c>
      <c r="AG31" s="154"/>
      <c r="AH31" s="159"/>
      <c r="AI31" s="82">
        <v>60</v>
      </c>
      <c r="AJ31" s="142" t="str">
        <f>VLOOKUP(AI31,市町村データ!A2:P106,MATCH(手順書_丁目_交通!$G$63, 市町村データ!A1:P1, 0),FALSE)</f>
        <v>道場2</v>
      </c>
      <c r="AK31" s="154"/>
      <c r="AL31" s="159"/>
      <c r="AM31" s="82">
        <v>61</v>
      </c>
      <c r="AN31" s="142" t="str">
        <f>VLOOKUP(AM31,市町村データ!A2:P106,MATCH(手順書_丁目_交通!$G$63, 市町村データ!A1:P1, 0),FALSE)</f>
        <v>道場1</v>
      </c>
      <c r="AO31" s="154"/>
      <c r="AP31" s="159"/>
      <c r="AQ31" s="97"/>
      <c r="AR31" s="84"/>
      <c r="AS31" s="84"/>
      <c r="AT31" s="84"/>
      <c r="AU31" s="82">
        <v>62</v>
      </c>
      <c r="AV31" s="142" t="str">
        <f>VLOOKUP(AU31,市町村データ!A2:P106,MATCH(手順書_丁目_交通!$G$63, 市町村データ!A1:P1, 0),FALSE)</f>
        <v>池田1</v>
      </c>
      <c r="AW31" s="154"/>
      <c r="AX31" s="159"/>
      <c r="AY31" s="82">
        <v>63</v>
      </c>
      <c r="AZ31" s="142" t="str">
        <f>VLOOKUP(AY31,市町村データ!A2:P106,MATCH(手順書_丁目_交通!$G$63, 市町村データ!A1:P1, 0),FALSE)</f>
        <v>池田2</v>
      </c>
      <c r="BA31" s="154"/>
      <c r="BB31" s="159"/>
      <c r="BC31" s="82">
        <v>64</v>
      </c>
      <c r="BD31" s="142" t="str">
        <f>VLOOKUP(BC31,市町村データ!A2:P106,MATCH(手順書_丁目_交通!$G$63, 市町村データ!A1:P1, 0),FALSE)</f>
        <v>池田3</v>
      </c>
      <c r="BE31" s="154"/>
      <c r="BF31" s="159"/>
      <c r="BG31" s="82">
        <v>65</v>
      </c>
      <c r="BH31" s="142" t="str">
        <f>VLOOKUP(BG31,市町村データ!A2:P106,MATCH(手順書_丁目_交通!$G$63, 市町村データ!A1:P1, 0),FALSE)</f>
        <v>池田4</v>
      </c>
      <c r="BI31" s="154"/>
      <c r="BJ31" s="159"/>
      <c r="BK31" s="82">
        <v>66</v>
      </c>
      <c r="BL31" s="142" t="str">
        <f>VLOOKUP(BK31,市町村データ!A2:P106,MATCH(手順書_丁目_交通!$G$63, 市町村データ!A1:P1, 0),FALSE)</f>
        <v>池田5</v>
      </c>
      <c r="BM31" s="154"/>
      <c r="BN31" s="159"/>
      <c r="BO31" s="91"/>
      <c r="BP31" s="79"/>
      <c r="BQ31" s="79"/>
      <c r="BR31" s="79"/>
      <c r="BS31" s="79"/>
      <c r="BT31" s="78"/>
    </row>
    <row r="32" spans="1:72" ht="21.15" customHeight="1" x14ac:dyDescent="0.55000000000000004">
      <c r="A32" s="78"/>
      <c r="B32" s="79"/>
      <c r="C32" s="79"/>
      <c r="D32" s="79"/>
      <c r="E32" s="79"/>
      <c r="F32" s="79"/>
      <c r="G32" s="150" t="str">
        <f>VLOOKUP(G31,市町村データ!A2:P106,MATCH(手順書_丁目_交通!$F$64, 市町村データ!A1:P1, 0),FALSE)</f>
        <v/>
      </c>
      <c r="H32" s="151"/>
      <c r="I32" s="151"/>
      <c r="J32" s="157"/>
      <c r="K32" s="150" t="str">
        <f>VLOOKUP(K31,市町村データ!A2:P106,MATCH(手順書_丁目_交通!$F$64, 市町村データ!A1:P1, 0),FALSE)</f>
        <v/>
      </c>
      <c r="L32" s="151"/>
      <c r="M32" s="151"/>
      <c r="N32" s="157"/>
      <c r="O32" s="150" t="str">
        <f>VLOOKUP(O31,市町村データ!A2:P106,MATCH(手順書_丁目_交通!$F$64, 市町村データ!A1:P1, 0),FALSE)</f>
        <v/>
      </c>
      <c r="P32" s="151"/>
      <c r="Q32" s="151"/>
      <c r="R32" s="157"/>
      <c r="S32" s="150" t="str">
        <f>VLOOKUP(S31,市町村データ!A2:P106,MATCH(手順書_丁目_交通!$F$64, 市町村データ!A1:P1, 0),FALSE)</f>
        <v/>
      </c>
      <c r="T32" s="151"/>
      <c r="U32" s="151"/>
      <c r="V32" s="157"/>
      <c r="W32" s="85"/>
      <c r="X32" s="79"/>
      <c r="Y32" s="79"/>
      <c r="Z32" s="79"/>
      <c r="AA32" s="150" t="str">
        <f>VLOOKUP(AA31,市町村データ!A2:P106,MATCH(手順書_丁目_交通!$F$64, 市町村データ!A1:P1, 0),FALSE)</f>
        <v/>
      </c>
      <c r="AB32" s="151"/>
      <c r="AC32" s="151"/>
      <c r="AD32" s="157"/>
      <c r="AE32" s="150" t="str">
        <f>VLOOKUP(AE31,市町村データ!A2:P106,MATCH(手順書_丁目_交通!$F$64, 市町村データ!A1:P1, 0),FALSE)</f>
        <v>○新座病院前</v>
      </c>
      <c r="AF32" s="151"/>
      <c r="AG32" s="151"/>
      <c r="AH32" s="157"/>
      <c r="AI32" s="150" t="str">
        <f>VLOOKUP(AI31,市町村データ!A2:P106,MATCH(手順書_丁目_交通!$F$64, 市町村データ!A1:P1, 0),FALSE)</f>
        <v>○堀の内橋</v>
      </c>
      <c r="AJ32" s="151"/>
      <c r="AK32" s="151"/>
      <c r="AL32" s="157"/>
      <c r="AM32" s="150" t="str">
        <f>VLOOKUP(AM31,市町村データ!A2:P106,MATCH(手順書_丁目_交通!$F$64, 市町村データ!A1:P1, 0),FALSE)</f>
        <v/>
      </c>
      <c r="AN32" s="151"/>
      <c r="AO32" s="151"/>
      <c r="AP32" s="157"/>
      <c r="AQ32" s="92"/>
      <c r="AR32" s="87"/>
      <c r="AS32" s="87"/>
      <c r="AT32" s="87"/>
      <c r="AU32" s="150" t="str">
        <f>VLOOKUP(AU31,市町村データ!A2:P106,MATCH(手順書_丁目_交通!$F$64, 市町村データ!A1:P1, 0),FALSE)</f>
        <v/>
      </c>
      <c r="AV32" s="151"/>
      <c r="AW32" s="151"/>
      <c r="AX32" s="157"/>
      <c r="AY32" s="150" t="str">
        <f>VLOOKUP(AY31,市町村データ!A2:P106,MATCH(手順書_丁目_交通!$F$64, 市町村データ!A1:P1, 0),FALSE)</f>
        <v>○池田二丁目</v>
      </c>
      <c r="AZ32" s="151"/>
      <c r="BA32" s="151"/>
      <c r="BB32" s="157"/>
      <c r="BC32" s="150" t="str">
        <f>VLOOKUP(BC31,市町村データ!A2:P106,MATCH(手順書_丁目_交通!$F$64, 市町村データ!A1:P1, 0),FALSE)</f>
        <v/>
      </c>
      <c r="BD32" s="151"/>
      <c r="BE32" s="151"/>
      <c r="BF32" s="157"/>
      <c r="BG32" s="150" t="str">
        <f>VLOOKUP(BG31,市町村データ!A2:P106,MATCH(手順書_丁目_交通!$F$64, 市町村データ!A1:P1, 0),FALSE)</f>
        <v>○池田小学校入口</v>
      </c>
      <c r="BH32" s="151"/>
      <c r="BI32" s="151"/>
      <c r="BJ32" s="157"/>
      <c r="BK32" s="150" t="str">
        <f>VLOOKUP(BK31,市町村データ!A2:P106,MATCH(手順書_丁目_交通!$F$64, 市町村データ!A1:P1, 0),FALSE)</f>
        <v/>
      </c>
      <c r="BL32" s="151"/>
      <c r="BM32" s="151"/>
      <c r="BN32" s="157"/>
      <c r="BO32" s="92"/>
      <c r="BP32" s="50"/>
      <c r="BQ32" s="50"/>
      <c r="BR32" s="50"/>
      <c r="BS32" s="79"/>
      <c r="BT32" s="78"/>
    </row>
    <row r="33" spans="1:72" ht="21.15" customHeight="1" x14ac:dyDescent="0.55000000000000004">
      <c r="A33" s="78"/>
      <c r="B33" s="79"/>
      <c r="C33" s="79"/>
      <c r="D33" s="79"/>
      <c r="E33" s="79"/>
      <c r="F33" s="79"/>
      <c r="G33" s="150" t="str">
        <f>VLOOKUP(G31,市町村データ!A2:P106,MATCH(手順書_丁目_交通!$F$65, 市町村データ!A1:P1, 0),FALSE)</f>
        <v/>
      </c>
      <c r="H33" s="151"/>
      <c r="I33" s="151"/>
      <c r="J33" s="157"/>
      <c r="K33" s="150" t="str">
        <f>VLOOKUP(K31,市町村データ!A2:P106,MATCH(手順書_丁目_交通!$F$65, 市町村データ!A1:P1, 0),FALSE)</f>
        <v/>
      </c>
      <c r="L33" s="151"/>
      <c r="M33" s="151"/>
      <c r="N33" s="157"/>
      <c r="O33" s="150" t="str">
        <f>VLOOKUP(O31,市町村データ!A2:P106,MATCH(手順書_丁目_交通!$F$65, 市町村データ!A1:P1, 0),FALSE)</f>
        <v/>
      </c>
      <c r="P33" s="151"/>
      <c r="Q33" s="151"/>
      <c r="R33" s="157"/>
      <c r="S33" s="150" t="str">
        <f>VLOOKUP(S31,市町村データ!A2:P106,MATCH(手順書_丁目_交通!$F$65, 市町村データ!A1:P1, 0),FALSE)</f>
        <v/>
      </c>
      <c r="T33" s="151"/>
      <c r="U33" s="151"/>
      <c r="V33" s="157"/>
      <c r="W33" s="85"/>
      <c r="X33" s="79"/>
      <c r="Y33" s="79"/>
      <c r="Z33" s="79"/>
      <c r="AA33" s="150" t="str">
        <f>VLOOKUP(AA31,市町村データ!A2:P106,MATCH(手順書_丁目_交通!$F$65, 市町村データ!A1:P1, 0),FALSE)</f>
        <v/>
      </c>
      <c r="AB33" s="151"/>
      <c r="AC33" s="151"/>
      <c r="AD33" s="157"/>
      <c r="AE33" s="150" t="str">
        <f>VLOOKUP(AE31,市町村データ!A2:P106,MATCH(手順書_丁目_交通!$F$65, 市町村データ!A1:P1, 0),FALSE)</f>
        <v/>
      </c>
      <c r="AF33" s="151"/>
      <c r="AG33" s="151"/>
      <c r="AH33" s="157"/>
      <c r="AI33" s="150" t="str">
        <f>VLOOKUP(AI31,市町村データ!A2:P106,MATCH(手順書_丁目_交通!$F$65, 市町村データ!A1:P1, 0),FALSE)</f>
        <v>○片山小学校</v>
      </c>
      <c r="AJ33" s="151"/>
      <c r="AK33" s="151"/>
      <c r="AL33" s="157"/>
      <c r="AM33" s="150" t="str">
        <f>VLOOKUP(AM31,市町村データ!A2:P106,MATCH(手順書_丁目_交通!$F$65, 市町村データ!A1:P1, 0),FALSE)</f>
        <v/>
      </c>
      <c r="AN33" s="151"/>
      <c r="AO33" s="151"/>
      <c r="AP33" s="157"/>
      <c r="AQ33" s="93"/>
      <c r="AR33" s="89"/>
      <c r="AS33" s="89"/>
      <c r="AT33" s="89"/>
      <c r="AU33" s="150" t="str">
        <f>VLOOKUP(AU31,市町村データ!A2:P106,MATCH(手順書_丁目_交通!$F$65, 市町村データ!A1:P1, 0),FALSE)</f>
        <v/>
      </c>
      <c r="AV33" s="151"/>
      <c r="AW33" s="151"/>
      <c r="AX33" s="157"/>
      <c r="AY33" s="150" t="str">
        <f>VLOOKUP(AY31,市町村データ!A2:P106,MATCH(手順書_丁目_交通!$F$65, 市町村データ!A1:P1, 0),FALSE)</f>
        <v/>
      </c>
      <c r="AZ33" s="151"/>
      <c r="BA33" s="151"/>
      <c r="BB33" s="157"/>
      <c r="BC33" s="150" t="str">
        <f>VLOOKUP(BC31,市町村データ!A2:P106,MATCH(手順書_丁目_交通!$F$65, 市町村データ!A1:P1, 0),FALSE)</f>
        <v/>
      </c>
      <c r="BD33" s="151"/>
      <c r="BE33" s="151"/>
      <c r="BF33" s="157"/>
      <c r="BG33" s="150" t="str">
        <f>VLOOKUP(BG31,市町村データ!A2:P106,MATCH(手順書_丁目_交通!$F$65, 市町村データ!A1:P1, 0),FALSE)</f>
        <v/>
      </c>
      <c r="BH33" s="151"/>
      <c r="BI33" s="151"/>
      <c r="BJ33" s="157"/>
      <c r="BK33" s="150" t="str">
        <f>VLOOKUP(BK31,市町村データ!A2:P106,MATCH(手順書_丁目_交通!$F$65, 市町村データ!A1:P1, 0),FALSE)</f>
        <v/>
      </c>
      <c r="BL33" s="151"/>
      <c r="BM33" s="151"/>
      <c r="BN33" s="157"/>
      <c r="BO33" s="93"/>
      <c r="BP33" s="51"/>
      <c r="BQ33" s="51"/>
      <c r="BR33" s="51"/>
      <c r="BS33" s="79"/>
      <c r="BT33" s="78"/>
    </row>
    <row r="34" spans="1:72" ht="21.15" customHeight="1" thickBot="1" x14ac:dyDescent="0.6">
      <c r="A34" s="78"/>
      <c r="B34" s="79"/>
      <c r="C34" s="79"/>
      <c r="D34" s="79"/>
      <c r="E34" s="79"/>
      <c r="F34" s="79"/>
      <c r="G34" s="170" t="str">
        <f>VLOOKUP(G31,市町村データ!A2:P106,MATCH(手順書_丁目_交通!$F$66, 市町村データ!A1:P1, 0),FALSE)</f>
        <v/>
      </c>
      <c r="H34" s="171"/>
      <c r="I34" s="171"/>
      <c r="J34" s="172"/>
      <c r="K34" s="170" t="str">
        <f>VLOOKUP(K31,市町村データ!A2:P106,MATCH(手順書_丁目_交通!$F$66, 市町村データ!A1:P1, 0),FALSE)</f>
        <v/>
      </c>
      <c r="L34" s="171"/>
      <c r="M34" s="171"/>
      <c r="N34" s="172"/>
      <c r="O34" s="170" t="str">
        <f>VLOOKUP(O31,市町村データ!A2:P106,MATCH(手順書_丁目_交通!$F$66, 市町村データ!A1:P1, 0),FALSE)</f>
        <v/>
      </c>
      <c r="P34" s="171"/>
      <c r="Q34" s="171"/>
      <c r="R34" s="172"/>
      <c r="S34" s="170" t="str">
        <f>VLOOKUP(S31,市町村データ!A2:P106,MATCH(手順書_丁目_交通!$F$66, 市町村データ!A1:P1, 0),FALSE)</f>
        <v/>
      </c>
      <c r="T34" s="171"/>
      <c r="U34" s="171"/>
      <c r="V34" s="172"/>
      <c r="W34" s="85"/>
      <c r="X34" s="79"/>
      <c r="Y34" s="79"/>
      <c r="Z34" s="79"/>
      <c r="AA34" s="170" t="str">
        <f>VLOOKUP(AA31,市町村データ!A2:P106,MATCH(手順書_丁目_交通!$F$66, 市町村データ!A1:P1, 0),FALSE)</f>
        <v/>
      </c>
      <c r="AB34" s="171"/>
      <c r="AC34" s="171"/>
      <c r="AD34" s="172"/>
      <c r="AE34" s="170" t="str">
        <f>VLOOKUP(AE31,市町村データ!A2:P106,MATCH(手順書_丁目_交通!$F$66, 市町村データ!A1:P1, 0),FALSE)</f>
        <v/>
      </c>
      <c r="AF34" s="171"/>
      <c r="AG34" s="171"/>
      <c r="AH34" s="172"/>
      <c r="AI34" s="170" t="str">
        <f>VLOOKUP(AI31,市町村データ!A2:P106,MATCH(手順書_丁目_交通!$F$66, 市町村データ!A1:P1, 0),FALSE)</f>
        <v>○道場</v>
      </c>
      <c r="AJ34" s="171"/>
      <c r="AK34" s="171"/>
      <c r="AL34" s="172"/>
      <c r="AM34" s="170" t="str">
        <f>VLOOKUP(AM31,市町村データ!A2:P106,MATCH(手順書_丁目_交通!$F$66, 市町村データ!A1:P1, 0),FALSE)</f>
        <v/>
      </c>
      <c r="AN34" s="171"/>
      <c r="AO34" s="171"/>
      <c r="AP34" s="172"/>
      <c r="AQ34" s="85"/>
      <c r="AR34" s="79"/>
      <c r="AS34" s="79"/>
      <c r="AT34" s="79"/>
      <c r="AU34" s="170" t="str">
        <f>VLOOKUP(AU31,市町村データ!A2:P106,MATCH(手順書_丁目_交通!$F$66, 市町村データ!A1:P1, 0),FALSE)</f>
        <v/>
      </c>
      <c r="AV34" s="171"/>
      <c r="AW34" s="171"/>
      <c r="AX34" s="172"/>
      <c r="AY34" s="170" t="str">
        <f>VLOOKUP(AY31,市町村データ!A2:P106,MATCH(手順書_丁目_交通!$F$66, 市町村データ!A1:P1, 0),FALSE)</f>
        <v/>
      </c>
      <c r="AZ34" s="171"/>
      <c r="BA34" s="171"/>
      <c r="BB34" s="172"/>
      <c r="BC34" s="170" t="str">
        <f>VLOOKUP(BC31,市町村データ!A2:P106,MATCH(手順書_丁目_交通!$F$66, 市町村データ!A1:P1, 0),FALSE)</f>
        <v/>
      </c>
      <c r="BD34" s="171"/>
      <c r="BE34" s="171"/>
      <c r="BF34" s="172"/>
      <c r="BG34" s="170" t="str">
        <f>VLOOKUP(BG31,市町村データ!A2:P106,MATCH(手順書_丁目_交通!$F$66, 市町村データ!A1:P1, 0),FALSE)</f>
        <v/>
      </c>
      <c r="BH34" s="171"/>
      <c r="BI34" s="171"/>
      <c r="BJ34" s="172"/>
      <c r="BK34" s="170" t="str">
        <f>VLOOKUP(BK31,市町村データ!A2:P106,MATCH(手順書_丁目_交通!$F$66, 市町村データ!A1:P1, 0),FALSE)</f>
        <v/>
      </c>
      <c r="BL34" s="171"/>
      <c r="BM34" s="171"/>
      <c r="BN34" s="172"/>
      <c r="BO34" s="85"/>
      <c r="BP34" s="52"/>
      <c r="BQ34" s="52"/>
      <c r="BR34" s="52"/>
      <c r="BS34" s="79"/>
      <c r="BT34" s="78"/>
    </row>
    <row r="35" spans="1:72" ht="21.15" customHeight="1" x14ac:dyDescent="0.55000000000000004">
      <c r="A35" s="78"/>
      <c r="B35" s="79"/>
      <c r="C35" s="81" t="s">
        <v>68</v>
      </c>
      <c r="D35" s="79"/>
      <c r="E35" s="79"/>
      <c r="F35" s="79"/>
      <c r="G35" s="84"/>
      <c r="H35" s="84"/>
      <c r="I35" s="84"/>
      <c r="J35" s="84"/>
      <c r="K35" s="84"/>
      <c r="L35" s="84"/>
      <c r="M35" s="84"/>
      <c r="N35" s="84"/>
      <c r="O35" s="84"/>
      <c r="P35" s="84"/>
      <c r="Q35" s="84"/>
      <c r="R35" s="84"/>
      <c r="S35" s="84"/>
      <c r="T35" s="84"/>
      <c r="U35" s="84"/>
      <c r="V35" s="84"/>
      <c r="W35" s="79"/>
      <c r="X35" s="79"/>
      <c r="Y35" s="79"/>
      <c r="Z35" s="79"/>
      <c r="AA35" s="82">
        <v>67</v>
      </c>
      <c r="AB35" s="142" t="str">
        <f>VLOOKUP(AA35,市町村データ!A2:P106,MATCH(手順書_丁目_交通!$G$63, 市町村データ!A1:P1, 0),FALSE)</f>
        <v>石神3</v>
      </c>
      <c r="AC35" s="154"/>
      <c r="AD35" s="159"/>
      <c r="AE35" s="82">
        <v>68</v>
      </c>
      <c r="AF35" s="142" t="str">
        <f>VLOOKUP(AE35,市町村データ!A2:P106,MATCH(手順書_丁目_交通!$G$63, 市町村データ!A1:P1, 0),FALSE)</f>
        <v>石神2</v>
      </c>
      <c r="AG35" s="154"/>
      <c r="AH35" s="159"/>
      <c r="AI35" s="97"/>
      <c r="AJ35" s="84"/>
      <c r="AK35" s="84"/>
      <c r="AL35" s="84"/>
      <c r="AM35" s="95"/>
      <c r="AN35" s="84"/>
      <c r="AO35" s="84"/>
      <c r="AP35" s="84"/>
      <c r="AQ35" s="86"/>
      <c r="AR35" s="79"/>
      <c r="AS35" s="79"/>
      <c r="AT35" s="79"/>
      <c r="AU35" s="95"/>
      <c r="AV35" s="84"/>
      <c r="AW35" s="84"/>
      <c r="AX35" s="84"/>
      <c r="AY35" s="95"/>
      <c r="AZ35" s="84"/>
      <c r="BA35" s="84"/>
      <c r="BB35" s="84"/>
      <c r="BC35" s="82">
        <v>69</v>
      </c>
      <c r="BD35" s="142" t="str">
        <f>VLOOKUP(BC35,市町村データ!A2:P106,MATCH(手順書_丁目_交通!$G$63, 市町村データ!A1:P1, 0),FALSE)</f>
        <v>片山1</v>
      </c>
      <c r="BE35" s="154"/>
      <c r="BF35" s="159"/>
      <c r="BG35" s="82">
        <v>70</v>
      </c>
      <c r="BH35" s="142" t="str">
        <f>VLOOKUP(BG35,市町村データ!A2:P106,MATCH(手順書_丁目_交通!$G$63, 市町村データ!A1:P1, 0),FALSE)</f>
        <v>片山2</v>
      </c>
      <c r="BI35" s="154"/>
      <c r="BJ35" s="159"/>
      <c r="BK35" s="82">
        <v>71</v>
      </c>
      <c r="BL35" s="142" t="str">
        <f>VLOOKUP(BK35,市町村データ!A2:P106,MATCH(手順書_丁目_交通!$G$63, 市町村データ!A1:P1, 0),FALSE)</f>
        <v>片山3</v>
      </c>
      <c r="BM35" s="154"/>
      <c r="BN35" s="159"/>
      <c r="BO35" s="91"/>
      <c r="BP35" s="79"/>
      <c r="BQ35" s="79"/>
      <c r="BR35" s="79"/>
      <c r="BS35" s="79"/>
      <c r="BT35" s="78"/>
    </row>
    <row r="36" spans="1:72" ht="21.15" customHeight="1" x14ac:dyDescent="0.55000000000000004">
      <c r="A36" s="78"/>
      <c r="B36" s="79"/>
      <c r="C36" s="79"/>
      <c r="D36" s="79"/>
      <c r="E36" s="79"/>
      <c r="F36" s="79"/>
      <c r="G36" s="79"/>
      <c r="H36" s="79"/>
      <c r="I36" s="79"/>
      <c r="J36" s="79"/>
      <c r="K36" s="79"/>
      <c r="L36" s="79"/>
      <c r="M36" s="79"/>
      <c r="N36" s="79"/>
      <c r="O36" s="79"/>
      <c r="P36" s="79"/>
      <c r="Q36" s="79"/>
      <c r="R36" s="79"/>
      <c r="S36" s="79"/>
      <c r="T36" s="79"/>
      <c r="U36" s="79"/>
      <c r="V36" s="79"/>
      <c r="W36" s="79"/>
      <c r="X36" s="79"/>
      <c r="Y36" s="79"/>
      <c r="Z36" s="79"/>
      <c r="AA36" s="150" t="str">
        <f>VLOOKUP(AA35,市町村データ!A2:P106,MATCH(手順書_丁目_交通!$F$64, 市町村データ!A1:P1, 0),FALSE)</f>
        <v/>
      </c>
      <c r="AB36" s="151"/>
      <c r="AC36" s="151"/>
      <c r="AD36" s="157"/>
      <c r="AE36" s="150" t="str">
        <f>VLOOKUP(AE35,市町村データ!A2:P106,MATCH(手順書_丁目_交通!$F$64, 市町村データ!A1:P1, 0),FALSE)</f>
        <v>○堀ノ内病院</v>
      </c>
      <c r="AF36" s="151"/>
      <c r="AG36" s="151"/>
      <c r="AH36" s="157"/>
      <c r="AI36" s="98"/>
      <c r="AJ36" s="50"/>
      <c r="AK36" s="50"/>
      <c r="AL36" s="50"/>
      <c r="AM36" s="50"/>
      <c r="AN36" s="50"/>
      <c r="AO36" s="50"/>
      <c r="AP36" s="50"/>
      <c r="AQ36" s="50"/>
      <c r="AR36" s="50"/>
      <c r="AS36" s="50"/>
      <c r="AT36" s="50"/>
      <c r="AU36" s="50"/>
      <c r="AV36" s="50"/>
      <c r="AW36" s="50"/>
      <c r="AX36" s="50"/>
      <c r="AY36" s="50"/>
      <c r="AZ36" s="50"/>
      <c r="BA36" s="50"/>
      <c r="BB36" s="50"/>
      <c r="BC36" s="150" t="str">
        <f>VLOOKUP(BC35,市町村データ!A2:P106,MATCH(手順書_丁目_交通!$F$64, 市町村データ!A1:P1, 0),FALSE)</f>
        <v>○あけぼの住宅前</v>
      </c>
      <c r="BD36" s="151"/>
      <c r="BE36" s="151"/>
      <c r="BF36" s="157"/>
      <c r="BG36" s="150" t="str">
        <f>VLOOKUP(BG35,市町村データ!A2:P106,MATCH(手順書_丁目_交通!$F$64, 市町村データ!A1:P1, 0),FALSE)</f>
        <v>○片山二丁目</v>
      </c>
      <c r="BH36" s="151"/>
      <c r="BI36" s="151"/>
      <c r="BJ36" s="157"/>
      <c r="BK36" s="150" t="str">
        <f>VLOOKUP(BK35,市町村データ!A2:P106,MATCH(手順書_丁目_交通!$F$64, 市町村データ!A1:P1, 0),FALSE)</f>
        <v>○庚申塚前</v>
      </c>
      <c r="BL36" s="151"/>
      <c r="BM36" s="151"/>
      <c r="BN36" s="157"/>
      <c r="BO36" s="98"/>
      <c r="BP36" s="50"/>
      <c r="BQ36" s="50"/>
      <c r="BR36" s="50"/>
      <c r="BS36" s="79"/>
      <c r="BT36" s="78"/>
    </row>
    <row r="37" spans="1:72" ht="21.15" customHeight="1" x14ac:dyDescent="0.55000000000000004">
      <c r="A37" s="78"/>
      <c r="B37" s="79"/>
      <c r="C37" s="79"/>
      <c r="D37" s="79"/>
      <c r="E37" s="79"/>
      <c r="F37" s="79"/>
      <c r="G37" s="79"/>
      <c r="H37" s="79"/>
      <c r="I37" s="79"/>
      <c r="J37" s="79"/>
      <c r="K37" s="79"/>
      <c r="L37" s="79"/>
      <c r="M37" s="79"/>
      <c r="N37" s="79"/>
      <c r="O37" s="79"/>
      <c r="P37" s="79"/>
      <c r="Q37" s="79"/>
      <c r="R37" s="79"/>
      <c r="S37" s="79"/>
      <c r="T37" s="79"/>
      <c r="U37" s="79"/>
      <c r="V37" s="79"/>
      <c r="W37" s="79"/>
      <c r="X37" s="79"/>
      <c r="Y37" s="79"/>
      <c r="Z37" s="79"/>
      <c r="AA37" s="150" t="str">
        <f>VLOOKUP(AA35,市町村データ!A2:P106,MATCH(手順書_丁目_交通!$F$65, 市町村データ!A1:P1, 0),FALSE)</f>
        <v/>
      </c>
      <c r="AB37" s="151"/>
      <c r="AC37" s="151"/>
      <c r="AD37" s="157"/>
      <c r="AE37" s="150" t="str">
        <f>VLOOKUP(AE35,市町村データ!A2:P106,MATCH(手順書_丁目_交通!$F$65, 市町村データ!A1:P1, 0),FALSE)</f>
        <v/>
      </c>
      <c r="AF37" s="151"/>
      <c r="AG37" s="151"/>
      <c r="AH37" s="157"/>
      <c r="AI37" s="99"/>
      <c r="AJ37" s="51"/>
      <c r="AK37" s="51"/>
      <c r="AL37" s="51"/>
      <c r="AM37" s="51"/>
      <c r="AN37" s="51"/>
      <c r="AO37" s="51"/>
      <c r="AP37" s="51"/>
      <c r="AQ37" s="51"/>
      <c r="AR37" s="51"/>
      <c r="AS37" s="51"/>
      <c r="AT37" s="51"/>
      <c r="AU37" s="51"/>
      <c r="AV37" s="51"/>
      <c r="AW37" s="51"/>
      <c r="AX37" s="51"/>
      <c r="AY37" s="51"/>
      <c r="AZ37" s="51"/>
      <c r="BA37" s="51"/>
      <c r="BB37" s="51"/>
      <c r="BC37" s="150" t="str">
        <f>VLOOKUP(BC35,市町村データ!A2:P106,MATCH(手順書_丁目_交通!$F$65, 市町村データ!A1:P1, 0),FALSE)</f>
        <v/>
      </c>
      <c r="BD37" s="151"/>
      <c r="BE37" s="151"/>
      <c r="BF37" s="157"/>
      <c r="BG37" s="150" t="str">
        <f>VLOOKUP(BG35,市町村データ!A2:P106,MATCH(手順書_丁目_交通!$F$65, 市町村データ!A1:P1, 0),FALSE)</f>
        <v/>
      </c>
      <c r="BH37" s="151"/>
      <c r="BI37" s="151"/>
      <c r="BJ37" s="157"/>
      <c r="BK37" s="150" t="str">
        <f>VLOOKUP(BK35,市町村データ!A2:P106,MATCH(手順書_丁目_交通!$F$65, 市町村データ!A1:P1, 0),FALSE)</f>
        <v/>
      </c>
      <c r="BL37" s="151"/>
      <c r="BM37" s="151"/>
      <c r="BN37" s="157"/>
      <c r="BO37" s="99"/>
      <c r="BP37" s="51"/>
      <c r="BQ37" s="51"/>
      <c r="BR37" s="51"/>
      <c r="BS37" s="79"/>
      <c r="BT37" s="78"/>
    </row>
    <row r="38" spans="1:72" ht="21.15" customHeight="1" thickBot="1" x14ac:dyDescent="0.6">
      <c r="A38" s="78"/>
      <c r="B38" s="79"/>
      <c r="C38" s="79"/>
      <c r="D38" s="79"/>
      <c r="E38" s="79"/>
      <c r="F38" s="79"/>
      <c r="G38" s="79"/>
      <c r="H38" s="79"/>
      <c r="I38" s="79"/>
      <c r="J38" s="79"/>
      <c r="K38" s="79"/>
      <c r="L38" s="79"/>
      <c r="M38" s="79"/>
      <c r="N38" s="79"/>
      <c r="O38" s="79"/>
      <c r="P38" s="79"/>
      <c r="Q38" s="79"/>
      <c r="R38" s="79"/>
      <c r="S38" s="79"/>
      <c r="T38" s="79"/>
      <c r="U38" s="79"/>
      <c r="V38" s="79"/>
      <c r="W38" s="79"/>
      <c r="X38" s="79"/>
      <c r="Y38" s="79"/>
      <c r="Z38" s="79"/>
      <c r="AA38" s="170" t="str">
        <f>VLOOKUP(AA35,市町村データ!A2:P106,MATCH(手順書_丁目_交通!$F$66, 市町村データ!A1:P1, 0),FALSE)</f>
        <v/>
      </c>
      <c r="AB38" s="171"/>
      <c r="AC38" s="171"/>
      <c r="AD38" s="172"/>
      <c r="AE38" s="170" t="str">
        <f>VLOOKUP(AE35,市町村データ!A2:P106,MATCH(手順書_丁目_交通!$F$66, 市町村データ!A1:P1, 0),FALSE)</f>
        <v/>
      </c>
      <c r="AF38" s="171"/>
      <c r="AG38" s="171"/>
      <c r="AH38" s="172"/>
      <c r="AI38" s="99"/>
      <c r="AJ38" s="51"/>
      <c r="AK38" s="51"/>
      <c r="AL38" s="51"/>
      <c r="AM38" s="51"/>
      <c r="AN38" s="51"/>
      <c r="AO38" s="51"/>
      <c r="AP38" s="51"/>
      <c r="AQ38" s="51"/>
      <c r="AR38" s="51"/>
      <c r="AS38" s="51"/>
      <c r="AT38" s="51"/>
      <c r="AU38" s="51"/>
      <c r="AV38" s="51"/>
      <c r="AW38" s="51"/>
      <c r="AX38" s="51"/>
      <c r="AY38" s="51"/>
      <c r="AZ38" s="51"/>
      <c r="BA38" s="51"/>
      <c r="BB38" s="51"/>
      <c r="BC38" s="170" t="str">
        <f>VLOOKUP(BC35,市町村データ!A2:P106,MATCH(手順書_丁目_交通!$F$66, 市町村データ!A1:P1, 0),FALSE)</f>
        <v/>
      </c>
      <c r="BD38" s="171"/>
      <c r="BE38" s="171"/>
      <c r="BF38" s="172"/>
      <c r="BG38" s="170" t="str">
        <f>VLOOKUP(BG35,市町村データ!A2:P106,MATCH(手順書_丁目_交通!$F$66, 市町村データ!A1:P1, 0),FALSE)</f>
        <v/>
      </c>
      <c r="BH38" s="171"/>
      <c r="BI38" s="171"/>
      <c r="BJ38" s="172"/>
      <c r="BK38" s="170" t="str">
        <f>VLOOKUP(BK35,市町村データ!A2:P106,MATCH(手順書_丁目_交通!$F$66, 市町村データ!A1:P1, 0),FALSE)</f>
        <v/>
      </c>
      <c r="BL38" s="171"/>
      <c r="BM38" s="171"/>
      <c r="BN38" s="172"/>
      <c r="BO38" s="99"/>
      <c r="BP38" s="51"/>
      <c r="BQ38" s="51"/>
      <c r="BR38" s="51"/>
      <c r="BS38" s="79"/>
      <c r="BT38" s="78"/>
    </row>
    <row r="39" spans="1:72" ht="21.15" customHeight="1" x14ac:dyDescent="0.55000000000000004">
      <c r="A39" s="78"/>
      <c r="B39" s="79"/>
      <c r="C39" s="81" t="s">
        <v>516</v>
      </c>
      <c r="D39" s="79"/>
      <c r="E39" s="79"/>
      <c r="F39" s="79"/>
      <c r="G39" s="79"/>
      <c r="H39" s="79"/>
      <c r="I39" s="79"/>
      <c r="J39" s="79"/>
      <c r="K39" s="79"/>
      <c r="L39" s="79"/>
      <c r="M39" s="79"/>
      <c r="N39" s="79"/>
      <c r="O39" s="79"/>
      <c r="P39" s="79"/>
      <c r="Q39" s="79"/>
      <c r="R39" s="79"/>
      <c r="S39" s="79"/>
      <c r="T39" s="79"/>
      <c r="U39" s="79"/>
      <c r="V39" s="79"/>
      <c r="W39" s="79"/>
      <c r="X39" s="79"/>
      <c r="Y39" s="79"/>
      <c r="Z39" s="79"/>
      <c r="AA39" s="84"/>
      <c r="AB39" s="84"/>
      <c r="AC39" s="84"/>
      <c r="AD39" s="84"/>
      <c r="AE39" s="84"/>
      <c r="AF39" s="84"/>
      <c r="AG39" s="84"/>
      <c r="AH39" s="84"/>
      <c r="AI39" s="51"/>
      <c r="AJ39" s="51"/>
      <c r="AK39" s="51"/>
      <c r="AL39" s="51"/>
      <c r="AM39" s="51"/>
      <c r="AN39" s="51"/>
      <c r="AO39" s="51"/>
      <c r="AP39" s="51"/>
      <c r="AQ39" s="51"/>
      <c r="AR39" s="51"/>
      <c r="AS39" s="51"/>
      <c r="AT39" s="51"/>
      <c r="AU39" s="51"/>
      <c r="AV39" s="51"/>
      <c r="AW39" s="51"/>
      <c r="AX39" s="51"/>
      <c r="AY39" s="82">
        <v>72</v>
      </c>
      <c r="AZ39" s="142" t="str">
        <f>VLOOKUP(AY39,市町村データ!A2:P106,MATCH(手順書_丁目_交通!$G$63, 市町村データ!A1:P1, 0),FALSE)</f>
        <v>野寺1</v>
      </c>
      <c r="BA39" s="154"/>
      <c r="BB39" s="159"/>
      <c r="BC39" s="82">
        <v>73</v>
      </c>
      <c r="BD39" s="142" t="str">
        <f>VLOOKUP(BC39,市町村データ!A2:P106,MATCH(手順書_丁目_交通!$G$63, 市町村データ!A1:P1, 0),FALSE)</f>
        <v>野寺2</v>
      </c>
      <c r="BE39" s="154"/>
      <c r="BF39" s="159"/>
      <c r="BG39" s="82">
        <v>74</v>
      </c>
      <c r="BH39" s="142" t="str">
        <f>VLOOKUP(BG39,市町村データ!A2:P106,MATCH(手順書_丁目_交通!$G$63, 市町村データ!A1:P1, 0),FALSE)</f>
        <v>野寺3</v>
      </c>
      <c r="BI39" s="154"/>
      <c r="BJ39" s="159"/>
      <c r="BK39" s="82">
        <v>75</v>
      </c>
      <c r="BL39" s="142" t="str">
        <f>VLOOKUP(BK39,市町村データ!A2:P106,MATCH(手順書_丁目_交通!$G$63, 市町村データ!A1:P1, 0),FALSE)</f>
        <v>野寺4</v>
      </c>
      <c r="BM39" s="154"/>
      <c r="BN39" s="159"/>
      <c r="BO39" s="82">
        <v>76</v>
      </c>
      <c r="BP39" s="142" t="str">
        <f>VLOOKUP(BO39,市町村データ!A2:P106,MATCH(手順書_丁目_交通!$G$63, 市町村データ!A1:P1, 0),FALSE)</f>
        <v>野寺5</v>
      </c>
      <c r="BQ39" s="154"/>
      <c r="BR39" s="159"/>
      <c r="BS39" s="85"/>
      <c r="BT39" s="78"/>
    </row>
    <row r="40" spans="1:72" ht="21.15" customHeight="1" x14ac:dyDescent="0.55000000000000004">
      <c r="A40" s="78"/>
      <c r="B40" s="79"/>
      <c r="C40" s="79"/>
      <c r="D40" s="79"/>
      <c r="E40" s="79"/>
      <c r="F40" s="79"/>
      <c r="G40" s="79"/>
      <c r="H40" s="79"/>
      <c r="I40" s="79"/>
      <c r="J40" s="79"/>
      <c r="K40" s="79"/>
      <c r="L40" s="79"/>
      <c r="M40" s="79"/>
      <c r="N40" s="79"/>
      <c r="O40" s="79"/>
      <c r="P40" s="79"/>
      <c r="Q40" s="79"/>
      <c r="R40" s="79"/>
      <c r="S40" s="79"/>
      <c r="T40" s="79"/>
      <c r="U40" s="79"/>
      <c r="V40" s="79"/>
      <c r="W40" s="79"/>
      <c r="X40" s="79"/>
      <c r="Y40" s="79"/>
      <c r="Z40" s="79"/>
      <c r="AA40" s="79"/>
      <c r="AB40" s="79"/>
      <c r="AC40" s="79"/>
      <c r="AD40" s="79"/>
      <c r="AE40" s="79"/>
      <c r="AF40" s="79"/>
      <c r="AG40" s="79"/>
      <c r="AH40" s="79"/>
      <c r="AI40" s="51"/>
      <c r="AJ40" s="51"/>
      <c r="AK40" s="51"/>
      <c r="AL40" s="51"/>
      <c r="AM40" s="51"/>
      <c r="AN40" s="51"/>
      <c r="AO40" s="51"/>
      <c r="AP40" s="51"/>
      <c r="AQ40" s="51"/>
      <c r="AR40" s="51"/>
      <c r="AS40" s="51"/>
      <c r="AT40" s="51"/>
      <c r="AU40" s="51"/>
      <c r="AV40" s="51"/>
      <c r="AW40" s="51"/>
      <c r="AX40" s="51"/>
      <c r="AY40" s="150" t="str">
        <f>VLOOKUP(AY39,市町村データ!A2:P106,MATCH(手順書_丁目_交通!$F$64, 市町村データ!A1:P1, 0),FALSE)</f>
        <v/>
      </c>
      <c r="AZ40" s="151"/>
      <c r="BA40" s="151"/>
      <c r="BB40" s="157"/>
      <c r="BC40" s="150" t="str">
        <f>VLOOKUP(BC39,市町村データ!A2:P106,MATCH(手順書_丁目_交通!$F$64, 市町村データ!A1:P1, 0),FALSE)</f>
        <v>○貝沼</v>
      </c>
      <c r="BD40" s="151"/>
      <c r="BE40" s="151"/>
      <c r="BF40" s="157"/>
      <c r="BG40" s="150" t="str">
        <f>VLOOKUP(BG39,市町村データ!A2:P106,MATCH(手順書_丁目_交通!$F$64, 市町村データ!A1:P1, 0),FALSE)</f>
        <v/>
      </c>
      <c r="BH40" s="151"/>
      <c r="BI40" s="151"/>
      <c r="BJ40" s="157"/>
      <c r="BK40" s="150" t="str">
        <f>VLOOKUP(BK39,市町村データ!A2:P106,MATCH(手順書_丁目_交通!$F$64, 市町村データ!A1:P1, 0),FALSE)</f>
        <v>○第五中学前</v>
      </c>
      <c r="BL40" s="151"/>
      <c r="BM40" s="151"/>
      <c r="BN40" s="157"/>
      <c r="BO40" s="150" t="str">
        <f>VLOOKUP(BO39,市町村データ!A2:P106,MATCH(手順書_丁目_交通!$F$64, 市町村データ!A1:P1, 0),FALSE)</f>
        <v>○野寺小学校東</v>
      </c>
      <c r="BP40" s="151"/>
      <c r="BQ40" s="151"/>
      <c r="BR40" s="157"/>
      <c r="BS40" s="85"/>
      <c r="BT40" s="78"/>
    </row>
    <row r="41" spans="1:72" ht="21.15" customHeight="1" x14ac:dyDescent="0.55000000000000004">
      <c r="A41" s="78"/>
      <c r="B41" s="79"/>
      <c r="C41" s="79"/>
      <c r="D41" s="79"/>
      <c r="E41" s="79"/>
      <c r="F41" s="79"/>
      <c r="G41" s="79"/>
      <c r="H41" s="79"/>
      <c r="I41" s="79"/>
      <c r="J41" s="79"/>
      <c r="K41" s="79"/>
      <c r="L41" s="79"/>
      <c r="M41" s="79"/>
      <c r="N41" s="79"/>
      <c r="O41" s="79"/>
      <c r="P41" s="79"/>
      <c r="Q41" s="79"/>
      <c r="R41" s="79"/>
      <c r="S41" s="79"/>
      <c r="T41" s="79"/>
      <c r="U41" s="79"/>
      <c r="V41" s="79"/>
      <c r="W41" s="79"/>
      <c r="X41" s="79"/>
      <c r="Y41" s="79"/>
      <c r="Z41" s="79"/>
      <c r="AA41" s="79"/>
      <c r="AB41" s="79"/>
      <c r="AC41" s="79"/>
      <c r="AD41" s="79"/>
      <c r="AE41" s="79"/>
      <c r="AF41" s="79"/>
      <c r="AG41" s="79"/>
      <c r="AH41" s="79"/>
      <c r="AI41" s="51"/>
      <c r="AJ41" s="51"/>
      <c r="AK41" s="51"/>
      <c r="AL41" s="51"/>
      <c r="AM41" s="51"/>
      <c r="AN41" s="51"/>
      <c r="AO41" s="51"/>
      <c r="AP41" s="51"/>
      <c r="AQ41" s="51"/>
      <c r="AR41" s="51"/>
      <c r="AS41" s="51"/>
      <c r="AT41" s="51"/>
      <c r="AU41" s="51"/>
      <c r="AV41" s="51"/>
      <c r="AW41" s="51"/>
      <c r="AX41" s="51"/>
      <c r="AY41" s="150" t="str">
        <f>VLOOKUP(AY39,市町村データ!A2:P106,MATCH(手順書_丁目_交通!$F$65, 市町村データ!A1:P1, 0),FALSE)</f>
        <v/>
      </c>
      <c r="AZ41" s="151"/>
      <c r="BA41" s="151"/>
      <c r="BB41" s="157"/>
      <c r="BC41" s="150" t="str">
        <f>VLOOKUP(BC39,市町村データ!A2:P106,MATCH(手順書_丁目_交通!$F$65, 市町村データ!A1:P1, 0),FALSE)</f>
        <v/>
      </c>
      <c r="BD41" s="151"/>
      <c r="BE41" s="151"/>
      <c r="BF41" s="157"/>
      <c r="BG41" s="150" t="str">
        <f>VLOOKUP(BG39,市町村データ!A2:P106,MATCH(手順書_丁目_交通!$F$65, 市町村データ!A1:P1, 0),FALSE)</f>
        <v/>
      </c>
      <c r="BH41" s="151"/>
      <c r="BI41" s="151"/>
      <c r="BJ41" s="157"/>
      <c r="BK41" s="150" t="str">
        <f>VLOOKUP(BK39,市町村データ!A2:P106,MATCH(手順書_丁目_交通!$F$65, 市町村データ!A1:P1, 0),FALSE)</f>
        <v>○上後</v>
      </c>
      <c r="BL41" s="151"/>
      <c r="BM41" s="151"/>
      <c r="BN41" s="157"/>
      <c r="BO41" s="150" t="str">
        <f>VLOOKUP(BO39,市町村データ!A2:P106,MATCH(手順書_丁目_交通!$F$65, 市町村データ!A1:P1, 0),FALSE)</f>
        <v/>
      </c>
      <c r="BP41" s="151"/>
      <c r="BQ41" s="151"/>
      <c r="BR41" s="157"/>
      <c r="BS41" s="85"/>
      <c r="BT41" s="78"/>
    </row>
    <row r="42" spans="1:72" ht="21.15" customHeight="1" thickBot="1" x14ac:dyDescent="0.6">
      <c r="A42" s="78"/>
      <c r="B42" s="79"/>
      <c r="C42" s="79"/>
      <c r="D42" s="79"/>
      <c r="E42" s="79"/>
      <c r="F42" s="79"/>
      <c r="G42" s="79"/>
      <c r="H42" s="79"/>
      <c r="I42" s="79"/>
      <c r="J42" s="79"/>
      <c r="K42" s="79"/>
      <c r="L42" s="79"/>
      <c r="M42" s="79"/>
      <c r="N42" s="79"/>
      <c r="O42" s="79"/>
      <c r="P42" s="79"/>
      <c r="Q42" s="79"/>
      <c r="R42" s="79"/>
      <c r="S42" s="79"/>
      <c r="T42" s="79"/>
      <c r="U42" s="79"/>
      <c r="V42" s="79"/>
      <c r="W42" s="79"/>
      <c r="X42" s="79"/>
      <c r="Y42" s="79"/>
      <c r="Z42" s="79"/>
      <c r="AA42" s="79"/>
      <c r="AB42" s="79"/>
      <c r="AC42" s="79"/>
      <c r="AD42" s="79"/>
      <c r="AE42" s="79"/>
      <c r="AF42" s="79"/>
      <c r="AG42" s="79"/>
      <c r="AH42" s="79"/>
      <c r="AI42" s="51"/>
      <c r="AJ42" s="51"/>
      <c r="AK42" s="51"/>
      <c r="AL42" s="51"/>
      <c r="AM42" s="51"/>
      <c r="AN42" s="51"/>
      <c r="AO42" s="51"/>
      <c r="AP42" s="51"/>
      <c r="AQ42" s="51"/>
      <c r="AR42" s="51"/>
      <c r="AS42" s="51"/>
      <c r="AT42" s="51"/>
      <c r="AU42" s="51"/>
      <c r="AV42" s="51"/>
      <c r="AW42" s="51"/>
      <c r="AX42" s="51"/>
      <c r="AY42" s="170" t="str">
        <f>VLOOKUP(AY39,市町村データ!A2:P106,MATCH(手順書_丁目_交通!$F$66, 市町村データ!A1:P1, 0),FALSE)</f>
        <v/>
      </c>
      <c r="AZ42" s="171"/>
      <c r="BA42" s="171"/>
      <c r="BB42" s="172"/>
      <c r="BC42" s="170" t="str">
        <f>VLOOKUP(BC39,市町村データ!A2:P106,MATCH(手順書_丁目_交通!$F$66, 市町村データ!A1:P1, 0),FALSE)</f>
        <v/>
      </c>
      <c r="BD42" s="171"/>
      <c r="BE42" s="171"/>
      <c r="BF42" s="172"/>
      <c r="BG42" s="170" t="str">
        <f>VLOOKUP(BG39,市町村データ!A2:P106,MATCH(手順書_丁目_交通!$F$66, 市町村データ!A1:P1, 0),FALSE)</f>
        <v/>
      </c>
      <c r="BH42" s="171"/>
      <c r="BI42" s="171"/>
      <c r="BJ42" s="172"/>
      <c r="BK42" s="170" t="str">
        <f>VLOOKUP(BK39,市町村データ!A2:P106,MATCH(手順書_丁目_交通!$F$66, 市町村データ!A1:P1, 0),FALSE)</f>
        <v/>
      </c>
      <c r="BL42" s="171"/>
      <c r="BM42" s="171"/>
      <c r="BN42" s="172"/>
      <c r="BO42" s="170" t="str">
        <f>VLOOKUP(BO39,市町村データ!A2:P106,MATCH(手順書_丁目_交通!$F$66, 市町村データ!A1:P1, 0),FALSE)</f>
        <v/>
      </c>
      <c r="BP42" s="171"/>
      <c r="BQ42" s="171"/>
      <c r="BR42" s="172"/>
      <c r="BS42" s="85"/>
      <c r="BT42" s="78"/>
    </row>
    <row r="43" spans="1:72" ht="21.15" customHeight="1" x14ac:dyDescent="0.55000000000000004">
      <c r="A43" s="78"/>
      <c r="B43" s="79"/>
      <c r="C43" s="81" t="s">
        <v>518</v>
      </c>
      <c r="D43" s="79"/>
      <c r="E43" s="79"/>
      <c r="F43" s="79"/>
      <c r="G43" s="79"/>
      <c r="H43" s="79"/>
      <c r="I43" s="79"/>
      <c r="J43" s="79"/>
      <c r="K43" s="79"/>
      <c r="L43" s="79"/>
      <c r="M43" s="79"/>
      <c r="N43" s="79"/>
      <c r="O43" s="79"/>
      <c r="P43" s="79"/>
      <c r="Q43" s="79"/>
      <c r="R43" s="79"/>
      <c r="S43" s="79"/>
      <c r="T43" s="79"/>
      <c r="U43" s="79"/>
      <c r="V43" s="79"/>
      <c r="W43" s="79"/>
      <c r="X43" s="79"/>
      <c r="Y43" s="79"/>
      <c r="Z43" s="79"/>
      <c r="AA43" s="79"/>
      <c r="AB43" s="79"/>
      <c r="AC43" s="79"/>
      <c r="AD43" s="79"/>
      <c r="AE43" s="79"/>
      <c r="AF43" s="79"/>
      <c r="AG43" s="79"/>
      <c r="AH43" s="79"/>
      <c r="AI43" s="51"/>
      <c r="AJ43" s="51"/>
      <c r="AK43" s="51"/>
      <c r="AL43" s="51"/>
      <c r="AM43" s="51"/>
      <c r="AN43" s="51"/>
      <c r="AO43" s="51"/>
      <c r="AP43" s="51"/>
      <c r="AQ43" s="51"/>
      <c r="AR43" s="51"/>
      <c r="AS43" s="51"/>
      <c r="AT43" s="51"/>
      <c r="AU43" s="51"/>
      <c r="AV43" s="51"/>
      <c r="AW43" s="51"/>
      <c r="AX43" s="51"/>
      <c r="AY43" s="82">
        <v>77</v>
      </c>
      <c r="AZ43" s="142" t="str">
        <f>VLOOKUP(AY43,市町村データ!A2:P106,MATCH(手順書_丁目_交通!$G$63, 市町村データ!A1:P1, 0),FALSE)</f>
        <v>栗原1</v>
      </c>
      <c r="BA43" s="154"/>
      <c r="BB43" s="159"/>
      <c r="BC43" s="82">
        <v>78</v>
      </c>
      <c r="BD43" s="142" t="str">
        <f>VLOOKUP(BC43,市町村データ!A2:P106,MATCH(手順書_丁目_交通!$G$63, 市町村データ!A1:P1, 0),FALSE)</f>
        <v>栗原2</v>
      </c>
      <c r="BE43" s="154"/>
      <c r="BF43" s="159"/>
      <c r="BG43" s="82">
        <v>79</v>
      </c>
      <c r="BH43" s="142" t="str">
        <f>VLOOKUP(BG43,市町村データ!A2:P106,MATCH(手順書_丁目_交通!$G$63, 市町村データ!A1:P1, 0),FALSE)</f>
        <v>栗原3</v>
      </c>
      <c r="BI43" s="154"/>
      <c r="BJ43" s="159"/>
      <c r="BK43" s="100"/>
      <c r="BL43" s="101"/>
      <c r="BM43" s="101"/>
      <c r="BN43" s="101"/>
      <c r="BO43" s="101"/>
      <c r="BP43" s="101"/>
      <c r="BQ43" s="101"/>
      <c r="BR43" s="101"/>
      <c r="BS43" s="79"/>
      <c r="BT43" s="78"/>
    </row>
    <row r="44" spans="1:72" ht="21.15" customHeight="1" x14ac:dyDescent="0.55000000000000004">
      <c r="A44" s="78"/>
      <c r="B44" s="79"/>
      <c r="C44" s="79"/>
      <c r="D44" s="79"/>
      <c r="E44" s="79"/>
      <c r="F44" s="79"/>
      <c r="G44" s="79"/>
      <c r="H44" s="79"/>
      <c r="I44" s="79"/>
      <c r="J44" s="79"/>
      <c r="K44" s="79"/>
      <c r="L44" s="79"/>
      <c r="M44" s="79"/>
      <c r="N44" s="79"/>
      <c r="O44" s="79"/>
      <c r="P44" s="79"/>
      <c r="Q44" s="79"/>
      <c r="R44" s="79"/>
      <c r="S44" s="79"/>
      <c r="T44" s="79"/>
      <c r="U44" s="79"/>
      <c r="V44" s="79"/>
      <c r="W44" s="79"/>
      <c r="X44" s="79"/>
      <c r="Y44" s="79"/>
      <c r="Z44" s="79"/>
      <c r="AA44" s="79"/>
      <c r="AB44" s="79"/>
      <c r="AC44" s="79"/>
      <c r="AD44" s="79"/>
      <c r="AE44" s="79"/>
      <c r="AF44" s="79"/>
      <c r="AG44" s="79"/>
      <c r="AH44" s="79"/>
      <c r="AI44" s="51"/>
      <c r="AJ44" s="51"/>
      <c r="AK44" s="51"/>
      <c r="AL44" s="51"/>
      <c r="AM44" s="51"/>
      <c r="AN44" s="51"/>
      <c r="AO44" s="51"/>
      <c r="AP44" s="51"/>
      <c r="AQ44" s="51"/>
      <c r="AR44" s="51"/>
      <c r="AS44" s="51"/>
      <c r="AT44" s="51"/>
      <c r="AU44" s="51"/>
      <c r="AV44" s="51"/>
      <c r="AW44" s="51"/>
      <c r="AX44" s="51"/>
      <c r="AY44" s="150" t="str">
        <f>VLOOKUP(AY43,市町村データ!A2:P106,MATCH(手順書_丁目_交通!$F$64, 市町村データ!A1:P1, 0),FALSE)</f>
        <v>○火の見下</v>
      </c>
      <c r="AZ44" s="151"/>
      <c r="BA44" s="151"/>
      <c r="BB44" s="157"/>
      <c r="BC44" s="150" t="str">
        <f>VLOOKUP(BC43,市町村データ!A2:P106,MATCH(手順書_丁目_交通!$F$64, 市町村データ!A1:P1, 0),FALSE)</f>
        <v/>
      </c>
      <c r="BD44" s="151"/>
      <c r="BE44" s="151"/>
      <c r="BF44" s="157"/>
      <c r="BG44" s="150" t="str">
        <f>VLOOKUP(BG43,市町村データ!A2:P106,MATCH(手順書_丁目_交通!$F$64, 市町村データ!A1:P1, 0),FALSE)</f>
        <v>○別れ道</v>
      </c>
      <c r="BH44" s="151"/>
      <c r="BI44" s="151"/>
      <c r="BJ44" s="157"/>
      <c r="BK44" s="99"/>
      <c r="BL44" s="51"/>
      <c r="BM44" s="51"/>
      <c r="BN44" s="51"/>
      <c r="BO44" s="51"/>
      <c r="BP44" s="51"/>
      <c r="BQ44" s="51"/>
      <c r="BR44" s="51"/>
      <c r="BS44" s="79"/>
      <c r="BT44" s="78"/>
    </row>
    <row r="45" spans="1:72" ht="21.15" customHeight="1" x14ac:dyDescent="0.55000000000000004">
      <c r="A45" s="78"/>
      <c r="B45" s="79"/>
      <c r="C45" s="79"/>
      <c r="D45" s="79"/>
      <c r="E45" s="79"/>
      <c r="F45" s="79"/>
      <c r="G45" s="79"/>
      <c r="H45" s="79"/>
      <c r="I45" s="79"/>
      <c r="J45" s="79"/>
      <c r="K45" s="79"/>
      <c r="L45" s="79"/>
      <c r="M45" s="79"/>
      <c r="N45" s="79"/>
      <c r="O45" s="79"/>
      <c r="P45" s="79"/>
      <c r="Q45" s="79"/>
      <c r="R45" s="79"/>
      <c r="S45" s="79"/>
      <c r="T45" s="79"/>
      <c r="U45" s="79"/>
      <c r="V45" s="79"/>
      <c r="W45" s="79"/>
      <c r="X45" s="79"/>
      <c r="Y45" s="79"/>
      <c r="Z45" s="79"/>
      <c r="AA45" s="79"/>
      <c r="AB45" s="79"/>
      <c r="AC45" s="79"/>
      <c r="AD45" s="79"/>
      <c r="AE45" s="79"/>
      <c r="AF45" s="79"/>
      <c r="AG45" s="79"/>
      <c r="AH45" s="79"/>
      <c r="AI45" s="51"/>
      <c r="AJ45" s="51"/>
      <c r="AK45" s="51"/>
      <c r="AL45" s="51"/>
      <c r="AM45" s="51"/>
      <c r="AN45" s="51"/>
      <c r="AO45" s="51"/>
      <c r="AP45" s="51"/>
      <c r="AQ45" s="51"/>
      <c r="AR45" s="51"/>
      <c r="AS45" s="51"/>
      <c r="AT45" s="51"/>
      <c r="AU45" s="51"/>
      <c r="AV45" s="51"/>
      <c r="AW45" s="51"/>
      <c r="AX45" s="51"/>
      <c r="AY45" s="150" t="str">
        <f>VLOOKUP(AY43,市町村データ!A2:P106,MATCH(手順書_丁目_交通!$F$65, 市町村データ!A1:P1, 0),FALSE)</f>
        <v>○栗原</v>
      </c>
      <c r="AZ45" s="151"/>
      <c r="BA45" s="151"/>
      <c r="BB45" s="157"/>
      <c r="BC45" s="150" t="str">
        <f>VLOOKUP(BC43,市町村データ!A2:P106,MATCH(手順書_丁目_交通!$F$65, 市町村データ!A1:P1, 0),FALSE)</f>
        <v/>
      </c>
      <c r="BD45" s="151"/>
      <c r="BE45" s="151"/>
      <c r="BF45" s="157"/>
      <c r="BG45" s="150" t="str">
        <f>VLOOKUP(BG43,市町村データ!A2:P106,MATCH(手順書_丁目_交通!$F$65, 市町村データ!A1:P1, 0),FALSE)</f>
        <v>○栗原公民館前</v>
      </c>
      <c r="BH45" s="151"/>
      <c r="BI45" s="151"/>
      <c r="BJ45" s="157"/>
      <c r="BK45" s="99"/>
      <c r="BL45" s="51"/>
      <c r="BM45" s="51"/>
      <c r="BN45" s="51"/>
      <c r="BO45" s="51"/>
      <c r="BP45" s="51"/>
      <c r="BQ45" s="51"/>
      <c r="BR45" s="51"/>
      <c r="BS45" s="79"/>
      <c r="BT45" s="78"/>
    </row>
    <row r="46" spans="1:72" ht="21.15" customHeight="1" thickBot="1" x14ac:dyDescent="0.6">
      <c r="A46" s="78"/>
      <c r="B46" s="79"/>
      <c r="C46" s="79"/>
      <c r="D46" s="79"/>
      <c r="E46" s="79"/>
      <c r="F46" s="79"/>
      <c r="G46" s="79"/>
      <c r="H46" s="79"/>
      <c r="I46" s="79"/>
      <c r="J46" s="79"/>
      <c r="K46" s="79"/>
      <c r="L46" s="79"/>
      <c r="M46" s="79"/>
      <c r="N46" s="79"/>
      <c r="O46" s="79"/>
      <c r="P46" s="79"/>
      <c r="Q46" s="79"/>
      <c r="R46" s="79"/>
      <c r="S46" s="79"/>
      <c r="T46" s="79"/>
      <c r="U46" s="79"/>
      <c r="V46" s="79"/>
      <c r="W46" s="79"/>
      <c r="X46" s="79"/>
      <c r="Y46" s="79"/>
      <c r="Z46" s="79"/>
      <c r="AA46" s="79"/>
      <c r="AB46" s="79"/>
      <c r="AC46" s="79"/>
      <c r="AD46" s="79"/>
      <c r="AE46" s="79"/>
      <c r="AF46" s="79"/>
      <c r="AG46" s="79"/>
      <c r="AH46" s="79"/>
      <c r="AI46" s="51"/>
      <c r="AJ46" s="51"/>
      <c r="AK46" s="51"/>
      <c r="AL46" s="51"/>
      <c r="AM46" s="51"/>
      <c r="AN46" s="51"/>
      <c r="AO46" s="51"/>
      <c r="AP46" s="51"/>
      <c r="AQ46" s="51"/>
      <c r="AR46" s="51"/>
      <c r="AS46" s="51"/>
      <c r="AT46" s="51"/>
      <c r="AU46" s="51"/>
      <c r="AV46" s="51"/>
      <c r="AW46" s="51"/>
      <c r="AX46" s="51"/>
      <c r="AY46" s="170" t="str">
        <f>VLOOKUP(AY43,市町村データ!A2:P106,MATCH(手順書_丁目_交通!$F$66, 市町村データ!A1:P1, 0),FALSE)</f>
        <v/>
      </c>
      <c r="AZ46" s="171"/>
      <c r="BA46" s="171"/>
      <c r="BB46" s="172"/>
      <c r="BC46" s="170" t="str">
        <f>VLOOKUP(BC43,市町村データ!A2:P106,MATCH(手順書_丁目_交通!$F$66, 市町村データ!A1:P1, 0),FALSE)</f>
        <v/>
      </c>
      <c r="BD46" s="171"/>
      <c r="BE46" s="171"/>
      <c r="BF46" s="172"/>
      <c r="BG46" s="170" t="str">
        <f>VLOOKUP(BG43,市町村データ!A2:P106,MATCH(手順書_丁目_交通!$F$66, 市町村データ!A1:P1, 0),FALSE)</f>
        <v/>
      </c>
      <c r="BH46" s="171"/>
      <c r="BI46" s="171"/>
      <c r="BJ46" s="172"/>
      <c r="BK46" s="99"/>
      <c r="BL46" s="51"/>
      <c r="BM46" s="51"/>
      <c r="BN46" s="51"/>
      <c r="BO46" s="51"/>
      <c r="BP46" s="51"/>
      <c r="BQ46" s="51"/>
      <c r="BR46" s="51"/>
      <c r="BS46" s="79"/>
      <c r="BT46" s="78"/>
    </row>
    <row r="47" spans="1:72" ht="21.15" customHeight="1" x14ac:dyDescent="0.55000000000000004">
      <c r="A47" s="78"/>
      <c r="B47" s="79"/>
      <c r="C47" s="81" t="s">
        <v>520</v>
      </c>
      <c r="D47" s="79"/>
      <c r="E47" s="79"/>
      <c r="F47" s="79"/>
      <c r="G47" s="79"/>
      <c r="H47" s="79"/>
      <c r="I47" s="79"/>
      <c r="J47" s="79"/>
      <c r="K47" s="79"/>
      <c r="L47" s="79"/>
      <c r="M47" s="79"/>
      <c r="N47" s="79"/>
      <c r="O47" s="79"/>
      <c r="P47" s="79"/>
      <c r="Q47" s="79"/>
      <c r="R47" s="79"/>
      <c r="S47" s="79"/>
      <c r="T47" s="79"/>
      <c r="U47" s="79"/>
      <c r="V47" s="79"/>
      <c r="W47" s="79"/>
      <c r="X47" s="79"/>
      <c r="Y47" s="79"/>
      <c r="Z47" s="79"/>
      <c r="AA47" s="79"/>
      <c r="AB47" s="79"/>
      <c r="AC47" s="79"/>
      <c r="AD47" s="79"/>
      <c r="AE47" s="79"/>
      <c r="AF47" s="79"/>
      <c r="AG47" s="79"/>
      <c r="AH47" s="79"/>
      <c r="AI47" s="51"/>
      <c r="AJ47" s="51"/>
      <c r="AK47" s="51"/>
      <c r="AL47" s="51"/>
      <c r="AM47" s="51"/>
      <c r="AN47" s="51"/>
      <c r="AO47" s="51"/>
      <c r="AP47" s="51"/>
      <c r="AQ47" s="51"/>
      <c r="AR47" s="51"/>
      <c r="AS47" s="51"/>
      <c r="AT47" s="51"/>
      <c r="AU47" s="51"/>
      <c r="AV47" s="51"/>
      <c r="AW47" s="51"/>
      <c r="AX47" s="51"/>
      <c r="AY47" s="82">
        <v>80</v>
      </c>
      <c r="AZ47" s="142" t="str">
        <f>VLOOKUP(AY47,市町村データ!A2:P106,MATCH(手順書_丁目_交通!$G$63, 市町村データ!A1:P1, 0),FALSE)</f>
        <v>栗原6</v>
      </c>
      <c r="BA47" s="154"/>
      <c r="BB47" s="159"/>
      <c r="BC47" s="82">
        <v>81</v>
      </c>
      <c r="BD47" s="142" t="str">
        <f>VLOOKUP(BC47,市町村データ!A2:P106,MATCH(手順書_丁目_交通!$G$63, 市町村データ!A1:P1, 0),FALSE)</f>
        <v>栗原5</v>
      </c>
      <c r="BE47" s="154"/>
      <c r="BF47" s="159"/>
      <c r="BG47" s="82">
        <v>82</v>
      </c>
      <c r="BH47" s="142" t="str">
        <f>VLOOKUP(BG47,市町村データ!A2:P106,MATCH(手順書_丁目_交通!$G$63, 市町村データ!A1:P1, 0),FALSE)</f>
        <v>栗原4</v>
      </c>
      <c r="BI47" s="154"/>
      <c r="BJ47" s="159"/>
      <c r="BK47" s="99"/>
      <c r="BL47" s="51"/>
      <c r="BM47" s="51"/>
      <c r="BN47" s="51"/>
      <c r="BO47" s="51"/>
      <c r="BP47" s="51"/>
      <c r="BQ47" s="51"/>
      <c r="BR47" s="51"/>
      <c r="BS47" s="79"/>
      <c r="BT47" s="78"/>
    </row>
    <row r="48" spans="1:72" ht="21.15" customHeight="1" x14ac:dyDescent="0.55000000000000004">
      <c r="A48" s="78"/>
      <c r="B48" s="79"/>
      <c r="C48" s="79"/>
      <c r="D48" s="79"/>
      <c r="E48" s="79"/>
      <c r="F48" s="79"/>
      <c r="G48" s="79"/>
      <c r="H48" s="79"/>
      <c r="I48" s="79"/>
      <c r="J48" s="79"/>
      <c r="K48" s="79"/>
      <c r="L48" s="79"/>
      <c r="M48" s="79"/>
      <c r="N48" s="79"/>
      <c r="O48" s="79"/>
      <c r="P48" s="79"/>
      <c r="Q48" s="79"/>
      <c r="R48" s="79"/>
      <c r="S48" s="79"/>
      <c r="T48" s="79"/>
      <c r="U48" s="79"/>
      <c r="V48" s="79"/>
      <c r="W48" s="79"/>
      <c r="X48" s="79"/>
      <c r="Y48" s="79"/>
      <c r="Z48" s="79"/>
      <c r="AA48" s="79"/>
      <c r="AB48" s="79"/>
      <c r="AC48" s="79"/>
      <c r="AD48" s="79"/>
      <c r="AE48" s="79"/>
      <c r="AF48" s="79"/>
      <c r="AG48" s="79"/>
      <c r="AH48" s="79"/>
      <c r="AI48" s="51"/>
      <c r="AJ48" s="51"/>
      <c r="AK48" s="51"/>
      <c r="AL48" s="51"/>
      <c r="AM48" s="51"/>
      <c r="AN48" s="51"/>
      <c r="AO48" s="51"/>
      <c r="AP48" s="51"/>
      <c r="AQ48" s="51"/>
      <c r="AR48" s="51"/>
      <c r="AS48" s="51"/>
      <c r="AT48" s="51"/>
      <c r="AU48" s="51"/>
      <c r="AV48" s="51"/>
      <c r="AW48" s="51"/>
      <c r="AX48" s="51"/>
      <c r="AY48" s="150" t="str">
        <f>VLOOKUP(AY47,市町村データ!A2:P106,MATCH(手順書_丁目_交通!$F$64, 市町村データ!A1:P1, 0),FALSE)</f>
        <v>○新座栗原郵便局</v>
      </c>
      <c r="AZ48" s="151"/>
      <c r="BA48" s="151"/>
      <c r="BB48" s="157"/>
      <c r="BC48" s="150" t="str">
        <f>VLOOKUP(BC47,市町村データ!A2:P106,MATCH(手順書_丁目_交通!$F$64, 市町村データ!A1:P1, 0),FALSE)</f>
        <v>◆ひばりヶ丘駅</v>
      </c>
      <c r="BD48" s="151"/>
      <c r="BE48" s="151"/>
      <c r="BF48" s="157"/>
      <c r="BG48" s="150" t="str">
        <f>VLOOKUP(BG47,市町村データ!A2:P106,MATCH(手順書_丁目_交通!$F$64, 市町村データ!A1:P1, 0),FALSE)</f>
        <v/>
      </c>
      <c r="BH48" s="151"/>
      <c r="BI48" s="151"/>
      <c r="BJ48" s="157"/>
      <c r="BK48" s="99"/>
      <c r="BL48" s="51"/>
      <c r="BM48" s="51"/>
      <c r="BN48" s="51"/>
      <c r="BO48" s="51"/>
      <c r="BP48" s="51"/>
      <c r="BQ48" s="51"/>
      <c r="BR48" s="51"/>
      <c r="BS48" s="79"/>
      <c r="BT48" s="78"/>
    </row>
    <row r="49" spans="1:72" ht="21.15" customHeight="1" x14ac:dyDescent="0.55000000000000004">
      <c r="A49" s="78"/>
      <c r="B49" s="79"/>
      <c r="C49" s="79"/>
      <c r="D49" s="79"/>
      <c r="E49" s="79"/>
      <c r="F49" s="79"/>
      <c r="G49" s="79"/>
      <c r="H49" s="79"/>
      <c r="I49" s="79"/>
      <c r="J49" s="79"/>
      <c r="K49" s="79"/>
      <c r="L49" s="79"/>
      <c r="M49" s="79"/>
      <c r="N49" s="79"/>
      <c r="O49" s="79"/>
      <c r="P49" s="79"/>
      <c r="Q49" s="79"/>
      <c r="R49" s="79"/>
      <c r="S49" s="79"/>
      <c r="T49" s="79"/>
      <c r="U49" s="79"/>
      <c r="V49" s="79"/>
      <c r="W49" s="79"/>
      <c r="X49" s="79"/>
      <c r="Y49" s="79"/>
      <c r="Z49" s="79"/>
      <c r="AA49" s="79"/>
      <c r="AB49" s="79"/>
      <c r="AC49" s="79"/>
      <c r="AD49" s="79"/>
      <c r="AE49" s="79"/>
      <c r="AF49" s="79"/>
      <c r="AG49" s="79"/>
      <c r="AH49" s="79"/>
      <c r="AI49" s="51"/>
      <c r="AJ49" s="51"/>
      <c r="AK49" s="51"/>
      <c r="AL49" s="51"/>
      <c r="AM49" s="51"/>
      <c r="AN49" s="51"/>
      <c r="AO49" s="51"/>
      <c r="AP49" s="51"/>
      <c r="AQ49" s="51"/>
      <c r="AR49" s="51"/>
      <c r="AS49" s="51"/>
      <c r="AT49" s="51"/>
      <c r="AU49" s="51"/>
      <c r="AV49" s="51"/>
      <c r="AW49" s="51"/>
      <c r="AX49" s="51"/>
      <c r="AY49" s="150" t="str">
        <f>VLOOKUP(AY47,市町村データ!A2:P106,MATCH(手順書_丁目_交通!$F$65, 市町村データ!A1:P1, 0),FALSE)</f>
        <v/>
      </c>
      <c r="AZ49" s="151"/>
      <c r="BA49" s="151"/>
      <c r="BB49" s="157"/>
      <c r="BC49" s="150" t="str">
        <f>VLOOKUP(BC47,市町村データ!A2:P106,MATCH(手順書_丁目_交通!$F$65, 市町村データ!A1:P1, 0),FALSE)</f>
        <v>○栗原五丁目</v>
      </c>
      <c r="BD49" s="151"/>
      <c r="BE49" s="151"/>
      <c r="BF49" s="157"/>
      <c r="BG49" s="150" t="str">
        <f>VLOOKUP(BG47,市町村データ!A2:P106,MATCH(手順書_丁目_交通!$F$65, 市町村データ!A1:P1, 0),FALSE)</f>
        <v/>
      </c>
      <c r="BH49" s="151"/>
      <c r="BI49" s="151"/>
      <c r="BJ49" s="157"/>
      <c r="BK49" s="99"/>
      <c r="BL49" s="51"/>
      <c r="BM49" s="51"/>
      <c r="BN49" s="51"/>
      <c r="BO49" s="51"/>
      <c r="BP49" s="51"/>
      <c r="BQ49" s="51"/>
      <c r="BR49" s="51"/>
      <c r="BS49" s="79"/>
      <c r="BT49" s="78"/>
    </row>
    <row r="50" spans="1:72" ht="21.15" customHeight="1" thickBot="1" x14ac:dyDescent="0.6">
      <c r="A50" s="78"/>
      <c r="B50" s="79"/>
      <c r="C50" s="79"/>
      <c r="D50" s="79"/>
      <c r="E50" s="79"/>
      <c r="F50" s="79"/>
      <c r="G50" s="79"/>
      <c r="H50" s="79"/>
      <c r="I50" s="79"/>
      <c r="J50" s="79"/>
      <c r="K50" s="79"/>
      <c r="L50" s="79"/>
      <c r="M50" s="79"/>
      <c r="N50" s="79"/>
      <c r="O50" s="79"/>
      <c r="P50" s="79"/>
      <c r="Q50" s="79"/>
      <c r="R50" s="79"/>
      <c r="S50" s="79"/>
      <c r="T50" s="79"/>
      <c r="U50" s="79"/>
      <c r="V50" s="79"/>
      <c r="W50" s="79"/>
      <c r="X50" s="79"/>
      <c r="Y50" s="79"/>
      <c r="Z50" s="79"/>
      <c r="AA50" s="79"/>
      <c r="AB50" s="79"/>
      <c r="AC50" s="79"/>
      <c r="AD50" s="79"/>
      <c r="AE50" s="79"/>
      <c r="AF50" s="79"/>
      <c r="AG50" s="79"/>
      <c r="AH50" s="79"/>
      <c r="AI50" s="79"/>
      <c r="AJ50" s="79"/>
      <c r="AK50" s="79"/>
      <c r="AL50" s="79"/>
      <c r="AM50" s="79"/>
      <c r="AN50" s="79"/>
      <c r="AO50" s="79"/>
      <c r="AP50" s="79"/>
      <c r="AQ50" s="79"/>
      <c r="AR50" s="79"/>
      <c r="AS50" s="79"/>
      <c r="AT50" s="79"/>
      <c r="AU50" s="79"/>
      <c r="AV50" s="51"/>
      <c r="AW50" s="51"/>
      <c r="AX50" s="51"/>
      <c r="AY50" s="170" t="str">
        <f>VLOOKUP(AY47,市町村データ!A2:P106,MATCH(手順書_丁目_交通!$F$66, 市町村データ!A1:P1, 0),FALSE)</f>
        <v/>
      </c>
      <c r="AZ50" s="171"/>
      <c r="BA50" s="171"/>
      <c r="BB50" s="172"/>
      <c r="BC50" s="170" t="str">
        <f>VLOOKUP(BC47,市町村データ!A2:P106,MATCH(手順書_丁目_交通!$F$66, 市町村データ!A1:P1, 0),FALSE)</f>
        <v/>
      </c>
      <c r="BD50" s="171"/>
      <c r="BE50" s="171"/>
      <c r="BF50" s="172"/>
      <c r="BG50" s="170" t="str">
        <f>VLOOKUP(BG47,市町村データ!A2:P106,MATCH(手順書_丁目_交通!$F$66, 市町村データ!A1:P1, 0),FALSE)</f>
        <v/>
      </c>
      <c r="BH50" s="171"/>
      <c r="BI50" s="171"/>
      <c r="BJ50" s="172"/>
      <c r="BK50" s="85"/>
      <c r="BL50" s="79"/>
      <c r="BM50" s="79"/>
      <c r="BN50" s="79"/>
      <c r="BO50" s="51"/>
      <c r="BP50" s="51"/>
      <c r="BQ50" s="51"/>
      <c r="BR50" s="51"/>
      <c r="BS50" s="51"/>
      <c r="BT50" s="78"/>
    </row>
    <row r="51" spans="1:72" ht="21.15" customHeight="1" x14ac:dyDescent="0.55000000000000004">
      <c r="A51" s="78"/>
      <c r="B51" s="79" t="s">
        <v>162</v>
      </c>
      <c r="C51" s="79"/>
      <c r="D51" s="79"/>
      <c r="E51" s="79"/>
      <c r="F51" s="79"/>
      <c r="G51" s="102"/>
      <c r="H51" s="79"/>
      <c r="I51" s="79"/>
      <c r="J51" s="79"/>
      <c r="K51" s="79"/>
      <c r="L51" s="79"/>
      <c r="M51" s="79"/>
      <c r="N51" s="79"/>
      <c r="O51" s="79"/>
      <c r="P51" s="79"/>
      <c r="Q51" s="79"/>
      <c r="R51" s="79"/>
      <c r="S51" s="79"/>
      <c r="T51" s="79"/>
      <c r="U51" s="79"/>
      <c r="V51" s="79"/>
      <c r="W51" s="79"/>
      <c r="X51" s="79"/>
      <c r="Y51" s="79"/>
      <c r="Z51" s="79"/>
      <c r="AA51" s="79"/>
      <c r="AB51" s="79"/>
      <c r="AC51" s="79"/>
      <c r="AD51" s="79"/>
      <c r="AE51" s="79"/>
      <c r="AF51" s="79"/>
      <c r="AG51" s="79"/>
      <c r="AH51" s="79"/>
      <c r="AI51" s="79"/>
      <c r="AJ51" s="79"/>
      <c r="AK51" s="79"/>
      <c r="AL51" s="79"/>
      <c r="AM51" s="52"/>
      <c r="AN51" s="52"/>
      <c r="AO51" s="52"/>
      <c r="AP51" s="52"/>
      <c r="AQ51" s="52"/>
      <c r="AR51" s="52"/>
      <c r="AS51" s="52"/>
      <c r="AT51" s="52"/>
      <c r="AU51" s="52"/>
      <c r="AV51" s="52"/>
      <c r="AW51" s="52"/>
      <c r="AX51" s="52"/>
      <c r="AY51" s="103"/>
      <c r="AZ51" s="103"/>
      <c r="BA51" s="103"/>
      <c r="BB51" s="103"/>
      <c r="BC51" s="103"/>
      <c r="BD51" s="103"/>
      <c r="BE51" s="103"/>
      <c r="BF51" s="103"/>
      <c r="BG51" s="103"/>
      <c r="BH51" s="103"/>
      <c r="BI51" s="103"/>
      <c r="BJ51" s="103"/>
      <c r="BK51" s="52"/>
      <c r="BL51" s="52"/>
      <c r="BM51" s="52"/>
      <c r="BN51" s="52"/>
      <c r="BO51" s="52"/>
      <c r="BP51" s="52"/>
      <c r="BQ51" s="52"/>
      <c r="BR51" s="52"/>
      <c r="BS51" s="52"/>
      <c r="BT51" s="78"/>
    </row>
    <row r="52" spans="1:72" ht="21.15" customHeight="1" x14ac:dyDescent="0.55000000000000004">
      <c r="A52" s="78"/>
      <c r="B52" s="79" t="s">
        <v>161</v>
      </c>
      <c r="C52" s="79"/>
      <c r="D52" s="79"/>
      <c r="E52" s="79"/>
      <c r="F52" s="79"/>
      <c r="G52" s="79"/>
      <c r="H52" s="79"/>
      <c r="I52" s="79"/>
      <c r="J52" s="79"/>
      <c r="K52" s="79"/>
      <c r="L52" s="79"/>
      <c r="M52" s="79"/>
      <c r="N52" s="79"/>
      <c r="O52" s="79"/>
      <c r="P52" s="79"/>
      <c r="Q52" s="79"/>
      <c r="R52" s="79"/>
      <c r="S52" s="79"/>
      <c r="T52" s="79"/>
      <c r="U52" s="79"/>
      <c r="V52" s="79"/>
      <c r="W52" s="79"/>
      <c r="X52" s="79"/>
      <c r="Y52" s="79"/>
      <c r="Z52" s="79"/>
      <c r="AA52" s="79"/>
      <c r="AB52" s="79"/>
      <c r="AC52" s="79"/>
      <c r="AD52" s="79"/>
      <c r="AE52" s="79"/>
      <c r="AF52" s="79"/>
      <c r="AG52" s="79"/>
      <c r="AH52" s="79"/>
      <c r="AI52" s="79"/>
      <c r="AJ52" s="79"/>
      <c r="AK52" s="79"/>
      <c r="AL52" s="79"/>
      <c r="AM52" s="79"/>
      <c r="AN52" s="79"/>
      <c r="AO52" s="79"/>
      <c r="AP52" s="79"/>
      <c r="AQ52" s="79"/>
      <c r="AR52" s="79"/>
      <c r="AS52" s="79"/>
      <c r="AT52" s="79"/>
      <c r="AU52" s="79"/>
      <c r="AV52" s="79"/>
      <c r="AW52" s="79"/>
      <c r="AX52" s="79"/>
      <c r="AY52" s="79"/>
      <c r="AZ52" s="79"/>
      <c r="BA52" s="79"/>
      <c r="BB52" s="79"/>
      <c r="BC52" s="79"/>
      <c r="BD52" s="79"/>
      <c r="BE52" s="79"/>
      <c r="BF52" s="79"/>
      <c r="BG52" s="79"/>
      <c r="BH52" s="79"/>
      <c r="BI52" s="79"/>
      <c r="BJ52" s="79"/>
      <c r="BK52" s="79"/>
      <c r="BL52" s="79"/>
      <c r="BM52" s="79"/>
      <c r="BN52" s="79"/>
      <c r="BO52" s="79"/>
      <c r="BP52" s="79"/>
      <c r="BQ52" s="79"/>
      <c r="BR52" s="79"/>
      <c r="BS52" s="79"/>
      <c r="BT52" s="78"/>
    </row>
    <row r="53" spans="1:72" ht="21.15" customHeight="1" x14ac:dyDescent="0.55000000000000004">
      <c r="A53" s="78"/>
      <c r="B53" s="78"/>
      <c r="C53" s="78"/>
      <c r="D53" s="78"/>
      <c r="E53" s="78"/>
      <c r="F53" s="78"/>
      <c r="G53" s="78"/>
      <c r="H53" s="78"/>
      <c r="I53" s="78"/>
      <c r="J53" s="78"/>
      <c r="K53" s="78"/>
      <c r="L53" s="78"/>
      <c r="M53" s="78"/>
      <c r="N53" s="78"/>
      <c r="O53" s="78"/>
      <c r="P53" s="78"/>
      <c r="Q53" s="78"/>
      <c r="R53" s="78"/>
      <c r="S53" s="78"/>
      <c r="T53" s="78"/>
      <c r="U53" s="78"/>
      <c r="V53" s="78"/>
      <c r="W53" s="78"/>
      <c r="X53" s="78"/>
      <c r="Y53" s="78"/>
      <c r="Z53" s="78"/>
      <c r="AA53" s="78"/>
      <c r="AB53" s="78"/>
      <c r="AC53" s="78"/>
      <c r="AD53" s="78"/>
      <c r="AE53" s="78"/>
      <c r="AF53" s="78"/>
      <c r="AG53" s="78"/>
      <c r="AH53" s="78"/>
      <c r="AI53" s="78"/>
      <c r="AJ53" s="78"/>
      <c r="AK53" s="78"/>
      <c r="AL53" s="78"/>
      <c r="AM53" s="78"/>
      <c r="AN53" s="78"/>
      <c r="AO53" s="78"/>
      <c r="AP53" s="78"/>
      <c r="AQ53" s="78"/>
      <c r="AR53" s="78"/>
      <c r="AS53" s="78"/>
      <c r="AT53" s="78"/>
      <c r="AU53" s="78"/>
      <c r="AV53" s="78"/>
      <c r="AW53" s="78"/>
      <c r="AX53" s="78"/>
      <c r="AY53" s="78"/>
      <c r="AZ53" s="78"/>
      <c r="BA53" s="78"/>
      <c r="BB53" s="78"/>
      <c r="BC53" s="78"/>
      <c r="BD53" s="78"/>
      <c r="BE53" s="78"/>
      <c r="BF53" s="78"/>
      <c r="BG53" s="78"/>
      <c r="BH53" s="78"/>
      <c r="BI53" s="78"/>
      <c r="BJ53" s="78"/>
      <c r="BK53" s="78"/>
      <c r="BL53" s="78"/>
      <c r="BM53" s="78"/>
      <c r="BN53" s="78"/>
      <c r="BO53" s="78"/>
      <c r="BP53" s="78"/>
      <c r="BQ53" s="78"/>
      <c r="BR53" s="78"/>
      <c r="BS53" s="78"/>
      <c r="BT53" s="78"/>
    </row>
  </sheetData>
  <mergeCells count="332">
    <mergeCell ref="K8:N8"/>
    <mergeCell ref="O8:R8"/>
    <mergeCell ref="S8:V8"/>
    <mergeCell ref="W8:Z8"/>
    <mergeCell ref="AA8:AD8"/>
    <mergeCell ref="AE8:AH8"/>
    <mergeCell ref="L7:N7"/>
    <mergeCell ref="P7:R7"/>
    <mergeCell ref="T7:V7"/>
    <mergeCell ref="X7:Z7"/>
    <mergeCell ref="AB7:AD7"/>
    <mergeCell ref="AF7:AH7"/>
    <mergeCell ref="K10:N10"/>
    <mergeCell ref="O10:R10"/>
    <mergeCell ref="S10:V10"/>
    <mergeCell ref="W10:Z10"/>
    <mergeCell ref="AA10:AD10"/>
    <mergeCell ref="AE10:AH10"/>
    <mergeCell ref="K9:N9"/>
    <mergeCell ref="O9:R9"/>
    <mergeCell ref="S9:V9"/>
    <mergeCell ref="W9:Z9"/>
    <mergeCell ref="AA9:AD9"/>
    <mergeCell ref="AE9:AH9"/>
    <mergeCell ref="AJ11:AL11"/>
    <mergeCell ref="AN11:AP11"/>
    <mergeCell ref="G12:J12"/>
    <mergeCell ref="K12:N12"/>
    <mergeCell ref="S12:V12"/>
    <mergeCell ref="W12:Z12"/>
    <mergeCell ref="AA12:AD12"/>
    <mergeCell ref="AE12:AH12"/>
    <mergeCell ref="AI12:AL12"/>
    <mergeCell ref="AM12:AP12"/>
    <mergeCell ref="H11:J11"/>
    <mergeCell ref="L11:N11"/>
    <mergeCell ref="T11:V11"/>
    <mergeCell ref="X11:Z11"/>
    <mergeCell ref="AB11:AD11"/>
    <mergeCell ref="AF11:AH11"/>
    <mergeCell ref="AI13:AL13"/>
    <mergeCell ref="AM13:AP13"/>
    <mergeCell ref="G14:J14"/>
    <mergeCell ref="K14:N14"/>
    <mergeCell ref="S14:V14"/>
    <mergeCell ref="W14:Z14"/>
    <mergeCell ref="AA14:AD14"/>
    <mergeCell ref="AE14:AH14"/>
    <mergeCell ref="AI14:AL14"/>
    <mergeCell ref="AM14:AP14"/>
    <mergeCell ref="G13:J13"/>
    <mergeCell ref="K13:N13"/>
    <mergeCell ref="S13:V13"/>
    <mergeCell ref="W13:Z13"/>
    <mergeCell ref="AA13:AD13"/>
    <mergeCell ref="AE13:AH13"/>
    <mergeCell ref="AF15:AH15"/>
    <mergeCell ref="AJ15:AL15"/>
    <mergeCell ref="AN15:AP15"/>
    <mergeCell ref="G16:J16"/>
    <mergeCell ref="K16:N16"/>
    <mergeCell ref="O16:R16"/>
    <mergeCell ref="S16:V16"/>
    <mergeCell ref="W16:Z16"/>
    <mergeCell ref="AA16:AD16"/>
    <mergeCell ref="AE16:AH16"/>
    <mergeCell ref="H15:J15"/>
    <mergeCell ref="L15:N15"/>
    <mergeCell ref="P15:R15"/>
    <mergeCell ref="T15:V15"/>
    <mergeCell ref="X15:Z15"/>
    <mergeCell ref="AB15:AD15"/>
    <mergeCell ref="AI16:AL16"/>
    <mergeCell ref="AM16:AP16"/>
    <mergeCell ref="G17:J17"/>
    <mergeCell ref="K17:N17"/>
    <mergeCell ref="O17:R17"/>
    <mergeCell ref="S17:V17"/>
    <mergeCell ref="W17:Z17"/>
    <mergeCell ref="AA17:AD17"/>
    <mergeCell ref="AE17:AH17"/>
    <mergeCell ref="AI17:AL17"/>
    <mergeCell ref="AM17:AP17"/>
    <mergeCell ref="G18:J18"/>
    <mergeCell ref="K18:N18"/>
    <mergeCell ref="O18:R18"/>
    <mergeCell ref="S18:V18"/>
    <mergeCell ref="W18:Z18"/>
    <mergeCell ref="AA18:AD18"/>
    <mergeCell ref="AE18:AH18"/>
    <mergeCell ref="AI18:AL18"/>
    <mergeCell ref="AM18:AP18"/>
    <mergeCell ref="AN19:AP19"/>
    <mergeCell ref="AR19:AT19"/>
    <mergeCell ref="O20:R20"/>
    <mergeCell ref="S20:V20"/>
    <mergeCell ref="W20:Z20"/>
    <mergeCell ref="AA20:AD20"/>
    <mergeCell ref="AE20:AH20"/>
    <mergeCell ref="AI20:AL20"/>
    <mergeCell ref="AM20:AP20"/>
    <mergeCell ref="AQ20:AT20"/>
    <mergeCell ref="P19:R19"/>
    <mergeCell ref="T19:V19"/>
    <mergeCell ref="X19:Z19"/>
    <mergeCell ref="AB19:AD19"/>
    <mergeCell ref="AF19:AH19"/>
    <mergeCell ref="AJ19:AL19"/>
    <mergeCell ref="AM21:AP21"/>
    <mergeCell ref="AQ21:AT21"/>
    <mergeCell ref="O22:R22"/>
    <mergeCell ref="S22:V22"/>
    <mergeCell ref="W22:Z22"/>
    <mergeCell ref="AA22:AD22"/>
    <mergeCell ref="AE22:AH22"/>
    <mergeCell ref="AI22:AL22"/>
    <mergeCell ref="AM22:AP22"/>
    <mergeCell ref="AQ22:AT22"/>
    <mergeCell ref="O21:R21"/>
    <mergeCell ref="S21:V21"/>
    <mergeCell ref="W21:Z21"/>
    <mergeCell ref="AA21:AD21"/>
    <mergeCell ref="AE21:AH21"/>
    <mergeCell ref="AI21:AL21"/>
    <mergeCell ref="AN23:AP23"/>
    <mergeCell ref="AR23:AT23"/>
    <mergeCell ref="AV23:AX23"/>
    <mergeCell ref="AZ23:BB23"/>
    <mergeCell ref="O24:R24"/>
    <mergeCell ref="S24:V24"/>
    <mergeCell ref="W24:Z24"/>
    <mergeCell ref="AA24:AD24"/>
    <mergeCell ref="AE24:AH24"/>
    <mergeCell ref="AI24:AL24"/>
    <mergeCell ref="P23:R23"/>
    <mergeCell ref="T23:V23"/>
    <mergeCell ref="X23:Z23"/>
    <mergeCell ref="AB23:AD23"/>
    <mergeCell ref="AF23:AH23"/>
    <mergeCell ref="AJ23:AL23"/>
    <mergeCell ref="AY25:BB25"/>
    <mergeCell ref="O26:R26"/>
    <mergeCell ref="S26:V26"/>
    <mergeCell ref="W26:Z26"/>
    <mergeCell ref="AA26:AD26"/>
    <mergeCell ref="AE26:AH26"/>
    <mergeCell ref="AI26:AL26"/>
    <mergeCell ref="AM24:AP24"/>
    <mergeCell ref="AQ24:AT24"/>
    <mergeCell ref="AU24:AX24"/>
    <mergeCell ref="AY24:BB24"/>
    <mergeCell ref="O25:R25"/>
    <mergeCell ref="S25:V25"/>
    <mergeCell ref="W25:Z25"/>
    <mergeCell ref="AA25:AD25"/>
    <mergeCell ref="AE25:AH25"/>
    <mergeCell ref="AI25:AL25"/>
    <mergeCell ref="T27:V27"/>
    <mergeCell ref="X27:Z27"/>
    <mergeCell ref="AB27:AD27"/>
    <mergeCell ref="AF27:AH27"/>
    <mergeCell ref="AJ27:AL27"/>
    <mergeCell ref="AN27:AP27"/>
    <mergeCell ref="AM25:AP25"/>
    <mergeCell ref="AQ25:AT25"/>
    <mergeCell ref="AU25:AX25"/>
    <mergeCell ref="AR27:AT27"/>
    <mergeCell ref="AV27:AX27"/>
    <mergeCell ref="AZ27:BB27"/>
    <mergeCell ref="BD27:BF27"/>
    <mergeCell ref="BH27:BJ27"/>
    <mergeCell ref="BL27:BN27"/>
    <mergeCell ref="AM26:AP26"/>
    <mergeCell ref="AQ26:AT26"/>
    <mergeCell ref="AU26:AX26"/>
    <mergeCell ref="AY26:BB26"/>
    <mergeCell ref="AQ28:AT28"/>
    <mergeCell ref="AU28:AX28"/>
    <mergeCell ref="AY28:BB28"/>
    <mergeCell ref="BC28:BF28"/>
    <mergeCell ref="BG28:BJ28"/>
    <mergeCell ref="BK28:BN28"/>
    <mergeCell ref="S28:V28"/>
    <mergeCell ref="W28:Z28"/>
    <mergeCell ref="AA28:AD28"/>
    <mergeCell ref="AE28:AH28"/>
    <mergeCell ref="AI28:AL28"/>
    <mergeCell ref="AM28:AP28"/>
    <mergeCell ref="AQ29:AT29"/>
    <mergeCell ref="AU29:AX29"/>
    <mergeCell ref="AY29:BB29"/>
    <mergeCell ref="BC29:BF29"/>
    <mergeCell ref="BG29:BJ29"/>
    <mergeCell ref="BK29:BN29"/>
    <mergeCell ref="S29:V29"/>
    <mergeCell ref="W29:Z29"/>
    <mergeCell ref="AA29:AD29"/>
    <mergeCell ref="AE29:AH29"/>
    <mergeCell ref="AI29:AL29"/>
    <mergeCell ref="AM29:AP29"/>
    <mergeCell ref="AQ30:AT30"/>
    <mergeCell ref="AU30:AX30"/>
    <mergeCell ref="AY30:BB30"/>
    <mergeCell ref="BC30:BF30"/>
    <mergeCell ref="BG30:BJ30"/>
    <mergeCell ref="BK30:BN30"/>
    <mergeCell ref="S30:V30"/>
    <mergeCell ref="W30:Z30"/>
    <mergeCell ref="AA30:AD30"/>
    <mergeCell ref="AE30:AH30"/>
    <mergeCell ref="AI30:AL30"/>
    <mergeCell ref="AM30:AP30"/>
    <mergeCell ref="BL31:BN31"/>
    <mergeCell ref="G32:J32"/>
    <mergeCell ref="K32:N32"/>
    <mergeCell ref="O32:R32"/>
    <mergeCell ref="S32:V32"/>
    <mergeCell ref="AA32:AD32"/>
    <mergeCell ref="AE32:AH32"/>
    <mergeCell ref="AI32:AL32"/>
    <mergeCell ref="AM32:AP32"/>
    <mergeCell ref="AU32:AX32"/>
    <mergeCell ref="AJ31:AL31"/>
    <mergeCell ref="AN31:AP31"/>
    <mergeCell ref="AV31:AX31"/>
    <mergeCell ref="AZ31:BB31"/>
    <mergeCell ref="BD31:BF31"/>
    <mergeCell ref="BH31:BJ31"/>
    <mergeCell ref="H31:J31"/>
    <mergeCell ref="L31:N31"/>
    <mergeCell ref="P31:R31"/>
    <mergeCell ref="T31:V31"/>
    <mergeCell ref="AB31:AD31"/>
    <mergeCell ref="AF31:AH31"/>
    <mergeCell ref="AY32:BB32"/>
    <mergeCell ref="BC32:BF32"/>
    <mergeCell ref="BG32:BJ32"/>
    <mergeCell ref="BK32:BN32"/>
    <mergeCell ref="G33:J33"/>
    <mergeCell ref="K33:N33"/>
    <mergeCell ref="O33:R33"/>
    <mergeCell ref="S33:V33"/>
    <mergeCell ref="AA33:AD33"/>
    <mergeCell ref="AE33:AH33"/>
    <mergeCell ref="BK33:BN33"/>
    <mergeCell ref="G34:J34"/>
    <mergeCell ref="K34:N34"/>
    <mergeCell ref="O34:R34"/>
    <mergeCell ref="S34:V34"/>
    <mergeCell ref="AA34:AD34"/>
    <mergeCell ref="AE34:AH34"/>
    <mergeCell ref="AI34:AL34"/>
    <mergeCell ref="AM34:AP34"/>
    <mergeCell ref="AU34:AX34"/>
    <mergeCell ref="AI33:AL33"/>
    <mergeCell ref="AM33:AP33"/>
    <mergeCell ref="AU33:AX33"/>
    <mergeCell ref="AY33:BB33"/>
    <mergeCell ref="BC33:BF33"/>
    <mergeCell ref="BG33:BJ33"/>
    <mergeCell ref="AY34:BB34"/>
    <mergeCell ref="BC34:BF34"/>
    <mergeCell ref="BG34:BJ34"/>
    <mergeCell ref="BK34:BN34"/>
    <mergeCell ref="AB35:AD35"/>
    <mergeCell ref="AF35:AH35"/>
    <mergeCell ref="BD35:BF35"/>
    <mergeCell ref="BH35:BJ35"/>
    <mergeCell ref="BL35:BN35"/>
    <mergeCell ref="AA36:AD36"/>
    <mergeCell ref="AE36:AH36"/>
    <mergeCell ref="BC36:BF36"/>
    <mergeCell ref="BG36:BJ36"/>
    <mergeCell ref="BK36:BN36"/>
    <mergeCell ref="AA37:AD37"/>
    <mergeCell ref="AE37:AH37"/>
    <mergeCell ref="BC37:BF37"/>
    <mergeCell ref="BG37:BJ37"/>
    <mergeCell ref="BK37:BN37"/>
    <mergeCell ref="BP39:BR39"/>
    <mergeCell ref="AY40:BB40"/>
    <mergeCell ref="BC40:BF40"/>
    <mergeCell ref="BG40:BJ40"/>
    <mergeCell ref="BK40:BN40"/>
    <mergeCell ref="BO40:BR40"/>
    <mergeCell ref="AA38:AD38"/>
    <mergeCell ref="AE38:AH38"/>
    <mergeCell ref="BC38:BF38"/>
    <mergeCell ref="BG38:BJ38"/>
    <mergeCell ref="BK38:BN38"/>
    <mergeCell ref="AZ39:BB39"/>
    <mergeCell ref="BD39:BF39"/>
    <mergeCell ref="BH39:BJ39"/>
    <mergeCell ref="BL39:BN39"/>
    <mergeCell ref="BH43:BJ43"/>
    <mergeCell ref="AY44:BB44"/>
    <mergeCell ref="BC44:BF44"/>
    <mergeCell ref="BG44:BJ44"/>
    <mergeCell ref="AY41:BB41"/>
    <mergeCell ref="BC41:BF41"/>
    <mergeCell ref="BG41:BJ41"/>
    <mergeCell ref="BK41:BN41"/>
    <mergeCell ref="BO41:BR41"/>
    <mergeCell ref="AY42:BB42"/>
    <mergeCell ref="BC42:BF42"/>
    <mergeCell ref="BG42:BJ42"/>
    <mergeCell ref="BK42:BN42"/>
    <mergeCell ref="BO42:BR42"/>
    <mergeCell ref="BO5:BQ5"/>
    <mergeCell ref="BN6:BQ6"/>
    <mergeCell ref="BN7:BQ7"/>
    <mergeCell ref="BN8:BQ8"/>
    <mergeCell ref="AY49:BB49"/>
    <mergeCell ref="BC49:BF49"/>
    <mergeCell ref="BG49:BJ49"/>
    <mergeCell ref="AY50:BB50"/>
    <mergeCell ref="BC50:BF50"/>
    <mergeCell ref="BG50:BJ50"/>
    <mergeCell ref="AZ47:BB47"/>
    <mergeCell ref="BD47:BF47"/>
    <mergeCell ref="BH47:BJ47"/>
    <mergeCell ref="AY48:BB48"/>
    <mergeCell ref="BC48:BF48"/>
    <mergeCell ref="BG48:BJ48"/>
    <mergeCell ref="AY45:BB45"/>
    <mergeCell ref="BC45:BF45"/>
    <mergeCell ref="BG45:BJ45"/>
    <mergeCell ref="AY46:BB46"/>
    <mergeCell ref="BC46:BF46"/>
    <mergeCell ref="BG46:BJ46"/>
    <mergeCell ref="AZ43:BB43"/>
    <mergeCell ref="BD43:BF43"/>
  </mergeCells>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A66831-0D82-4A80-B97E-0B02D3F23332}">
  <sheetPr codeName="Sheet6">
    <tabColor rgb="FF0F8472"/>
  </sheetPr>
  <dimension ref="A1:AG152"/>
  <sheetViews>
    <sheetView zoomScaleNormal="100" workbookViewId="0"/>
  </sheetViews>
  <sheetFormatPr defaultColWidth="3.5" defaultRowHeight="21" customHeight="1" x14ac:dyDescent="0.55000000000000004"/>
  <cols>
    <col min="1" max="16384" width="3.5" style="11"/>
  </cols>
  <sheetData>
    <row r="1" spans="1:33" ht="21" customHeight="1" x14ac:dyDescent="0.55000000000000004">
      <c r="A1" s="37"/>
      <c r="F1" s="37" t="s">
        <v>171</v>
      </c>
      <c r="G1" s="37"/>
      <c r="I1" s="37"/>
      <c r="M1" s="37"/>
      <c r="Q1" s="37" t="s">
        <v>172</v>
      </c>
      <c r="V1" s="37"/>
      <c r="AF1" s="37" t="s">
        <v>170</v>
      </c>
    </row>
    <row r="2" spans="1:33" ht="21" customHeight="1" x14ac:dyDescent="0.55000000000000004">
      <c r="B2" s="13" t="s">
        <v>766</v>
      </c>
      <c r="C2" s="12"/>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row>
    <row r="10" spans="1:33" ht="21" customHeight="1" x14ac:dyDescent="0.55000000000000004">
      <c r="G10" s="35" t="s">
        <v>767</v>
      </c>
      <c r="H10" s="27"/>
      <c r="I10" s="27"/>
      <c r="J10" s="27"/>
      <c r="K10" s="27"/>
      <c r="L10" s="11" t="s">
        <v>768</v>
      </c>
    </row>
    <row r="13" spans="1:33" ht="21" customHeight="1" x14ac:dyDescent="0.55000000000000004">
      <c r="D13" s="13" t="s">
        <v>32</v>
      </c>
      <c r="E13" s="12"/>
      <c r="F13" s="12"/>
      <c r="G13" s="12"/>
      <c r="H13" s="12"/>
      <c r="I13" s="12"/>
      <c r="J13" s="12"/>
      <c r="K13" s="12"/>
      <c r="L13" s="12"/>
      <c r="M13" s="12"/>
      <c r="N13" s="12"/>
      <c r="O13" s="12"/>
      <c r="P13" s="12"/>
      <c r="Q13" s="12"/>
      <c r="R13" s="12"/>
      <c r="S13" s="12"/>
      <c r="T13" s="12"/>
      <c r="U13" s="12"/>
      <c r="V13" s="12"/>
      <c r="W13" s="12"/>
      <c r="X13" s="12"/>
      <c r="Y13" s="12"/>
      <c r="Z13" s="12"/>
      <c r="AA13" s="12"/>
      <c r="AB13" s="12"/>
      <c r="AC13" s="12"/>
      <c r="AD13" s="12"/>
      <c r="AE13" s="12"/>
      <c r="AF13" s="12"/>
      <c r="AG13" s="12"/>
    </row>
    <row r="21" spans="1:33" ht="21" customHeight="1" x14ac:dyDescent="0.55000000000000004">
      <c r="G21" s="11" t="s">
        <v>141</v>
      </c>
    </row>
    <row r="22" spans="1:33" ht="21" customHeight="1" x14ac:dyDescent="0.55000000000000004">
      <c r="F22" s="14" t="s">
        <v>30</v>
      </c>
      <c r="G22" s="11" t="s">
        <v>140</v>
      </c>
    </row>
    <row r="23" spans="1:33" ht="21" customHeight="1" x14ac:dyDescent="0.55000000000000004">
      <c r="F23" s="14"/>
    </row>
    <row r="24" spans="1:33" ht="21" customHeight="1" thickBot="1" x14ac:dyDescent="0.45">
      <c r="F24" s="26" t="s">
        <v>40</v>
      </c>
      <c r="Q24" s="26" t="s">
        <v>41</v>
      </c>
    </row>
    <row r="25" spans="1:33" ht="21" customHeight="1" thickTop="1" thickBot="1" x14ac:dyDescent="0.6">
      <c r="A25" s="37" t="s">
        <v>147</v>
      </c>
      <c r="F25" s="111" t="s">
        <v>758</v>
      </c>
      <c r="G25" s="112"/>
      <c r="H25" s="112"/>
      <c r="I25" s="112"/>
      <c r="J25" s="112"/>
      <c r="K25" s="112"/>
      <c r="L25" s="112"/>
      <c r="M25" s="112"/>
      <c r="N25" s="112"/>
      <c r="O25" s="113"/>
      <c r="Q25" s="111" t="s">
        <v>583</v>
      </c>
      <c r="R25" s="112"/>
      <c r="S25" s="112"/>
      <c r="T25" s="113"/>
    </row>
    <row r="26" spans="1:33" ht="21" customHeight="1" thickTop="1" x14ac:dyDescent="0.55000000000000004"/>
    <row r="28" spans="1:33" ht="21" customHeight="1" x14ac:dyDescent="0.55000000000000004">
      <c r="D28" s="13" t="s">
        <v>33</v>
      </c>
      <c r="E28" s="12"/>
      <c r="F28" s="12"/>
      <c r="G28" s="12"/>
      <c r="H28" s="12"/>
      <c r="I28" s="12"/>
      <c r="J28" s="12"/>
      <c r="K28" s="12"/>
      <c r="L28" s="12"/>
      <c r="M28" s="12"/>
      <c r="N28" s="12"/>
      <c r="O28" s="12"/>
      <c r="P28" s="12"/>
      <c r="Q28" s="12"/>
      <c r="R28" s="12"/>
      <c r="S28" s="12"/>
      <c r="T28" s="12"/>
      <c r="U28" s="12"/>
      <c r="V28" s="12"/>
      <c r="W28" s="12"/>
      <c r="X28" s="12"/>
      <c r="Y28" s="12"/>
      <c r="Z28" s="12"/>
      <c r="AA28" s="12"/>
      <c r="AB28" s="12"/>
      <c r="AC28" s="12"/>
      <c r="AD28" s="12"/>
      <c r="AE28" s="12"/>
      <c r="AF28" s="12"/>
      <c r="AG28" s="12"/>
    </row>
    <row r="35" spans="1:33" ht="21" customHeight="1" x14ac:dyDescent="0.55000000000000004">
      <c r="H35" s="11" t="s">
        <v>142</v>
      </c>
    </row>
    <row r="36" spans="1:33" ht="21" customHeight="1" x14ac:dyDescent="0.55000000000000004">
      <c r="F36" s="14"/>
      <c r="G36" s="14" t="s">
        <v>30</v>
      </c>
      <c r="H36" s="11" t="s">
        <v>143</v>
      </c>
    </row>
    <row r="37" spans="1:33" ht="21" customHeight="1" x14ac:dyDescent="0.55000000000000004">
      <c r="F37" s="14"/>
    </row>
    <row r="38" spans="1:33" ht="21" customHeight="1" x14ac:dyDescent="0.55000000000000004">
      <c r="F38" s="14"/>
      <c r="G38" s="11" t="s">
        <v>79</v>
      </c>
    </row>
    <row r="39" spans="1:33" ht="21" customHeight="1" thickBot="1" x14ac:dyDescent="0.45">
      <c r="F39" s="26" t="s">
        <v>40</v>
      </c>
      <c r="Q39" s="26" t="s">
        <v>42</v>
      </c>
    </row>
    <row r="40" spans="1:33" ht="21" customHeight="1" thickTop="1" thickBot="1" x14ac:dyDescent="0.6">
      <c r="A40" s="37" t="s">
        <v>159</v>
      </c>
      <c r="F40" s="111" t="s">
        <v>759</v>
      </c>
      <c r="G40" s="112"/>
      <c r="H40" s="112"/>
      <c r="I40" s="112"/>
      <c r="J40" s="112"/>
      <c r="K40" s="112"/>
      <c r="L40" s="112"/>
      <c r="M40" s="112"/>
      <c r="N40" s="112"/>
      <c r="O40" s="113"/>
      <c r="Q40" s="111" t="s">
        <v>132</v>
      </c>
      <c r="R40" s="113"/>
    </row>
    <row r="41" spans="1:33" ht="21" customHeight="1" thickTop="1" x14ac:dyDescent="0.55000000000000004"/>
    <row r="43" spans="1:33" ht="21" customHeight="1" x14ac:dyDescent="0.55000000000000004">
      <c r="D43" s="13" t="s">
        <v>34</v>
      </c>
      <c r="E43" s="12"/>
      <c r="F43" s="12"/>
      <c r="G43" s="12"/>
      <c r="H43" s="12"/>
      <c r="I43" s="12"/>
      <c r="J43" s="12"/>
      <c r="K43" s="12"/>
      <c r="L43" s="12"/>
      <c r="M43" s="12"/>
      <c r="N43" s="12"/>
      <c r="O43" s="12"/>
      <c r="P43" s="12"/>
      <c r="Q43" s="12"/>
      <c r="R43" s="12"/>
      <c r="S43" s="12"/>
      <c r="T43" s="12"/>
      <c r="U43" s="12"/>
      <c r="V43" s="12"/>
      <c r="W43" s="12"/>
      <c r="X43" s="12"/>
      <c r="Y43" s="12"/>
      <c r="Z43" s="12"/>
      <c r="AA43" s="12"/>
      <c r="AB43" s="12"/>
      <c r="AC43" s="12"/>
      <c r="AD43" s="12"/>
      <c r="AE43" s="12"/>
      <c r="AF43" s="12"/>
      <c r="AG43" s="12"/>
    </row>
    <row r="55" spans="1:20" ht="21" customHeight="1" x14ac:dyDescent="0.55000000000000004">
      <c r="F55" s="14" t="s">
        <v>30</v>
      </c>
      <c r="G55" s="11" t="s">
        <v>36</v>
      </c>
    </row>
    <row r="56" spans="1:20" ht="21" customHeight="1" x14ac:dyDescent="0.55000000000000004">
      <c r="P56" s="29" t="s">
        <v>85</v>
      </c>
      <c r="Q56" s="29"/>
      <c r="R56" s="29"/>
      <c r="S56" s="29"/>
      <c r="T56" s="11" t="s">
        <v>145</v>
      </c>
    </row>
    <row r="57" spans="1:20" ht="21" customHeight="1" x14ac:dyDescent="0.55000000000000004">
      <c r="F57" s="14"/>
      <c r="P57" s="14" t="s">
        <v>30</v>
      </c>
      <c r="Q57" s="11" t="s">
        <v>144</v>
      </c>
    </row>
    <row r="58" spans="1:20" ht="21" customHeight="1" x14ac:dyDescent="0.55000000000000004">
      <c r="F58" s="14"/>
    </row>
    <row r="59" spans="1:20" ht="21" customHeight="1" thickBot="1" x14ac:dyDescent="0.45">
      <c r="F59" s="14"/>
      <c r="Q59" s="26" t="s">
        <v>43</v>
      </c>
    </row>
    <row r="60" spans="1:20" ht="21" customHeight="1" thickTop="1" thickBot="1" x14ac:dyDescent="0.6">
      <c r="A60" s="37" t="s">
        <v>194</v>
      </c>
      <c r="F60" s="14"/>
      <c r="Q60" s="111" t="s">
        <v>778</v>
      </c>
      <c r="R60" s="113"/>
    </row>
    <row r="61" spans="1:20" ht="21" customHeight="1" thickTop="1" x14ac:dyDescent="0.55000000000000004">
      <c r="E61" s="11" t="s">
        <v>197</v>
      </c>
    </row>
    <row r="62" spans="1:20" ht="21" customHeight="1" thickBot="1" x14ac:dyDescent="0.6">
      <c r="E62" s="24"/>
      <c r="F62" s="39" t="s">
        <v>16</v>
      </c>
      <c r="G62" s="40" t="s">
        <v>17</v>
      </c>
      <c r="H62" s="40" t="s">
        <v>18</v>
      </c>
      <c r="I62" s="40" t="s">
        <v>19</v>
      </c>
      <c r="J62" s="24"/>
    </row>
    <row r="63" spans="1:20" ht="21" customHeight="1" x14ac:dyDescent="0.55000000000000004">
      <c r="A63" s="37" t="s">
        <v>158</v>
      </c>
      <c r="E63" s="24"/>
      <c r="F63" s="8"/>
      <c r="G63" s="114" t="s">
        <v>24</v>
      </c>
      <c r="H63" s="114"/>
      <c r="I63" s="115"/>
      <c r="J63" s="24"/>
    </row>
    <row r="64" spans="1:20" ht="21" customHeight="1" x14ac:dyDescent="0.55000000000000004">
      <c r="E64" s="24"/>
      <c r="F64" s="204" t="s">
        <v>628</v>
      </c>
      <c r="G64" s="205"/>
      <c r="H64" s="205"/>
      <c r="I64" s="206"/>
      <c r="J64" s="24"/>
    </row>
    <row r="65" spans="1:33" ht="21" customHeight="1" x14ac:dyDescent="0.55000000000000004">
      <c r="E65" s="24"/>
      <c r="F65" s="207" t="s">
        <v>26</v>
      </c>
      <c r="G65" s="208"/>
      <c r="H65" s="208"/>
      <c r="I65" s="209"/>
      <c r="J65" s="24"/>
    </row>
    <row r="66" spans="1:33" ht="21" customHeight="1" thickBot="1" x14ac:dyDescent="0.6">
      <c r="A66" s="37"/>
      <c r="E66" s="24"/>
      <c r="F66" s="130" t="s">
        <v>630</v>
      </c>
      <c r="G66" s="131"/>
      <c r="H66" s="131"/>
      <c r="I66" s="132"/>
      <c r="J66" s="24"/>
    </row>
    <row r="67" spans="1:33" ht="21" customHeight="1" x14ac:dyDescent="0.55000000000000004">
      <c r="E67" s="24"/>
      <c r="F67" s="24"/>
      <c r="G67" s="24"/>
      <c r="H67" s="24"/>
      <c r="I67" s="24"/>
      <c r="J67" s="24"/>
    </row>
    <row r="68" spans="1:33" ht="21" customHeight="1" thickBot="1" x14ac:dyDescent="0.45">
      <c r="Q68" s="26" t="s">
        <v>191</v>
      </c>
    </row>
    <row r="69" spans="1:33" ht="21" customHeight="1" thickTop="1" thickBot="1" x14ac:dyDescent="0.6">
      <c r="A69" s="37" t="s">
        <v>196</v>
      </c>
      <c r="Q69" s="111" t="s">
        <v>195</v>
      </c>
      <c r="R69" s="112"/>
      <c r="S69" s="112"/>
      <c r="T69" s="113"/>
    </row>
    <row r="70" spans="1:33" ht="21" customHeight="1" thickTop="1" x14ac:dyDescent="0.55000000000000004">
      <c r="Q70" s="45" t="s">
        <v>187</v>
      </c>
    </row>
    <row r="72" spans="1:33" ht="21" customHeight="1" x14ac:dyDescent="0.55000000000000004">
      <c r="G72" s="11" t="s">
        <v>37</v>
      </c>
    </row>
    <row r="75" spans="1:33" ht="21" customHeight="1" x14ac:dyDescent="0.55000000000000004">
      <c r="D75" s="13" t="s">
        <v>35</v>
      </c>
      <c r="E75" s="12"/>
      <c r="F75" s="12"/>
      <c r="G75" s="12"/>
      <c r="H75" s="12"/>
      <c r="I75" s="12"/>
      <c r="J75" s="12"/>
      <c r="K75" s="12"/>
      <c r="L75" s="12"/>
      <c r="M75" s="12"/>
      <c r="N75" s="12"/>
      <c r="O75" s="12"/>
      <c r="P75" s="12"/>
      <c r="Q75" s="12"/>
      <c r="R75" s="12"/>
      <c r="S75" s="12"/>
      <c r="T75" s="12"/>
      <c r="U75" s="12"/>
      <c r="V75" s="12"/>
      <c r="W75" s="12"/>
      <c r="X75" s="12"/>
      <c r="Y75" s="12"/>
      <c r="Z75" s="12"/>
      <c r="AA75" s="12"/>
      <c r="AB75" s="12"/>
      <c r="AC75" s="12"/>
      <c r="AD75" s="12"/>
      <c r="AE75" s="12"/>
      <c r="AF75" s="12"/>
      <c r="AG75" s="12"/>
    </row>
    <row r="95" spans="8:8" ht="21" customHeight="1" x14ac:dyDescent="0.55000000000000004">
      <c r="H95" s="11" t="s">
        <v>146</v>
      </c>
    </row>
    <row r="97" spans="1:18" ht="21" customHeight="1" thickBot="1" x14ac:dyDescent="0.45">
      <c r="Q97" s="26" t="s">
        <v>160</v>
      </c>
    </row>
    <row r="98" spans="1:18" ht="21" customHeight="1" thickTop="1" thickBot="1" x14ac:dyDescent="0.6">
      <c r="A98" s="37" t="s">
        <v>185</v>
      </c>
      <c r="Q98" s="111" t="s">
        <v>779</v>
      </c>
      <c r="R98" s="113"/>
    </row>
    <row r="99" spans="1:18" ht="21" customHeight="1" thickTop="1" x14ac:dyDescent="0.55000000000000004"/>
    <row r="100" spans="1:18" ht="21" customHeight="1" x14ac:dyDescent="0.55000000000000004">
      <c r="G100" s="14" t="s">
        <v>30</v>
      </c>
      <c r="H100" s="11" t="s">
        <v>184</v>
      </c>
    </row>
    <row r="102" spans="1:18" ht="21" customHeight="1" thickBot="1" x14ac:dyDescent="0.6">
      <c r="E102" s="38"/>
      <c r="F102" s="39" t="s">
        <v>16</v>
      </c>
      <c r="G102" s="40" t="s">
        <v>17</v>
      </c>
      <c r="H102" s="40" t="s">
        <v>18</v>
      </c>
      <c r="I102" s="40" t="s">
        <v>19</v>
      </c>
      <c r="J102" s="40" t="s">
        <v>20</v>
      </c>
      <c r="K102" s="40" t="s">
        <v>21</v>
      </c>
      <c r="L102" s="40" t="s">
        <v>22</v>
      </c>
      <c r="M102" s="40" t="s">
        <v>23</v>
      </c>
      <c r="N102" s="41"/>
    </row>
    <row r="103" spans="1:18" ht="21" customHeight="1" x14ac:dyDescent="0.55000000000000004">
      <c r="A103" s="37" t="s">
        <v>157</v>
      </c>
      <c r="E103" s="38">
        <v>1</v>
      </c>
      <c r="F103" s="11" t="s">
        <v>39</v>
      </c>
      <c r="G103" s="198" t="s">
        <v>28</v>
      </c>
      <c r="H103" s="199"/>
      <c r="I103" s="199"/>
      <c r="J103" s="200" t="s">
        <v>27</v>
      </c>
      <c r="K103" s="201"/>
      <c r="L103" s="138" t="s">
        <v>29</v>
      </c>
      <c r="M103" s="138"/>
      <c r="N103" s="25"/>
    </row>
    <row r="104" spans="1:18" ht="21" customHeight="1" x14ac:dyDescent="0.55000000000000004">
      <c r="E104" s="38">
        <v>2</v>
      </c>
      <c r="F104" s="11">
        <v>1</v>
      </c>
      <c r="G104" s="176">
        <v>180</v>
      </c>
      <c r="H104" s="139"/>
      <c r="I104" s="139"/>
      <c r="J104" s="202"/>
      <c r="K104" s="203"/>
      <c r="L104" s="187"/>
      <c r="M104" s="187"/>
      <c r="N104" s="25"/>
    </row>
    <row r="105" spans="1:18" ht="21" customHeight="1" x14ac:dyDescent="0.55000000000000004">
      <c r="E105" s="38">
        <v>3</v>
      </c>
      <c r="F105" s="11">
        <v>2</v>
      </c>
      <c r="G105" s="176">
        <v>160</v>
      </c>
      <c r="H105" s="139"/>
      <c r="I105" s="139"/>
      <c r="J105" s="185"/>
      <c r="K105" s="186"/>
      <c r="L105" s="187"/>
      <c r="M105" s="187"/>
      <c r="N105" s="25"/>
    </row>
    <row r="106" spans="1:18" ht="21" customHeight="1" x14ac:dyDescent="0.55000000000000004">
      <c r="E106" s="38">
        <v>4</v>
      </c>
      <c r="F106" s="11">
        <v>3</v>
      </c>
      <c r="G106" s="176">
        <v>140</v>
      </c>
      <c r="H106" s="139"/>
      <c r="I106" s="139"/>
      <c r="J106" s="188"/>
      <c r="K106" s="189"/>
      <c r="L106" s="175"/>
      <c r="M106" s="175"/>
      <c r="N106" s="25"/>
    </row>
    <row r="107" spans="1:18" ht="21" customHeight="1" x14ac:dyDescent="0.55000000000000004">
      <c r="E107" s="38">
        <v>5</v>
      </c>
      <c r="F107" s="11">
        <v>4</v>
      </c>
      <c r="G107" s="194">
        <v>120</v>
      </c>
      <c r="H107" s="195"/>
      <c r="I107" s="195"/>
      <c r="J107" s="183"/>
      <c r="K107" s="184"/>
      <c r="L107" s="175"/>
      <c r="M107" s="175"/>
      <c r="N107" s="25"/>
    </row>
    <row r="108" spans="1:18" ht="21" customHeight="1" x14ac:dyDescent="0.55000000000000004">
      <c r="E108" s="38">
        <v>6</v>
      </c>
      <c r="F108" s="11">
        <v>5</v>
      </c>
      <c r="G108" s="176">
        <v>100</v>
      </c>
      <c r="H108" s="139"/>
      <c r="I108" s="139"/>
      <c r="J108" s="196"/>
      <c r="K108" s="197"/>
      <c r="L108" s="175"/>
      <c r="M108" s="175"/>
      <c r="N108" s="25"/>
    </row>
    <row r="109" spans="1:18" ht="21" customHeight="1" x14ac:dyDescent="0.55000000000000004">
      <c r="E109" s="38">
        <v>7</v>
      </c>
      <c r="F109" s="11">
        <v>6</v>
      </c>
      <c r="G109" s="176">
        <v>80</v>
      </c>
      <c r="H109" s="139"/>
      <c r="I109" s="139"/>
      <c r="J109" s="192"/>
      <c r="K109" s="193"/>
      <c r="L109" s="175"/>
      <c r="M109" s="175"/>
      <c r="N109" s="25"/>
    </row>
    <row r="110" spans="1:18" ht="21" customHeight="1" x14ac:dyDescent="0.55000000000000004">
      <c r="E110" s="38">
        <v>8</v>
      </c>
      <c r="F110" s="11">
        <v>7</v>
      </c>
      <c r="G110" s="176">
        <v>60</v>
      </c>
      <c r="H110" s="139"/>
      <c r="I110" s="139"/>
      <c r="J110" s="190"/>
      <c r="K110" s="191"/>
      <c r="L110" s="175"/>
      <c r="M110" s="175"/>
      <c r="N110" s="25"/>
    </row>
    <row r="111" spans="1:18" ht="21" customHeight="1" x14ac:dyDescent="0.55000000000000004">
      <c r="E111" s="38">
        <v>9</v>
      </c>
      <c r="F111" s="11">
        <v>8</v>
      </c>
      <c r="G111" s="176">
        <v>40</v>
      </c>
      <c r="H111" s="139"/>
      <c r="I111" s="139"/>
      <c r="J111" s="181"/>
      <c r="K111" s="182"/>
      <c r="L111" s="175"/>
      <c r="M111" s="175"/>
      <c r="N111" s="25"/>
    </row>
    <row r="112" spans="1:18" ht="21" customHeight="1" x14ac:dyDescent="0.55000000000000004">
      <c r="E112" s="38">
        <v>10</v>
      </c>
      <c r="F112" s="11">
        <v>9</v>
      </c>
      <c r="G112" s="176">
        <v>20</v>
      </c>
      <c r="H112" s="139"/>
      <c r="I112" s="139"/>
      <c r="J112" s="177"/>
      <c r="K112" s="178"/>
      <c r="L112" s="175"/>
      <c r="M112" s="175"/>
      <c r="N112" s="25"/>
    </row>
    <row r="113" spans="1:33" ht="21" customHeight="1" thickBot="1" x14ac:dyDescent="0.6">
      <c r="E113" s="38">
        <v>11</v>
      </c>
      <c r="F113" s="11">
        <v>10</v>
      </c>
      <c r="G113" s="173">
        <v>0</v>
      </c>
      <c r="H113" s="174"/>
      <c r="I113" s="174"/>
      <c r="J113" s="179"/>
      <c r="K113" s="180"/>
      <c r="L113" s="175"/>
      <c r="M113" s="175"/>
      <c r="N113" s="25"/>
    </row>
    <row r="114" spans="1:33" ht="21" customHeight="1" x14ac:dyDescent="0.55000000000000004">
      <c r="E114" s="38"/>
      <c r="F114" s="25"/>
      <c r="G114" s="25"/>
      <c r="H114" s="25"/>
      <c r="I114" s="25"/>
      <c r="J114" s="25"/>
      <c r="K114" s="25"/>
      <c r="L114" s="25"/>
      <c r="M114" s="25"/>
      <c r="N114" s="25"/>
    </row>
    <row r="116" spans="1:33" ht="21" customHeight="1" thickBot="1" x14ac:dyDescent="0.45">
      <c r="Q116" s="26" t="s">
        <v>191</v>
      </c>
    </row>
    <row r="117" spans="1:33" ht="21" customHeight="1" thickTop="1" thickBot="1" x14ac:dyDescent="0.6">
      <c r="A117" s="37" t="s">
        <v>190</v>
      </c>
      <c r="Q117" s="111" t="s">
        <v>631</v>
      </c>
      <c r="R117" s="112"/>
      <c r="S117" s="112"/>
      <c r="T117" s="113"/>
    </row>
    <row r="118" spans="1:33" ht="21" customHeight="1" thickTop="1" x14ac:dyDescent="0.55000000000000004">
      <c r="Q118" s="45" t="s">
        <v>187</v>
      </c>
    </row>
    <row r="119" spans="1:33" ht="21" customHeight="1" thickBot="1" x14ac:dyDescent="0.45">
      <c r="F119" s="26" t="s">
        <v>44</v>
      </c>
    </row>
    <row r="120" spans="1:33" ht="21" customHeight="1" thickTop="1" thickBot="1" x14ac:dyDescent="0.6">
      <c r="A120" s="37" t="s">
        <v>188</v>
      </c>
      <c r="F120" s="111" t="s">
        <v>632</v>
      </c>
      <c r="G120" s="112"/>
      <c r="H120" s="112"/>
      <c r="I120" s="113"/>
    </row>
    <row r="121" spans="1:33" ht="21" customHeight="1" thickTop="1" x14ac:dyDescent="0.55000000000000004">
      <c r="F121" s="45" t="s">
        <v>187</v>
      </c>
    </row>
    <row r="124" spans="1:33" ht="21" customHeight="1" x14ac:dyDescent="0.55000000000000004">
      <c r="D124" s="13" t="s">
        <v>35</v>
      </c>
      <c r="E124" s="12"/>
      <c r="F124" s="12"/>
      <c r="G124" s="12"/>
      <c r="H124" s="12"/>
      <c r="I124" s="12"/>
      <c r="J124" s="12"/>
      <c r="K124" s="12"/>
      <c r="L124" s="12"/>
      <c r="M124" s="12"/>
      <c r="N124" s="12"/>
      <c r="O124" s="12"/>
      <c r="P124" s="12"/>
      <c r="Q124" s="12"/>
      <c r="R124" s="12"/>
      <c r="S124" s="12"/>
      <c r="T124" s="12"/>
      <c r="U124" s="12"/>
      <c r="V124" s="12"/>
      <c r="W124" s="12"/>
      <c r="X124" s="12"/>
      <c r="Y124" s="12"/>
      <c r="Z124" s="12"/>
      <c r="AA124" s="12"/>
      <c r="AB124" s="12"/>
      <c r="AC124" s="12"/>
      <c r="AD124" s="12"/>
      <c r="AE124" s="12"/>
      <c r="AF124" s="12"/>
      <c r="AG124" s="12"/>
    </row>
    <row r="126" spans="1:33" ht="21" customHeight="1" thickBot="1" x14ac:dyDescent="0.6">
      <c r="F126" s="14" t="s">
        <v>30</v>
      </c>
      <c r="G126" s="11" t="s">
        <v>31</v>
      </c>
    </row>
    <row r="127" spans="1:33" ht="21" customHeight="1" x14ac:dyDescent="0.55000000000000004">
      <c r="F127" s="15"/>
      <c r="G127" s="16"/>
      <c r="H127" s="16"/>
      <c r="I127" s="16"/>
      <c r="J127" s="16"/>
      <c r="K127" s="16"/>
      <c r="L127" s="16"/>
      <c r="M127" s="16"/>
      <c r="N127" s="17"/>
    </row>
    <row r="128" spans="1:33" ht="21" customHeight="1" x14ac:dyDescent="0.55000000000000004">
      <c r="F128" s="18"/>
      <c r="N128" s="19"/>
    </row>
    <row r="129" spans="6:14" ht="21" customHeight="1" x14ac:dyDescent="0.55000000000000004">
      <c r="F129" s="18"/>
      <c r="N129" s="19"/>
    </row>
    <row r="130" spans="6:14" ht="21" customHeight="1" thickBot="1" x14ac:dyDescent="0.6">
      <c r="F130" s="20"/>
      <c r="G130" s="21"/>
      <c r="H130" s="21"/>
      <c r="I130" s="21"/>
      <c r="J130" s="21"/>
      <c r="K130" s="21"/>
      <c r="L130" s="21"/>
      <c r="M130" s="21"/>
      <c r="N130" s="22"/>
    </row>
    <row r="149" spans="1:8" ht="21" customHeight="1" x14ac:dyDescent="0.55000000000000004">
      <c r="H149" s="11" t="s">
        <v>81</v>
      </c>
    </row>
    <row r="151" spans="1:8" ht="21" customHeight="1" x14ac:dyDescent="0.55000000000000004">
      <c r="B151" s="11" t="s">
        <v>28</v>
      </c>
    </row>
    <row r="152" spans="1:8" ht="21" customHeight="1" x14ac:dyDescent="0.55000000000000004">
      <c r="A152" s="37" t="s">
        <v>133</v>
      </c>
    </row>
  </sheetData>
  <mergeCells count="46">
    <mergeCell ref="Q40:R40"/>
    <mergeCell ref="F66:I66"/>
    <mergeCell ref="F25:O25"/>
    <mergeCell ref="F40:O40"/>
    <mergeCell ref="G63:I63"/>
    <mergeCell ref="F64:I64"/>
    <mergeCell ref="F65:I65"/>
    <mergeCell ref="Q25:T25"/>
    <mergeCell ref="G103:I103"/>
    <mergeCell ref="J103:K103"/>
    <mergeCell ref="L103:M103"/>
    <mergeCell ref="G104:I104"/>
    <mergeCell ref="J104:K104"/>
    <mergeCell ref="L104:M104"/>
    <mergeCell ref="J111:K111"/>
    <mergeCell ref="L108:M108"/>
    <mergeCell ref="J107:K107"/>
    <mergeCell ref="G105:I105"/>
    <mergeCell ref="J105:K105"/>
    <mergeCell ref="L105:M105"/>
    <mergeCell ref="G106:I106"/>
    <mergeCell ref="J106:K106"/>
    <mergeCell ref="L106:M106"/>
    <mergeCell ref="L110:M110"/>
    <mergeCell ref="J110:K110"/>
    <mergeCell ref="J109:K109"/>
    <mergeCell ref="G107:I107"/>
    <mergeCell ref="J108:K108"/>
    <mergeCell ref="L107:M107"/>
    <mergeCell ref="G108:I108"/>
    <mergeCell ref="Q117:T117"/>
    <mergeCell ref="Q60:R60"/>
    <mergeCell ref="Q69:T69"/>
    <mergeCell ref="F120:I120"/>
    <mergeCell ref="Q98:R98"/>
    <mergeCell ref="G113:I113"/>
    <mergeCell ref="L113:M113"/>
    <mergeCell ref="G111:I111"/>
    <mergeCell ref="L111:M111"/>
    <mergeCell ref="G112:I112"/>
    <mergeCell ref="L112:M112"/>
    <mergeCell ref="J112:K112"/>
    <mergeCell ref="G109:I109"/>
    <mergeCell ref="J113:K113"/>
    <mergeCell ref="L109:M109"/>
    <mergeCell ref="G110:I110"/>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81" r:id="rId3" name="Button 1">
              <controlPr defaultSize="0" print="0" autoFill="0" autoPict="0" macro="[0]!設定_人口_ボタン1_Click">
                <anchor moveWithCells="1" sizeWithCells="1">
                  <from>
                    <xdr:col>6</xdr:col>
                    <xdr:colOff>82550</xdr:colOff>
                    <xdr:row>126</xdr:row>
                    <xdr:rowOff>184150</xdr:rowOff>
                  </from>
                  <to>
                    <xdr:col>12</xdr:col>
                    <xdr:colOff>139700</xdr:colOff>
                    <xdr:row>129</xdr:row>
                    <xdr:rowOff>57150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9C1C1-9339-4694-8720-770211F3530F}">
  <sheetPr codeName="Sheet25"/>
  <dimension ref="A1:BT53"/>
  <sheetViews>
    <sheetView zoomScale="80" zoomScaleNormal="80" workbookViewId="0"/>
  </sheetViews>
  <sheetFormatPr defaultColWidth="3.5" defaultRowHeight="21.15" customHeight="1" x14ac:dyDescent="0.55000000000000004"/>
  <sheetData>
    <row r="1" spans="1:72" ht="21.15" customHeight="1" x14ac:dyDescent="0.55000000000000004">
      <c r="A1" s="78"/>
      <c r="B1" s="78"/>
      <c r="C1" s="78"/>
      <c r="D1" s="78"/>
      <c r="E1" s="78"/>
      <c r="F1" s="78"/>
      <c r="G1" s="78"/>
      <c r="H1" s="78"/>
      <c r="I1" s="78"/>
      <c r="J1" s="78"/>
      <c r="K1" s="78"/>
      <c r="L1" s="78"/>
      <c r="M1" s="78"/>
      <c r="N1" s="78"/>
      <c r="O1" s="78"/>
      <c r="P1" s="78"/>
      <c r="Q1" s="78"/>
      <c r="R1" s="78"/>
      <c r="S1" s="78"/>
      <c r="T1" s="78"/>
      <c r="U1" s="78"/>
      <c r="V1" s="78"/>
      <c r="W1" s="78"/>
      <c r="X1" s="78"/>
      <c r="Y1" s="78"/>
      <c r="Z1" s="78"/>
      <c r="AA1" s="78"/>
      <c r="AB1" s="78"/>
      <c r="AC1" s="78"/>
      <c r="AD1" s="78"/>
      <c r="AE1" s="78"/>
      <c r="AF1" s="78"/>
      <c r="AG1" s="78"/>
      <c r="AH1" s="78"/>
      <c r="AI1" s="78"/>
      <c r="AJ1" s="78"/>
      <c r="AK1" s="78"/>
      <c r="AL1" s="78"/>
      <c r="AM1" s="78"/>
      <c r="AN1" s="78"/>
      <c r="AO1" s="78"/>
      <c r="AP1" s="78"/>
      <c r="AQ1" s="78"/>
      <c r="AR1" s="78"/>
      <c r="AS1" s="78"/>
      <c r="AT1" s="78"/>
      <c r="AU1" s="78"/>
      <c r="AV1" s="78"/>
      <c r="AW1" s="78"/>
      <c r="AX1" s="78"/>
      <c r="AY1" s="78"/>
      <c r="AZ1" s="78"/>
      <c r="BA1" s="78"/>
      <c r="BB1" s="78"/>
      <c r="BC1" s="78"/>
      <c r="BD1" s="78"/>
      <c r="BE1" s="78"/>
      <c r="BF1" s="78"/>
      <c r="BG1" s="78"/>
      <c r="BH1" s="78"/>
      <c r="BI1" s="78"/>
      <c r="BJ1" s="78"/>
      <c r="BK1" s="78"/>
      <c r="BL1" s="78"/>
      <c r="BM1" s="78"/>
      <c r="BN1" s="78"/>
      <c r="BO1" s="78"/>
      <c r="BP1" s="78"/>
      <c r="BQ1" s="78"/>
      <c r="BR1" s="78"/>
      <c r="BS1" s="78"/>
      <c r="BT1" s="78"/>
    </row>
    <row r="2" spans="1:72" ht="21.15" customHeight="1" x14ac:dyDescent="0.55000000000000004">
      <c r="A2" s="78"/>
      <c r="B2" s="79"/>
      <c r="C2" s="79"/>
      <c r="D2" s="79"/>
      <c r="E2" s="79"/>
      <c r="F2" s="79"/>
      <c r="G2" s="79"/>
      <c r="H2" s="79"/>
      <c r="I2" s="79"/>
      <c r="J2" s="79"/>
      <c r="K2" s="79"/>
      <c r="L2" s="79"/>
      <c r="M2" s="79"/>
      <c r="N2" s="79"/>
      <c r="O2" s="79"/>
      <c r="P2" s="79"/>
      <c r="Q2" s="79"/>
      <c r="R2" s="79"/>
      <c r="S2" s="79"/>
      <c r="T2" s="79"/>
      <c r="U2" s="79"/>
      <c r="V2" s="79"/>
      <c r="W2" s="79"/>
      <c r="X2" s="79"/>
      <c r="Y2" s="79"/>
      <c r="Z2" s="79"/>
      <c r="AA2" s="79"/>
      <c r="AB2" s="79"/>
      <c r="AC2" s="79"/>
      <c r="AD2" s="79"/>
      <c r="AE2" s="79"/>
      <c r="AF2" s="79"/>
      <c r="AG2" s="79"/>
      <c r="AH2" s="79"/>
      <c r="AI2" s="79"/>
      <c r="AJ2" s="79"/>
      <c r="AK2" s="79"/>
      <c r="AL2" s="79"/>
      <c r="AM2" s="79"/>
      <c r="AN2" s="79"/>
      <c r="AO2" s="79"/>
      <c r="AP2" s="79"/>
      <c r="AQ2" s="79"/>
      <c r="AR2" s="79"/>
      <c r="AS2" s="79"/>
      <c r="AT2" s="79"/>
      <c r="AU2" s="79"/>
      <c r="AV2" s="79"/>
      <c r="AW2" s="79"/>
      <c r="AX2" s="79"/>
      <c r="AY2" s="79"/>
      <c r="AZ2" s="79"/>
      <c r="BA2" s="79"/>
      <c r="BB2" s="79"/>
      <c r="BC2" s="79"/>
      <c r="BD2" s="79"/>
      <c r="BE2" s="79"/>
      <c r="BF2" s="79"/>
      <c r="BG2" s="79"/>
      <c r="BH2" s="79"/>
      <c r="BI2" s="79"/>
      <c r="BJ2" s="79"/>
      <c r="BK2" s="79"/>
      <c r="BL2" s="79"/>
      <c r="BM2" s="79"/>
      <c r="BN2" s="79"/>
      <c r="BO2" s="79"/>
      <c r="BP2" s="79"/>
      <c r="BQ2" s="79"/>
      <c r="BR2" s="79"/>
      <c r="BS2" s="79"/>
      <c r="BT2" s="78"/>
    </row>
    <row r="3" spans="1:72" ht="21.15" customHeight="1" x14ac:dyDescent="0.55000000000000004">
      <c r="A3" s="78"/>
      <c r="B3" s="79"/>
      <c r="C3" s="79"/>
      <c r="D3" s="80"/>
      <c r="E3" s="80"/>
      <c r="F3" s="80"/>
      <c r="G3" s="81" t="s">
        <v>62</v>
      </c>
      <c r="H3" s="79"/>
      <c r="I3" s="79"/>
      <c r="J3" s="79"/>
      <c r="K3" s="81" t="s">
        <v>61</v>
      </c>
      <c r="L3" s="79"/>
      <c r="M3" s="79"/>
      <c r="N3" s="79"/>
      <c r="O3" s="81" t="s">
        <v>60</v>
      </c>
      <c r="P3" s="79"/>
      <c r="Q3" s="79"/>
      <c r="R3" s="79"/>
      <c r="S3" s="81" t="s">
        <v>59</v>
      </c>
      <c r="T3" s="79"/>
      <c r="U3" s="79"/>
      <c r="V3" s="79"/>
      <c r="W3" s="81" t="s">
        <v>58</v>
      </c>
      <c r="X3" s="79"/>
      <c r="Y3" s="79"/>
      <c r="Z3" s="79"/>
      <c r="AA3" s="81" t="s">
        <v>57</v>
      </c>
      <c r="AB3" s="79"/>
      <c r="AC3" s="79"/>
      <c r="AD3" s="79"/>
      <c r="AE3" s="81" t="s">
        <v>56</v>
      </c>
      <c r="AF3" s="79"/>
      <c r="AG3" s="79"/>
      <c r="AH3" s="79"/>
      <c r="AI3" s="81" t="s">
        <v>55</v>
      </c>
      <c r="AJ3" s="79"/>
      <c r="AK3" s="79"/>
      <c r="AL3" s="79"/>
      <c r="AM3" s="81" t="s">
        <v>54</v>
      </c>
      <c r="AN3" s="79"/>
      <c r="AO3" s="79"/>
      <c r="AP3" s="79"/>
      <c r="AQ3" s="81" t="s">
        <v>53</v>
      </c>
      <c r="AR3" s="79"/>
      <c r="AS3" s="79"/>
      <c r="AT3" s="79"/>
      <c r="AU3" s="81" t="s">
        <v>52</v>
      </c>
      <c r="AV3" s="79"/>
      <c r="AW3" s="79"/>
      <c r="AX3" s="79"/>
      <c r="AY3" s="81" t="s">
        <v>51</v>
      </c>
      <c r="AZ3" s="79"/>
      <c r="BA3" s="79"/>
      <c r="BB3" s="79"/>
      <c r="BC3" s="81" t="s">
        <v>50</v>
      </c>
      <c r="BD3" s="79"/>
      <c r="BE3" s="79"/>
      <c r="BF3" s="79"/>
      <c r="BG3" s="81" t="s">
        <v>49</v>
      </c>
      <c r="BH3" s="79"/>
      <c r="BI3" s="79"/>
      <c r="BJ3" s="79"/>
      <c r="BK3" s="81" t="s">
        <v>48</v>
      </c>
      <c r="BL3" s="79"/>
      <c r="BM3" s="79"/>
      <c r="BN3" s="79"/>
      <c r="BO3" s="81" t="s">
        <v>47</v>
      </c>
      <c r="BP3" s="79"/>
      <c r="BQ3" s="79"/>
      <c r="BR3" s="79"/>
      <c r="BS3" s="79"/>
      <c r="BT3" s="78"/>
    </row>
    <row r="4" spans="1:72" ht="21.15" customHeight="1" thickBot="1" x14ac:dyDescent="0.6">
      <c r="A4" s="78"/>
      <c r="B4" s="79"/>
      <c r="C4" s="80"/>
      <c r="D4" s="80"/>
      <c r="E4" s="80"/>
      <c r="F4" s="80"/>
      <c r="G4" s="79"/>
      <c r="H4" s="79"/>
      <c r="I4" s="79"/>
      <c r="J4" s="79"/>
      <c r="K4" s="79"/>
      <c r="L4" s="79"/>
      <c r="M4" s="79"/>
      <c r="N4" s="79"/>
      <c r="O4" s="79"/>
      <c r="P4" s="79"/>
      <c r="Q4" s="79"/>
      <c r="R4" s="79"/>
      <c r="S4" s="79"/>
      <c r="T4" s="79"/>
      <c r="U4" s="79"/>
      <c r="V4" s="79"/>
      <c r="W4" s="79"/>
      <c r="X4" s="79"/>
      <c r="Y4" s="79"/>
      <c r="Z4" s="79"/>
      <c r="AA4" s="79"/>
      <c r="AB4" s="79"/>
      <c r="AC4" s="79"/>
      <c r="AD4" s="79"/>
      <c r="AE4" s="79"/>
      <c r="AF4" s="79"/>
      <c r="AG4" s="79"/>
      <c r="AH4" s="79"/>
      <c r="AI4" s="79"/>
      <c r="AJ4" s="79"/>
      <c r="AK4" s="79"/>
      <c r="AL4" s="79"/>
      <c r="AM4" s="79"/>
      <c r="AN4" s="79"/>
      <c r="AO4" s="79"/>
      <c r="AP4" s="79"/>
      <c r="AQ4" s="79"/>
      <c r="AR4" s="79"/>
      <c r="AS4" s="79"/>
      <c r="AT4" s="79"/>
      <c r="AU4" s="79"/>
      <c r="AV4" s="79"/>
      <c r="AW4" s="79"/>
      <c r="AX4" s="79"/>
      <c r="AY4" s="79"/>
      <c r="AZ4" s="79"/>
      <c r="BA4" s="79"/>
      <c r="BB4" s="79"/>
      <c r="BC4" s="79"/>
      <c r="BD4" s="79"/>
      <c r="BE4" s="79"/>
      <c r="BF4" s="79"/>
      <c r="BG4" s="79"/>
      <c r="BH4" s="79"/>
      <c r="BI4" s="79"/>
      <c r="BJ4" s="79"/>
      <c r="BK4" s="79"/>
      <c r="BL4" s="79"/>
      <c r="BM4" s="79"/>
      <c r="BN4" s="79"/>
      <c r="BO4" s="79"/>
      <c r="BP4" s="79"/>
      <c r="BQ4" s="79"/>
      <c r="BR4" s="79"/>
      <c r="BS4" s="79"/>
      <c r="BT4" s="78"/>
    </row>
    <row r="5" spans="1:72" ht="21.15" customHeight="1" x14ac:dyDescent="0.55000000000000004">
      <c r="A5" s="78"/>
      <c r="B5" s="79"/>
      <c r="C5" s="80"/>
      <c r="D5" s="80"/>
      <c r="E5" s="80"/>
      <c r="F5" s="80"/>
      <c r="G5" s="79"/>
      <c r="H5" s="79"/>
      <c r="I5" s="79"/>
      <c r="J5" s="79"/>
      <c r="K5" s="79"/>
      <c r="L5" s="79"/>
      <c r="M5" s="79"/>
      <c r="N5" s="79"/>
      <c r="O5" s="79"/>
      <c r="P5" s="79"/>
      <c r="Q5" s="79"/>
      <c r="R5" s="79"/>
      <c r="S5" s="79"/>
      <c r="T5" s="79"/>
      <c r="U5" s="79"/>
      <c r="V5" s="79"/>
      <c r="W5" s="79"/>
      <c r="X5" s="79"/>
      <c r="Y5" s="79"/>
      <c r="Z5" s="79"/>
      <c r="AA5" s="79"/>
      <c r="AB5" s="79"/>
      <c r="AC5" s="79"/>
      <c r="AD5" s="79"/>
      <c r="AE5" s="79"/>
      <c r="AF5" s="79"/>
      <c r="AG5" s="79"/>
      <c r="AH5" s="79"/>
      <c r="AI5" s="79"/>
      <c r="AJ5" s="79"/>
      <c r="AK5" s="79"/>
      <c r="AL5" s="79"/>
      <c r="AM5" s="79"/>
      <c r="AN5" s="79"/>
      <c r="AO5" s="79"/>
      <c r="AP5" s="79"/>
      <c r="AQ5" s="79"/>
      <c r="AR5" s="79"/>
      <c r="AS5" s="79"/>
      <c r="AT5" s="79"/>
      <c r="AU5" s="79"/>
      <c r="AV5" s="79"/>
      <c r="AW5" s="79"/>
      <c r="AX5" s="79"/>
      <c r="AY5" s="79"/>
      <c r="AZ5" s="79"/>
      <c r="BA5" s="79"/>
      <c r="BB5" s="79"/>
      <c r="BC5" s="79"/>
      <c r="BD5" s="79"/>
      <c r="BE5" s="79"/>
      <c r="BF5" s="79"/>
      <c r="BG5" s="79"/>
      <c r="BH5" s="79"/>
      <c r="BI5" s="79"/>
      <c r="BJ5" s="79"/>
      <c r="BK5" s="79"/>
      <c r="BL5" s="79"/>
      <c r="BM5" s="79"/>
      <c r="BN5" s="104"/>
      <c r="BO5" s="142" t="s">
        <v>69</v>
      </c>
      <c r="BP5" s="142"/>
      <c r="BQ5" s="143"/>
      <c r="BR5" s="79"/>
      <c r="BS5" s="79"/>
      <c r="BT5" s="78"/>
    </row>
    <row r="6" spans="1:72" ht="21.15" customHeight="1" thickBot="1" x14ac:dyDescent="0.6">
      <c r="A6" s="78"/>
      <c r="B6" s="79"/>
      <c r="C6" s="80"/>
      <c r="D6" s="80"/>
      <c r="E6" s="80"/>
      <c r="F6" s="80"/>
      <c r="G6" s="79"/>
      <c r="H6" s="79"/>
      <c r="I6" s="79"/>
      <c r="J6" s="79"/>
      <c r="K6" s="79"/>
      <c r="L6" s="79"/>
      <c r="M6" s="79"/>
      <c r="N6" s="79"/>
      <c r="O6" s="79"/>
      <c r="P6" s="79"/>
      <c r="Q6" s="79"/>
      <c r="R6" s="79"/>
      <c r="S6" s="79"/>
      <c r="T6" s="79"/>
      <c r="U6" s="79"/>
      <c r="V6" s="79"/>
      <c r="W6" s="79"/>
      <c r="X6" s="79"/>
      <c r="Y6" s="79"/>
      <c r="Z6" s="79"/>
      <c r="AA6" s="79"/>
      <c r="AB6" s="79"/>
      <c r="AC6" s="79"/>
      <c r="AD6" s="79"/>
      <c r="AE6" s="79"/>
      <c r="AF6" s="79"/>
      <c r="AG6" s="79"/>
      <c r="AH6" s="79"/>
      <c r="AI6" s="79"/>
      <c r="AJ6" s="79"/>
      <c r="AK6" s="79"/>
      <c r="AL6" s="79"/>
      <c r="AM6" s="79"/>
      <c r="AN6" s="79"/>
      <c r="AO6" s="79"/>
      <c r="AP6" s="79"/>
      <c r="AQ6" s="79"/>
      <c r="AR6" s="79"/>
      <c r="AS6" s="79"/>
      <c r="AT6" s="79"/>
      <c r="AU6" s="79"/>
      <c r="AV6" s="79"/>
      <c r="AW6" s="79"/>
      <c r="AX6" s="79"/>
      <c r="AY6" s="79"/>
      <c r="AZ6" s="79"/>
      <c r="BA6" s="79"/>
      <c r="BB6" s="79"/>
      <c r="BC6" s="79"/>
      <c r="BD6" s="79"/>
      <c r="BE6" s="79"/>
      <c r="BF6" s="79"/>
      <c r="BG6" s="79"/>
      <c r="BH6" s="79"/>
      <c r="BI6" s="79"/>
      <c r="BJ6" s="79"/>
      <c r="BK6" s="79"/>
      <c r="BL6" s="79"/>
      <c r="BM6" s="79"/>
      <c r="BN6" s="230" t="s">
        <v>776</v>
      </c>
      <c r="BO6" s="218"/>
      <c r="BP6" s="218"/>
      <c r="BQ6" s="231"/>
      <c r="BR6" s="79"/>
      <c r="BS6" s="79"/>
      <c r="BT6" s="78"/>
    </row>
    <row r="7" spans="1:72" ht="21.15" customHeight="1" x14ac:dyDescent="0.55000000000000004">
      <c r="A7" s="78"/>
      <c r="B7" s="79"/>
      <c r="C7" s="81" t="s">
        <v>46</v>
      </c>
      <c r="D7" s="79"/>
      <c r="E7" s="79"/>
      <c r="F7" s="79"/>
      <c r="G7" s="79"/>
      <c r="H7" s="79"/>
      <c r="I7" s="79"/>
      <c r="J7" s="79"/>
      <c r="K7" s="82">
        <v>1</v>
      </c>
      <c r="L7" s="142" t="str">
        <f>VLOOKUP(K7,市町村データ!A2:P106,MATCH(手順書_丁目_人口密度!$G$63, 市町村データ!A1:P1, 0),FALSE)</f>
        <v>新座3</v>
      </c>
      <c r="M7" s="154"/>
      <c r="N7" s="159"/>
      <c r="O7" s="82">
        <v>2</v>
      </c>
      <c r="P7" s="142" t="str">
        <f>VLOOKUP(O7,市町村データ!A2:P106,MATCH(手順書_丁目_人口密度!$G$63, 市町村データ!A1:P1, 0),FALSE)</f>
        <v>新座2</v>
      </c>
      <c r="Q7" s="154"/>
      <c r="R7" s="159"/>
      <c r="S7" s="82">
        <v>3</v>
      </c>
      <c r="T7" s="142" t="str">
        <f>VLOOKUP(S7,市町村データ!A2:P106,MATCH(手順書_丁目_人口密度!$G$63, 市町村データ!A1:P1, 0),FALSE)</f>
        <v>新座1</v>
      </c>
      <c r="U7" s="154"/>
      <c r="V7" s="159"/>
      <c r="W7" s="82">
        <v>4</v>
      </c>
      <c r="X7" s="142" t="str">
        <f>VLOOKUP(W7,市町村データ!A2:P106,MATCH(手順書_丁目_人口密度!$G$63, 市町村データ!A1:P1, 0),FALSE)</f>
        <v>北野3</v>
      </c>
      <c r="Y7" s="154"/>
      <c r="Z7" s="159"/>
      <c r="AA7" s="82">
        <v>5</v>
      </c>
      <c r="AB7" s="142" t="str">
        <f>VLOOKUP(AA7,市町村データ!A2:P106,MATCH(手順書_丁目_人口密度!$G$63, 市町村データ!A1:P1, 0),FALSE)</f>
        <v>東北1</v>
      </c>
      <c r="AC7" s="154"/>
      <c r="AD7" s="159"/>
      <c r="AE7" s="82">
        <v>6</v>
      </c>
      <c r="AF7" s="142" t="str">
        <f>VLOOKUP(AE7,市町村データ!A2:P106,MATCH(手順書_丁目_人口密度!$G$63, 市町村データ!A1:P1, 0),FALSE)</f>
        <v>東北2</v>
      </c>
      <c r="AG7" s="154"/>
      <c r="AH7" s="159"/>
      <c r="AI7" s="85"/>
      <c r="AJ7" s="79"/>
      <c r="AK7" s="79"/>
      <c r="AL7" s="79"/>
      <c r="AM7" s="86"/>
      <c r="AN7" s="79"/>
      <c r="AO7" s="79"/>
      <c r="AP7" s="79"/>
      <c r="AQ7" s="86"/>
      <c r="AR7" s="79"/>
      <c r="AS7" s="79"/>
      <c r="AT7" s="79"/>
      <c r="AU7" s="79"/>
      <c r="AV7" s="79"/>
      <c r="AW7" s="79"/>
      <c r="AX7" s="79"/>
      <c r="AY7" s="79"/>
      <c r="AZ7" s="79"/>
      <c r="BA7" s="79"/>
      <c r="BB7" s="79"/>
      <c r="BC7" s="79"/>
      <c r="BD7" s="79"/>
      <c r="BE7" s="79"/>
      <c r="BF7" s="79"/>
      <c r="BG7" s="79"/>
      <c r="BH7" s="79"/>
      <c r="BI7" s="79"/>
      <c r="BJ7" s="79"/>
      <c r="BK7" s="86"/>
      <c r="BL7" s="79"/>
      <c r="BM7" s="79"/>
      <c r="BN7" s="232" t="s">
        <v>777</v>
      </c>
      <c r="BO7" s="218"/>
      <c r="BP7" s="218"/>
      <c r="BQ7" s="231"/>
      <c r="BR7" s="79"/>
      <c r="BS7" s="79"/>
      <c r="BT7" s="78"/>
    </row>
    <row r="8" spans="1:72" ht="21.15" customHeight="1" thickBot="1" x14ac:dyDescent="0.6">
      <c r="A8" s="78"/>
      <c r="B8" s="79"/>
      <c r="C8" s="79"/>
      <c r="D8" s="79"/>
      <c r="E8" s="79"/>
      <c r="F8" s="79"/>
      <c r="G8" s="79"/>
      <c r="H8" s="79"/>
      <c r="I8" s="79"/>
      <c r="J8" s="79"/>
      <c r="K8" s="267">
        <f>VLOOKUP(K7,市町村データ!A2:P106,MATCH(手順書_丁目_人口密度!$F$64, 市町村データ!A1:P1, 0),FALSE)</f>
        <v>160.1</v>
      </c>
      <c r="L8" s="156"/>
      <c r="M8" s="156"/>
      <c r="N8" s="158"/>
      <c r="O8" s="267">
        <f>VLOOKUP(O7,市町村データ!A2:P106,MATCH(手順書_丁目_人口密度!$F$64, 市町村データ!A1:P1, 0),FALSE)</f>
        <v>174.2</v>
      </c>
      <c r="P8" s="156"/>
      <c r="Q8" s="156"/>
      <c r="R8" s="158"/>
      <c r="S8" s="267">
        <f>VLOOKUP(S7,市町村データ!A2:P106,MATCH(手順書_丁目_人口密度!$F$64, 市町村データ!A1:P1, 0),FALSE)</f>
        <v>168.8</v>
      </c>
      <c r="T8" s="156"/>
      <c r="U8" s="156"/>
      <c r="V8" s="158"/>
      <c r="W8" s="242">
        <f>VLOOKUP(W7,市町村データ!A2:P106,MATCH(手順書_丁目_人口密度!$F$64, 市町村データ!A1:P1, 0),FALSE)</f>
        <v>181.9</v>
      </c>
      <c r="X8" s="156"/>
      <c r="Y8" s="156"/>
      <c r="Z8" s="158"/>
      <c r="AA8" s="267">
        <f>VLOOKUP(AA7,市町村データ!A2:P106,MATCH(手順書_丁目_人口密度!$F$64, 市町村データ!A1:P1, 0),FALSE)</f>
        <v>177.5</v>
      </c>
      <c r="AB8" s="156"/>
      <c r="AC8" s="156"/>
      <c r="AD8" s="158"/>
      <c r="AE8" s="243">
        <f>VLOOKUP(AE7,市町村データ!A2:P106,MATCH(手順書_丁目_人口密度!$F$64, 市町村データ!A1:P1, 0),FALSE)</f>
        <v>154.6</v>
      </c>
      <c r="AF8" s="156"/>
      <c r="AG8" s="156"/>
      <c r="AH8" s="158"/>
      <c r="AI8" s="85"/>
      <c r="AJ8" s="79"/>
      <c r="AK8" s="79"/>
      <c r="AL8" s="79"/>
      <c r="AM8" s="87"/>
      <c r="AN8" s="87"/>
      <c r="AO8" s="87"/>
      <c r="AP8" s="87"/>
      <c r="AQ8" s="87"/>
      <c r="AR8" s="87"/>
      <c r="AS8" s="87"/>
      <c r="AT8" s="87"/>
      <c r="AU8" s="79"/>
      <c r="AV8" s="79"/>
      <c r="AW8" s="79"/>
      <c r="AX8" s="79"/>
      <c r="AY8" s="79"/>
      <c r="AZ8" s="79"/>
      <c r="BA8" s="79"/>
      <c r="BB8" s="79"/>
      <c r="BC8" s="79"/>
      <c r="BD8" s="79"/>
      <c r="BE8" s="79"/>
      <c r="BF8" s="79"/>
      <c r="BG8" s="79"/>
      <c r="BH8" s="79"/>
      <c r="BI8" s="79"/>
      <c r="BJ8" s="79"/>
      <c r="BK8" s="79"/>
      <c r="BL8" s="79"/>
      <c r="BM8" s="79"/>
      <c r="BN8" s="147" t="s">
        <v>625</v>
      </c>
      <c r="BO8" s="148"/>
      <c r="BP8" s="148"/>
      <c r="BQ8" s="149"/>
      <c r="BR8" s="79"/>
      <c r="BS8" s="88"/>
      <c r="BT8" s="78"/>
    </row>
    <row r="9" spans="1:72" ht="21.15" customHeight="1" thickBot="1" x14ac:dyDescent="0.6">
      <c r="A9" s="78"/>
      <c r="B9" s="79"/>
      <c r="C9" s="79"/>
      <c r="D9" s="79"/>
      <c r="E9" s="79"/>
      <c r="F9" s="79"/>
      <c r="G9" s="79"/>
      <c r="H9" s="79"/>
      <c r="I9" s="79"/>
      <c r="J9" s="79"/>
      <c r="K9" s="266">
        <f>VLOOKUP(K7,市町村データ!A2:P106,MATCH(手順書_丁目_人口密度!$F$65, 市町村データ!A1:P1, 0),FALSE)</f>
        <v>4002</v>
      </c>
      <c r="L9" s="156"/>
      <c r="M9" s="156"/>
      <c r="N9" s="158"/>
      <c r="O9" s="266">
        <f>VLOOKUP(O7,市町村データ!A2:P106,MATCH(手順書_丁目_人口密度!$F$65, 市町村データ!A1:P1, 0),FALSE)</f>
        <v>2439</v>
      </c>
      <c r="P9" s="156"/>
      <c r="Q9" s="156"/>
      <c r="R9" s="158"/>
      <c r="S9" s="266">
        <f>VLOOKUP(S7,市町村データ!A2:P106,MATCH(手順書_丁目_人口密度!$F$65, 市町村データ!A1:P1, 0),FALSE)</f>
        <v>1350</v>
      </c>
      <c r="T9" s="156"/>
      <c r="U9" s="156"/>
      <c r="V9" s="158"/>
      <c r="W9" s="237">
        <f>VLOOKUP(W7,市町村データ!A2:P106,MATCH(手順書_丁目_人口密度!$F$65, 市町村データ!A1:P1, 0),FALSE)</f>
        <v>3457</v>
      </c>
      <c r="X9" s="156"/>
      <c r="Y9" s="156"/>
      <c r="Z9" s="158"/>
      <c r="AA9" s="266">
        <f>VLOOKUP(AA7,市町村データ!A2:P106,MATCH(手順書_丁目_人口密度!$F$65, 市町村データ!A1:P1, 0),FALSE)</f>
        <v>1952</v>
      </c>
      <c r="AB9" s="156"/>
      <c r="AC9" s="156"/>
      <c r="AD9" s="158"/>
      <c r="AE9" s="238">
        <f>VLOOKUP(AE7,市町村データ!A2:P106,MATCH(手順書_丁目_人口密度!$F$65, 市町村データ!A1:P1, 0),FALSE)</f>
        <v>6183</v>
      </c>
      <c r="AF9" s="156"/>
      <c r="AG9" s="156"/>
      <c r="AH9" s="158"/>
      <c r="AI9" s="85"/>
      <c r="AJ9" s="79"/>
      <c r="AK9" s="79"/>
      <c r="AL9" s="79"/>
      <c r="AM9" s="89"/>
      <c r="AN9" s="89"/>
      <c r="AO9" s="89"/>
      <c r="AP9" s="89"/>
      <c r="AQ9" s="89"/>
      <c r="AR9" s="89"/>
      <c r="AS9" s="89"/>
      <c r="AT9" s="89"/>
      <c r="AU9" s="79"/>
      <c r="AV9" s="79"/>
      <c r="AW9" s="79"/>
      <c r="AX9" s="79"/>
      <c r="AY9" s="79"/>
      <c r="AZ9" s="79"/>
      <c r="BA9" s="79"/>
      <c r="BB9" s="79"/>
      <c r="BC9" s="79"/>
      <c r="BD9" s="79"/>
      <c r="BE9" s="79"/>
      <c r="BF9" s="79"/>
      <c r="BG9" s="79"/>
      <c r="BH9" s="79"/>
      <c r="BI9" s="79"/>
      <c r="BJ9" s="79"/>
      <c r="BK9" s="79"/>
      <c r="BL9" s="79"/>
      <c r="BM9" s="79"/>
      <c r="BN9" s="79"/>
      <c r="BO9" s="79"/>
      <c r="BP9" s="79"/>
      <c r="BQ9" s="79"/>
      <c r="BR9" s="79"/>
      <c r="BS9" s="88"/>
      <c r="BT9" s="78"/>
    </row>
    <row r="10" spans="1:72" ht="21.15" customHeight="1" thickBot="1" x14ac:dyDescent="0.6">
      <c r="A10" s="78"/>
      <c r="B10" s="79"/>
      <c r="C10" s="79"/>
      <c r="D10" s="79"/>
      <c r="E10" s="79"/>
      <c r="F10" s="79"/>
      <c r="G10" s="79"/>
      <c r="H10" s="79"/>
      <c r="I10" s="79"/>
      <c r="J10" s="79"/>
      <c r="K10" s="265">
        <f>VLOOKUP(K7,市町村データ!A2:P106,MATCH(手順書_丁目_人口密度!$F$66, 市町村データ!A1:P1, 0),FALSE)</f>
        <v>25</v>
      </c>
      <c r="L10" s="153"/>
      <c r="M10" s="153"/>
      <c r="N10" s="240"/>
      <c r="O10" s="265">
        <f>VLOOKUP(O7,市町村データ!A2:P106,MATCH(手順書_丁目_人口密度!$F$66, 市町村データ!A1:P1, 0),FALSE)</f>
        <v>14</v>
      </c>
      <c r="P10" s="153"/>
      <c r="Q10" s="153"/>
      <c r="R10" s="240"/>
      <c r="S10" s="265">
        <f>VLOOKUP(S7,市町村データ!A2:P106,MATCH(手順書_丁目_人口密度!$F$66, 市町村データ!A1:P1, 0),FALSE)</f>
        <v>8</v>
      </c>
      <c r="T10" s="153"/>
      <c r="U10" s="153"/>
      <c r="V10" s="240"/>
      <c r="W10" s="239">
        <f>VLOOKUP(W7,市町村データ!A2:P106,MATCH(手順書_丁目_人口密度!$F$66, 市町村データ!A1:P1, 0),FALSE)</f>
        <v>19</v>
      </c>
      <c r="X10" s="153"/>
      <c r="Y10" s="153"/>
      <c r="Z10" s="240"/>
      <c r="AA10" s="265">
        <f>VLOOKUP(AA7,市町村データ!A2:P106,MATCH(手順書_丁目_人口密度!$F$66, 市町村データ!A1:P1, 0),FALSE)</f>
        <v>11</v>
      </c>
      <c r="AB10" s="153"/>
      <c r="AC10" s="153"/>
      <c r="AD10" s="240"/>
      <c r="AE10" s="241">
        <f>VLOOKUP(AE7,市町村データ!A2:P106,MATCH(手順書_丁目_人口密度!$F$66, 市町村データ!A1:P1, 0),FALSE)</f>
        <v>40</v>
      </c>
      <c r="AF10" s="153"/>
      <c r="AG10" s="153"/>
      <c r="AH10" s="240"/>
      <c r="AI10" s="85"/>
      <c r="AJ10" s="79"/>
      <c r="AK10" s="79"/>
      <c r="AL10" s="79"/>
      <c r="AM10" s="79"/>
      <c r="AN10" s="79"/>
      <c r="AO10" s="79"/>
      <c r="AP10" s="79"/>
      <c r="AQ10" s="79"/>
      <c r="AR10" s="79"/>
      <c r="AS10" s="79"/>
      <c r="AT10" s="79"/>
      <c r="AU10" s="79"/>
      <c r="AV10" s="79"/>
      <c r="AW10" s="79"/>
      <c r="AX10" s="79"/>
      <c r="AY10" s="79"/>
      <c r="AZ10" s="79"/>
      <c r="BA10" s="79"/>
      <c r="BB10" s="79"/>
      <c r="BC10" s="79"/>
      <c r="BD10" s="79"/>
      <c r="BE10" s="79"/>
      <c r="BF10" s="79"/>
      <c r="BG10" s="79"/>
      <c r="BH10" s="79"/>
      <c r="BI10" s="79"/>
      <c r="BJ10" s="79"/>
      <c r="BK10" s="79"/>
      <c r="BL10" s="79"/>
      <c r="BM10" s="79"/>
      <c r="BN10" s="233" t="s">
        <v>71</v>
      </c>
      <c r="BO10" s="234"/>
      <c r="BP10" s="234"/>
      <c r="BQ10" s="235" t="s">
        <v>70</v>
      </c>
      <c r="BR10" s="236"/>
      <c r="BS10" s="88"/>
      <c r="BT10" s="78"/>
    </row>
    <row r="11" spans="1:72" ht="21.15" customHeight="1" x14ac:dyDescent="0.55000000000000004">
      <c r="A11" s="78"/>
      <c r="B11" s="79"/>
      <c r="C11" s="81" t="s">
        <v>63</v>
      </c>
      <c r="D11" s="79"/>
      <c r="E11" s="79"/>
      <c r="F11" s="79"/>
      <c r="G11" s="82">
        <v>7</v>
      </c>
      <c r="H11" s="142" t="str">
        <f>VLOOKUP(G11,市町村データ!A2:P106,MATCH(手順書_丁目_人口密度!$G$63, 市町村データ!A1:P1, 0),FALSE)</f>
        <v>中野2</v>
      </c>
      <c r="I11" s="154"/>
      <c r="J11" s="159"/>
      <c r="K11" s="82">
        <v>8</v>
      </c>
      <c r="L11" s="142" t="str">
        <f>VLOOKUP(K11,市町村データ!A2:P106,MATCH(手順書_丁目_人口密度!$G$63, 市町村データ!A1:P1, 0),FALSE)</f>
        <v>大和田4</v>
      </c>
      <c r="M11" s="154"/>
      <c r="N11" s="154"/>
      <c r="O11" s="84"/>
      <c r="P11" s="84"/>
      <c r="Q11" s="84"/>
      <c r="R11" s="84"/>
      <c r="S11" s="82">
        <v>9</v>
      </c>
      <c r="T11" s="142" t="str">
        <f>VLOOKUP(S11,市町村データ!A2:P106,MATCH(手順書_丁目_人口密度!$G$63, 市町村データ!A1:P1, 0),FALSE)</f>
        <v>大和田5</v>
      </c>
      <c r="U11" s="154"/>
      <c r="V11" s="159"/>
      <c r="W11" s="82">
        <v>10</v>
      </c>
      <c r="X11" s="142" t="str">
        <f>VLOOKUP(W11,市町村データ!A2:P106,MATCH(手順書_丁目_人口密度!$G$63, 市町村データ!A1:P1, 0),FALSE)</f>
        <v>北野2</v>
      </c>
      <c r="Y11" s="154"/>
      <c r="Z11" s="159"/>
      <c r="AA11" s="82">
        <v>11</v>
      </c>
      <c r="AB11" s="142" t="str">
        <f>VLOOKUP(AA11,市町村データ!A2:P106,MATCH(手順書_丁目_人口密度!$G$63, 市町村データ!A1:P1, 0),FALSE)</f>
        <v>北野1</v>
      </c>
      <c r="AC11" s="154"/>
      <c r="AD11" s="159"/>
      <c r="AE11" s="82">
        <v>12</v>
      </c>
      <c r="AF11" s="142" t="str">
        <f>VLOOKUP(AE11,市町村データ!A2:P106,MATCH(手順書_丁目_人口密度!$G$63, 市町村データ!A1:P1, 0),FALSE)</f>
        <v>東3</v>
      </c>
      <c r="AG11" s="154"/>
      <c r="AH11" s="159"/>
      <c r="AI11" s="82">
        <v>13</v>
      </c>
      <c r="AJ11" s="142" t="str">
        <f>VLOOKUP(AI11,市町村データ!A2:P106,MATCH(手順書_丁目_人口密度!$G$63, 市町村データ!A1:P1, 0),FALSE)</f>
        <v>東2</v>
      </c>
      <c r="AK11" s="154"/>
      <c r="AL11" s="159"/>
      <c r="AM11" s="82">
        <v>14</v>
      </c>
      <c r="AN11" s="142" t="str">
        <f>VLOOKUP(AM11,市町村データ!A2:P106,MATCH(手順書_丁目_人口密度!$G$63, 市町村データ!A1:P1, 0),FALSE)</f>
        <v>東1</v>
      </c>
      <c r="AO11" s="154"/>
      <c r="AP11" s="159"/>
      <c r="AQ11" s="91"/>
      <c r="AR11" s="79"/>
      <c r="AS11" s="79"/>
      <c r="AT11" s="79"/>
      <c r="AU11" s="79"/>
      <c r="AV11" s="79"/>
      <c r="AW11" s="79"/>
      <c r="AX11" s="79"/>
      <c r="AY11" s="79"/>
      <c r="AZ11" s="79"/>
      <c r="BA11" s="79"/>
      <c r="BB11" s="79"/>
      <c r="BC11" s="79"/>
      <c r="BD11" s="79"/>
      <c r="BE11" s="79"/>
      <c r="BF11" s="79"/>
      <c r="BG11" s="79"/>
      <c r="BH11" s="79"/>
      <c r="BI11" s="79"/>
      <c r="BJ11" s="79"/>
      <c r="BK11" s="79"/>
      <c r="BL11" s="79"/>
      <c r="BM11" s="79"/>
      <c r="BN11" s="214">
        <v>180</v>
      </c>
      <c r="BO11" s="218"/>
      <c r="BP11" s="218"/>
      <c r="BQ11" s="227"/>
      <c r="BR11" s="217"/>
      <c r="BS11" s="88"/>
      <c r="BT11" s="78"/>
    </row>
    <row r="12" spans="1:72" ht="21.15" customHeight="1" x14ac:dyDescent="0.55000000000000004">
      <c r="A12" s="78"/>
      <c r="B12" s="79"/>
      <c r="C12" s="79"/>
      <c r="D12" s="79"/>
      <c r="E12" s="79"/>
      <c r="F12" s="79"/>
      <c r="G12" s="262">
        <f>VLOOKUP(G11,市町村データ!A2:P106,MATCH(手順書_丁目_人口密度!$F$64, 市町村データ!A1:P1, 0),FALSE)</f>
        <v>4.9000000000000004</v>
      </c>
      <c r="H12" s="156"/>
      <c r="I12" s="156"/>
      <c r="J12" s="158"/>
      <c r="K12" s="264">
        <f>VLOOKUP(K11,市町村データ!A2:P106,MATCH(手順書_丁目_人口密度!$F$64, 市町村データ!A1:P1, 0),FALSE)</f>
        <v>36.700000000000003</v>
      </c>
      <c r="L12" s="156"/>
      <c r="M12" s="156"/>
      <c r="N12" s="156"/>
      <c r="O12" s="79"/>
      <c r="P12" s="79"/>
      <c r="Q12" s="79"/>
      <c r="R12" s="79"/>
      <c r="S12" s="243">
        <f>VLOOKUP(S11,市町村データ!A2:P106,MATCH(手順書_丁目_人口密度!$F$64, 市町村データ!A1:P1, 0),FALSE)</f>
        <v>144.69999999999999</v>
      </c>
      <c r="T12" s="156"/>
      <c r="U12" s="156"/>
      <c r="V12" s="158"/>
      <c r="W12" s="249">
        <f>VLOOKUP(W11,市町村データ!A2:P106,MATCH(手順書_丁目_人口密度!$F$64, 市町村データ!A1:P1, 0),FALSE)</f>
        <v>132.9</v>
      </c>
      <c r="X12" s="156"/>
      <c r="Y12" s="156"/>
      <c r="Z12" s="158"/>
      <c r="AA12" s="264">
        <f>VLOOKUP(AA11,市町村データ!A2:P106,MATCH(手順書_丁目_人口密度!$F$64, 市町村データ!A1:P1, 0),FALSE)</f>
        <v>34</v>
      </c>
      <c r="AB12" s="156"/>
      <c r="AC12" s="156"/>
      <c r="AD12" s="158"/>
      <c r="AE12" s="267">
        <f>VLOOKUP(AE11,市町村データ!A2:P106,MATCH(手順書_丁目_人口密度!$F$64, 市町村データ!A1:P1, 0),FALSE)</f>
        <v>164</v>
      </c>
      <c r="AF12" s="156"/>
      <c r="AG12" s="156"/>
      <c r="AH12" s="158"/>
      <c r="AI12" s="252">
        <f>VLOOKUP(AI11,市町村データ!A2:P106,MATCH(手順書_丁目_人口密度!$F$64, 市町村データ!A1:P1, 0),FALSE)</f>
        <v>108.1</v>
      </c>
      <c r="AJ12" s="156"/>
      <c r="AK12" s="156"/>
      <c r="AL12" s="158"/>
      <c r="AM12" s="267">
        <f>VLOOKUP(AM11,市町村データ!A2:P106,MATCH(手順書_丁目_人口密度!$F$64, 市町村データ!A1:P1, 0),FALSE)</f>
        <v>169.1</v>
      </c>
      <c r="AN12" s="156"/>
      <c r="AO12" s="156"/>
      <c r="AP12" s="158"/>
      <c r="AQ12" s="92"/>
      <c r="AR12" s="87"/>
      <c r="AS12" s="87"/>
      <c r="AT12" s="87"/>
      <c r="AU12" s="79"/>
      <c r="AV12" s="79"/>
      <c r="AW12" s="79"/>
      <c r="AX12" s="79"/>
      <c r="AY12" s="79"/>
      <c r="AZ12" s="79"/>
      <c r="BA12" s="79"/>
      <c r="BB12" s="79"/>
      <c r="BC12" s="79"/>
      <c r="BD12" s="79"/>
      <c r="BE12" s="79"/>
      <c r="BF12" s="79"/>
      <c r="BG12" s="79"/>
      <c r="BH12" s="79"/>
      <c r="BI12" s="79"/>
      <c r="BJ12" s="79"/>
      <c r="BK12" s="79"/>
      <c r="BL12" s="79"/>
      <c r="BM12" s="79"/>
      <c r="BN12" s="214">
        <v>160</v>
      </c>
      <c r="BO12" s="218"/>
      <c r="BP12" s="218"/>
      <c r="BQ12" s="228"/>
      <c r="BR12" s="217"/>
      <c r="BS12" s="88"/>
      <c r="BT12" s="78"/>
    </row>
    <row r="13" spans="1:72" ht="21.15" customHeight="1" x14ac:dyDescent="0.55000000000000004">
      <c r="A13" s="78"/>
      <c r="B13" s="79"/>
      <c r="C13" s="79"/>
      <c r="D13" s="79"/>
      <c r="E13" s="79"/>
      <c r="F13" s="79"/>
      <c r="G13" s="260">
        <f>VLOOKUP(G11,市町村データ!A2:P106,MATCH(手順書_丁目_人口密度!$F$65, 市町村データ!A1:P1, 0),FALSE)</f>
        <v>195</v>
      </c>
      <c r="H13" s="156"/>
      <c r="I13" s="156"/>
      <c r="J13" s="158"/>
      <c r="K13" s="259">
        <f>VLOOKUP(K11,市町村データ!A2:P106,MATCH(手順書_丁目_人口密度!$F$65, 市町村データ!A1:P1, 0),FALSE)</f>
        <v>1352</v>
      </c>
      <c r="L13" s="156"/>
      <c r="M13" s="156"/>
      <c r="N13" s="156"/>
      <c r="O13" s="79"/>
      <c r="P13" s="79"/>
      <c r="Q13" s="79"/>
      <c r="R13" s="79"/>
      <c r="S13" s="238">
        <f>VLOOKUP(S11,市町村データ!A2:P106,MATCH(手順書_丁目_人口密度!$F$65, 市町村データ!A1:P1, 0),FALSE)</f>
        <v>3908</v>
      </c>
      <c r="T13" s="156"/>
      <c r="U13" s="156"/>
      <c r="V13" s="158"/>
      <c r="W13" s="245">
        <f>VLOOKUP(W11,市町村データ!A2:P106,MATCH(手順書_丁目_人口密度!$F$65, 市町村データ!A1:P1, 0),FALSE)</f>
        <v>2791</v>
      </c>
      <c r="X13" s="156"/>
      <c r="Y13" s="156"/>
      <c r="Z13" s="158"/>
      <c r="AA13" s="259">
        <f>VLOOKUP(AA11,市町村データ!A2:P106,MATCH(手順書_丁目_人口密度!$F$65, 市町村データ!A1:P1, 0),FALSE)</f>
        <v>816</v>
      </c>
      <c r="AB13" s="156"/>
      <c r="AC13" s="156"/>
      <c r="AD13" s="158"/>
      <c r="AE13" s="266">
        <f>VLOOKUP(AE11,市町村データ!A2:P106,MATCH(手順書_丁目_人口密度!$F$65, 市町村データ!A1:P1, 0),FALSE)</f>
        <v>2460</v>
      </c>
      <c r="AF13" s="156"/>
      <c r="AG13" s="156"/>
      <c r="AH13" s="158"/>
      <c r="AI13" s="250">
        <f>VLOOKUP(AI11,市町村データ!A2:P106,MATCH(手順書_丁目_人口密度!$F$65, 市町村データ!A1:P1, 0),FALSE)</f>
        <v>1405</v>
      </c>
      <c r="AJ13" s="156"/>
      <c r="AK13" s="156"/>
      <c r="AL13" s="158"/>
      <c r="AM13" s="266">
        <f>VLOOKUP(AM11,市町村データ!A2:P106,MATCH(手順書_丁目_人口密度!$F$65, 市町村データ!A1:P1, 0),FALSE)</f>
        <v>3213</v>
      </c>
      <c r="AN13" s="156"/>
      <c r="AO13" s="156"/>
      <c r="AP13" s="158"/>
      <c r="AQ13" s="93"/>
      <c r="AR13" s="89"/>
      <c r="AS13" s="89"/>
      <c r="AT13" s="89"/>
      <c r="AU13" s="79"/>
      <c r="AV13" s="79"/>
      <c r="AW13" s="79"/>
      <c r="AX13" s="79"/>
      <c r="AY13" s="79"/>
      <c r="AZ13" s="79"/>
      <c r="BA13" s="79"/>
      <c r="BB13" s="79"/>
      <c r="BC13" s="79"/>
      <c r="BD13" s="79"/>
      <c r="BE13" s="79"/>
      <c r="BF13" s="79"/>
      <c r="BG13" s="79"/>
      <c r="BH13" s="79"/>
      <c r="BI13" s="79"/>
      <c r="BJ13" s="79"/>
      <c r="BK13" s="79"/>
      <c r="BL13" s="79"/>
      <c r="BM13" s="79"/>
      <c r="BN13" s="214">
        <v>140</v>
      </c>
      <c r="BO13" s="218"/>
      <c r="BP13" s="218"/>
      <c r="BQ13" s="229"/>
      <c r="BR13" s="217"/>
      <c r="BS13" s="88"/>
      <c r="BT13" s="78"/>
    </row>
    <row r="14" spans="1:72" ht="21.15" customHeight="1" thickBot="1" x14ac:dyDescent="0.6">
      <c r="A14" s="78"/>
      <c r="B14" s="79"/>
      <c r="C14" s="79"/>
      <c r="D14" s="79"/>
      <c r="E14" s="79"/>
      <c r="F14" s="79"/>
      <c r="G14" s="256">
        <f>VLOOKUP(G11,市町村データ!A2:P106,MATCH(手順書_丁目_人口密度!$F$66, 市町村データ!A1:P1, 0),FALSE)</f>
        <v>40</v>
      </c>
      <c r="H14" s="153"/>
      <c r="I14" s="153"/>
      <c r="J14" s="240"/>
      <c r="K14" s="258">
        <f>VLOOKUP(K11,市町村データ!A2:P106,MATCH(手順書_丁目_人口密度!$F$66, 市町村データ!A1:P1, 0),FALSE)</f>
        <v>36.799999999999997</v>
      </c>
      <c r="L14" s="153"/>
      <c r="M14" s="153"/>
      <c r="N14" s="153"/>
      <c r="O14" s="79"/>
      <c r="P14" s="79"/>
      <c r="Q14" s="79"/>
      <c r="R14" s="79"/>
      <c r="S14" s="241">
        <f>VLOOKUP(S11,市町村データ!A2:P106,MATCH(手順書_丁目_人口密度!$F$66, 市町村データ!A1:P1, 0),FALSE)</f>
        <v>27</v>
      </c>
      <c r="T14" s="153"/>
      <c r="U14" s="153"/>
      <c r="V14" s="240"/>
      <c r="W14" s="247">
        <f>VLOOKUP(W11,市町村データ!A2:P106,MATCH(手順書_丁目_人口密度!$F$66, 市町村データ!A1:P1, 0),FALSE)</f>
        <v>21</v>
      </c>
      <c r="X14" s="153"/>
      <c r="Y14" s="153"/>
      <c r="Z14" s="240"/>
      <c r="AA14" s="258">
        <f>VLOOKUP(AA11,市町村データ!A2:P106,MATCH(手順書_丁目_人口密度!$F$66, 市町村データ!A1:P1, 0),FALSE)</f>
        <v>24</v>
      </c>
      <c r="AB14" s="153"/>
      <c r="AC14" s="153"/>
      <c r="AD14" s="240"/>
      <c r="AE14" s="265">
        <f>VLOOKUP(AE11,市町村データ!A2:P106,MATCH(手順書_丁目_人口密度!$F$66, 市町村データ!A1:P1, 0),FALSE)</f>
        <v>15</v>
      </c>
      <c r="AF14" s="153"/>
      <c r="AG14" s="153"/>
      <c r="AH14" s="240"/>
      <c r="AI14" s="251">
        <f>VLOOKUP(AI11,市町村データ!A2:P106,MATCH(手順書_丁目_人口密度!$F$66, 市町村データ!A1:P1, 0),FALSE)</f>
        <v>13</v>
      </c>
      <c r="AJ14" s="153"/>
      <c r="AK14" s="153"/>
      <c r="AL14" s="240"/>
      <c r="AM14" s="265">
        <f>VLOOKUP(AM11,市町村データ!A2:P106,MATCH(手順書_丁目_人口密度!$F$66, 市町村データ!A1:P1, 0),FALSE)</f>
        <v>19</v>
      </c>
      <c r="AN14" s="153"/>
      <c r="AO14" s="153"/>
      <c r="AP14" s="240"/>
      <c r="AQ14" s="85"/>
      <c r="AR14" s="79"/>
      <c r="AS14" s="79"/>
      <c r="AT14" s="79"/>
      <c r="AU14" s="79"/>
      <c r="AV14" s="79"/>
      <c r="AW14" s="79"/>
      <c r="AX14" s="79"/>
      <c r="AY14" s="79"/>
      <c r="AZ14" s="79"/>
      <c r="BA14" s="79"/>
      <c r="BB14" s="79"/>
      <c r="BC14" s="79"/>
      <c r="BD14" s="79"/>
      <c r="BE14" s="79"/>
      <c r="BF14" s="79"/>
      <c r="BG14" s="79"/>
      <c r="BH14" s="79"/>
      <c r="BI14" s="79"/>
      <c r="BJ14" s="79"/>
      <c r="BK14" s="79"/>
      <c r="BL14" s="79"/>
      <c r="BM14" s="79"/>
      <c r="BN14" s="221">
        <v>120</v>
      </c>
      <c r="BO14" s="222"/>
      <c r="BP14" s="222"/>
      <c r="BQ14" s="223"/>
      <c r="BR14" s="217"/>
      <c r="BS14" s="88"/>
      <c r="BT14" s="78"/>
    </row>
    <row r="15" spans="1:72" ht="21.15" customHeight="1" x14ac:dyDescent="0.55000000000000004">
      <c r="A15" s="78"/>
      <c r="B15" s="79"/>
      <c r="C15" s="81" t="s">
        <v>134</v>
      </c>
      <c r="D15" s="79"/>
      <c r="E15" s="79"/>
      <c r="F15" s="79"/>
      <c r="G15" s="82">
        <v>15</v>
      </c>
      <c r="H15" s="142" t="str">
        <f>VLOOKUP(G15,市町村データ!A2:P106,MATCH(手順書_丁目_人口密度!$G$63, 市町村データ!A1:P1, 0),FALSE)</f>
        <v>中野1</v>
      </c>
      <c r="I15" s="154"/>
      <c r="J15" s="159"/>
      <c r="K15" s="82">
        <v>16</v>
      </c>
      <c r="L15" s="142" t="str">
        <f>VLOOKUP(K15,市町村データ!A2:P106,MATCH(手順書_丁目_人口密度!$G$63, 市町村データ!A1:P1, 0),FALSE)</f>
        <v>大和田3</v>
      </c>
      <c r="M15" s="154"/>
      <c r="N15" s="159"/>
      <c r="O15" s="82">
        <v>17</v>
      </c>
      <c r="P15" s="142" t="str">
        <f>VLOOKUP(O15,市町村データ!A2:P106,MATCH(手順書_丁目_人口密度!$G$63, 市町村データ!A1:P1, 0),FALSE)</f>
        <v>大和田2</v>
      </c>
      <c r="Q15" s="154"/>
      <c r="R15" s="159"/>
      <c r="S15" s="82">
        <v>18</v>
      </c>
      <c r="T15" s="142" t="str">
        <f>VLOOKUP(S15,市町村データ!A2:P106,MATCH(手順書_丁目_人口密度!$G$63, 市町村データ!A1:P1, 0),FALSE)</f>
        <v>大和田1</v>
      </c>
      <c r="U15" s="154"/>
      <c r="V15" s="159"/>
      <c r="W15" s="82">
        <v>19</v>
      </c>
      <c r="X15" s="142" t="str">
        <f>VLOOKUP(W15,市町村データ!A2:P106,MATCH(手順書_丁目_人口密度!$G$63, 市町村データ!A1:P1, 0),FALSE)</f>
        <v>野火止5</v>
      </c>
      <c r="Y15" s="154"/>
      <c r="Z15" s="159"/>
      <c r="AA15" s="82">
        <v>20</v>
      </c>
      <c r="AB15" s="142" t="str">
        <f>VLOOKUP(AA15,市町村データ!A2:P106,MATCH(手順書_丁目_人口密度!$G$63, 市町村データ!A1:P1, 0),FALSE)</f>
        <v>野火止6</v>
      </c>
      <c r="AC15" s="154"/>
      <c r="AD15" s="159"/>
      <c r="AE15" s="82">
        <v>21</v>
      </c>
      <c r="AF15" s="142" t="str">
        <f>VLOOKUP(AE15,市町村データ!A2:P106,MATCH(手順書_丁目_人口密度!$G$63, 市町村データ!A1:P1, 0),FALSE)</f>
        <v>野火止7</v>
      </c>
      <c r="AG15" s="154"/>
      <c r="AH15" s="159"/>
      <c r="AI15" s="82">
        <v>22</v>
      </c>
      <c r="AJ15" s="142" t="str">
        <f>VLOOKUP(AI15,市町村データ!A2:P106,MATCH(手順書_丁目_人口密度!$G$63, 市町村データ!A1:P1, 0),FALSE)</f>
        <v>野火止8</v>
      </c>
      <c r="AK15" s="154"/>
      <c r="AL15" s="159"/>
      <c r="AM15" s="82">
        <v>23</v>
      </c>
      <c r="AN15" s="142" t="str">
        <f>VLOOKUP(AM15,市町村データ!A2:P106,MATCH(手順書_丁目_人口密度!$G$63, 市町村データ!A1:P1, 0),FALSE)</f>
        <v>畑中3</v>
      </c>
      <c r="AO15" s="154"/>
      <c r="AP15" s="159"/>
      <c r="AQ15" s="91"/>
      <c r="AR15" s="79"/>
      <c r="AS15" s="79"/>
      <c r="AT15" s="79"/>
      <c r="AU15" s="79"/>
      <c r="AV15" s="79"/>
      <c r="AW15" s="79"/>
      <c r="AX15" s="79"/>
      <c r="AY15" s="79"/>
      <c r="AZ15" s="79"/>
      <c r="BA15" s="79"/>
      <c r="BB15" s="79"/>
      <c r="BC15" s="79"/>
      <c r="BD15" s="79"/>
      <c r="BE15" s="79"/>
      <c r="BF15" s="79"/>
      <c r="BG15" s="79"/>
      <c r="BH15" s="79"/>
      <c r="BI15" s="79"/>
      <c r="BJ15" s="79"/>
      <c r="BK15" s="86"/>
      <c r="BL15" s="79"/>
      <c r="BM15" s="79"/>
      <c r="BN15" s="214">
        <v>100</v>
      </c>
      <c r="BO15" s="218"/>
      <c r="BP15" s="218"/>
      <c r="BQ15" s="224"/>
      <c r="BR15" s="217"/>
      <c r="BS15" s="88"/>
      <c r="BT15" s="78"/>
    </row>
    <row r="16" spans="1:72" ht="21.15" customHeight="1" x14ac:dyDescent="0.55000000000000004">
      <c r="A16" s="78"/>
      <c r="B16" s="79"/>
      <c r="C16" s="79"/>
      <c r="D16" s="79"/>
      <c r="E16" s="79"/>
      <c r="F16" s="79"/>
      <c r="G16" s="262">
        <f>VLOOKUP(G15,市町村データ!A2:P106,MATCH(手順書_丁目_人口密度!$F$64, 市町村データ!A1:P1, 0),FALSE)</f>
        <v>11.5</v>
      </c>
      <c r="H16" s="156"/>
      <c r="I16" s="156"/>
      <c r="J16" s="158"/>
      <c r="K16" s="262">
        <f>VLOOKUP(K15,市町村データ!A2:P106,MATCH(手順書_丁目_人口密度!$F$64, 市町村データ!A1:P1, 0),FALSE)</f>
        <v>0.8</v>
      </c>
      <c r="L16" s="156"/>
      <c r="M16" s="156"/>
      <c r="N16" s="158"/>
      <c r="O16" s="262">
        <f>VLOOKUP(O15,市町村データ!A2:P106,MATCH(手順書_丁目_人口密度!$F$64, 市町村データ!A1:P1, 0),FALSE)</f>
        <v>5.3</v>
      </c>
      <c r="P16" s="156"/>
      <c r="Q16" s="156"/>
      <c r="R16" s="158"/>
      <c r="S16" s="254">
        <f>VLOOKUP(S15,市町村データ!A2:P106,MATCH(手順書_丁目_人口密度!$F$64, 市町村データ!A1:P1, 0),FALSE)</f>
        <v>71</v>
      </c>
      <c r="T16" s="156"/>
      <c r="U16" s="156"/>
      <c r="V16" s="158"/>
      <c r="W16" s="249">
        <f>VLOOKUP(W15,市町村データ!A2:P106,MATCH(手順書_丁目_人口密度!$F$64, 市町村データ!A1:P1, 0),FALSE)</f>
        <v>133.4</v>
      </c>
      <c r="X16" s="156"/>
      <c r="Y16" s="156"/>
      <c r="Z16" s="158"/>
      <c r="AA16" s="252">
        <f>VLOOKUP(AA15,市町村データ!A2:P106,MATCH(手順書_丁目_人口密度!$F$64, 市町村データ!A1:P1, 0),FALSE)</f>
        <v>105.2</v>
      </c>
      <c r="AB16" s="156"/>
      <c r="AC16" s="156"/>
      <c r="AD16" s="158"/>
      <c r="AE16" s="254">
        <f>VLOOKUP(AE15,市町村データ!A2:P106,MATCH(手順書_丁目_人口密度!$F$64, 市町村データ!A1:P1, 0),FALSE)</f>
        <v>64.3</v>
      </c>
      <c r="AF16" s="156"/>
      <c r="AG16" s="156"/>
      <c r="AH16" s="158"/>
      <c r="AI16" s="248">
        <f>VLOOKUP(AI15,市町村データ!A2:P106,MATCH(手順書_丁目_人口密度!$F$64, 市町村データ!A1:P1, 0),FALSE)</f>
        <v>81</v>
      </c>
      <c r="AJ16" s="156"/>
      <c r="AK16" s="156"/>
      <c r="AL16" s="158"/>
      <c r="AM16" s="252">
        <f>VLOOKUP(AM15,市町村データ!A2:P106,MATCH(手順書_丁目_人口密度!$F$64, 市町村データ!A1:P1, 0),FALSE)</f>
        <v>106.6</v>
      </c>
      <c r="AN16" s="156"/>
      <c r="AO16" s="156"/>
      <c r="AP16" s="158"/>
      <c r="AQ16" s="92"/>
      <c r="AR16" s="87"/>
      <c r="AS16" s="87"/>
      <c r="AT16" s="87"/>
      <c r="AU16" s="79"/>
      <c r="AV16" s="79"/>
      <c r="AW16" s="79"/>
      <c r="AX16" s="79"/>
      <c r="AY16" s="79"/>
      <c r="AZ16" s="79"/>
      <c r="BA16" s="79"/>
      <c r="BB16" s="79"/>
      <c r="BC16" s="79"/>
      <c r="BD16" s="79"/>
      <c r="BE16" s="79"/>
      <c r="BF16" s="79"/>
      <c r="BG16" s="79"/>
      <c r="BH16" s="79"/>
      <c r="BI16" s="79"/>
      <c r="BJ16" s="79"/>
      <c r="BK16" s="87"/>
      <c r="BL16" s="87"/>
      <c r="BM16" s="87"/>
      <c r="BN16" s="214">
        <v>80</v>
      </c>
      <c r="BO16" s="225"/>
      <c r="BP16" s="225"/>
      <c r="BQ16" s="226"/>
      <c r="BR16" s="217"/>
      <c r="BS16" s="88"/>
      <c r="BT16" s="78"/>
    </row>
    <row r="17" spans="1:72" ht="21.15" customHeight="1" x14ac:dyDescent="0.55000000000000004">
      <c r="A17" s="78"/>
      <c r="B17" s="79"/>
      <c r="C17" s="79"/>
      <c r="D17" s="79"/>
      <c r="E17" s="79"/>
      <c r="F17" s="79"/>
      <c r="G17" s="260">
        <f>VLOOKUP(G15,市町村データ!A2:P106,MATCH(手順書_丁目_人口密度!$F$65, 市町村データ!A1:P1, 0),FALSE)</f>
        <v>388</v>
      </c>
      <c r="H17" s="156"/>
      <c r="I17" s="156"/>
      <c r="J17" s="158"/>
      <c r="K17" s="260">
        <f>VLOOKUP(K15,市町村データ!A2:P106,MATCH(手順書_丁目_人口密度!$F$65, 市町村データ!A1:P1, 0),FALSE)</f>
        <v>26</v>
      </c>
      <c r="L17" s="156"/>
      <c r="M17" s="156"/>
      <c r="N17" s="158"/>
      <c r="O17" s="260">
        <f>VLOOKUP(O15,市町村データ!A2:P106,MATCH(手順書_丁目_人口密度!$F$65, 市町村データ!A1:P1, 0),FALSE)</f>
        <v>156</v>
      </c>
      <c r="P17" s="156"/>
      <c r="Q17" s="156"/>
      <c r="R17" s="158"/>
      <c r="S17" s="255">
        <f>VLOOKUP(S15,市町村データ!A2:P106,MATCH(手順書_丁目_人口密度!$F$65, 市町村データ!A1:P1, 0),FALSE)</f>
        <v>3836</v>
      </c>
      <c r="T17" s="156"/>
      <c r="U17" s="156"/>
      <c r="V17" s="158"/>
      <c r="W17" s="245">
        <f>VLOOKUP(W15,市町村データ!A2:P106,MATCH(手順書_丁目_人口密度!$F$65, 市町村データ!A1:P1, 0),FALSE)</f>
        <v>8004</v>
      </c>
      <c r="X17" s="156"/>
      <c r="Y17" s="156"/>
      <c r="Z17" s="158"/>
      <c r="AA17" s="250">
        <f>VLOOKUP(AA15,市町村データ!A2:P106,MATCH(手順書_丁目_人口密度!$F$65, 市町村データ!A1:P1, 0),FALSE)</f>
        <v>4944</v>
      </c>
      <c r="AB17" s="156"/>
      <c r="AC17" s="156"/>
      <c r="AD17" s="158"/>
      <c r="AE17" s="255">
        <f>VLOOKUP(AE15,市町村データ!A2:P106,MATCH(手順書_丁目_人口密度!$F$65, 市町村データ!A1:P1, 0),FALSE)</f>
        <v>3539</v>
      </c>
      <c r="AF17" s="156"/>
      <c r="AG17" s="156"/>
      <c r="AH17" s="158"/>
      <c r="AI17" s="244">
        <f>VLOOKUP(AI15,市町村データ!A2:P106,MATCH(手順書_丁目_人口密度!$F$65, 市町村データ!A1:P1, 0),FALSE)</f>
        <v>4857</v>
      </c>
      <c r="AJ17" s="156"/>
      <c r="AK17" s="156"/>
      <c r="AL17" s="158"/>
      <c r="AM17" s="250">
        <f>VLOOKUP(AM15,市町村データ!A2:P106,MATCH(手順書_丁目_人口密度!$F$65, 市町村データ!A1:P1, 0),FALSE)</f>
        <v>1599</v>
      </c>
      <c r="AN17" s="156"/>
      <c r="AO17" s="156"/>
      <c r="AP17" s="158"/>
      <c r="AQ17" s="93"/>
      <c r="AR17" s="89"/>
      <c r="AS17" s="89"/>
      <c r="AT17" s="89"/>
      <c r="AU17" s="79"/>
      <c r="AV17" s="79"/>
      <c r="AW17" s="79"/>
      <c r="AX17" s="79"/>
      <c r="AY17" s="79"/>
      <c r="AZ17" s="79"/>
      <c r="BA17" s="79"/>
      <c r="BB17" s="79"/>
      <c r="BC17" s="79"/>
      <c r="BD17" s="79"/>
      <c r="BE17" s="79"/>
      <c r="BF17" s="79"/>
      <c r="BG17" s="79"/>
      <c r="BH17" s="79"/>
      <c r="BI17" s="79"/>
      <c r="BJ17" s="79"/>
      <c r="BK17" s="89"/>
      <c r="BL17" s="89"/>
      <c r="BM17" s="89"/>
      <c r="BN17" s="214">
        <v>60</v>
      </c>
      <c r="BO17" s="215"/>
      <c r="BP17" s="215"/>
      <c r="BQ17" s="216"/>
      <c r="BR17" s="217"/>
      <c r="BS17" s="79"/>
      <c r="BT17" s="78"/>
    </row>
    <row r="18" spans="1:72" ht="21.15" customHeight="1" thickBot="1" x14ac:dyDescent="0.6">
      <c r="A18" s="78"/>
      <c r="B18" s="79"/>
      <c r="C18" s="79"/>
      <c r="D18" s="79"/>
      <c r="E18" s="79"/>
      <c r="F18" s="79"/>
      <c r="G18" s="256">
        <f>VLOOKUP(G15,市町村データ!A2:P106,MATCH(手順書_丁目_人口密度!$F$66, 市町村データ!A1:P1, 0),FALSE)</f>
        <v>33.700000000000003</v>
      </c>
      <c r="H18" s="153"/>
      <c r="I18" s="153"/>
      <c r="J18" s="240"/>
      <c r="K18" s="256">
        <f>VLOOKUP(K15,市町村データ!A2:P106,MATCH(手順書_丁目_人口密度!$F$66, 市町村データ!A1:P1, 0),FALSE)</f>
        <v>30.7</v>
      </c>
      <c r="L18" s="153"/>
      <c r="M18" s="153"/>
      <c r="N18" s="240"/>
      <c r="O18" s="256">
        <f>VLOOKUP(O15,市町村データ!A2:P106,MATCH(手順書_丁目_人口密度!$F$66, 市町村データ!A1:P1, 0),FALSE)</f>
        <v>29.7</v>
      </c>
      <c r="P18" s="153"/>
      <c r="Q18" s="153"/>
      <c r="R18" s="240"/>
      <c r="S18" s="253">
        <f>VLOOKUP(S15,市町村データ!A2:P106,MATCH(手順書_丁目_人口密度!$F$66, 市町村データ!A1:P1, 0),FALSE)</f>
        <v>54</v>
      </c>
      <c r="T18" s="153"/>
      <c r="U18" s="153"/>
      <c r="V18" s="240"/>
      <c r="W18" s="247">
        <f>VLOOKUP(W15,市町村データ!A2:P106,MATCH(手順書_丁目_人口密度!$F$66, 市町村データ!A1:P1, 0),FALSE)</f>
        <v>60</v>
      </c>
      <c r="X18" s="153"/>
      <c r="Y18" s="153"/>
      <c r="Z18" s="240"/>
      <c r="AA18" s="251">
        <f>VLOOKUP(AA15,市町村データ!A2:P106,MATCH(手順書_丁目_人口密度!$F$66, 市町村データ!A1:P1, 0),FALSE)</f>
        <v>47</v>
      </c>
      <c r="AB18" s="153"/>
      <c r="AC18" s="153"/>
      <c r="AD18" s="240"/>
      <c r="AE18" s="253">
        <f>VLOOKUP(AE15,市町村データ!A2:P106,MATCH(手順書_丁目_人口密度!$F$66, 市町村データ!A1:P1, 0),FALSE)</f>
        <v>55</v>
      </c>
      <c r="AF18" s="153"/>
      <c r="AG18" s="153"/>
      <c r="AH18" s="240"/>
      <c r="AI18" s="246">
        <f>VLOOKUP(AI15,市町村データ!A2:P106,MATCH(手順書_丁目_人口密度!$F$66, 市町村データ!A1:P1, 0),FALSE)</f>
        <v>60</v>
      </c>
      <c r="AJ18" s="153"/>
      <c r="AK18" s="153"/>
      <c r="AL18" s="240"/>
      <c r="AM18" s="251">
        <f>VLOOKUP(AM15,市町村データ!A2:P106,MATCH(手順書_丁目_人口密度!$F$66, 市町村データ!A1:P1, 0),FALSE)</f>
        <v>15</v>
      </c>
      <c r="AN18" s="153"/>
      <c r="AO18" s="153"/>
      <c r="AP18" s="240"/>
      <c r="AQ18" s="85"/>
      <c r="AR18" s="79"/>
      <c r="AS18" s="79"/>
      <c r="AT18" s="79"/>
      <c r="AU18" s="79"/>
      <c r="AV18" s="79"/>
      <c r="AW18" s="79"/>
      <c r="AX18" s="79"/>
      <c r="AY18" s="79"/>
      <c r="AZ18" s="79"/>
      <c r="BA18" s="79"/>
      <c r="BB18" s="79"/>
      <c r="BC18" s="79"/>
      <c r="BD18" s="79"/>
      <c r="BE18" s="79"/>
      <c r="BF18" s="79"/>
      <c r="BG18" s="79"/>
      <c r="BH18" s="79"/>
      <c r="BI18" s="79"/>
      <c r="BJ18" s="79"/>
      <c r="BK18" s="79"/>
      <c r="BL18" s="79"/>
      <c r="BM18" s="79"/>
      <c r="BN18" s="214">
        <v>40</v>
      </c>
      <c r="BO18" s="218"/>
      <c r="BP18" s="218"/>
      <c r="BQ18" s="219"/>
      <c r="BR18" s="217"/>
      <c r="BS18" s="79"/>
      <c r="BT18" s="78"/>
    </row>
    <row r="19" spans="1:72" ht="21.15" customHeight="1" x14ac:dyDescent="0.55000000000000004">
      <c r="A19" s="78"/>
      <c r="B19" s="79"/>
      <c r="C19" s="81" t="s">
        <v>64</v>
      </c>
      <c r="D19" s="79"/>
      <c r="E19" s="79"/>
      <c r="F19" s="79"/>
      <c r="G19" s="95"/>
      <c r="H19" s="84"/>
      <c r="I19" s="84"/>
      <c r="J19" s="84"/>
      <c r="K19" s="95"/>
      <c r="L19" s="84"/>
      <c r="M19" s="84"/>
      <c r="N19" s="84"/>
      <c r="O19" s="82">
        <v>24</v>
      </c>
      <c r="P19" s="142" t="str">
        <f>VLOOKUP(O19,市町村データ!A2:P106,MATCH(手順書_丁目_人口密度!$G$63, 市町村データ!A1:P1, 0),FALSE)</f>
        <v>菅沢2</v>
      </c>
      <c r="Q19" s="154"/>
      <c r="R19" s="159"/>
      <c r="S19" s="82">
        <v>25</v>
      </c>
      <c r="T19" s="142" t="str">
        <f>VLOOKUP(S19,市町村データ!A2:P106,MATCH(手順書_丁目_人口密度!$G$63, 市町村データ!A1:P1, 0),FALSE)</f>
        <v>菅沢1</v>
      </c>
      <c r="U19" s="154"/>
      <c r="V19" s="159"/>
      <c r="W19" s="82">
        <v>26</v>
      </c>
      <c r="X19" s="142" t="str">
        <f>VLOOKUP(W19,市町村データ!A2:P106,MATCH(手順書_丁目_人口密度!$G$63, 市町村データ!A1:P1, 0),FALSE)</f>
        <v>野火止4</v>
      </c>
      <c r="Y19" s="154"/>
      <c r="Z19" s="159"/>
      <c r="AA19" s="82">
        <v>27</v>
      </c>
      <c r="AB19" s="142" t="str">
        <f>VLOOKUP(AA19,市町村データ!A2:P106,MATCH(手順書_丁目_人口密度!$G$63, 市町村データ!A1:P1, 0),FALSE)</f>
        <v>野火止3</v>
      </c>
      <c r="AC19" s="154"/>
      <c r="AD19" s="159"/>
      <c r="AE19" s="82">
        <v>28</v>
      </c>
      <c r="AF19" s="142" t="str">
        <f>VLOOKUP(AE19,市町村データ!A2:P106,MATCH(手順書_丁目_人口密度!$G$63, 市町村データ!A1:P1, 0),FALSE)</f>
        <v>野火止2</v>
      </c>
      <c r="AG19" s="154"/>
      <c r="AH19" s="159"/>
      <c r="AI19" s="82">
        <v>29</v>
      </c>
      <c r="AJ19" s="142" t="str">
        <f>VLOOKUP(AI19,市町村データ!A2:P106,MATCH(手順書_丁目_人口密度!$G$63, 市町村データ!A1:P1, 0),FALSE)</f>
        <v>野火止1</v>
      </c>
      <c r="AK19" s="154"/>
      <c r="AL19" s="159"/>
      <c r="AM19" s="82">
        <v>30</v>
      </c>
      <c r="AN19" s="142" t="str">
        <f>VLOOKUP(AM19,市町村データ!A2:P106,MATCH(手順書_丁目_人口密度!$G$63, 市町村データ!A1:P1, 0),FALSE)</f>
        <v>畑中1</v>
      </c>
      <c r="AO19" s="154"/>
      <c r="AP19" s="159"/>
      <c r="AQ19" s="82">
        <v>31</v>
      </c>
      <c r="AR19" s="142" t="str">
        <f>VLOOKUP(AQ19,市町村データ!A2:P106,MATCH(手順書_丁目_人口密度!$G$63, 市町村データ!A1:P1, 0),FALSE)</f>
        <v>畑中2</v>
      </c>
      <c r="AS19" s="154"/>
      <c r="AT19" s="159"/>
      <c r="AU19" s="91"/>
      <c r="AV19" s="79"/>
      <c r="AW19" s="79"/>
      <c r="AX19" s="79"/>
      <c r="AY19" s="86"/>
      <c r="AZ19" s="79"/>
      <c r="BA19" s="79"/>
      <c r="BB19" s="79"/>
      <c r="BC19" s="86"/>
      <c r="BD19" s="79"/>
      <c r="BE19" s="79"/>
      <c r="BF19" s="79"/>
      <c r="BG19" s="86"/>
      <c r="BH19" s="79"/>
      <c r="BI19" s="79"/>
      <c r="BJ19" s="79"/>
      <c r="BK19" s="86"/>
      <c r="BL19" s="79"/>
      <c r="BM19" s="79"/>
      <c r="BN19" s="214">
        <v>20</v>
      </c>
      <c r="BO19" s="218"/>
      <c r="BP19" s="218"/>
      <c r="BQ19" s="220"/>
      <c r="BR19" s="217"/>
      <c r="BS19" s="79"/>
      <c r="BT19" s="78"/>
    </row>
    <row r="20" spans="1:72" ht="21.15" customHeight="1" thickBot="1" x14ac:dyDescent="0.6">
      <c r="A20" s="78"/>
      <c r="B20" s="79"/>
      <c r="C20" s="79"/>
      <c r="D20" s="79"/>
      <c r="E20" s="79"/>
      <c r="F20" s="79"/>
      <c r="G20" s="87"/>
      <c r="H20" s="87"/>
      <c r="I20" s="87"/>
      <c r="J20" s="87"/>
      <c r="K20" s="87"/>
      <c r="L20" s="87"/>
      <c r="M20" s="87"/>
      <c r="N20" s="87"/>
      <c r="O20" s="264">
        <f>VLOOKUP(O19,市町村データ!A2:P106,MATCH(手順書_丁目_人口密度!$F$64, 市町村データ!A1:P1, 0),FALSE)</f>
        <v>23.4</v>
      </c>
      <c r="P20" s="156"/>
      <c r="Q20" s="156"/>
      <c r="R20" s="158"/>
      <c r="S20" s="262">
        <f>VLOOKUP(S19,市町村データ!A2:P106,MATCH(手順書_丁目_人口密度!$F$64, 市町村データ!A1:P1, 0),FALSE)</f>
        <v>11.6</v>
      </c>
      <c r="T20" s="156"/>
      <c r="U20" s="156"/>
      <c r="V20" s="158"/>
      <c r="W20" s="248">
        <f>VLOOKUP(W19,市町村データ!A2:P106,MATCH(手順書_丁目_人口密度!$F$64, 市町村データ!A1:P1, 0),FALSE)</f>
        <v>79.8</v>
      </c>
      <c r="X20" s="156"/>
      <c r="Y20" s="156"/>
      <c r="Z20" s="158"/>
      <c r="AA20" s="264">
        <f>VLOOKUP(AA19,市町村データ!A2:P106,MATCH(手順書_丁目_人口密度!$F$64, 市町村データ!A1:P1, 0),FALSE)</f>
        <v>22.9</v>
      </c>
      <c r="AB20" s="156"/>
      <c r="AC20" s="156"/>
      <c r="AD20" s="158"/>
      <c r="AE20" s="262">
        <f>VLOOKUP(AE19,市町村データ!A2:P106,MATCH(手順書_丁目_人口密度!$F$64, 市町村データ!A1:P1, 0),FALSE)</f>
        <v>9.9</v>
      </c>
      <c r="AF20" s="156"/>
      <c r="AG20" s="156"/>
      <c r="AH20" s="158"/>
      <c r="AI20" s="254">
        <f>VLOOKUP(AI19,市町村データ!A2:P106,MATCH(手順書_丁目_人口密度!$F$64, 市町村データ!A1:P1, 0),FALSE)</f>
        <v>59.6</v>
      </c>
      <c r="AJ20" s="156"/>
      <c r="AK20" s="156"/>
      <c r="AL20" s="158"/>
      <c r="AM20" s="248">
        <f>VLOOKUP(AM19,市町村データ!A2:P106,MATCH(手順書_丁目_人口密度!$F$64, 市町村データ!A1:P1, 0),FALSE)</f>
        <v>87.3</v>
      </c>
      <c r="AN20" s="156"/>
      <c r="AO20" s="156"/>
      <c r="AP20" s="158"/>
      <c r="AQ20" s="254">
        <f>VLOOKUP(AQ19,市町村データ!A2:P106,MATCH(手順書_丁目_人口密度!$F$64, 市町村データ!A1:P1, 0),FALSE)</f>
        <v>72.3</v>
      </c>
      <c r="AR20" s="156"/>
      <c r="AS20" s="156"/>
      <c r="AT20" s="158"/>
      <c r="AU20" s="92"/>
      <c r="AV20" s="87"/>
      <c r="AW20" s="87"/>
      <c r="AX20" s="87"/>
      <c r="AY20" s="87"/>
      <c r="AZ20" s="87"/>
      <c r="BA20" s="87"/>
      <c r="BB20" s="87"/>
      <c r="BC20" s="87"/>
      <c r="BD20" s="87"/>
      <c r="BE20" s="87"/>
      <c r="BF20" s="87"/>
      <c r="BG20" s="87"/>
      <c r="BH20" s="87"/>
      <c r="BI20" s="87"/>
      <c r="BJ20" s="87"/>
      <c r="BK20" s="87"/>
      <c r="BL20" s="87"/>
      <c r="BM20" s="87"/>
      <c r="BN20" s="210">
        <v>0</v>
      </c>
      <c r="BO20" s="211"/>
      <c r="BP20" s="211"/>
      <c r="BQ20" s="212"/>
      <c r="BR20" s="213"/>
      <c r="BS20" s="79"/>
      <c r="BT20" s="78"/>
    </row>
    <row r="21" spans="1:72" ht="21.15" customHeight="1" x14ac:dyDescent="0.55000000000000004">
      <c r="A21" s="78"/>
      <c r="B21" s="79"/>
      <c r="C21" s="79"/>
      <c r="D21" s="79"/>
      <c r="E21" s="79"/>
      <c r="F21" s="79"/>
      <c r="G21" s="89"/>
      <c r="H21" s="89"/>
      <c r="I21" s="89"/>
      <c r="J21" s="89"/>
      <c r="K21" s="89"/>
      <c r="L21" s="89"/>
      <c r="M21" s="89"/>
      <c r="N21" s="89"/>
      <c r="O21" s="259">
        <f>VLOOKUP(O19,市町村データ!A2:P106,MATCH(手順書_丁目_人口密度!$F$65, 市町村データ!A1:P1, 0),FALSE)</f>
        <v>993</v>
      </c>
      <c r="P21" s="156"/>
      <c r="Q21" s="156"/>
      <c r="R21" s="158"/>
      <c r="S21" s="260">
        <f>VLOOKUP(S19,市町村データ!A2:P106,MATCH(手順書_丁目_人口密度!$F$65, 市町村データ!A1:P1, 0),FALSE)</f>
        <v>460</v>
      </c>
      <c r="T21" s="156"/>
      <c r="U21" s="156"/>
      <c r="V21" s="158"/>
      <c r="W21" s="244">
        <f>VLOOKUP(W19,市町村データ!A2:P106,MATCH(手順書_丁目_人口密度!$F$65, 市町村データ!A1:P1, 0),FALSE)</f>
        <v>5240</v>
      </c>
      <c r="X21" s="156"/>
      <c r="Y21" s="156"/>
      <c r="Z21" s="158"/>
      <c r="AA21" s="259">
        <f>VLOOKUP(AA19,市町村データ!A2:P106,MATCH(手順書_丁目_人口密度!$F$65, 市町村データ!A1:P1, 0),FALSE)</f>
        <v>2316</v>
      </c>
      <c r="AB21" s="156"/>
      <c r="AC21" s="156"/>
      <c r="AD21" s="158"/>
      <c r="AE21" s="260">
        <f>VLOOKUP(AE19,市町村データ!A2:P106,MATCH(手順書_丁目_人口密度!$F$65, 市町村データ!A1:P1, 0),FALSE)</f>
        <v>450</v>
      </c>
      <c r="AF21" s="156"/>
      <c r="AG21" s="156"/>
      <c r="AH21" s="158"/>
      <c r="AI21" s="255">
        <f>VLOOKUP(AI19,市町村データ!A2:P106,MATCH(手順書_丁目_人口密度!$F$65, 市町村データ!A1:P1, 0),FALSE)</f>
        <v>3149</v>
      </c>
      <c r="AJ21" s="156"/>
      <c r="AK21" s="156"/>
      <c r="AL21" s="158"/>
      <c r="AM21" s="244">
        <f>VLOOKUP(AM19,市町村データ!A2:P106,MATCH(手順書_丁目_人口密度!$F$65, 市町村データ!A1:P1, 0),FALSE)</f>
        <v>5131</v>
      </c>
      <c r="AN21" s="156"/>
      <c r="AO21" s="156"/>
      <c r="AP21" s="158"/>
      <c r="AQ21" s="255">
        <f>VLOOKUP(AQ19,市町村データ!A2:P106,MATCH(手順書_丁目_人口密度!$F$65, 市町村データ!A1:P1, 0),FALSE)</f>
        <v>3037</v>
      </c>
      <c r="AR21" s="156"/>
      <c r="AS21" s="156"/>
      <c r="AT21" s="158"/>
      <c r="AU21" s="93"/>
      <c r="AV21" s="89"/>
      <c r="AW21" s="89"/>
      <c r="AX21" s="89"/>
      <c r="AY21" s="89"/>
      <c r="AZ21" s="89"/>
      <c r="BA21" s="89"/>
      <c r="BB21" s="89"/>
      <c r="BC21" s="89"/>
      <c r="BD21" s="89"/>
      <c r="BE21" s="89"/>
      <c r="BF21" s="89"/>
      <c r="BG21" s="89"/>
      <c r="BH21" s="89"/>
      <c r="BI21" s="89"/>
      <c r="BJ21" s="89"/>
      <c r="BK21" s="89"/>
      <c r="BL21" s="89"/>
      <c r="BM21" s="89"/>
      <c r="BN21" s="89"/>
      <c r="BO21" s="79"/>
      <c r="BP21" s="79"/>
      <c r="BQ21" s="79"/>
      <c r="BR21" s="79"/>
      <c r="BS21" s="79"/>
      <c r="BT21" s="78"/>
    </row>
    <row r="22" spans="1:72" ht="21.15" customHeight="1" thickBot="1" x14ac:dyDescent="0.6">
      <c r="A22" s="78"/>
      <c r="B22" s="79"/>
      <c r="C22" s="79"/>
      <c r="D22" s="79"/>
      <c r="E22" s="79"/>
      <c r="F22" s="79"/>
      <c r="G22" s="79"/>
      <c r="H22" s="79"/>
      <c r="I22" s="79"/>
      <c r="J22" s="79"/>
      <c r="K22" s="79"/>
      <c r="L22" s="79"/>
      <c r="M22" s="79"/>
      <c r="N22" s="79"/>
      <c r="O22" s="258">
        <f>VLOOKUP(O19,市町村データ!A2:P106,MATCH(手順書_丁目_人口密度!$F$66, 市町村データ!A1:P1, 0),FALSE)</f>
        <v>42.5</v>
      </c>
      <c r="P22" s="153"/>
      <c r="Q22" s="153"/>
      <c r="R22" s="240"/>
      <c r="S22" s="256">
        <f>VLOOKUP(S19,市町村データ!A2:P106,MATCH(手順書_丁目_人口密度!$F$66, 市町村データ!A1:P1, 0),FALSE)</f>
        <v>39.6</v>
      </c>
      <c r="T22" s="153"/>
      <c r="U22" s="153"/>
      <c r="V22" s="240"/>
      <c r="W22" s="246">
        <f>VLOOKUP(W19,市町村データ!A2:P106,MATCH(手順書_丁目_人口密度!$F$66, 市町村データ!A1:P1, 0),FALSE)</f>
        <v>65.7</v>
      </c>
      <c r="X22" s="153"/>
      <c r="Y22" s="153"/>
      <c r="Z22" s="240"/>
      <c r="AA22" s="258">
        <f>VLOOKUP(AA19,市町村データ!A2:P106,MATCH(手順書_丁目_人口密度!$F$66, 市町村データ!A1:P1, 0),FALSE)</f>
        <v>101.1</v>
      </c>
      <c r="AB22" s="153"/>
      <c r="AC22" s="153"/>
      <c r="AD22" s="240"/>
      <c r="AE22" s="256">
        <f>VLOOKUP(AE19,市町村データ!A2:P106,MATCH(手順書_丁目_人口密度!$F$66, 市町村データ!A1:P1, 0),FALSE)</f>
        <v>45.6</v>
      </c>
      <c r="AF22" s="153"/>
      <c r="AG22" s="153"/>
      <c r="AH22" s="240"/>
      <c r="AI22" s="253">
        <f>VLOOKUP(AI19,市町村データ!A2:P106,MATCH(手順書_丁目_人口密度!$F$66, 市町村データ!A1:P1, 0),FALSE)</f>
        <v>52.8</v>
      </c>
      <c r="AJ22" s="153"/>
      <c r="AK22" s="153"/>
      <c r="AL22" s="240"/>
      <c r="AM22" s="246">
        <f>VLOOKUP(AM19,市町村データ!A2:P106,MATCH(手順書_丁目_人口密度!$F$66, 市町村データ!A1:P1, 0),FALSE)</f>
        <v>58.8</v>
      </c>
      <c r="AN22" s="153"/>
      <c r="AO22" s="153"/>
      <c r="AP22" s="240"/>
      <c r="AQ22" s="253">
        <f>VLOOKUP(AQ19,市町村データ!A2:P106,MATCH(手順書_丁目_人口密度!$F$66, 市町村データ!A1:P1, 0),FALSE)</f>
        <v>42</v>
      </c>
      <c r="AR22" s="153"/>
      <c r="AS22" s="153"/>
      <c r="AT22" s="240"/>
      <c r="AU22" s="85"/>
      <c r="AV22" s="79"/>
      <c r="AW22" s="79"/>
      <c r="AX22" s="79"/>
      <c r="AY22" s="79"/>
      <c r="AZ22" s="79"/>
      <c r="BA22" s="79"/>
      <c r="BB22" s="79"/>
      <c r="BC22" s="79"/>
      <c r="BD22" s="79"/>
      <c r="BE22" s="79"/>
      <c r="BF22" s="79"/>
      <c r="BG22" s="79"/>
      <c r="BH22" s="79"/>
      <c r="BI22" s="79"/>
      <c r="BJ22" s="79"/>
      <c r="BK22" s="79"/>
      <c r="BL22" s="79"/>
      <c r="BM22" s="79"/>
      <c r="BN22" s="79"/>
      <c r="BO22" s="79"/>
      <c r="BP22" s="79"/>
      <c r="BQ22" s="79"/>
      <c r="BR22" s="79"/>
      <c r="BS22" s="79"/>
      <c r="BT22" s="78"/>
    </row>
    <row r="23" spans="1:72" ht="21.15" customHeight="1" x14ac:dyDescent="0.55000000000000004">
      <c r="A23" s="78"/>
      <c r="B23" s="79"/>
      <c r="C23" s="81" t="s">
        <v>65</v>
      </c>
      <c r="D23" s="79"/>
      <c r="E23" s="79"/>
      <c r="F23" s="79"/>
      <c r="G23" s="79"/>
      <c r="H23" s="79"/>
      <c r="I23" s="79"/>
      <c r="J23" s="79"/>
      <c r="K23" s="79"/>
      <c r="L23" s="79"/>
      <c r="M23" s="79"/>
      <c r="N23" s="79"/>
      <c r="O23" s="82">
        <v>32</v>
      </c>
      <c r="P23" s="142" t="str">
        <f>VLOOKUP(O23,市町村データ!A2:P106,MATCH(手順書_丁目_人口密度!$G$63, 市町村データ!A1:P1, 0),FALSE)</f>
        <v>あたご3</v>
      </c>
      <c r="Q23" s="154"/>
      <c r="R23" s="159"/>
      <c r="S23" s="82">
        <v>33</v>
      </c>
      <c r="T23" s="142" t="str">
        <f>VLOOKUP(S23,市町村データ!A2:P106,MATCH(手順書_丁目_人口密度!$G$63, 市町村データ!A1:P1, 0),FALSE)</f>
        <v>あたご2</v>
      </c>
      <c r="U23" s="154"/>
      <c r="V23" s="159"/>
      <c r="W23" s="82">
        <v>34</v>
      </c>
      <c r="X23" s="142" t="str">
        <f>VLOOKUP(W23,市町村データ!A2:P106,MATCH(手順書_丁目_人口密度!$G$63, 市町村データ!A1:P1, 0),FALSE)</f>
        <v>あたご1</v>
      </c>
      <c r="Y23" s="154"/>
      <c r="Z23" s="159"/>
      <c r="AA23" s="82">
        <v>35</v>
      </c>
      <c r="AB23" s="142" t="str">
        <f>VLOOKUP(AA23,市町村データ!A2:P106,MATCH(手順書_丁目_人口密度!$G$63, 市町村データ!A1:P1, 0),FALSE)</f>
        <v>本多2</v>
      </c>
      <c r="AC23" s="154"/>
      <c r="AD23" s="159"/>
      <c r="AE23" s="82">
        <v>36</v>
      </c>
      <c r="AF23" s="142" t="str">
        <f>VLOOKUP(AE23,市町村データ!A2:P106,MATCH(手順書_丁目_人口密度!$G$63, 市町村データ!A1:P1, 0),FALSE)</f>
        <v>本多1</v>
      </c>
      <c r="AG23" s="154"/>
      <c r="AH23" s="159"/>
      <c r="AI23" s="82">
        <v>37</v>
      </c>
      <c r="AJ23" s="142" t="str">
        <f>VLOOKUP(AI23,市町村データ!A2:P106,MATCH(手順書_丁目_人口密度!$G$63, 市町村データ!A1:P1, 0),FALSE)</f>
        <v>堀ノ内1</v>
      </c>
      <c r="AK23" s="154"/>
      <c r="AL23" s="159"/>
      <c r="AM23" s="82">
        <v>38</v>
      </c>
      <c r="AN23" s="142" t="str">
        <f>VLOOKUP(AM23,市町村データ!A2:P106,MATCH(手順書_丁目_人口密度!$G$63, 市町村データ!A1:P1, 0),FALSE)</f>
        <v>馬場1</v>
      </c>
      <c r="AO23" s="154"/>
      <c r="AP23" s="159"/>
      <c r="AQ23" s="82">
        <v>39</v>
      </c>
      <c r="AR23" s="142" t="str">
        <f>VLOOKUP(AQ23,市町村データ!A2:P106,MATCH(手順書_丁目_人口密度!$G$63, 市町村データ!A1:P1, 0),FALSE)</f>
        <v>馬場2</v>
      </c>
      <c r="AS23" s="154"/>
      <c r="AT23" s="159"/>
      <c r="AU23" s="82">
        <v>40</v>
      </c>
      <c r="AV23" s="142" t="str">
        <f>VLOOKUP(AU23,市町村データ!A2:P106,MATCH(手順書_丁目_人口密度!$G$63, 市町村データ!A1:P1, 0),FALSE)</f>
        <v>新塚1</v>
      </c>
      <c r="AW23" s="154"/>
      <c r="AX23" s="159"/>
      <c r="AY23" s="82">
        <v>41</v>
      </c>
      <c r="AZ23" s="142" t="str">
        <f>VLOOKUP(AY23,市町村データ!A2:P106,MATCH(手順書_丁目_人口密度!$G$63, 市町村データ!A1:P1, 0),FALSE)</f>
        <v>新塚他の地域</v>
      </c>
      <c r="BA23" s="154"/>
      <c r="BB23" s="159"/>
      <c r="BC23" s="91"/>
      <c r="BD23" s="79"/>
      <c r="BE23" s="79"/>
      <c r="BF23" s="79"/>
      <c r="BG23" s="86"/>
      <c r="BH23" s="79"/>
      <c r="BI23" s="79"/>
      <c r="BJ23" s="79"/>
      <c r="BK23" s="79"/>
      <c r="BL23" s="79"/>
      <c r="BM23" s="79"/>
      <c r="BN23" s="79"/>
      <c r="BO23" s="86"/>
      <c r="BP23" s="79"/>
      <c r="BQ23" s="79"/>
      <c r="BR23" s="79"/>
      <c r="BS23" s="79"/>
      <c r="BT23" s="78"/>
    </row>
    <row r="24" spans="1:72" ht="21.15" customHeight="1" x14ac:dyDescent="0.55000000000000004">
      <c r="A24" s="78"/>
      <c r="B24" s="79"/>
      <c r="C24" s="79"/>
      <c r="D24" s="79"/>
      <c r="E24" s="79"/>
      <c r="F24" s="79"/>
      <c r="G24" s="79"/>
      <c r="H24" s="79"/>
      <c r="I24" s="79"/>
      <c r="J24" s="79"/>
      <c r="K24" s="79"/>
      <c r="L24" s="79"/>
      <c r="M24" s="79"/>
      <c r="N24" s="79"/>
      <c r="O24" s="263">
        <f>VLOOKUP(O23,市町村データ!A2:P106,MATCH(手順書_丁目_人口密度!$F$64, 市町村データ!A1:P1, 0),FALSE)</f>
        <v>51</v>
      </c>
      <c r="P24" s="156"/>
      <c r="Q24" s="156"/>
      <c r="R24" s="158"/>
      <c r="S24" s="262">
        <f>VLOOKUP(S23,市町村データ!A2:P106,MATCH(手順書_丁目_人口密度!$F$64, 市町村データ!A1:P1, 0),FALSE)</f>
        <v>8.6</v>
      </c>
      <c r="T24" s="156"/>
      <c r="U24" s="156"/>
      <c r="V24" s="158"/>
      <c r="W24" s="262">
        <f>VLOOKUP(W23,市町村データ!A2:P106,MATCH(手順書_丁目_人口密度!$F$64, 市町村データ!A1:P1, 0),FALSE)</f>
        <v>7.9</v>
      </c>
      <c r="X24" s="156"/>
      <c r="Y24" s="156"/>
      <c r="Z24" s="158"/>
      <c r="AA24" s="262">
        <f>VLOOKUP(AA23,市町村データ!A2:P106,MATCH(手順書_丁目_人口密度!$F$64, 市町村データ!A1:P1, 0),FALSE)</f>
        <v>1.4</v>
      </c>
      <c r="AB24" s="156"/>
      <c r="AC24" s="156"/>
      <c r="AD24" s="158"/>
      <c r="AE24" s="264">
        <f>VLOOKUP(AE23,市町村データ!A2:P106,MATCH(手順書_丁目_人口密度!$F$64, 市町村データ!A1:P1, 0),FALSE)</f>
        <v>22.8</v>
      </c>
      <c r="AF24" s="156"/>
      <c r="AG24" s="156"/>
      <c r="AH24" s="158"/>
      <c r="AI24" s="262">
        <f>VLOOKUP(AI23,市町村データ!A2:P106,MATCH(手順書_丁目_人口密度!$F$64, 市町村データ!A1:P1, 0),FALSE)</f>
        <v>17.3</v>
      </c>
      <c r="AJ24" s="156"/>
      <c r="AK24" s="156"/>
      <c r="AL24" s="158"/>
      <c r="AM24" s="264">
        <f>VLOOKUP(AM23,市町村データ!A2:P106,MATCH(手順書_丁目_人口密度!$F$64, 市町村データ!A1:P1, 0),FALSE)</f>
        <v>33.799999999999997</v>
      </c>
      <c r="AN24" s="156"/>
      <c r="AO24" s="156"/>
      <c r="AP24" s="158"/>
      <c r="AQ24" s="248">
        <f>VLOOKUP(AQ23,市町村データ!A2:P106,MATCH(手順書_丁目_人口密度!$F$64, 市町村データ!A1:P1, 0),FALSE)</f>
        <v>84.4</v>
      </c>
      <c r="AR24" s="156"/>
      <c r="AS24" s="156"/>
      <c r="AT24" s="158"/>
      <c r="AU24" s="254">
        <f>VLOOKUP(AU23,市町村データ!A2:P106,MATCH(手順書_丁目_人口密度!$F$64, 市町村データ!A1:P1, 0),FALSE)</f>
        <v>68.8</v>
      </c>
      <c r="AV24" s="156"/>
      <c r="AW24" s="156"/>
      <c r="AX24" s="158"/>
      <c r="AY24" s="262">
        <f>VLOOKUP(AY23,市町村データ!A2:P106,MATCH(手順書_丁目_人口密度!$F$64, 市町村データ!A1:P1, 0),FALSE)</f>
        <v>0</v>
      </c>
      <c r="AZ24" s="156"/>
      <c r="BA24" s="156"/>
      <c r="BB24" s="158"/>
      <c r="BC24" s="92"/>
      <c r="BD24" s="87"/>
      <c r="BE24" s="87"/>
      <c r="BF24" s="87"/>
      <c r="BG24" s="87"/>
      <c r="BH24" s="87"/>
      <c r="BI24" s="87"/>
      <c r="BJ24" s="87"/>
      <c r="BK24" s="79"/>
      <c r="BL24" s="79"/>
      <c r="BM24" s="79"/>
      <c r="BN24" s="79"/>
      <c r="BO24" s="87"/>
      <c r="BP24" s="50"/>
      <c r="BQ24" s="50"/>
      <c r="BR24" s="50"/>
      <c r="BS24" s="79"/>
      <c r="BT24" s="78"/>
    </row>
    <row r="25" spans="1:72" ht="21.15" customHeight="1" x14ac:dyDescent="0.55000000000000004">
      <c r="A25" s="78"/>
      <c r="B25" s="79"/>
      <c r="C25" s="79"/>
      <c r="D25" s="79"/>
      <c r="E25" s="79"/>
      <c r="F25" s="79"/>
      <c r="G25" s="79"/>
      <c r="H25" s="79"/>
      <c r="I25" s="79"/>
      <c r="J25" s="79"/>
      <c r="K25" s="79"/>
      <c r="L25" s="79"/>
      <c r="M25" s="79"/>
      <c r="N25" s="79"/>
      <c r="O25" s="261">
        <f>VLOOKUP(O23,市町村データ!A2:P106,MATCH(手順書_丁目_人口密度!$F$65, 市町村データ!A1:P1, 0),FALSE)</f>
        <v>1214</v>
      </c>
      <c r="P25" s="156"/>
      <c r="Q25" s="156"/>
      <c r="R25" s="158"/>
      <c r="S25" s="260">
        <f>VLOOKUP(S23,市町村データ!A2:P106,MATCH(手順書_丁目_人口密度!$F$65, 市町村データ!A1:P1, 0),FALSE)</f>
        <v>137</v>
      </c>
      <c r="T25" s="156"/>
      <c r="U25" s="156"/>
      <c r="V25" s="158"/>
      <c r="W25" s="260">
        <f>VLOOKUP(W23,市町村データ!A2:P106,MATCH(手順書_丁目_人口密度!$F$65, 市町村データ!A1:P1, 0),FALSE)</f>
        <v>125</v>
      </c>
      <c r="X25" s="156"/>
      <c r="Y25" s="156"/>
      <c r="Z25" s="158"/>
      <c r="AA25" s="260">
        <f>VLOOKUP(AA23,市町村データ!A2:P106,MATCH(手順書_丁目_人口密度!$F$65, 市町村データ!A1:P1, 0),FALSE)</f>
        <v>58</v>
      </c>
      <c r="AB25" s="156"/>
      <c r="AC25" s="156"/>
      <c r="AD25" s="158"/>
      <c r="AE25" s="259">
        <f>VLOOKUP(AE23,市町村データ!A2:P106,MATCH(手順書_丁目_人口密度!$F$65, 市町村データ!A1:P1, 0),FALSE)</f>
        <v>1175</v>
      </c>
      <c r="AF25" s="156"/>
      <c r="AG25" s="156"/>
      <c r="AH25" s="158"/>
      <c r="AI25" s="260">
        <f>VLOOKUP(AI23,市町村データ!A2:P106,MATCH(手順書_丁目_人口密度!$F$65, 市町村データ!A1:P1, 0),FALSE)</f>
        <v>480</v>
      </c>
      <c r="AJ25" s="156"/>
      <c r="AK25" s="156"/>
      <c r="AL25" s="158"/>
      <c r="AM25" s="259">
        <f>VLOOKUP(AM23,市町村データ!A2:P106,MATCH(手順書_丁目_人口密度!$F$65, 市町村データ!A1:P1, 0),FALSE)</f>
        <v>1342</v>
      </c>
      <c r="AN25" s="156"/>
      <c r="AO25" s="156"/>
      <c r="AP25" s="158"/>
      <c r="AQ25" s="244">
        <f>VLOOKUP(AQ23,市町村データ!A2:P106,MATCH(手順書_丁目_人口密度!$F$65, 市町村データ!A1:P1, 0),FALSE)</f>
        <v>1603</v>
      </c>
      <c r="AR25" s="156"/>
      <c r="AS25" s="156"/>
      <c r="AT25" s="158"/>
      <c r="AU25" s="255">
        <f>VLOOKUP(AU23,市町村データ!A2:P106,MATCH(手順書_丁目_人口密度!$F$65, 市町村データ!A1:P1, 0),FALSE)</f>
        <v>1451</v>
      </c>
      <c r="AV25" s="156"/>
      <c r="AW25" s="156"/>
      <c r="AX25" s="158"/>
      <c r="AY25" s="260">
        <f>VLOOKUP(AY23,市町村データ!A2:P106,MATCH(手順書_丁目_人口密度!$F$65, 市町村データ!A1:P1, 0),FALSE)</f>
        <v>0</v>
      </c>
      <c r="AZ25" s="156"/>
      <c r="BA25" s="156"/>
      <c r="BB25" s="158"/>
      <c r="BC25" s="93"/>
      <c r="BD25" s="89"/>
      <c r="BE25" s="89"/>
      <c r="BF25" s="89"/>
      <c r="BG25" s="89"/>
      <c r="BH25" s="89"/>
      <c r="BI25" s="89"/>
      <c r="BJ25" s="89"/>
      <c r="BK25" s="79"/>
      <c r="BL25" s="79"/>
      <c r="BM25" s="79"/>
      <c r="BN25" s="79"/>
      <c r="BO25" s="89"/>
      <c r="BP25" s="51"/>
      <c r="BQ25" s="51"/>
      <c r="BR25" s="51"/>
      <c r="BS25" s="79"/>
      <c r="BT25" s="78"/>
    </row>
    <row r="26" spans="1:72" ht="21.15" customHeight="1" thickBot="1" x14ac:dyDescent="0.6">
      <c r="A26" s="78"/>
      <c r="B26" s="79"/>
      <c r="C26" s="79"/>
      <c r="D26" s="79"/>
      <c r="E26" s="79"/>
      <c r="F26" s="79"/>
      <c r="G26" s="79"/>
      <c r="H26" s="79"/>
      <c r="I26" s="79"/>
      <c r="J26" s="79"/>
      <c r="K26" s="79"/>
      <c r="L26" s="79"/>
      <c r="M26" s="79"/>
      <c r="N26" s="79"/>
      <c r="O26" s="257">
        <f>VLOOKUP(O23,市町村データ!A2:P106,MATCH(手順書_丁目_人口密度!$F$66, 市町村データ!A1:P1, 0),FALSE)</f>
        <v>23.8</v>
      </c>
      <c r="P26" s="153"/>
      <c r="Q26" s="153"/>
      <c r="R26" s="240"/>
      <c r="S26" s="256">
        <f>VLOOKUP(S23,市町村データ!A2:P106,MATCH(手順書_丁目_人口密度!$F$66, 市町村データ!A1:P1, 0),FALSE)</f>
        <v>15.9</v>
      </c>
      <c r="T26" s="153"/>
      <c r="U26" s="153"/>
      <c r="V26" s="240"/>
      <c r="W26" s="256">
        <f>VLOOKUP(W23,市町村データ!A2:P106,MATCH(手順書_丁目_人口密度!$F$66, 市町村データ!A1:P1, 0),FALSE)</f>
        <v>15.9</v>
      </c>
      <c r="X26" s="153"/>
      <c r="Y26" s="153"/>
      <c r="Z26" s="240"/>
      <c r="AA26" s="256">
        <f>VLOOKUP(AA23,市町村データ!A2:P106,MATCH(手順書_丁目_人口密度!$F$66, 市町村データ!A1:P1, 0),FALSE)</f>
        <v>41.6</v>
      </c>
      <c r="AB26" s="153"/>
      <c r="AC26" s="153"/>
      <c r="AD26" s="240"/>
      <c r="AE26" s="258">
        <f>VLOOKUP(AE23,市町村データ!A2:P106,MATCH(手順書_丁目_人口密度!$F$66, 市町村データ!A1:P1, 0),FALSE)</f>
        <v>51.5</v>
      </c>
      <c r="AF26" s="153"/>
      <c r="AG26" s="153"/>
      <c r="AH26" s="240"/>
      <c r="AI26" s="256">
        <f>VLOOKUP(AI23,市町村データ!A2:P106,MATCH(手順書_丁目_人口密度!$F$66, 市町村データ!A1:P1, 0),FALSE)</f>
        <v>27.7</v>
      </c>
      <c r="AJ26" s="153"/>
      <c r="AK26" s="153"/>
      <c r="AL26" s="240"/>
      <c r="AM26" s="258">
        <f>VLOOKUP(AM23,市町村データ!A2:P106,MATCH(手順書_丁目_人口密度!$F$66, 市町村データ!A1:P1, 0),FALSE)</f>
        <v>39.700000000000003</v>
      </c>
      <c r="AN26" s="153"/>
      <c r="AO26" s="153"/>
      <c r="AP26" s="240"/>
      <c r="AQ26" s="246">
        <f>VLOOKUP(AQ23,市町村データ!A2:P106,MATCH(手順書_丁目_人口密度!$F$66, 市町村データ!A1:P1, 0),FALSE)</f>
        <v>19</v>
      </c>
      <c r="AR26" s="153"/>
      <c r="AS26" s="153"/>
      <c r="AT26" s="240"/>
      <c r="AU26" s="253">
        <f>VLOOKUP(AU23,市町村データ!A2:P106,MATCH(手順書_丁目_人口密度!$F$66, 市町村データ!A1:P1, 0),FALSE)</f>
        <v>21.1</v>
      </c>
      <c r="AV26" s="153"/>
      <c r="AW26" s="153"/>
      <c r="AX26" s="240"/>
      <c r="AY26" s="256">
        <f>VLOOKUP(AY23,市町村データ!A2:P106,MATCH(手順書_丁目_人口密度!$F$66, 市町村データ!A1:P1, 0),FALSE)</f>
        <v>41.8</v>
      </c>
      <c r="AZ26" s="153"/>
      <c r="BA26" s="153"/>
      <c r="BB26" s="240"/>
      <c r="BC26" s="85"/>
      <c r="BD26" s="79"/>
      <c r="BE26" s="79"/>
      <c r="BF26" s="79"/>
      <c r="BG26" s="79"/>
      <c r="BH26" s="79"/>
      <c r="BI26" s="79"/>
      <c r="BJ26" s="79"/>
      <c r="BK26" s="79"/>
      <c r="BL26" s="79"/>
      <c r="BM26" s="79"/>
      <c r="BN26" s="79"/>
      <c r="BO26" s="79"/>
      <c r="BP26" s="52"/>
      <c r="BQ26" s="52"/>
      <c r="BR26" s="52"/>
      <c r="BS26" s="79"/>
      <c r="BT26" s="78"/>
    </row>
    <row r="27" spans="1:72" ht="21.15" customHeight="1" x14ac:dyDescent="0.55000000000000004">
      <c r="A27" s="78"/>
      <c r="B27" s="79"/>
      <c r="C27" s="81" t="s">
        <v>66</v>
      </c>
      <c r="D27" s="79"/>
      <c r="E27" s="79"/>
      <c r="F27" s="79"/>
      <c r="G27" s="79"/>
      <c r="H27" s="79"/>
      <c r="I27" s="79"/>
      <c r="J27" s="79"/>
      <c r="K27" s="79"/>
      <c r="L27" s="79"/>
      <c r="M27" s="79"/>
      <c r="N27" s="79"/>
      <c r="O27" s="84"/>
      <c r="P27" s="84"/>
      <c r="Q27" s="84"/>
      <c r="R27" s="84"/>
      <c r="S27" s="82">
        <v>42</v>
      </c>
      <c r="T27" s="142" t="str">
        <f>VLOOKUP(S27,市町村データ!A2:P106,MATCH(手順書_丁目_人口密度!$G$63, 市町村データ!A1:P1, 0),FALSE)</f>
        <v>西堀2</v>
      </c>
      <c r="U27" s="154"/>
      <c r="V27" s="159"/>
      <c r="W27" s="82">
        <v>43</v>
      </c>
      <c r="X27" s="142" t="str">
        <f>VLOOKUP(W27,市町村データ!A2:P106,MATCH(手順書_丁目_人口密度!$G$63, 市町村データ!A1:P1, 0),FALSE)</f>
        <v>西堀1</v>
      </c>
      <c r="Y27" s="154"/>
      <c r="Z27" s="159"/>
      <c r="AA27" s="82">
        <v>44</v>
      </c>
      <c r="AB27" s="142" t="str">
        <f>VLOOKUP(AA27,市町村データ!A2:P106,MATCH(手順書_丁目_人口密度!$G$63, 市町村データ!A1:P1, 0),FALSE)</f>
        <v>石神5</v>
      </c>
      <c r="AC27" s="154"/>
      <c r="AD27" s="159"/>
      <c r="AE27" s="82">
        <v>45</v>
      </c>
      <c r="AF27" s="142" t="str">
        <f>VLOOKUP(AE27,市町村データ!A2:P106,MATCH(手順書_丁目_人口密度!$G$63, 市町村データ!A1:P1, 0),FALSE)</f>
        <v>堀ノ内3</v>
      </c>
      <c r="AG27" s="154"/>
      <c r="AH27" s="159"/>
      <c r="AI27" s="82">
        <v>46</v>
      </c>
      <c r="AJ27" s="142" t="str">
        <f>VLOOKUP(AI27,市町村データ!A2:P106,MATCH(手順書_丁目_人口密度!$G$63, 市町村データ!A1:P1, 0),FALSE)</f>
        <v>堀ノ内2</v>
      </c>
      <c r="AK27" s="154"/>
      <c r="AL27" s="159"/>
      <c r="AM27" s="82">
        <v>47</v>
      </c>
      <c r="AN27" s="142" t="str">
        <f>VLOOKUP(AM27,市町村データ!A2:P106,MATCH(手順書_丁目_人口密度!$G$63, 市町村データ!A1:P1, 0),FALSE)</f>
        <v>馬場4</v>
      </c>
      <c r="AO27" s="154"/>
      <c r="AP27" s="159"/>
      <c r="AQ27" s="82">
        <v>48</v>
      </c>
      <c r="AR27" s="142" t="str">
        <f>VLOOKUP(AQ27,市町村データ!A2:P106,MATCH(手順書_丁目_人口密度!$G$63, 市町村データ!A1:P1, 0),FALSE)</f>
        <v>馬場3</v>
      </c>
      <c r="AS27" s="154"/>
      <c r="AT27" s="159"/>
      <c r="AU27" s="82">
        <v>49</v>
      </c>
      <c r="AV27" s="142" t="str">
        <f>VLOOKUP(AU27,市町村データ!A2:P106,MATCH(手順書_丁目_人口密度!$G$63, 市町村データ!A1:P1, 0),FALSE)</f>
        <v>栄1</v>
      </c>
      <c r="AW27" s="154"/>
      <c r="AX27" s="159"/>
      <c r="AY27" s="82">
        <v>50</v>
      </c>
      <c r="AZ27" s="142" t="str">
        <f>VLOOKUP(AY27,市町村データ!A2:P106,MATCH(手順書_丁目_人口密度!$G$63, 市町村データ!A1:P1, 0),FALSE)</f>
        <v>栄2</v>
      </c>
      <c r="BA27" s="154"/>
      <c r="BB27" s="159"/>
      <c r="BC27" s="82">
        <v>51</v>
      </c>
      <c r="BD27" s="142" t="str">
        <f>VLOOKUP(BC27,市町村データ!A2:P106,MATCH(手順書_丁目_人口密度!$G$63, 市町村データ!A1:P1, 0),FALSE)</f>
        <v>栄3</v>
      </c>
      <c r="BE27" s="154"/>
      <c r="BF27" s="159"/>
      <c r="BG27" s="82">
        <v>52</v>
      </c>
      <c r="BH27" s="142" t="str">
        <f>VLOOKUP(BG27,市町村データ!A2:P106,MATCH(手順書_丁目_人口密度!$G$63, 市町村データ!A1:P1, 0),FALSE)</f>
        <v>栄4</v>
      </c>
      <c r="BI27" s="154"/>
      <c r="BJ27" s="159"/>
      <c r="BK27" s="82">
        <v>53</v>
      </c>
      <c r="BL27" s="142" t="str">
        <f>VLOOKUP(BK27,市町村データ!A2:P106,MATCH(手順書_丁目_人口密度!$G$63, 市町村データ!A1:P1, 0),FALSE)</f>
        <v>栄5</v>
      </c>
      <c r="BM27" s="154"/>
      <c r="BN27" s="159"/>
      <c r="BO27" s="91"/>
      <c r="BP27" s="79"/>
      <c r="BQ27" s="79"/>
      <c r="BR27" s="79"/>
      <c r="BS27" s="79"/>
      <c r="BT27" s="78"/>
    </row>
    <row r="28" spans="1:72" ht="21.15" customHeight="1" x14ac:dyDescent="0.55000000000000004">
      <c r="A28" s="78"/>
      <c r="B28" s="79"/>
      <c r="C28" s="79"/>
      <c r="D28" s="79"/>
      <c r="E28" s="79"/>
      <c r="F28" s="79"/>
      <c r="G28" s="79"/>
      <c r="H28" s="79"/>
      <c r="I28" s="79"/>
      <c r="J28" s="79"/>
      <c r="K28" s="79"/>
      <c r="L28" s="79"/>
      <c r="M28" s="79"/>
      <c r="N28" s="79"/>
      <c r="O28" s="79"/>
      <c r="P28" s="79"/>
      <c r="Q28" s="79"/>
      <c r="R28" s="79"/>
      <c r="S28" s="252">
        <f>VLOOKUP(S27,市町村データ!A2:P106,MATCH(手順書_丁目_人口密度!$F$64, 市町村データ!A1:P1, 0),FALSE)</f>
        <v>109.8</v>
      </c>
      <c r="T28" s="156"/>
      <c r="U28" s="156"/>
      <c r="V28" s="158"/>
      <c r="W28" s="248">
        <f>VLOOKUP(W27,市町村データ!A2:P106,MATCH(手順書_丁目_人口密度!$F$64, 市町村データ!A1:P1, 0),FALSE)</f>
        <v>88.8</v>
      </c>
      <c r="X28" s="156"/>
      <c r="Y28" s="156"/>
      <c r="Z28" s="158"/>
      <c r="AA28" s="267">
        <f>VLOOKUP(AA27,市町村データ!A2:P106,MATCH(手順書_丁目_人口密度!$F$64, 市町村データ!A1:P1, 0),FALSE)</f>
        <v>169.4</v>
      </c>
      <c r="AB28" s="156"/>
      <c r="AC28" s="156"/>
      <c r="AD28" s="158"/>
      <c r="AE28" s="262">
        <f>VLOOKUP(AE27,市町村データ!A2:P106,MATCH(手順書_丁目_人口密度!$F$64, 市町村データ!A1:P1, 0),FALSE)</f>
        <v>9.1999999999999993</v>
      </c>
      <c r="AF28" s="156"/>
      <c r="AG28" s="156"/>
      <c r="AH28" s="158"/>
      <c r="AI28" s="263">
        <f>VLOOKUP(AI27,市町村データ!A2:P106,MATCH(手順書_丁目_人口密度!$F$64, 市町村データ!A1:P1, 0),FALSE)</f>
        <v>40.9</v>
      </c>
      <c r="AJ28" s="156"/>
      <c r="AK28" s="156"/>
      <c r="AL28" s="158"/>
      <c r="AM28" s="264">
        <f>VLOOKUP(AM27,市町村データ!A2:P106,MATCH(手順書_丁目_人口密度!$F$64, 市町村データ!A1:P1, 0),FALSE)</f>
        <v>35.200000000000003</v>
      </c>
      <c r="AN28" s="156"/>
      <c r="AO28" s="156"/>
      <c r="AP28" s="158"/>
      <c r="AQ28" s="263">
        <f>VLOOKUP(AQ27,市町村データ!A2:P106,MATCH(手順書_丁目_人口密度!$F$64, 市町村データ!A1:P1, 0),FALSE)</f>
        <v>53.3</v>
      </c>
      <c r="AR28" s="156"/>
      <c r="AS28" s="156"/>
      <c r="AT28" s="158"/>
      <c r="AU28" s="248">
        <f>VLOOKUP(AU27,市町村データ!A2:P106,MATCH(手順書_丁目_人口密度!$F$64, 市町村データ!A1:P1, 0),FALSE)</f>
        <v>84.9</v>
      </c>
      <c r="AV28" s="156"/>
      <c r="AW28" s="156"/>
      <c r="AX28" s="158"/>
      <c r="AY28" s="243">
        <f>VLOOKUP(AY27,市町村データ!A2:P106,MATCH(手順書_丁目_人口密度!$F$64, 市町村データ!A1:P1, 0),FALSE)</f>
        <v>148.6</v>
      </c>
      <c r="AZ28" s="156"/>
      <c r="BA28" s="156"/>
      <c r="BB28" s="158"/>
      <c r="BC28" s="243">
        <f>VLOOKUP(BC27,市町村データ!A2:P106,MATCH(手順書_丁目_人口密度!$F$64, 市町村データ!A1:P1, 0),FALSE)</f>
        <v>141.5</v>
      </c>
      <c r="BD28" s="156"/>
      <c r="BE28" s="156"/>
      <c r="BF28" s="158"/>
      <c r="BG28" s="249">
        <f>VLOOKUP(BG27,市町村データ!A2:P106,MATCH(手順書_丁目_人口密度!$F$64, 市町村データ!A1:P1, 0),FALSE)</f>
        <v>135.9</v>
      </c>
      <c r="BH28" s="156"/>
      <c r="BI28" s="156"/>
      <c r="BJ28" s="158"/>
      <c r="BK28" s="267">
        <f>VLOOKUP(BK27,市町村データ!A2:P106,MATCH(手順書_丁目_人口密度!$F$64, 市町村データ!A1:P1, 0),FALSE)</f>
        <v>160.69999999999999</v>
      </c>
      <c r="BL28" s="156"/>
      <c r="BM28" s="156"/>
      <c r="BN28" s="158"/>
      <c r="BO28" s="92"/>
      <c r="BP28" s="50"/>
      <c r="BQ28" s="50"/>
      <c r="BR28" s="50"/>
      <c r="BS28" s="79"/>
      <c r="BT28" s="78"/>
    </row>
    <row r="29" spans="1:72" ht="21.15" customHeight="1" x14ac:dyDescent="0.55000000000000004">
      <c r="A29" s="78"/>
      <c r="B29" s="79"/>
      <c r="C29" s="79"/>
      <c r="D29" s="79"/>
      <c r="E29" s="79"/>
      <c r="F29" s="79"/>
      <c r="G29" s="79"/>
      <c r="H29" s="79"/>
      <c r="I29" s="79"/>
      <c r="J29" s="79"/>
      <c r="K29" s="79"/>
      <c r="L29" s="79"/>
      <c r="M29" s="79"/>
      <c r="N29" s="79"/>
      <c r="O29" s="79"/>
      <c r="P29" s="79"/>
      <c r="Q29" s="79"/>
      <c r="R29" s="79"/>
      <c r="S29" s="250">
        <f>VLOOKUP(S27,市町村データ!A2:P106,MATCH(手順書_丁目_人口密度!$F$65, 市町村データ!A1:P1, 0),FALSE)</f>
        <v>4393</v>
      </c>
      <c r="T29" s="156"/>
      <c r="U29" s="156"/>
      <c r="V29" s="158"/>
      <c r="W29" s="244">
        <f>VLOOKUP(W27,市町村データ!A2:P106,MATCH(手順書_丁目_人口密度!$F$65, 市町村データ!A1:P1, 0),FALSE)</f>
        <v>1864</v>
      </c>
      <c r="X29" s="156"/>
      <c r="Y29" s="156"/>
      <c r="Z29" s="158"/>
      <c r="AA29" s="266">
        <f>VLOOKUP(AA27,市町村データ!A2:P106,MATCH(手順書_丁目_人口密度!$F$65, 市町村データ!A1:P1, 0),FALSE)</f>
        <v>2033</v>
      </c>
      <c r="AB29" s="156"/>
      <c r="AC29" s="156"/>
      <c r="AD29" s="158"/>
      <c r="AE29" s="260">
        <f>VLOOKUP(AE27,市町村データ!A2:P106,MATCH(手順書_丁目_人口密度!$F$65, 市町村データ!A1:P1, 0),FALSE)</f>
        <v>291</v>
      </c>
      <c r="AF29" s="156"/>
      <c r="AG29" s="156"/>
      <c r="AH29" s="158"/>
      <c r="AI29" s="261">
        <f>VLOOKUP(AI27,市町村データ!A2:P106,MATCH(手順書_丁目_人口密度!$F$65, 市町村データ!A1:P1, 0),FALSE)</f>
        <v>768</v>
      </c>
      <c r="AJ29" s="156"/>
      <c r="AK29" s="156"/>
      <c r="AL29" s="158"/>
      <c r="AM29" s="259">
        <f>VLOOKUP(AM27,市町村データ!A2:P106,MATCH(手順書_丁目_人口密度!$F$65, 市町村データ!A1:P1, 0),FALSE)</f>
        <v>1446</v>
      </c>
      <c r="AN29" s="156"/>
      <c r="AO29" s="156"/>
      <c r="AP29" s="158"/>
      <c r="AQ29" s="261">
        <f>VLOOKUP(AQ27,市町村データ!A2:P106,MATCH(手順書_丁目_人口密度!$F$65, 市町村データ!A1:P1, 0),FALSE)</f>
        <v>1390</v>
      </c>
      <c r="AR29" s="156"/>
      <c r="AS29" s="156"/>
      <c r="AT29" s="158"/>
      <c r="AU29" s="244">
        <f>VLOOKUP(AU27,市町村データ!A2:P106,MATCH(手順書_丁目_人口密度!$F$65, 市町村データ!A1:P1, 0),FALSE)</f>
        <v>849</v>
      </c>
      <c r="AV29" s="156"/>
      <c r="AW29" s="156"/>
      <c r="AX29" s="158"/>
      <c r="AY29" s="238">
        <f>VLOOKUP(AY27,市町村データ!A2:P106,MATCH(手順書_丁目_人口密度!$F$65, 市町村データ!A1:P1, 0),FALSE)</f>
        <v>2229</v>
      </c>
      <c r="AZ29" s="156"/>
      <c r="BA29" s="156"/>
      <c r="BB29" s="158"/>
      <c r="BC29" s="238">
        <f>VLOOKUP(BC27,市町村データ!A2:P106,MATCH(手順書_丁目_人口密度!$F$65, 市町村データ!A1:P1, 0),FALSE)</f>
        <v>1839</v>
      </c>
      <c r="BD29" s="156"/>
      <c r="BE29" s="156"/>
      <c r="BF29" s="158"/>
      <c r="BG29" s="245">
        <f>VLOOKUP(BG27,市町村データ!A2:P106,MATCH(手順書_丁目_人口密度!$F$65, 市町村データ!A1:P1, 0),FALSE)</f>
        <v>1835</v>
      </c>
      <c r="BH29" s="156"/>
      <c r="BI29" s="156"/>
      <c r="BJ29" s="158"/>
      <c r="BK29" s="266">
        <f>VLOOKUP(BK27,市町村データ!A2:P106,MATCH(手順書_丁目_人口密度!$F$65, 市町村データ!A1:P1, 0),FALSE)</f>
        <v>2651</v>
      </c>
      <c r="BL29" s="156"/>
      <c r="BM29" s="156"/>
      <c r="BN29" s="158"/>
      <c r="BO29" s="93"/>
      <c r="BP29" s="51"/>
      <c r="BQ29" s="51"/>
      <c r="BR29" s="51"/>
      <c r="BS29" s="79"/>
      <c r="BT29" s="78"/>
    </row>
    <row r="30" spans="1:72" ht="21.15" customHeight="1" thickBot="1" x14ac:dyDescent="0.6">
      <c r="A30" s="78"/>
      <c r="B30" s="79"/>
      <c r="C30" s="79"/>
      <c r="D30" s="79"/>
      <c r="E30" s="79"/>
      <c r="F30" s="79"/>
      <c r="G30" s="79"/>
      <c r="H30" s="79"/>
      <c r="I30" s="79"/>
      <c r="J30" s="79"/>
      <c r="K30" s="79"/>
      <c r="L30" s="79"/>
      <c r="M30" s="79"/>
      <c r="N30" s="79"/>
      <c r="O30" s="79"/>
      <c r="P30" s="79"/>
      <c r="Q30" s="79"/>
      <c r="R30" s="79"/>
      <c r="S30" s="251">
        <f>VLOOKUP(S27,市町村データ!A2:P106,MATCH(手順書_丁目_人口密度!$F$66, 市町村データ!A1:P1, 0),FALSE)</f>
        <v>40</v>
      </c>
      <c r="T30" s="153"/>
      <c r="U30" s="153"/>
      <c r="V30" s="240"/>
      <c r="W30" s="246">
        <f>VLOOKUP(W27,市町村データ!A2:P106,MATCH(手順書_丁目_人口密度!$F$66, 市町村データ!A1:P1, 0),FALSE)</f>
        <v>21</v>
      </c>
      <c r="X30" s="153"/>
      <c r="Y30" s="153"/>
      <c r="Z30" s="240"/>
      <c r="AA30" s="265">
        <f>VLOOKUP(AA27,市町村データ!A2:P106,MATCH(手順書_丁目_人口密度!$F$66, 市町村データ!A1:P1, 0),FALSE)</f>
        <v>12</v>
      </c>
      <c r="AB30" s="153"/>
      <c r="AC30" s="153"/>
      <c r="AD30" s="240"/>
      <c r="AE30" s="256">
        <f>VLOOKUP(AE27,市町村データ!A2:P106,MATCH(手順書_丁目_人口密度!$F$66, 市町村データ!A1:P1, 0),FALSE)</f>
        <v>31.7</v>
      </c>
      <c r="AF30" s="153"/>
      <c r="AG30" s="153"/>
      <c r="AH30" s="240"/>
      <c r="AI30" s="257">
        <f>VLOOKUP(AI27,市町村データ!A2:P106,MATCH(手順書_丁目_人口密度!$F$66, 市町村データ!A1:P1, 0),FALSE)</f>
        <v>18.8</v>
      </c>
      <c r="AJ30" s="153"/>
      <c r="AK30" s="153"/>
      <c r="AL30" s="240"/>
      <c r="AM30" s="258">
        <f>VLOOKUP(AM27,市町村データ!A2:P106,MATCH(手順書_丁目_人口密度!$F$66, 市町村データ!A1:P1, 0),FALSE)</f>
        <v>41.1</v>
      </c>
      <c r="AN30" s="153"/>
      <c r="AO30" s="153"/>
      <c r="AP30" s="240"/>
      <c r="AQ30" s="257">
        <f>VLOOKUP(AQ27,市町村データ!A2:P106,MATCH(手順書_丁目_人口密度!$F$66, 市町村データ!A1:P1, 0),FALSE)</f>
        <v>26.1</v>
      </c>
      <c r="AR30" s="153"/>
      <c r="AS30" s="153"/>
      <c r="AT30" s="240"/>
      <c r="AU30" s="246">
        <f>VLOOKUP(AU27,市町村データ!A2:P106,MATCH(手順書_丁目_人口密度!$F$66, 市町村データ!A1:P1, 0),FALSE)</f>
        <v>10</v>
      </c>
      <c r="AV30" s="153"/>
      <c r="AW30" s="153"/>
      <c r="AX30" s="240"/>
      <c r="AY30" s="241">
        <f>VLOOKUP(AY27,市町村データ!A2:P106,MATCH(手順書_丁目_人口密度!$F$66, 市町村データ!A1:P1, 0),FALSE)</f>
        <v>15</v>
      </c>
      <c r="AZ30" s="153"/>
      <c r="BA30" s="153"/>
      <c r="BB30" s="240"/>
      <c r="BC30" s="241">
        <f>VLOOKUP(BC27,市町村データ!A2:P106,MATCH(手順書_丁目_人口密度!$F$66, 市町村データ!A1:P1, 0),FALSE)</f>
        <v>13</v>
      </c>
      <c r="BD30" s="153"/>
      <c r="BE30" s="153"/>
      <c r="BF30" s="240"/>
      <c r="BG30" s="247">
        <f>VLOOKUP(BG27,市町村データ!A2:P106,MATCH(手順書_丁目_人口密度!$F$66, 市町村データ!A1:P1, 0),FALSE)</f>
        <v>13.5</v>
      </c>
      <c r="BH30" s="153"/>
      <c r="BI30" s="153"/>
      <c r="BJ30" s="240"/>
      <c r="BK30" s="265">
        <f>VLOOKUP(BK27,市町村データ!A2:P106,MATCH(手順書_丁目_人口密度!$F$66, 市町村データ!A1:P1, 0),FALSE)</f>
        <v>16.5</v>
      </c>
      <c r="BL30" s="153"/>
      <c r="BM30" s="153"/>
      <c r="BN30" s="240"/>
      <c r="BO30" s="85"/>
      <c r="BP30" s="52"/>
      <c r="BQ30" s="52"/>
      <c r="BR30" s="52"/>
      <c r="BS30" s="79"/>
      <c r="BT30" s="78"/>
    </row>
    <row r="31" spans="1:72" ht="21.15" customHeight="1" x14ac:dyDescent="0.55000000000000004">
      <c r="A31" s="78"/>
      <c r="B31" s="79"/>
      <c r="C31" s="81" t="s">
        <v>67</v>
      </c>
      <c r="D31" s="79"/>
      <c r="E31" s="79"/>
      <c r="F31" s="79"/>
      <c r="G31" s="82">
        <v>54</v>
      </c>
      <c r="H31" s="142" t="str">
        <f>VLOOKUP(G31,市町村データ!A2:P106,MATCH(手順書_丁目_人口密度!$G$63, 市町村データ!A1:P1, 0),FALSE)</f>
        <v>新堀3</v>
      </c>
      <c r="I31" s="154"/>
      <c r="J31" s="159"/>
      <c r="K31" s="82">
        <v>55</v>
      </c>
      <c r="L31" s="142" t="str">
        <f>VLOOKUP(K31,市町村データ!A2:P106,MATCH(手順書_丁目_人口密度!$G$63, 市町村データ!A1:P1, 0),FALSE)</f>
        <v>新堀2</v>
      </c>
      <c r="M31" s="154"/>
      <c r="N31" s="159"/>
      <c r="O31" s="82">
        <v>56</v>
      </c>
      <c r="P31" s="142" t="str">
        <f>VLOOKUP(O31,市町村データ!A2:P106,MATCH(手順書_丁目_人口密度!$G$63, 市町村データ!A1:P1, 0),FALSE)</f>
        <v>新堀1</v>
      </c>
      <c r="Q31" s="154"/>
      <c r="R31" s="159"/>
      <c r="S31" s="82">
        <v>57</v>
      </c>
      <c r="T31" s="142" t="str">
        <f>VLOOKUP(S31,市町村データ!A2:P106,MATCH(手順書_丁目_人口密度!$G$63, 市町村データ!A1:P1, 0),FALSE)</f>
        <v>西堀3</v>
      </c>
      <c r="U31" s="154"/>
      <c r="V31" s="159"/>
      <c r="W31" s="96"/>
      <c r="X31" s="84"/>
      <c r="Y31" s="84"/>
      <c r="Z31" s="84"/>
      <c r="AA31" s="82">
        <v>58</v>
      </c>
      <c r="AB31" s="142" t="str">
        <f>VLOOKUP(AA31,市町村データ!A2:P106,MATCH(手順書_丁目_人口密度!$G$63, 市町村データ!A1:P1, 0),FALSE)</f>
        <v>石神4</v>
      </c>
      <c r="AC31" s="154"/>
      <c r="AD31" s="159"/>
      <c r="AE31" s="82">
        <v>59</v>
      </c>
      <c r="AF31" s="142" t="str">
        <f>VLOOKUP(AE31,市町村データ!A2:P106,MATCH(手順書_丁目_人口密度!$G$63, 市町村データ!A1:P1, 0),FALSE)</f>
        <v>石神1</v>
      </c>
      <c r="AG31" s="154"/>
      <c r="AH31" s="159"/>
      <c r="AI31" s="82">
        <v>60</v>
      </c>
      <c r="AJ31" s="142" t="str">
        <f>VLOOKUP(AI31,市町村データ!A2:P106,MATCH(手順書_丁目_人口密度!$G$63, 市町村データ!A1:P1, 0),FALSE)</f>
        <v>道場2</v>
      </c>
      <c r="AK31" s="154"/>
      <c r="AL31" s="159"/>
      <c r="AM31" s="82">
        <v>61</v>
      </c>
      <c r="AN31" s="142" t="str">
        <f>VLOOKUP(AM31,市町村データ!A2:P106,MATCH(手順書_丁目_人口密度!$G$63, 市町村データ!A1:P1, 0),FALSE)</f>
        <v>道場1</v>
      </c>
      <c r="AO31" s="154"/>
      <c r="AP31" s="159"/>
      <c r="AQ31" s="97"/>
      <c r="AR31" s="84"/>
      <c r="AS31" s="84"/>
      <c r="AT31" s="84"/>
      <c r="AU31" s="82">
        <v>62</v>
      </c>
      <c r="AV31" s="142" t="str">
        <f>VLOOKUP(AU31,市町村データ!A2:P106,MATCH(手順書_丁目_人口密度!$G$63, 市町村データ!A1:P1, 0),FALSE)</f>
        <v>池田1</v>
      </c>
      <c r="AW31" s="154"/>
      <c r="AX31" s="159"/>
      <c r="AY31" s="82">
        <v>63</v>
      </c>
      <c r="AZ31" s="142" t="str">
        <f>VLOOKUP(AY31,市町村データ!A2:P106,MATCH(手順書_丁目_人口密度!$G$63, 市町村データ!A1:P1, 0),FALSE)</f>
        <v>池田2</v>
      </c>
      <c r="BA31" s="154"/>
      <c r="BB31" s="159"/>
      <c r="BC31" s="82">
        <v>64</v>
      </c>
      <c r="BD31" s="142" t="str">
        <f>VLOOKUP(BC31,市町村データ!A2:P106,MATCH(手順書_丁目_人口密度!$G$63, 市町村データ!A1:P1, 0),FALSE)</f>
        <v>池田3</v>
      </c>
      <c r="BE31" s="154"/>
      <c r="BF31" s="159"/>
      <c r="BG31" s="82">
        <v>65</v>
      </c>
      <c r="BH31" s="142" t="str">
        <f>VLOOKUP(BG31,市町村データ!A2:P106,MATCH(手順書_丁目_人口密度!$G$63, 市町村データ!A1:P1, 0),FALSE)</f>
        <v>池田4</v>
      </c>
      <c r="BI31" s="154"/>
      <c r="BJ31" s="159"/>
      <c r="BK31" s="82">
        <v>66</v>
      </c>
      <c r="BL31" s="142" t="str">
        <f>VLOOKUP(BK31,市町村データ!A2:P106,MATCH(手順書_丁目_人口密度!$G$63, 市町村データ!A1:P1, 0),FALSE)</f>
        <v>池田5</v>
      </c>
      <c r="BM31" s="154"/>
      <c r="BN31" s="159"/>
      <c r="BO31" s="91"/>
      <c r="BP31" s="79"/>
      <c r="BQ31" s="79"/>
      <c r="BR31" s="79"/>
      <c r="BS31" s="79"/>
      <c r="BT31" s="78"/>
    </row>
    <row r="32" spans="1:72" ht="21.15" customHeight="1" x14ac:dyDescent="0.55000000000000004">
      <c r="A32" s="78"/>
      <c r="B32" s="79"/>
      <c r="C32" s="79"/>
      <c r="D32" s="79"/>
      <c r="E32" s="79"/>
      <c r="F32" s="79"/>
      <c r="G32" s="243">
        <f>VLOOKUP(G31,市町村データ!A2:P106,MATCH(手順書_丁目_人口密度!$F$64, 市町村データ!A1:P1, 0),FALSE)</f>
        <v>158.69999999999999</v>
      </c>
      <c r="H32" s="156"/>
      <c r="I32" s="156"/>
      <c r="J32" s="158"/>
      <c r="K32" s="249">
        <f>VLOOKUP(K31,市町村データ!A2:P106,MATCH(手順書_丁目_人口密度!$F$64, 市町村データ!A1:P1, 0),FALSE)</f>
        <v>133</v>
      </c>
      <c r="L32" s="156"/>
      <c r="M32" s="156"/>
      <c r="N32" s="158"/>
      <c r="O32" s="252">
        <f>VLOOKUP(O31,市町村データ!A2:P106,MATCH(手順書_丁目_人口密度!$F$64, 市町村データ!A1:P1, 0),FALSE)</f>
        <v>118.2</v>
      </c>
      <c r="P32" s="156"/>
      <c r="Q32" s="156"/>
      <c r="R32" s="158"/>
      <c r="S32" s="262">
        <f>VLOOKUP(S31,市町村データ!A2:P106,MATCH(手順書_丁目_人口密度!$F$64, 市町村データ!A1:P1, 0),FALSE)</f>
        <v>2.7</v>
      </c>
      <c r="T32" s="156"/>
      <c r="U32" s="156"/>
      <c r="V32" s="158"/>
      <c r="W32" s="85"/>
      <c r="X32" s="79"/>
      <c r="Y32" s="79"/>
      <c r="Z32" s="79"/>
      <c r="AA32" s="248">
        <f>VLOOKUP(AA31,市町村データ!A2:P106,MATCH(手順書_丁目_人口密度!$F$64, 市町村データ!A1:P1, 0),FALSE)</f>
        <v>93.7</v>
      </c>
      <c r="AB32" s="156"/>
      <c r="AC32" s="156"/>
      <c r="AD32" s="158"/>
      <c r="AE32" s="248">
        <f>VLOOKUP(AE31,市町村データ!A2:P106,MATCH(手順書_丁目_人口密度!$F$64, 市町村データ!A1:P1, 0),FALSE)</f>
        <v>81.8</v>
      </c>
      <c r="AF32" s="156"/>
      <c r="AG32" s="156"/>
      <c r="AH32" s="158"/>
      <c r="AI32" s="264">
        <f>VLOOKUP(AI31,市町村データ!A2:P106,MATCH(手順書_丁目_人口密度!$F$64, 市町村データ!A1:P1, 0),FALSE)</f>
        <v>22.9</v>
      </c>
      <c r="AJ32" s="156"/>
      <c r="AK32" s="156"/>
      <c r="AL32" s="158"/>
      <c r="AM32" s="254">
        <f>VLOOKUP(AM31,市町村データ!A2:P106,MATCH(手順書_丁目_人口密度!$F$64, 市町村データ!A1:P1, 0),FALSE)</f>
        <v>61</v>
      </c>
      <c r="AN32" s="156"/>
      <c r="AO32" s="156"/>
      <c r="AP32" s="158"/>
      <c r="AQ32" s="92"/>
      <c r="AR32" s="87"/>
      <c r="AS32" s="87"/>
      <c r="AT32" s="87"/>
      <c r="AU32" s="262">
        <f>VLOOKUP(AU31,市町村データ!A2:P106,MATCH(手順書_丁目_人口密度!$F$64, 市町村データ!A1:P1, 0),FALSE)</f>
        <v>1.2</v>
      </c>
      <c r="AV32" s="156"/>
      <c r="AW32" s="156"/>
      <c r="AX32" s="158"/>
      <c r="AY32" s="262">
        <f>VLOOKUP(AY31,市町村データ!A2:P106,MATCH(手順書_丁目_人口密度!$F$64, 市町村データ!A1:P1, 0),FALSE)</f>
        <v>19</v>
      </c>
      <c r="AZ32" s="156"/>
      <c r="BA32" s="156"/>
      <c r="BB32" s="158"/>
      <c r="BC32" s="263">
        <f>VLOOKUP(BC31,市町村データ!A2:P106,MATCH(手順書_丁目_人口密度!$F$64, 市町村データ!A1:P1, 0),FALSE)</f>
        <v>49.9</v>
      </c>
      <c r="BD32" s="156"/>
      <c r="BE32" s="156"/>
      <c r="BF32" s="158"/>
      <c r="BG32" s="248">
        <f>VLOOKUP(BG31,市町村データ!A2:P106,MATCH(手順書_丁目_人口密度!$F$64, 市町村データ!A1:P1, 0),FALSE)</f>
        <v>83.2</v>
      </c>
      <c r="BH32" s="156"/>
      <c r="BI32" s="156"/>
      <c r="BJ32" s="158"/>
      <c r="BK32" s="243">
        <f>VLOOKUP(BK31,市町村データ!A2:P106,MATCH(手順書_丁目_人口密度!$F$64, 市町村データ!A1:P1, 0),FALSE)</f>
        <v>147.30000000000001</v>
      </c>
      <c r="BL32" s="156"/>
      <c r="BM32" s="156"/>
      <c r="BN32" s="158"/>
      <c r="BO32" s="92"/>
      <c r="BP32" s="50"/>
      <c r="BQ32" s="50"/>
      <c r="BR32" s="50"/>
      <c r="BS32" s="79"/>
      <c r="BT32" s="78"/>
    </row>
    <row r="33" spans="1:72" ht="21.15" customHeight="1" x14ac:dyDescent="0.55000000000000004">
      <c r="A33" s="78"/>
      <c r="B33" s="79"/>
      <c r="C33" s="79"/>
      <c r="D33" s="79"/>
      <c r="E33" s="79"/>
      <c r="F33" s="79"/>
      <c r="G33" s="238">
        <f>VLOOKUP(G31,市町村データ!A2:P106,MATCH(手順書_丁目_人口密度!$F$65, 市町村データ!A1:P1, 0),FALSE)</f>
        <v>3173</v>
      </c>
      <c r="H33" s="156"/>
      <c r="I33" s="156"/>
      <c r="J33" s="158"/>
      <c r="K33" s="245">
        <f>VLOOKUP(K31,市町村データ!A2:P106,MATCH(手順書_丁目_人口密度!$F$65, 市町村データ!A1:P1, 0),FALSE)</f>
        <v>3856</v>
      </c>
      <c r="L33" s="156"/>
      <c r="M33" s="156"/>
      <c r="N33" s="158"/>
      <c r="O33" s="250">
        <f>VLOOKUP(O31,市町村データ!A2:P106,MATCH(手順書_丁目_人口密度!$F$65, 市町村データ!A1:P1, 0),FALSE)</f>
        <v>3429</v>
      </c>
      <c r="P33" s="156"/>
      <c r="Q33" s="156"/>
      <c r="R33" s="158"/>
      <c r="S33" s="260">
        <f>VLOOKUP(S31,市町村データ!A2:P106,MATCH(手順書_丁目_人口密度!$F$65, 市町村データ!A1:P1, 0),FALSE)</f>
        <v>119</v>
      </c>
      <c r="T33" s="156"/>
      <c r="U33" s="156"/>
      <c r="V33" s="158"/>
      <c r="W33" s="85"/>
      <c r="X33" s="79"/>
      <c r="Y33" s="79"/>
      <c r="Z33" s="79"/>
      <c r="AA33" s="244">
        <f>VLOOKUP(AA31,市町村データ!A2:P106,MATCH(手順書_丁目_人口密度!$F$65, 市町村データ!A1:P1, 0),FALSE)</f>
        <v>1686</v>
      </c>
      <c r="AB33" s="156"/>
      <c r="AC33" s="156"/>
      <c r="AD33" s="158"/>
      <c r="AE33" s="244">
        <f>VLOOKUP(AE31,市町村データ!A2:P106,MATCH(手順書_丁目_人口密度!$F$65, 市町村データ!A1:P1, 0),FALSE)</f>
        <v>1529</v>
      </c>
      <c r="AF33" s="156"/>
      <c r="AG33" s="156"/>
      <c r="AH33" s="158"/>
      <c r="AI33" s="259">
        <f>VLOOKUP(AI31,市町村データ!A2:P106,MATCH(手順書_丁目_人口密度!$F$65, 市町村データ!A1:P1, 0),FALSE)</f>
        <v>591</v>
      </c>
      <c r="AJ33" s="156"/>
      <c r="AK33" s="156"/>
      <c r="AL33" s="158"/>
      <c r="AM33" s="255">
        <f>VLOOKUP(AM31,市町村データ!A2:P106,MATCH(手順書_丁目_人口密度!$F$65, 市町村データ!A1:P1, 0),FALSE)</f>
        <v>1024</v>
      </c>
      <c r="AN33" s="156"/>
      <c r="AO33" s="156"/>
      <c r="AP33" s="158"/>
      <c r="AQ33" s="93"/>
      <c r="AR33" s="89"/>
      <c r="AS33" s="89"/>
      <c r="AT33" s="89"/>
      <c r="AU33" s="260">
        <f>VLOOKUP(AU31,市町村データ!A2:P106,MATCH(手順書_丁目_人口密度!$F$65, 市町村データ!A1:P1, 0),FALSE)</f>
        <v>12</v>
      </c>
      <c r="AV33" s="156"/>
      <c r="AW33" s="156"/>
      <c r="AX33" s="158"/>
      <c r="AY33" s="260">
        <f>VLOOKUP(AY31,市町村データ!A2:P106,MATCH(手順書_丁目_人口密度!$F$65, 市町村データ!A1:P1, 0),FALSE)</f>
        <v>226</v>
      </c>
      <c r="AZ33" s="156"/>
      <c r="BA33" s="156"/>
      <c r="BB33" s="158"/>
      <c r="BC33" s="261">
        <f>VLOOKUP(BC31,市町村データ!A2:P106,MATCH(手順書_丁目_人口密度!$F$65, 市町村データ!A1:P1, 0),FALSE)</f>
        <v>599</v>
      </c>
      <c r="BD33" s="156"/>
      <c r="BE33" s="156"/>
      <c r="BF33" s="158"/>
      <c r="BG33" s="244">
        <f>VLOOKUP(BG31,市町村データ!A2:P106,MATCH(手順書_丁目_人口密度!$F$65, 市町村データ!A1:P1, 0),FALSE)</f>
        <v>1123</v>
      </c>
      <c r="BH33" s="156"/>
      <c r="BI33" s="156"/>
      <c r="BJ33" s="158"/>
      <c r="BK33" s="238">
        <f>VLOOKUP(BK31,市町村データ!A2:P106,MATCH(手順書_丁目_人口密度!$F$65, 市町村データ!A1:P1, 0),FALSE)</f>
        <v>1178</v>
      </c>
      <c r="BL33" s="156"/>
      <c r="BM33" s="156"/>
      <c r="BN33" s="158"/>
      <c r="BO33" s="93"/>
      <c r="BP33" s="51"/>
      <c r="BQ33" s="51"/>
      <c r="BR33" s="51"/>
      <c r="BS33" s="79"/>
      <c r="BT33" s="78"/>
    </row>
    <row r="34" spans="1:72" ht="21.15" customHeight="1" thickBot="1" x14ac:dyDescent="0.6">
      <c r="A34" s="78"/>
      <c r="B34" s="79"/>
      <c r="C34" s="79"/>
      <c r="D34" s="79"/>
      <c r="E34" s="79"/>
      <c r="F34" s="79"/>
      <c r="G34" s="241">
        <f>VLOOKUP(G31,市町村データ!A2:P106,MATCH(手順書_丁目_人口密度!$F$66, 市町村データ!A1:P1, 0),FALSE)</f>
        <v>20</v>
      </c>
      <c r="H34" s="153"/>
      <c r="I34" s="153"/>
      <c r="J34" s="240"/>
      <c r="K34" s="247">
        <f>VLOOKUP(K31,市町村データ!A2:P106,MATCH(手順書_丁目_人口密度!$F$66, 市町村データ!A1:P1, 0),FALSE)</f>
        <v>29</v>
      </c>
      <c r="L34" s="153"/>
      <c r="M34" s="153"/>
      <c r="N34" s="240"/>
      <c r="O34" s="251">
        <f>VLOOKUP(O31,市町村データ!A2:P106,MATCH(手順書_丁目_人口密度!$F$66, 市町村データ!A1:P1, 0),FALSE)</f>
        <v>29</v>
      </c>
      <c r="P34" s="153"/>
      <c r="Q34" s="153"/>
      <c r="R34" s="240"/>
      <c r="S34" s="256">
        <f>VLOOKUP(S31,市町村データ!A2:P106,MATCH(手順書_丁目_人口密度!$F$66, 市町村データ!A1:P1, 0),FALSE)</f>
        <v>43.6</v>
      </c>
      <c r="T34" s="153"/>
      <c r="U34" s="153"/>
      <c r="V34" s="240"/>
      <c r="W34" s="85"/>
      <c r="X34" s="79"/>
      <c r="Y34" s="79"/>
      <c r="Z34" s="79"/>
      <c r="AA34" s="246">
        <f>VLOOKUP(AA31,市町村データ!A2:P106,MATCH(手順書_丁目_人口密度!$F$66, 市町村データ!A1:P1, 0),FALSE)</f>
        <v>18</v>
      </c>
      <c r="AB34" s="153"/>
      <c r="AC34" s="153"/>
      <c r="AD34" s="240"/>
      <c r="AE34" s="246">
        <f>VLOOKUP(AE31,市町村データ!A2:P106,MATCH(手順書_丁目_人口密度!$F$66, 市町村データ!A1:P1, 0),FALSE)</f>
        <v>18.7</v>
      </c>
      <c r="AF34" s="153"/>
      <c r="AG34" s="153"/>
      <c r="AH34" s="240"/>
      <c r="AI34" s="258">
        <f>VLOOKUP(AI31,市町村データ!A2:P106,MATCH(手順書_丁目_人口密度!$F$66, 市町村データ!A1:P1, 0),FALSE)</f>
        <v>25.8</v>
      </c>
      <c r="AJ34" s="153"/>
      <c r="AK34" s="153"/>
      <c r="AL34" s="240"/>
      <c r="AM34" s="253">
        <f>VLOOKUP(AM31,市町村データ!A2:P106,MATCH(手順書_丁目_人口密度!$F$66, 市町村データ!A1:P1, 0),FALSE)</f>
        <v>16.8</v>
      </c>
      <c r="AN34" s="153"/>
      <c r="AO34" s="153"/>
      <c r="AP34" s="240"/>
      <c r="AQ34" s="85"/>
      <c r="AR34" s="79"/>
      <c r="AS34" s="79"/>
      <c r="AT34" s="79"/>
      <c r="AU34" s="256">
        <f>VLOOKUP(AU31,市町村データ!A2:P106,MATCH(手順書_丁目_人口密度!$F$66, 市町村データ!A1:P1, 0),FALSE)</f>
        <v>9.9</v>
      </c>
      <c r="AV34" s="153"/>
      <c r="AW34" s="153"/>
      <c r="AX34" s="240"/>
      <c r="AY34" s="256">
        <f>VLOOKUP(AY31,市町村データ!A2:P106,MATCH(手順書_丁目_人口密度!$F$66, 市町村データ!A1:P1, 0),FALSE)</f>
        <v>11.9</v>
      </c>
      <c r="AZ34" s="153"/>
      <c r="BA34" s="153"/>
      <c r="BB34" s="240"/>
      <c r="BC34" s="257">
        <f>VLOOKUP(BC31,市町村データ!A2:P106,MATCH(手順書_丁目_人口密度!$F$66, 市町村データ!A1:P1, 0),FALSE)</f>
        <v>12</v>
      </c>
      <c r="BD34" s="153"/>
      <c r="BE34" s="153"/>
      <c r="BF34" s="240"/>
      <c r="BG34" s="246">
        <f>VLOOKUP(BG31,市町村データ!A2:P106,MATCH(手順書_丁目_人口密度!$F$66, 市町村データ!A1:P1, 0),FALSE)</f>
        <v>13.5</v>
      </c>
      <c r="BH34" s="153"/>
      <c r="BI34" s="153"/>
      <c r="BJ34" s="240"/>
      <c r="BK34" s="241">
        <f>VLOOKUP(BK31,市町村データ!A2:P106,MATCH(手順書_丁目_人口密度!$F$66, 市町村データ!A1:P1, 0),FALSE)</f>
        <v>8</v>
      </c>
      <c r="BL34" s="153"/>
      <c r="BM34" s="153"/>
      <c r="BN34" s="240"/>
      <c r="BO34" s="85"/>
      <c r="BP34" s="52"/>
      <c r="BQ34" s="52"/>
      <c r="BR34" s="52"/>
      <c r="BS34" s="79"/>
      <c r="BT34" s="78"/>
    </row>
    <row r="35" spans="1:72" ht="21.15" customHeight="1" x14ac:dyDescent="0.55000000000000004">
      <c r="A35" s="78"/>
      <c r="B35" s="79"/>
      <c r="C35" s="81" t="s">
        <v>68</v>
      </c>
      <c r="D35" s="79"/>
      <c r="E35" s="79"/>
      <c r="F35" s="79"/>
      <c r="G35" s="84"/>
      <c r="H35" s="84"/>
      <c r="I35" s="84"/>
      <c r="J35" s="84"/>
      <c r="K35" s="84"/>
      <c r="L35" s="84"/>
      <c r="M35" s="84"/>
      <c r="N35" s="84"/>
      <c r="O35" s="84"/>
      <c r="P35" s="84"/>
      <c r="Q35" s="84"/>
      <c r="R35" s="84"/>
      <c r="S35" s="84"/>
      <c r="T35" s="84"/>
      <c r="U35" s="84"/>
      <c r="V35" s="84"/>
      <c r="W35" s="79"/>
      <c r="X35" s="79"/>
      <c r="Y35" s="79"/>
      <c r="Z35" s="79"/>
      <c r="AA35" s="82">
        <v>67</v>
      </c>
      <c r="AB35" s="142" t="str">
        <f>VLOOKUP(AA35,市町村データ!A2:P106,MATCH(手順書_丁目_人口密度!$G$63, 市町村データ!A1:P1, 0),FALSE)</f>
        <v>石神3</v>
      </c>
      <c r="AC35" s="154"/>
      <c r="AD35" s="159"/>
      <c r="AE35" s="82">
        <v>68</v>
      </c>
      <c r="AF35" s="142" t="str">
        <f>VLOOKUP(AE35,市町村データ!A2:P106,MATCH(手順書_丁目_人口密度!$G$63, 市町村データ!A1:P1, 0),FALSE)</f>
        <v>石神2</v>
      </c>
      <c r="AG35" s="154"/>
      <c r="AH35" s="159"/>
      <c r="AI35" s="97"/>
      <c r="AJ35" s="84"/>
      <c r="AK35" s="84"/>
      <c r="AL35" s="84"/>
      <c r="AM35" s="95"/>
      <c r="AN35" s="84"/>
      <c r="AO35" s="84"/>
      <c r="AP35" s="84"/>
      <c r="AQ35" s="86"/>
      <c r="AR35" s="79"/>
      <c r="AS35" s="79"/>
      <c r="AT35" s="79"/>
      <c r="AU35" s="95"/>
      <c r="AV35" s="84"/>
      <c r="AW35" s="84"/>
      <c r="AX35" s="84"/>
      <c r="AY35" s="95"/>
      <c r="AZ35" s="84"/>
      <c r="BA35" s="84"/>
      <c r="BB35" s="84"/>
      <c r="BC35" s="82">
        <v>69</v>
      </c>
      <c r="BD35" s="142" t="str">
        <f>VLOOKUP(BC35,市町村データ!A2:P106,MATCH(手順書_丁目_人口密度!$G$63, 市町村データ!A1:P1, 0),FALSE)</f>
        <v>片山1</v>
      </c>
      <c r="BE35" s="154"/>
      <c r="BF35" s="159"/>
      <c r="BG35" s="82">
        <v>70</v>
      </c>
      <c r="BH35" s="142" t="str">
        <f>VLOOKUP(BG35,市町村データ!A2:P106,MATCH(手順書_丁目_人口密度!$G$63, 市町村データ!A1:P1, 0),FALSE)</f>
        <v>片山2</v>
      </c>
      <c r="BI35" s="154"/>
      <c r="BJ35" s="159"/>
      <c r="BK35" s="82">
        <v>71</v>
      </c>
      <c r="BL35" s="142" t="str">
        <f>VLOOKUP(BK35,市町村データ!A2:P106,MATCH(手順書_丁目_人口密度!$G$63, 市町村データ!A1:P1, 0),FALSE)</f>
        <v>片山3</v>
      </c>
      <c r="BM35" s="154"/>
      <c r="BN35" s="159"/>
      <c r="BO35" s="91"/>
      <c r="BP35" s="79"/>
      <c r="BQ35" s="79"/>
      <c r="BR35" s="79"/>
      <c r="BS35" s="79"/>
      <c r="BT35" s="78"/>
    </row>
    <row r="36" spans="1:72" ht="21.15" customHeight="1" x14ac:dyDescent="0.55000000000000004">
      <c r="A36" s="78"/>
      <c r="B36" s="79"/>
      <c r="C36" s="79"/>
      <c r="D36" s="79"/>
      <c r="E36" s="79"/>
      <c r="F36" s="79"/>
      <c r="G36" s="79"/>
      <c r="H36" s="79"/>
      <c r="I36" s="79"/>
      <c r="J36" s="79"/>
      <c r="K36" s="79"/>
      <c r="L36" s="79"/>
      <c r="M36" s="79"/>
      <c r="N36" s="79"/>
      <c r="O36" s="79"/>
      <c r="P36" s="79"/>
      <c r="Q36" s="79"/>
      <c r="R36" s="79"/>
      <c r="S36" s="79"/>
      <c r="T36" s="79"/>
      <c r="U36" s="79"/>
      <c r="V36" s="79"/>
      <c r="W36" s="79"/>
      <c r="X36" s="79"/>
      <c r="Y36" s="79"/>
      <c r="Z36" s="79"/>
      <c r="AA36" s="243">
        <f>VLOOKUP(AA35,市町村データ!A2:P106,MATCH(手順書_丁目_人口密度!$F$64, 市町村データ!A1:P1, 0),FALSE)</f>
        <v>158.30000000000001</v>
      </c>
      <c r="AB36" s="156"/>
      <c r="AC36" s="156"/>
      <c r="AD36" s="158"/>
      <c r="AE36" s="249">
        <f>VLOOKUP(AE35,市町村データ!A2:P106,MATCH(手順書_丁目_人口密度!$F$64, 市町村データ!A1:P1, 0),FALSE)</f>
        <v>122.2</v>
      </c>
      <c r="AF36" s="156"/>
      <c r="AG36" s="156"/>
      <c r="AH36" s="158"/>
      <c r="AI36" s="98"/>
      <c r="AJ36" s="50"/>
      <c r="AK36" s="50"/>
      <c r="AL36" s="50"/>
      <c r="AM36" s="50"/>
      <c r="AN36" s="50"/>
      <c r="AO36" s="50"/>
      <c r="AP36" s="50"/>
      <c r="AQ36" s="50"/>
      <c r="AR36" s="50"/>
      <c r="AS36" s="50"/>
      <c r="AT36" s="50"/>
      <c r="AU36" s="50"/>
      <c r="AV36" s="50"/>
      <c r="AW36" s="50"/>
      <c r="AX36" s="50"/>
      <c r="AY36" s="50"/>
      <c r="AZ36" s="50"/>
      <c r="BA36" s="50"/>
      <c r="BB36" s="50"/>
      <c r="BC36" s="252">
        <f>VLOOKUP(BC35,市町村データ!A2:P106,MATCH(手順書_丁目_人口密度!$F$64, 市町村データ!A1:P1, 0),FALSE)</f>
        <v>102.8</v>
      </c>
      <c r="BD36" s="156"/>
      <c r="BE36" s="156"/>
      <c r="BF36" s="158"/>
      <c r="BG36" s="254">
        <f>VLOOKUP(BG35,市町村データ!A2:P106,MATCH(手順書_丁目_人口密度!$F$64, 市町村データ!A1:P1, 0),FALSE)</f>
        <v>73.7</v>
      </c>
      <c r="BH36" s="156"/>
      <c r="BI36" s="156"/>
      <c r="BJ36" s="158"/>
      <c r="BK36" s="252">
        <f>VLOOKUP(BK35,市町村データ!A2:P106,MATCH(手順書_丁目_人口密度!$F$64, 市町村データ!A1:P1, 0),FALSE)</f>
        <v>119.3</v>
      </c>
      <c r="BL36" s="156"/>
      <c r="BM36" s="156"/>
      <c r="BN36" s="158"/>
      <c r="BO36" s="98"/>
      <c r="BP36" s="50"/>
      <c r="BQ36" s="50"/>
      <c r="BR36" s="50"/>
      <c r="BS36" s="79"/>
      <c r="BT36" s="78"/>
    </row>
    <row r="37" spans="1:72" ht="21.15" customHeight="1" x14ac:dyDescent="0.55000000000000004">
      <c r="A37" s="78"/>
      <c r="B37" s="79"/>
      <c r="C37" s="79"/>
      <c r="D37" s="79"/>
      <c r="E37" s="79"/>
      <c r="F37" s="79"/>
      <c r="G37" s="79"/>
      <c r="H37" s="79"/>
      <c r="I37" s="79"/>
      <c r="J37" s="79"/>
      <c r="K37" s="79"/>
      <c r="L37" s="79"/>
      <c r="M37" s="79"/>
      <c r="N37" s="79"/>
      <c r="O37" s="79"/>
      <c r="P37" s="79"/>
      <c r="Q37" s="79"/>
      <c r="R37" s="79"/>
      <c r="S37" s="79"/>
      <c r="T37" s="79"/>
      <c r="U37" s="79"/>
      <c r="V37" s="79"/>
      <c r="W37" s="79"/>
      <c r="X37" s="79"/>
      <c r="Y37" s="79"/>
      <c r="Z37" s="79"/>
      <c r="AA37" s="238">
        <f>VLOOKUP(AA35,市町村データ!A2:P106,MATCH(手順書_丁目_人口密度!$F$65, 市町村データ!A1:P1, 0),FALSE)</f>
        <v>2169</v>
      </c>
      <c r="AB37" s="156"/>
      <c r="AC37" s="156"/>
      <c r="AD37" s="158"/>
      <c r="AE37" s="245">
        <f>VLOOKUP(AE35,市町村データ!A2:P106,MATCH(手順書_丁目_人口密度!$F$65, 市町村データ!A1:P1, 0),FALSE)</f>
        <v>1894</v>
      </c>
      <c r="AF37" s="156"/>
      <c r="AG37" s="156"/>
      <c r="AH37" s="158"/>
      <c r="AI37" s="99"/>
      <c r="AJ37" s="51"/>
      <c r="AK37" s="51"/>
      <c r="AL37" s="51"/>
      <c r="AM37" s="51"/>
      <c r="AN37" s="51"/>
      <c r="AO37" s="51"/>
      <c r="AP37" s="51"/>
      <c r="AQ37" s="51"/>
      <c r="AR37" s="51"/>
      <c r="AS37" s="51"/>
      <c r="AT37" s="51"/>
      <c r="AU37" s="51"/>
      <c r="AV37" s="51"/>
      <c r="AW37" s="51"/>
      <c r="AX37" s="51"/>
      <c r="AY37" s="51"/>
      <c r="AZ37" s="51"/>
      <c r="BA37" s="51"/>
      <c r="BB37" s="51"/>
      <c r="BC37" s="250">
        <f>VLOOKUP(BC35,市町村データ!A2:P106,MATCH(手順書_丁目_人口密度!$F$65, 市町村データ!A1:P1, 0),FALSE)</f>
        <v>2365</v>
      </c>
      <c r="BD37" s="156"/>
      <c r="BE37" s="156"/>
      <c r="BF37" s="158"/>
      <c r="BG37" s="255">
        <f>VLOOKUP(BG35,市町村データ!A2:P106,MATCH(手順書_丁目_人口密度!$F$65, 市町村データ!A1:P1, 0),FALSE)</f>
        <v>1327</v>
      </c>
      <c r="BH37" s="156"/>
      <c r="BI37" s="156"/>
      <c r="BJ37" s="158"/>
      <c r="BK37" s="250">
        <f>VLOOKUP(BK35,市町村データ!A2:P106,MATCH(手順書_丁目_人口密度!$F$65, 市町村データ!A1:P1, 0),FALSE)</f>
        <v>3818</v>
      </c>
      <c r="BL37" s="156"/>
      <c r="BM37" s="156"/>
      <c r="BN37" s="158"/>
      <c r="BO37" s="99"/>
      <c r="BP37" s="51"/>
      <c r="BQ37" s="51"/>
      <c r="BR37" s="51"/>
      <c r="BS37" s="79"/>
      <c r="BT37" s="78"/>
    </row>
    <row r="38" spans="1:72" ht="21.15" customHeight="1" thickBot="1" x14ac:dyDescent="0.6">
      <c r="A38" s="78"/>
      <c r="B38" s="79"/>
      <c r="C38" s="79"/>
      <c r="D38" s="79"/>
      <c r="E38" s="79"/>
      <c r="F38" s="79"/>
      <c r="G38" s="79"/>
      <c r="H38" s="79"/>
      <c r="I38" s="79"/>
      <c r="J38" s="79"/>
      <c r="K38" s="79"/>
      <c r="L38" s="79"/>
      <c r="M38" s="79"/>
      <c r="N38" s="79"/>
      <c r="O38" s="79"/>
      <c r="P38" s="79"/>
      <c r="Q38" s="79"/>
      <c r="R38" s="79"/>
      <c r="S38" s="79"/>
      <c r="T38" s="79"/>
      <c r="U38" s="79"/>
      <c r="V38" s="79"/>
      <c r="W38" s="79"/>
      <c r="X38" s="79"/>
      <c r="Y38" s="79"/>
      <c r="Z38" s="79"/>
      <c r="AA38" s="241">
        <f>VLOOKUP(AA35,市町村データ!A2:P106,MATCH(手順書_丁目_人口密度!$F$66, 市町村データ!A1:P1, 0),FALSE)</f>
        <v>13.7</v>
      </c>
      <c r="AB38" s="153"/>
      <c r="AC38" s="153"/>
      <c r="AD38" s="240"/>
      <c r="AE38" s="247">
        <f>VLOOKUP(AE35,市町村データ!A2:P106,MATCH(手順書_丁目_人口密度!$F$66, 市町村データ!A1:P1, 0),FALSE)</f>
        <v>15.5</v>
      </c>
      <c r="AF38" s="153"/>
      <c r="AG38" s="153"/>
      <c r="AH38" s="240"/>
      <c r="AI38" s="99"/>
      <c r="AJ38" s="51"/>
      <c r="AK38" s="51"/>
      <c r="AL38" s="51"/>
      <c r="AM38" s="51"/>
      <c r="AN38" s="51"/>
      <c r="AO38" s="51"/>
      <c r="AP38" s="51"/>
      <c r="AQ38" s="51"/>
      <c r="AR38" s="51"/>
      <c r="AS38" s="51"/>
      <c r="AT38" s="51"/>
      <c r="AU38" s="51"/>
      <c r="AV38" s="51"/>
      <c r="AW38" s="51"/>
      <c r="AX38" s="51"/>
      <c r="AY38" s="51"/>
      <c r="AZ38" s="51"/>
      <c r="BA38" s="51"/>
      <c r="BB38" s="51"/>
      <c r="BC38" s="251">
        <f>VLOOKUP(BC35,市町村データ!A2:P106,MATCH(手順書_丁目_人口密度!$F$66, 市町村データ!A1:P1, 0),FALSE)</f>
        <v>23</v>
      </c>
      <c r="BD38" s="153"/>
      <c r="BE38" s="153"/>
      <c r="BF38" s="240"/>
      <c r="BG38" s="253">
        <f>VLOOKUP(BG35,市町村データ!A2:P106,MATCH(手順書_丁目_人口密度!$F$66, 市町村データ!A1:P1, 0),FALSE)</f>
        <v>18</v>
      </c>
      <c r="BH38" s="153"/>
      <c r="BI38" s="153"/>
      <c r="BJ38" s="240"/>
      <c r="BK38" s="251">
        <f>VLOOKUP(BK35,市町村データ!A2:P106,MATCH(手順書_丁目_人口密度!$F$66, 市町村データ!A1:P1, 0),FALSE)</f>
        <v>32</v>
      </c>
      <c r="BL38" s="153"/>
      <c r="BM38" s="153"/>
      <c r="BN38" s="240"/>
      <c r="BO38" s="99"/>
      <c r="BP38" s="51"/>
      <c r="BQ38" s="51"/>
      <c r="BR38" s="51"/>
      <c r="BS38" s="79"/>
      <c r="BT38" s="78"/>
    </row>
    <row r="39" spans="1:72" ht="21.15" customHeight="1" x14ac:dyDescent="0.55000000000000004">
      <c r="A39" s="78"/>
      <c r="B39" s="79"/>
      <c r="C39" s="81" t="s">
        <v>516</v>
      </c>
      <c r="D39" s="79"/>
      <c r="E39" s="79"/>
      <c r="F39" s="79"/>
      <c r="G39" s="79"/>
      <c r="H39" s="79"/>
      <c r="I39" s="79"/>
      <c r="J39" s="79"/>
      <c r="K39" s="79"/>
      <c r="L39" s="79"/>
      <c r="M39" s="79"/>
      <c r="N39" s="79"/>
      <c r="O39" s="79"/>
      <c r="P39" s="79"/>
      <c r="Q39" s="79"/>
      <c r="R39" s="79"/>
      <c r="S39" s="79"/>
      <c r="T39" s="79"/>
      <c r="U39" s="79"/>
      <c r="V39" s="79"/>
      <c r="W39" s="79"/>
      <c r="X39" s="79"/>
      <c r="Y39" s="79"/>
      <c r="Z39" s="79"/>
      <c r="AA39" s="84"/>
      <c r="AB39" s="84"/>
      <c r="AC39" s="84"/>
      <c r="AD39" s="84"/>
      <c r="AE39" s="84"/>
      <c r="AF39" s="84"/>
      <c r="AG39" s="84"/>
      <c r="AH39" s="84"/>
      <c r="AI39" s="51"/>
      <c r="AJ39" s="51"/>
      <c r="AK39" s="51"/>
      <c r="AL39" s="51"/>
      <c r="AM39" s="51"/>
      <c r="AN39" s="51"/>
      <c r="AO39" s="51"/>
      <c r="AP39" s="51"/>
      <c r="AQ39" s="51"/>
      <c r="AR39" s="51"/>
      <c r="AS39" s="51"/>
      <c r="AT39" s="51"/>
      <c r="AU39" s="51"/>
      <c r="AV39" s="51"/>
      <c r="AW39" s="51"/>
      <c r="AX39" s="51"/>
      <c r="AY39" s="82">
        <v>72</v>
      </c>
      <c r="AZ39" s="142" t="str">
        <f>VLOOKUP(AY39,市町村データ!A2:P106,MATCH(手順書_丁目_人口密度!$G$63, 市町村データ!A1:P1, 0),FALSE)</f>
        <v>野寺1</v>
      </c>
      <c r="BA39" s="154"/>
      <c r="BB39" s="159"/>
      <c r="BC39" s="82">
        <v>73</v>
      </c>
      <c r="BD39" s="142" t="str">
        <f>VLOOKUP(BC39,市町村データ!A2:P106,MATCH(手順書_丁目_人口密度!$G$63, 市町村データ!A1:P1, 0),FALSE)</f>
        <v>野寺2</v>
      </c>
      <c r="BE39" s="154"/>
      <c r="BF39" s="159"/>
      <c r="BG39" s="82">
        <v>74</v>
      </c>
      <c r="BH39" s="142" t="str">
        <f>VLOOKUP(BG39,市町村データ!A2:P106,MATCH(手順書_丁目_人口密度!$G$63, 市町村データ!A1:P1, 0),FALSE)</f>
        <v>野寺3</v>
      </c>
      <c r="BI39" s="154"/>
      <c r="BJ39" s="159"/>
      <c r="BK39" s="82">
        <v>75</v>
      </c>
      <c r="BL39" s="142" t="str">
        <f>VLOOKUP(BK39,市町村データ!A2:P106,MATCH(手順書_丁目_人口密度!$G$63, 市町村データ!A1:P1, 0),FALSE)</f>
        <v>野寺4</v>
      </c>
      <c r="BM39" s="154"/>
      <c r="BN39" s="159"/>
      <c r="BO39" s="82">
        <v>76</v>
      </c>
      <c r="BP39" s="142" t="str">
        <f>VLOOKUP(BO39,市町村データ!A2:P106,MATCH(手順書_丁目_人口密度!$G$63, 市町村データ!A1:P1, 0),FALSE)</f>
        <v>野寺5</v>
      </c>
      <c r="BQ39" s="154"/>
      <c r="BR39" s="159"/>
      <c r="BS39" s="85"/>
      <c r="BT39" s="78"/>
    </row>
    <row r="40" spans="1:72" ht="21.15" customHeight="1" x14ac:dyDescent="0.55000000000000004">
      <c r="A40" s="78"/>
      <c r="B40" s="79"/>
      <c r="C40" s="79"/>
      <c r="D40" s="79"/>
      <c r="E40" s="79"/>
      <c r="F40" s="79"/>
      <c r="G40" s="79"/>
      <c r="H40" s="79"/>
      <c r="I40" s="79"/>
      <c r="J40" s="79"/>
      <c r="K40" s="79"/>
      <c r="L40" s="79"/>
      <c r="M40" s="79"/>
      <c r="N40" s="79"/>
      <c r="O40" s="79"/>
      <c r="P40" s="79"/>
      <c r="Q40" s="79"/>
      <c r="R40" s="79"/>
      <c r="S40" s="79"/>
      <c r="T40" s="79"/>
      <c r="U40" s="79"/>
      <c r="V40" s="79"/>
      <c r="W40" s="79"/>
      <c r="X40" s="79"/>
      <c r="Y40" s="79"/>
      <c r="Z40" s="79"/>
      <c r="AA40" s="79"/>
      <c r="AB40" s="79"/>
      <c r="AC40" s="79"/>
      <c r="AD40" s="79"/>
      <c r="AE40" s="79"/>
      <c r="AF40" s="79"/>
      <c r="AG40" s="79"/>
      <c r="AH40" s="79"/>
      <c r="AI40" s="51"/>
      <c r="AJ40" s="51"/>
      <c r="AK40" s="51"/>
      <c r="AL40" s="51"/>
      <c r="AM40" s="51"/>
      <c r="AN40" s="51"/>
      <c r="AO40" s="51"/>
      <c r="AP40" s="51"/>
      <c r="AQ40" s="51"/>
      <c r="AR40" s="51"/>
      <c r="AS40" s="51"/>
      <c r="AT40" s="51"/>
      <c r="AU40" s="51"/>
      <c r="AV40" s="51"/>
      <c r="AW40" s="51"/>
      <c r="AX40" s="51"/>
      <c r="AY40" s="249">
        <f>VLOOKUP(AY39,市町村データ!A2:P106,MATCH(手順書_丁目_人口密度!$F$64, 市町村データ!A1:P1, 0),FALSE)</f>
        <v>120.2</v>
      </c>
      <c r="AZ40" s="156"/>
      <c r="BA40" s="156"/>
      <c r="BB40" s="158"/>
      <c r="BC40" s="248">
        <f>VLOOKUP(BC39,市町村データ!A2:P106,MATCH(手順書_丁目_人口密度!$F$64, 市町村データ!A1:P1, 0),FALSE)</f>
        <v>91</v>
      </c>
      <c r="BD40" s="156"/>
      <c r="BE40" s="156"/>
      <c r="BF40" s="158"/>
      <c r="BG40" s="252">
        <f>VLOOKUP(BG39,市町村データ!A2:P106,MATCH(手順書_丁目_人口密度!$F$64, 市町村データ!A1:P1, 0),FALSE)</f>
        <v>105.9</v>
      </c>
      <c r="BH40" s="156"/>
      <c r="BI40" s="156"/>
      <c r="BJ40" s="158"/>
      <c r="BK40" s="249">
        <f>VLOOKUP(BK39,市町村データ!A2:P106,MATCH(手順書_丁目_人口密度!$F$64, 市町村データ!A1:P1, 0),FALSE)</f>
        <v>128.5</v>
      </c>
      <c r="BL40" s="156"/>
      <c r="BM40" s="156"/>
      <c r="BN40" s="158"/>
      <c r="BO40" s="249">
        <f>VLOOKUP(BO39,市町村データ!A2:P106,MATCH(手順書_丁目_人口密度!$F$64, 市町村データ!A1:P1, 0),FALSE)</f>
        <v>124.1</v>
      </c>
      <c r="BP40" s="156"/>
      <c r="BQ40" s="156"/>
      <c r="BR40" s="158"/>
      <c r="BS40" s="85"/>
      <c r="BT40" s="78"/>
    </row>
    <row r="41" spans="1:72" ht="21.15" customHeight="1" x14ac:dyDescent="0.55000000000000004">
      <c r="A41" s="78"/>
      <c r="B41" s="79"/>
      <c r="C41" s="79"/>
      <c r="D41" s="79"/>
      <c r="E41" s="79"/>
      <c r="F41" s="79"/>
      <c r="G41" s="79"/>
      <c r="H41" s="79"/>
      <c r="I41" s="79"/>
      <c r="J41" s="79"/>
      <c r="K41" s="79"/>
      <c r="L41" s="79"/>
      <c r="M41" s="79"/>
      <c r="N41" s="79"/>
      <c r="O41" s="79"/>
      <c r="P41" s="79"/>
      <c r="Q41" s="79"/>
      <c r="R41" s="79"/>
      <c r="S41" s="79"/>
      <c r="T41" s="79"/>
      <c r="U41" s="79"/>
      <c r="V41" s="79"/>
      <c r="W41" s="79"/>
      <c r="X41" s="79"/>
      <c r="Y41" s="79"/>
      <c r="Z41" s="79"/>
      <c r="AA41" s="79"/>
      <c r="AB41" s="79"/>
      <c r="AC41" s="79"/>
      <c r="AD41" s="79"/>
      <c r="AE41" s="79"/>
      <c r="AF41" s="79"/>
      <c r="AG41" s="79"/>
      <c r="AH41" s="79"/>
      <c r="AI41" s="51"/>
      <c r="AJ41" s="51"/>
      <c r="AK41" s="51"/>
      <c r="AL41" s="51"/>
      <c r="AM41" s="51"/>
      <c r="AN41" s="51"/>
      <c r="AO41" s="51"/>
      <c r="AP41" s="51"/>
      <c r="AQ41" s="51"/>
      <c r="AR41" s="51"/>
      <c r="AS41" s="51"/>
      <c r="AT41" s="51"/>
      <c r="AU41" s="51"/>
      <c r="AV41" s="51"/>
      <c r="AW41" s="51"/>
      <c r="AX41" s="51"/>
      <c r="AY41" s="245">
        <f>VLOOKUP(AY39,市町村データ!A2:P106,MATCH(手順書_丁目_人口密度!$F$65, 市町村データ!A1:P1, 0),FALSE)</f>
        <v>1322</v>
      </c>
      <c r="AZ41" s="156"/>
      <c r="BA41" s="156"/>
      <c r="BB41" s="158"/>
      <c r="BC41" s="244">
        <f>VLOOKUP(BC39,市町村データ!A2:P106,MATCH(手順書_丁目_人口密度!$F$65, 市町村データ!A1:P1, 0),FALSE)</f>
        <v>2411</v>
      </c>
      <c r="BD41" s="156"/>
      <c r="BE41" s="156"/>
      <c r="BF41" s="158"/>
      <c r="BG41" s="250">
        <f>VLOOKUP(BG39,市町村データ!A2:P106,MATCH(手順書_丁目_人口密度!$F$65, 市町村データ!A1:P1, 0),FALSE)</f>
        <v>2246</v>
      </c>
      <c r="BH41" s="156"/>
      <c r="BI41" s="156"/>
      <c r="BJ41" s="158"/>
      <c r="BK41" s="245">
        <f>VLOOKUP(BK39,市町村データ!A2:P106,MATCH(手順書_丁目_人口密度!$F$65, 市町村データ!A1:P1, 0),FALSE)</f>
        <v>2570</v>
      </c>
      <c r="BL41" s="156"/>
      <c r="BM41" s="156"/>
      <c r="BN41" s="158"/>
      <c r="BO41" s="245">
        <f>VLOOKUP(BO39,市町村データ!A2:P106,MATCH(手順書_丁目_人口密度!$F$65, 市町村データ!A1:P1, 0),FALSE)</f>
        <v>1303</v>
      </c>
      <c r="BP41" s="156"/>
      <c r="BQ41" s="156"/>
      <c r="BR41" s="158"/>
      <c r="BS41" s="85"/>
      <c r="BT41" s="78"/>
    </row>
    <row r="42" spans="1:72" ht="21.15" customHeight="1" thickBot="1" x14ac:dyDescent="0.6">
      <c r="A42" s="78"/>
      <c r="B42" s="79"/>
      <c r="C42" s="79"/>
      <c r="D42" s="79"/>
      <c r="E42" s="79"/>
      <c r="F42" s="79"/>
      <c r="G42" s="79"/>
      <c r="H42" s="79"/>
      <c r="I42" s="79"/>
      <c r="J42" s="79"/>
      <c r="K42" s="79"/>
      <c r="L42" s="79"/>
      <c r="M42" s="79"/>
      <c r="N42" s="79"/>
      <c r="O42" s="79"/>
      <c r="P42" s="79"/>
      <c r="Q42" s="79"/>
      <c r="R42" s="79"/>
      <c r="S42" s="79"/>
      <c r="T42" s="79"/>
      <c r="U42" s="79"/>
      <c r="V42" s="79"/>
      <c r="W42" s="79"/>
      <c r="X42" s="79"/>
      <c r="Y42" s="79"/>
      <c r="Z42" s="79"/>
      <c r="AA42" s="79"/>
      <c r="AB42" s="79"/>
      <c r="AC42" s="79"/>
      <c r="AD42" s="79"/>
      <c r="AE42" s="79"/>
      <c r="AF42" s="79"/>
      <c r="AG42" s="79"/>
      <c r="AH42" s="79"/>
      <c r="AI42" s="51"/>
      <c r="AJ42" s="51"/>
      <c r="AK42" s="51"/>
      <c r="AL42" s="51"/>
      <c r="AM42" s="51"/>
      <c r="AN42" s="51"/>
      <c r="AO42" s="51"/>
      <c r="AP42" s="51"/>
      <c r="AQ42" s="51"/>
      <c r="AR42" s="51"/>
      <c r="AS42" s="51"/>
      <c r="AT42" s="51"/>
      <c r="AU42" s="51"/>
      <c r="AV42" s="51"/>
      <c r="AW42" s="51"/>
      <c r="AX42" s="51"/>
      <c r="AY42" s="247">
        <f>VLOOKUP(AY39,市町村データ!A2:P106,MATCH(手順書_丁目_人口密度!$F$66, 市町村データ!A1:P1, 0),FALSE)</f>
        <v>11</v>
      </c>
      <c r="AZ42" s="153"/>
      <c r="BA42" s="153"/>
      <c r="BB42" s="240"/>
      <c r="BC42" s="246">
        <f>VLOOKUP(BC39,市町村データ!A2:P106,MATCH(手順書_丁目_人口密度!$F$66, 市町村データ!A1:P1, 0),FALSE)</f>
        <v>26.5</v>
      </c>
      <c r="BD42" s="153"/>
      <c r="BE42" s="153"/>
      <c r="BF42" s="240"/>
      <c r="BG42" s="251">
        <f>VLOOKUP(BG39,市町村データ!A2:P106,MATCH(手順書_丁目_人口密度!$F$66, 市町村データ!A1:P1, 0),FALSE)</f>
        <v>21.2</v>
      </c>
      <c r="BH42" s="153"/>
      <c r="BI42" s="153"/>
      <c r="BJ42" s="240"/>
      <c r="BK42" s="247">
        <f>VLOOKUP(BK39,市町村データ!A2:P106,MATCH(手順書_丁目_人口密度!$F$66, 市町村データ!A1:P1, 0),FALSE)</f>
        <v>20</v>
      </c>
      <c r="BL42" s="153"/>
      <c r="BM42" s="153"/>
      <c r="BN42" s="240"/>
      <c r="BO42" s="247">
        <f>VLOOKUP(BO39,市町村データ!A2:P106,MATCH(手順書_丁目_人口密度!$F$66, 市町村データ!A1:P1, 0),FALSE)</f>
        <v>10.5</v>
      </c>
      <c r="BP42" s="153"/>
      <c r="BQ42" s="153"/>
      <c r="BR42" s="240"/>
      <c r="BS42" s="85"/>
      <c r="BT42" s="78"/>
    </row>
    <row r="43" spans="1:72" ht="21.15" customHeight="1" x14ac:dyDescent="0.55000000000000004">
      <c r="A43" s="78"/>
      <c r="B43" s="79"/>
      <c r="C43" s="81" t="s">
        <v>518</v>
      </c>
      <c r="D43" s="79"/>
      <c r="E43" s="79"/>
      <c r="F43" s="79"/>
      <c r="G43" s="79"/>
      <c r="H43" s="79"/>
      <c r="I43" s="79"/>
      <c r="J43" s="79"/>
      <c r="K43" s="79"/>
      <c r="L43" s="79"/>
      <c r="M43" s="79"/>
      <c r="N43" s="79"/>
      <c r="O43" s="79"/>
      <c r="P43" s="79"/>
      <c r="Q43" s="79"/>
      <c r="R43" s="79"/>
      <c r="S43" s="79"/>
      <c r="T43" s="79"/>
      <c r="U43" s="79"/>
      <c r="V43" s="79"/>
      <c r="W43" s="79"/>
      <c r="X43" s="79"/>
      <c r="Y43" s="79"/>
      <c r="Z43" s="79"/>
      <c r="AA43" s="79"/>
      <c r="AB43" s="79"/>
      <c r="AC43" s="79"/>
      <c r="AD43" s="79"/>
      <c r="AE43" s="79"/>
      <c r="AF43" s="79"/>
      <c r="AG43" s="79"/>
      <c r="AH43" s="79"/>
      <c r="AI43" s="51"/>
      <c r="AJ43" s="51"/>
      <c r="AK43" s="51"/>
      <c r="AL43" s="51"/>
      <c r="AM43" s="51"/>
      <c r="AN43" s="51"/>
      <c r="AO43" s="51"/>
      <c r="AP43" s="51"/>
      <c r="AQ43" s="51"/>
      <c r="AR43" s="51"/>
      <c r="AS43" s="51"/>
      <c r="AT43" s="51"/>
      <c r="AU43" s="51"/>
      <c r="AV43" s="51"/>
      <c r="AW43" s="51"/>
      <c r="AX43" s="51"/>
      <c r="AY43" s="82">
        <v>77</v>
      </c>
      <c r="AZ43" s="142" t="str">
        <f>VLOOKUP(AY43,市町村データ!A2:P106,MATCH(手順書_丁目_人口密度!$G$63, 市町村データ!A1:P1, 0),FALSE)</f>
        <v>栗原1</v>
      </c>
      <c r="BA43" s="154"/>
      <c r="BB43" s="159"/>
      <c r="BC43" s="82">
        <v>78</v>
      </c>
      <c r="BD43" s="142" t="str">
        <f>VLOOKUP(BC43,市町村データ!A2:P106,MATCH(手順書_丁目_人口密度!$G$63, 市町村データ!A1:P1, 0),FALSE)</f>
        <v>栗原2</v>
      </c>
      <c r="BE43" s="154"/>
      <c r="BF43" s="159"/>
      <c r="BG43" s="82">
        <v>79</v>
      </c>
      <c r="BH43" s="142" t="str">
        <f>VLOOKUP(BG43,市町村データ!A2:P106,MATCH(手順書_丁目_人口密度!$G$63, 市町村データ!A1:P1, 0),FALSE)</f>
        <v>栗原3</v>
      </c>
      <c r="BI43" s="154"/>
      <c r="BJ43" s="159"/>
      <c r="BK43" s="100"/>
      <c r="BL43" s="101"/>
      <c r="BM43" s="101"/>
      <c r="BN43" s="101"/>
      <c r="BO43" s="101"/>
      <c r="BP43" s="101"/>
      <c r="BQ43" s="101"/>
      <c r="BR43" s="101"/>
      <c r="BS43" s="79"/>
      <c r="BT43" s="78"/>
    </row>
    <row r="44" spans="1:72" ht="21.15" customHeight="1" x14ac:dyDescent="0.55000000000000004">
      <c r="A44" s="78"/>
      <c r="B44" s="79"/>
      <c r="C44" s="79"/>
      <c r="D44" s="79"/>
      <c r="E44" s="79"/>
      <c r="F44" s="79"/>
      <c r="G44" s="79"/>
      <c r="H44" s="79"/>
      <c r="I44" s="79"/>
      <c r="J44" s="79"/>
      <c r="K44" s="79"/>
      <c r="L44" s="79"/>
      <c r="M44" s="79"/>
      <c r="N44" s="79"/>
      <c r="O44" s="79"/>
      <c r="P44" s="79"/>
      <c r="Q44" s="79"/>
      <c r="R44" s="79"/>
      <c r="S44" s="79"/>
      <c r="T44" s="79"/>
      <c r="U44" s="79"/>
      <c r="V44" s="79"/>
      <c r="W44" s="79"/>
      <c r="X44" s="79"/>
      <c r="Y44" s="79"/>
      <c r="Z44" s="79"/>
      <c r="AA44" s="79"/>
      <c r="AB44" s="79"/>
      <c r="AC44" s="79"/>
      <c r="AD44" s="79"/>
      <c r="AE44" s="79"/>
      <c r="AF44" s="79"/>
      <c r="AG44" s="79"/>
      <c r="AH44" s="79"/>
      <c r="AI44" s="51"/>
      <c r="AJ44" s="51"/>
      <c r="AK44" s="51"/>
      <c r="AL44" s="51"/>
      <c r="AM44" s="51"/>
      <c r="AN44" s="51"/>
      <c r="AO44" s="51"/>
      <c r="AP44" s="51"/>
      <c r="AQ44" s="51"/>
      <c r="AR44" s="51"/>
      <c r="AS44" s="51"/>
      <c r="AT44" s="51"/>
      <c r="AU44" s="51"/>
      <c r="AV44" s="51"/>
      <c r="AW44" s="51"/>
      <c r="AX44" s="51"/>
      <c r="AY44" s="243">
        <f>VLOOKUP(AY43,市町村データ!A2:P106,MATCH(手順書_丁目_人口密度!$F$64, 市町村データ!A1:P1, 0),FALSE)</f>
        <v>153</v>
      </c>
      <c r="AZ44" s="156"/>
      <c r="BA44" s="156"/>
      <c r="BB44" s="158"/>
      <c r="BC44" s="248">
        <f>VLOOKUP(BC43,市町村データ!A2:P106,MATCH(手順書_丁目_人口密度!$F$64, 市町村データ!A1:P1, 0),FALSE)</f>
        <v>92</v>
      </c>
      <c r="BD44" s="156"/>
      <c r="BE44" s="156"/>
      <c r="BF44" s="158"/>
      <c r="BG44" s="249">
        <f>VLOOKUP(BG43,市町村データ!A2:P106,MATCH(手順書_丁目_人口密度!$F$64, 市町村データ!A1:P1, 0),FALSE)</f>
        <v>137.4</v>
      </c>
      <c r="BH44" s="156"/>
      <c r="BI44" s="156"/>
      <c r="BJ44" s="158"/>
      <c r="BK44" s="99"/>
      <c r="BL44" s="51"/>
      <c r="BM44" s="51"/>
      <c r="BN44" s="51"/>
      <c r="BO44" s="51"/>
      <c r="BP44" s="51"/>
      <c r="BQ44" s="51"/>
      <c r="BR44" s="51"/>
      <c r="BS44" s="79"/>
      <c r="BT44" s="78"/>
    </row>
    <row r="45" spans="1:72" ht="21.15" customHeight="1" x14ac:dyDescent="0.55000000000000004">
      <c r="A45" s="78"/>
      <c r="B45" s="79"/>
      <c r="C45" s="79"/>
      <c r="D45" s="79"/>
      <c r="E45" s="79"/>
      <c r="F45" s="79"/>
      <c r="G45" s="79"/>
      <c r="H45" s="79"/>
      <c r="I45" s="79"/>
      <c r="J45" s="79"/>
      <c r="K45" s="79"/>
      <c r="L45" s="79"/>
      <c r="M45" s="79"/>
      <c r="N45" s="79"/>
      <c r="O45" s="79"/>
      <c r="P45" s="79"/>
      <c r="Q45" s="79"/>
      <c r="R45" s="79"/>
      <c r="S45" s="79"/>
      <c r="T45" s="79"/>
      <c r="U45" s="79"/>
      <c r="V45" s="79"/>
      <c r="W45" s="79"/>
      <c r="X45" s="79"/>
      <c r="Y45" s="79"/>
      <c r="Z45" s="79"/>
      <c r="AA45" s="79"/>
      <c r="AB45" s="79"/>
      <c r="AC45" s="79"/>
      <c r="AD45" s="79"/>
      <c r="AE45" s="79"/>
      <c r="AF45" s="79"/>
      <c r="AG45" s="79"/>
      <c r="AH45" s="79"/>
      <c r="AI45" s="51"/>
      <c r="AJ45" s="51"/>
      <c r="AK45" s="51"/>
      <c r="AL45" s="51"/>
      <c r="AM45" s="51"/>
      <c r="AN45" s="51"/>
      <c r="AO45" s="51"/>
      <c r="AP45" s="51"/>
      <c r="AQ45" s="51"/>
      <c r="AR45" s="51"/>
      <c r="AS45" s="51"/>
      <c r="AT45" s="51"/>
      <c r="AU45" s="51"/>
      <c r="AV45" s="51"/>
      <c r="AW45" s="51"/>
      <c r="AX45" s="51"/>
      <c r="AY45" s="238">
        <f>VLOOKUP(AY43,市町村データ!A2:P106,MATCH(手順書_丁目_人口密度!$F$65, 市町村データ!A1:P1, 0),FALSE)</f>
        <v>3350</v>
      </c>
      <c r="AZ45" s="156"/>
      <c r="BA45" s="156"/>
      <c r="BB45" s="158"/>
      <c r="BC45" s="244">
        <f>VLOOKUP(BC43,市町村データ!A2:P106,MATCH(手順書_丁目_人口密度!$F$65, 市町村データ!A1:P1, 0),FALSE)</f>
        <v>920</v>
      </c>
      <c r="BD45" s="156"/>
      <c r="BE45" s="156"/>
      <c r="BF45" s="158"/>
      <c r="BG45" s="245">
        <f>VLOOKUP(BG43,市町村データ!A2:P106,MATCH(手順書_丁目_人口密度!$F$65, 市町村データ!A1:P1, 0),FALSE)</f>
        <v>2061</v>
      </c>
      <c r="BH45" s="156"/>
      <c r="BI45" s="156"/>
      <c r="BJ45" s="158"/>
      <c r="BK45" s="99"/>
      <c r="BL45" s="51"/>
      <c r="BM45" s="51"/>
      <c r="BN45" s="51"/>
      <c r="BO45" s="51"/>
      <c r="BP45" s="51"/>
      <c r="BQ45" s="51"/>
      <c r="BR45" s="51"/>
      <c r="BS45" s="79"/>
      <c r="BT45" s="78"/>
    </row>
    <row r="46" spans="1:72" ht="21.15" customHeight="1" thickBot="1" x14ac:dyDescent="0.6">
      <c r="A46" s="78"/>
      <c r="B46" s="79"/>
      <c r="C46" s="79"/>
      <c r="D46" s="79"/>
      <c r="E46" s="79"/>
      <c r="F46" s="79"/>
      <c r="G46" s="79"/>
      <c r="H46" s="79"/>
      <c r="I46" s="79"/>
      <c r="J46" s="79"/>
      <c r="K46" s="79"/>
      <c r="L46" s="79"/>
      <c r="M46" s="79"/>
      <c r="N46" s="79"/>
      <c r="O46" s="79"/>
      <c r="P46" s="79"/>
      <c r="Q46" s="79"/>
      <c r="R46" s="79"/>
      <c r="S46" s="79"/>
      <c r="T46" s="79"/>
      <c r="U46" s="79"/>
      <c r="V46" s="79"/>
      <c r="W46" s="79"/>
      <c r="X46" s="79"/>
      <c r="Y46" s="79"/>
      <c r="Z46" s="79"/>
      <c r="AA46" s="79"/>
      <c r="AB46" s="79"/>
      <c r="AC46" s="79"/>
      <c r="AD46" s="79"/>
      <c r="AE46" s="79"/>
      <c r="AF46" s="79"/>
      <c r="AG46" s="79"/>
      <c r="AH46" s="79"/>
      <c r="AI46" s="51"/>
      <c r="AJ46" s="51"/>
      <c r="AK46" s="51"/>
      <c r="AL46" s="51"/>
      <c r="AM46" s="51"/>
      <c r="AN46" s="51"/>
      <c r="AO46" s="51"/>
      <c r="AP46" s="51"/>
      <c r="AQ46" s="51"/>
      <c r="AR46" s="51"/>
      <c r="AS46" s="51"/>
      <c r="AT46" s="51"/>
      <c r="AU46" s="51"/>
      <c r="AV46" s="51"/>
      <c r="AW46" s="51"/>
      <c r="AX46" s="51"/>
      <c r="AY46" s="241">
        <f>VLOOKUP(AY43,市町村データ!A2:P106,MATCH(手順書_丁目_人口密度!$F$66, 市町村データ!A1:P1, 0),FALSE)</f>
        <v>21.9</v>
      </c>
      <c r="AZ46" s="153"/>
      <c r="BA46" s="153"/>
      <c r="BB46" s="240"/>
      <c r="BC46" s="246">
        <f>VLOOKUP(BC43,市町村データ!A2:P106,MATCH(手順書_丁目_人口密度!$F$66, 市町村データ!A1:P1, 0),FALSE)</f>
        <v>10</v>
      </c>
      <c r="BD46" s="153"/>
      <c r="BE46" s="153"/>
      <c r="BF46" s="240"/>
      <c r="BG46" s="247">
        <f>VLOOKUP(BG43,市町村データ!A2:P106,MATCH(手順書_丁目_人口密度!$F$66, 市町村データ!A1:P1, 0),FALSE)</f>
        <v>15</v>
      </c>
      <c r="BH46" s="153"/>
      <c r="BI46" s="153"/>
      <c r="BJ46" s="240"/>
      <c r="BK46" s="99"/>
      <c r="BL46" s="51"/>
      <c r="BM46" s="51"/>
      <c r="BN46" s="51"/>
      <c r="BO46" s="51"/>
      <c r="BP46" s="51"/>
      <c r="BQ46" s="51"/>
      <c r="BR46" s="51"/>
      <c r="BS46" s="79"/>
      <c r="BT46" s="78"/>
    </row>
    <row r="47" spans="1:72" ht="21.15" customHeight="1" x14ac:dyDescent="0.55000000000000004">
      <c r="A47" s="78"/>
      <c r="B47" s="79"/>
      <c r="C47" s="81" t="s">
        <v>520</v>
      </c>
      <c r="D47" s="79"/>
      <c r="E47" s="79"/>
      <c r="F47" s="79"/>
      <c r="G47" s="79"/>
      <c r="H47" s="79"/>
      <c r="I47" s="79"/>
      <c r="J47" s="79"/>
      <c r="K47" s="79"/>
      <c r="L47" s="79"/>
      <c r="M47" s="79"/>
      <c r="N47" s="79"/>
      <c r="O47" s="79"/>
      <c r="P47" s="79"/>
      <c r="Q47" s="79"/>
      <c r="R47" s="79"/>
      <c r="S47" s="79"/>
      <c r="T47" s="79"/>
      <c r="U47" s="79"/>
      <c r="V47" s="79"/>
      <c r="W47" s="79"/>
      <c r="X47" s="79"/>
      <c r="Y47" s="79"/>
      <c r="Z47" s="79"/>
      <c r="AA47" s="79"/>
      <c r="AB47" s="79"/>
      <c r="AC47" s="79"/>
      <c r="AD47" s="79"/>
      <c r="AE47" s="79"/>
      <c r="AF47" s="79"/>
      <c r="AG47" s="79"/>
      <c r="AH47" s="79"/>
      <c r="AI47" s="51"/>
      <c r="AJ47" s="51"/>
      <c r="AK47" s="51"/>
      <c r="AL47" s="51"/>
      <c r="AM47" s="51"/>
      <c r="AN47" s="51"/>
      <c r="AO47" s="51"/>
      <c r="AP47" s="51"/>
      <c r="AQ47" s="51"/>
      <c r="AR47" s="51"/>
      <c r="AS47" s="51"/>
      <c r="AT47" s="51"/>
      <c r="AU47" s="51"/>
      <c r="AV47" s="51"/>
      <c r="AW47" s="51"/>
      <c r="AX47" s="51"/>
      <c r="AY47" s="82">
        <v>80</v>
      </c>
      <c r="AZ47" s="142" t="str">
        <f>VLOOKUP(AY47,市町村データ!A2:P106,MATCH(手順書_丁目_人口密度!$G$63, 市町村データ!A1:P1, 0),FALSE)</f>
        <v>栗原6</v>
      </c>
      <c r="BA47" s="154"/>
      <c r="BB47" s="159"/>
      <c r="BC47" s="82">
        <v>81</v>
      </c>
      <c r="BD47" s="142" t="str">
        <f>VLOOKUP(BC47,市町村データ!A2:P106,MATCH(手順書_丁目_人口密度!$G$63, 市町村データ!A1:P1, 0),FALSE)</f>
        <v>栗原5</v>
      </c>
      <c r="BE47" s="154"/>
      <c r="BF47" s="159"/>
      <c r="BG47" s="82">
        <v>82</v>
      </c>
      <c r="BH47" s="142" t="str">
        <f>VLOOKUP(BG47,市町村データ!A2:P106,MATCH(手順書_丁目_人口密度!$G$63, 市町村データ!A1:P1, 0),FALSE)</f>
        <v>栗原4</v>
      </c>
      <c r="BI47" s="154"/>
      <c r="BJ47" s="159"/>
      <c r="BK47" s="99"/>
      <c r="BL47" s="51"/>
      <c r="BM47" s="51"/>
      <c r="BN47" s="51"/>
      <c r="BO47" s="51"/>
      <c r="BP47" s="51"/>
      <c r="BQ47" s="51"/>
      <c r="BR47" s="51"/>
      <c r="BS47" s="79"/>
      <c r="BT47" s="78"/>
    </row>
    <row r="48" spans="1:72" ht="21.15" customHeight="1" x14ac:dyDescent="0.55000000000000004">
      <c r="A48" s="78"/>
      <c r="B48" s="79"/>
      <c r="C48" s="79"/>
      <c r="D48" s="79"/>
      <c r="E48" s="79"/>
      <c r="F48" s="79"/>
      <c r="G48" s="79"/>
      <c r="H48" s="79"/>
      <c r="I48" s="79"/>
      <c r="J48" s="79"/>
      <c r="K48" s="79"/>
      <c r="L48" s="79"/>
      <c r="M48" s="79"/>
      <c r="N48" s="79"/>
      <c r="O48" s="79"/>
      <c r="P48" s="79"/>
      <c r="Q48" s="79"/>
      <c r="R48" s="79"/>
      <c r="S48" s="79"/>
      <c r="T48" s="79"/>
      <c r="U48" s="79"/>
      <c r="V48" s="79"/>
      <c r="W48" s="79"/>
      <c r="X48" s="79"/>
      <c r="Y48" s="79"/>
      <c r="Z48" s="79"/>
      <c r="AA48" s="79"/>
      <c r="AB48" s="79"/>
      <c r="AC48" s="79"/>
      <c r="AD48" s="79"/>
      <c r="AE48" s="79"/>
      <c r="AF48" s="79"/>
      <c r="AG48" s="79"/>
      <c r="AH48" s="79"/>
      <c r="AI48" s="51"/>
      <c r="AJ48" s="51"/>
      <c r="AK48" s="51"/>
      <c r="AL48" s="51"/>
      <c r="AM48" s="51"/>
      <c r="AN48" s="51"/>
      <c r="AO48" s="51"/>
      <c r="AP48" s="51"/>
      <c r="AQ48" s="51"/>
      <c r="AR48" s="51"/>
      <c r="AS48" s="51"/>
      <c r="AT48" s="51"/>
      <c r="AU48" s="51"/>
      <c r="AV48" s="51"/>
      <c r="AW48" s="51"/>
      <c r="AX48" s="51"/>
      <c r="AY48" s="242">
        <f>VLOOKUP(AY47,市町村データ!A2:P106,MATCH(手順書_丁目_人口密度!$F$64, 市町村データ!A1:P1, 0),FALSE)</f>
        <v>185.2</v>
      </c>
      <c r="AZ48" s="156"/>
      <c r="BA48" s="156"/>
      <c r="BB48" s="158"/>
      <c r="BC48" s="242">
        <f>VLOOKUP(BC47,市町村データ!A2:P106,MATCH(手順書_丁目_人口密度!$F$64, 市町村データ!A1:P1, 0),FALSE)</f>
        <v>183.5</v>
      </c>
      <c r="BD48" s="156"/>
      <c r="BE48" s="156"/>
      <c r="BF48" s="158"/>
      <c r="BG48" s="243">
        <f>VLOOKUP(BG47,市町村データ!A2:P106,MATCH(手順書_丁目_人口密度!$F$64, 市町村データ!A1:P1, 0),FALSE)</f>
        <v>156.6</v>
      </c>
      <c r="BH48" s="156"/>
      <c r="BI48" s="156"/>
      <c r="BJ48" s="158"/>
      <c r="BK48" s="99"/>
      <c r="BL48" s="51"/>
      <c r="BM48" s="51"/>
      <c r="BN48" s="51"/>
      <c r="BO48" s="51"/>
      <c r="BP48" s="51"/>
      <c r="BQ48" s="51"/>
      <c r="BR48" s="51"/>
      <c r="BS48" s="79"/>
      <c r="BT48" s="78"/>
    </row>
    <row r="49" spans="1:72" ht="21.15" customHeight="1" x14ac:dyDescent="0.55000000000000004">
      <c r="A49" s="78"/>
      <c r="B49" s="79"/>
      <c r="C49" s="79"/>
      <c r="D49" s="79"/>
      <c r="E49" s="79"/>
      <c r="F49" s="79"/>
      <c r="G49" s="79"/>
      <c r="H49" s="79"/>
      <c r="I49" s="79"/>
      <c r="J49" s="79"/>
      <c r="K49" s="79"/>
      <c r="L49" s="79"/>
      <c r="M49" s="79"/>
      <c r="N49" s="79"/>
      <c r="O49" s="79"/>
      <c r="P49" s="79"/>
      <c r="Q49" s="79"/>
      <c r="R49" s="79"/>
      <c r="S49" s="79"/>
      <c r="T49" s="79"/>
      <c r="U49" s="79"/>
      <c r="V49" s="79"/>
      <c r="W49" s="79"/>
      <c r="X49" s="79"/>
      <c r="Y49" s="79"/>
      <c r="Z49" s="79"/>
      <c r="AA49" s="79"/>
      <c r="AB49" s="79"/>
      <c r="AC49" s="79"/>
      <c r="AD49" s="79"/>
      <c r="AE49" s="79"/>
      <c r="AF49" s="79"/>
      <c r="AG49" s="79"/>
      <c r="AH49" s="79"/>
      <c r="AI49" s="51"/>
      <c r="AJ49" s="51"/>
      <c r="AK49" s="51"/>
      <c r="AL49" s="51"/>
      <c r="AM49" s="51"/>
      <c r="AN49" s="51"/>
      <c r="AO49" s="51"/>
      <c r="AP49" s="51"/>
      <c r="AQ49" s="51"/>
      <c r="AR49" s="51"/>
      <c r="AS49" s="51"/>
      <c r="AT49" s="51"/>
      <c r="AU49" s="51"/>
      <c r="AV49" s="51"/>
      <c r="AW49" s="51"/>
      <c r="AX49" s="51"/>
      <c r="AY49" s="237">
        <f>VLOOKUP(AY47,市町村データ!A2:P106,MATCH(手順書_丁目_人口密度!$F$65, 市町村データ!A1:P1, 0),FALSE)</f>
        <v>2593</v>
      </c>
      <c r="AZ49" s="156"/>
      <c r="BA49" s="156"/>
      <c r="BB49" s="158"/>
      <c r="BC49" s="237">
        <f>VLOOKUP(BC47,市町村データ!A2:P106,MATCH(手順書_丁目_人口密度!$F$65, 市町村データ!A1:P1, 0),FALSE)</f>
        <v>2661</v>
      </c>
      <c r="BD49" s="156"/>
      <c r="BE49" s="156"/>
      <c r="BF49" s="158"/>
      <c r="BG49" s="238">
        <f>VLOOKUP(BG47,市町村データ!A2:P106,MATCH(手順書_丁目_人口密度!$F$65, 市町村データ!A1:P1, 0),FALSE)</f>
        <v>2036</v>
      </c>
      <c r="BH49" s="156"/>
      <c r="BI49" s="156"/>
      <c r="BJ49" s="158"/>
      <c r="BK49" s="99"/>
      <c r="BL49" s="51"/>
      <c r="BM49" s="51"/>
      <c r="BN49" s="51"/>
      <c r="BO49" s="51"/>
      <c r="BP49" s="51"/>
      <c r="BQ49" s="51"/>
      <c r="BR49" s="51"/>
      <c r="BS49" s="79"/>
      <c r="BT49" s="78"/>
    </row>
    <row r="50" spans="1:72" ht="21.15" customHeight="1" thickBot="1" x14ac:dyDescent="0.6">
      <c r="A50" s="78"/>
      <c r="B50" s="79"/>
      <c r="C50" s="79"/>
      <c r="D50" s="79"/>
      <c r="E50" s="79"/>
      <c r="F50" s="79"/>
      <c r="G50" s="79"/>
      <c r="H50" s="79"/>
      <c r="I50" s="79"/>
      <c r="J50" s="79"/>
      <c r="K50" s="79"/>
      <c r="L50" s="79"/>
      <c r="M50" s="79"/>
      <c r="N50" s="79"/>
      <c r="O50" s="79"/>
      <c r="P50" s="79"/>
      <c r="Q50" s="79"/>
      <c r="R50" s="79"/>
      <c r="S50" s="79"/>
      <c r="T50" s="79"/>
      <c r="U50" s="79"/>
      <c r="V50" s="79"/>
      <c r="W50" s="79"/>
      <c r="X50" s="79"/>
      <c r="Y50" s="79"/>
      <c r="Z50" s="79"/>
      <c r="AA50" s="79"/>
      <c r="AB50" s="79"/>
      <c r="AC50" s="79"/>
      <c r="AD50" s="79"/>
      <c r="AE50" s="79"/>
      <c r="AF50" s="79"/>
      <c r="AG50" s="79"/>
      <c r="AH50" s="79"/>
      <c r="AI50" s="79"/>
      <c r="AJ50" s="79"/>
      <c r="AK50" s="79"/>
      <c r="AL50" s="79"/>
      <c r="AM50" s="79"/>
      <c r="AN50" s="79"/>
      <c r="AO50" s="79"/>
      <c r="AP50" s="79"/>
      <c r="AQ50" s="79"/>
      <c r="AR50" s="79"/>
      <c r="AS50" s="79"/>
      <c r="AT50" s="79"/>
      <c r="AU50" s="79"/>
      <c r="AV50" s="51"/>
      <c r="AW50" s="51"/>
      <c r="AX50" s="51"/>
      <c r="AY50" s="239">
        <f>VLOOKUP(AY47,市町村データ!A2:P106,MATCH(手順書_丁目_人口密度!$F$66, 市町村データ!A1:P1, 0),FALSE)</f>
        <v>14</v>
      </c>
      <c r="AZ50" s="153"/>
      <c r="BA50" s="153"/>
      <c r="BB50" s="240"/>
      <c r="BC50" s="239">
        <f>VLOOKUP(BC47,市町村データ!A2:P106,MATCH(手順書_丁目_人口密度!$F$66, 市町村データ!A1:P1, 0),FALSE)</f>
        <v>14.5</v>
      </c>
      <c r="BD50" s="153"/>
      <c r="BE50" s="153"/>
      <c r="BF50" s="240"/>
      <c r="BG50" s="241">
        <f>VLOOKUP(BG47,市町村データ!A2:P106,MATCH(手順書_丁目_人口密度!$F$66, 市町村データ!A1:P1, 0),FALSE)</f>
        <v>13</v>
      </c>
      <c r="BH50" s="153"/>
      <c r="BI50" s="153"/>
      <c r="BJ50" s="240"/>
      <c r="BK50" s="85"/>
      <c r="BL50" s="79"/>
      <c r="BM50" s="79"/>
      <c r="BN50" s="79"/>
      <c r="BO50" s="51"/>
      <c r="BP50" s="51"/>
      <c r="BQ50" s="51"/>
      <c r="BR50" s="51"/>
      <c r="BS50" s="51"/>
      <c r="BT50" s="78"/>
    </row>
    <row r="51" spans="1:72" ht="21.15" customHeight="1" x14ac:dyDescent="0.55000000000000004">
      <c r="A51" s="78"/>
      <c r="B51" s="79" t="s">
        <v>162</v>
      </c>
      <c r="C51" s="79"/>
      <c r="D51" s="79"/>
      <c r="E51" s="79"/>
      <c r="F51" s="79"/>
      <c r="G51" s="102"/>
      <c r="H51" s="79"/>
      <c r="I51" s="79"/>
      <c r="J51" s="79"/>
      <c r="K51" s="79"/>
      <c r="L51" s="79"/>
      <c r="M51" s="79"/>
      <c r="N51" s="79"/>
      <c r="O51" s="79"/>
      <c r="P51" s="79"/>
      <c r="Q51" s="79"/>
      <c r="R51" s="79"/>
      <c r="S51" s="79"/>
      <c r="T51" s="79"/>
      <c r="U51" s="79"/>
      <c r="V51" s="79"/>
      <c r="W51" s="79"/>
      <c r="X51" s="79"/>
      <c r="Y51" s="79"/>
      <c r="Z51" s="79"/>
      <c r="AA51" s="79"/>
      <c r="AB51" s="79"/>
      <c r="AC51" s="79"/>
      <c r="AD51" s="79"/>
      <c r="AE51" s="79"/>
      <c r="AF51" s="79"/>
      <c r="AG51" s="79"/>
      <c r="AH51" s="79"/>
      <c r="AI51" s="79"/>
      <c r="AJ51" s="79"/>
      <c r="AK51" s="79"/>
      <c r="AL51" s="79"/>
      <c r="AM51" s="52"/>
      <c r="AN51" s="52"/>
      <c r="AO51" s="52"/>
      <c r="AP51" s="52"/>
      <c r="AQ51" s="52"/>
      <c r="AR51" s="52"/>
      <c r="AS51" s="52"/>
      <c r="AT51" s="52"/>
      <c r="AU51" s="52"/>
      <c r="AV51" s="52"/>
      <c r="AW51" s="52"/>
      <c r="AX51" s="52"/>
      <c r="AY51" s="103"/>
      <c r="AZ51" s="103"/>
      <c r="BA51" s="103"/>
      <c r="BB51" s="103"/>
      <c r="BC51" s="103"/>
      <c r="BD51" s="103"/>
      <c r="BE51" s="103"/>
      <c r="BF51" s="103"/>
      <c r="BG51" s="103"/>
      <c r="BH51" s="103"/>
      <c r="BI51" s="103"/>
      <c r="BJ51" s="103"/>
      <c r="BK51" s="52"/>
      <c r="BL51" s="52"/>
      <c r="BM51" s="52"/>
      <c r="BN51" s="52"/>
      <c r="BO51" s="52"/>
      <c r="BP51" s="52"/>
      <c r="BQ51" s="52"/>
      <c r="BR51" s="52"/>
      <c r="BS51" s="52"/>
      <c r="BT51" s="78"/>
    </row>
    <row r="52" spans="1:72" ht="21.15" customHeight="1" x14ac:dyDescent="0.55000000000000004">
      <c r="A52" s="78"/>
      <c r="B52" s="79" t="s">
        <v>161</v>
      </c>
      <c r="C52" s="79"/>
      <c r="D52" s="79"/>
      <c r="E52" s="79"/>
      <c r="F52" s="79"/>
      <c r="G52" s="79"/>
      <c r="H52" s="79"/>
      <c r="I52" s="79"/>
      <c r="J52" s="79"/>
      <c r="K52" s="79"/>
      <c r="L52" s="79"/>
      <c r="M52" s="79"/>
      <c r="N52" s="79"/>
      <c r="O52" s="79"/>
      <c r="P52" s="79"/>
      <c r="Q52" s="79"/>
      <c r="R52" s="79"/>
      <c r="S52" s="79"/>
      <c r="T52" s="79"/>
      <c r="U52" s="79"/>
      <c r="V52" s="79"/>
      <c r="W52" s="79"/>
      <c r="X52" s="79"/>
      <c r="Y52" s="79"/>
      <c r="Z52" s="79"/>
      <c r="AA52" s="79"/>
      <c r="AB52" s="79"/>
      <c r="AC52" s="79"/>
      <c r="AD52" s="79"/>
      <c r="AE52" s="79"/>
      <c r="AF52" s="79"/>
      <c r="AG52" s="79"/>
      <c r="AH52" s="79"/>
      <c r="AI52" s="79"/>
      <c r="AJ52" s="79"/>
      <c r="AK52" s="79"/>
      <c r="AL52" s="79"/>
      <c r="AM52" s="79"/>
      <c r="AN52" s="79"/>
      <c r="AO52" s="79"/>
      <c r="AP52" s="79"/>
      <c r="AQ52" s="79"/>
      <c r="AR52" s="79"/>
      <c r="AS52" s="79"/>
      <c r="AT52" s="79"/>
      <c r="AU52" s="79"/>
      <c r="AV52" s="79"/>
      <c r="AW52" s="79"/>
      <c r="AX52" s="79"/>
      <c r="AY52" s="79"/>
      <c r="AZ52" s="79"/>
      <c r="BA52" s="79"/>
      <c r="BB52" s="79"/>
      <c r="BC52" s="79"/>
      <c r="BD52" s="79"/>
      <c r="BE52" s="79"/>
      <c r="BF52" s="79"/>
      <c r="BG52" s="79"/>
      <c r="BH52" s="79"/>
      <c r="BI52" s="79"/>
      <c r="BJ52" s="79"/>
      <c r="BK52" s="79"/>
      <c r="BL52" s="79"/>
      <c r="BM52" s="79"/>
      <c r="BN52" s="79"/>
      <c r="BO52" s="79"/>
      <c r="BP52" s="79"/>
      <c r="BQ52" s="79"/>
      <c r="BR52" s="79"/>
      <c r="BS52" s="79"/>
      <c r="BT52" s="78"/>
    </row>
    <row r="53" spans="1:72" ht="21.15" customHeight="1" x14ac:dyDescent="0.55000000000000004">
      <c r="A53" s="78"/>
      <c r="B53" s="78"/>
      <c r="C53" s="78"/>
      <c r="D53" s="78"/>
      <c r="E53" s="78"/>
      <c r="F53" s="78"/>
      <c r="G53" s="78"/>
      <c r="H53" s="78"/>
      <c r="I53" s="78"/>
      <c r="J53" s="78"/>
      <c r="K53" s="78"/>
      <c r="L53" s="78"/>
      <c r="M53" s="78"/>
      <c r="N53" s="78"/>
      <c r="O53" s="78"/>
      <c r="P53" s="78"/>
      <c r="Q53" s="78"/>
      <c r="R53" s="78"/>
      <c r="S53" s="78"/>
      <c r="T53" s="78"/>
      <c r="U53" s="78"/>
      <c r="V53" s="78"/>
      <c r="W53" s="78"/>
      <c r="X53" s="78"/>
      <c r="Y53" s="78"/>
      <c r="Z53" s="78"/>
      <c r="AA53" s="78"/>
      <c r="AB53" s="78"/>
      <c r="AC53" s="78"/>
      <c r="AD53" s="78"/>
      <c r="AE53" s="78"/>
      <c r="AF53" s="78"/>
      <c r="AG53" s="78"/>
      <c r="AH53" s="78"/>
      <c r="AI53" s="78"/>
      <c r="AJ53" s="78"/>
      <c r="AK53" s="78"/>
      <c r="AL53" s="78"/>
      <c r="AM53" s="78"/>
      <c r="AN53" s="78"/>
      <c r="AO53" s="78"/>
      <c r="AP53" s="78"/>
      <c r="AQ53" s="78"/>
      <c r="AR53" s="78"/>
      <c r="AS53" s="78"/>
      <c r="AT53" s="78"/>
      <c r="AU53" s="78"/>
      <c r="AV53" s="78"/>
      <c r="AW53" s="78"/>
      <c r="AX53" s="78"/>
      <c r="AY53" s="78"/>
      <c r="AZ53" s="78"/>
      <c r="BA53" s="78"/>
      <c r="BB53" s="78"/>
      <c r="BC53" s="78"/>
      <c r="BD53" s="78"/>
      <c r="BE53" s="78"/>
      <c r="BF53" s="78"/>
      <c r="BG53" s="78"/>
      <c r="BH53" s="78"/>
      <c r="BI53" s="78"/>
      <c r="BJ53" s="78"/>
      <c r="BK53" s="78"/>
      <c r="BL53" s="78"/>
      <c r="BM53" s="78"/>
      <c r="BN53" s="78"/>
      <c r="BO53" s="78"/>
      <c r="BP53" s="78"/>
      <c r="BQ53" s="78"/>
      <c r="BR53" s="78"/>
      <c r="BS53" s="78"/>
      <c r="BT53" s="78"/>
    </row>
  </sheetData>
  <mergeCells count="354">
    <mergeCell ref="K8:N8"/>
    <mergeCell ref="O8:R8"/>
    <mergeCell ref="S8:V8"/>
    <mergeCell ref="W8:Z8"/>
    <mergeCell ref="AA8:AD8"/>
    <mergeCell ref="AE8:AH8"/>
    <mergeCell ref="L7:N7"/>
    <mergeCell ref="P7:R7"/>
    <mergeCell ref="T7:V7"/>
    <mergeCell ref="X7:Z7"/>
    <mergeCell ref="AB7:AD7"/>
    <mergeCell ref="AF7:AH7"/>
    <mergeCell ref="K10:N10"/>
    <mergeCell ref="O10:R10"/>
    <mergeCell ref="S10:V10"/>
    <mergeCell ref="W10:Z10"/>
    <mergeCell ref="AA10:AD10"/>
    <mergeCell ref="AE10:AH10"/>
    <mergeCell ref="K9:N9"/>
    <mergeCell ref="O9:R9"/>
    <mergeCell ref="S9:V9"/>
    <mergeCell ref="W9:Z9"/>
    <mergeCell ref="AA9:AD9"/>
    <mergeCell ref="AE9:AH9"/>
    <mergeCell ref="AJ11:AL11"/>
    <mergeCell ref="AN11:AP11"/>
    <mergeCell ref="G12:J12"/>
    <mergeCell ref="K12:N12"/>
    <mergeCell ref="S12:V12"/>
    <mergeCell ref="W12:Z12"/>
    <mergeCell ref="AA12:AD12"/>
    <mergeCell ref="AE12:AH12"/>
    <mergeCell ref="AI12:AL12"/>
    <mergeCell ref="AM12:AP12"/>
    <mergeCell ref="H11:J11"/>
    <mergeCell ref="L11:N11"/>
    <mergeCell ref="T11:V11"/>
    <mergeCell ref="X11:Z11"/>
    <mergeCell ref="AB11:AD11"/>
    <mergeCell ref="AF11:AH11"/>
    <mergeCell ref="AI13:AL13"/>
    <mergeCell ref="AM13:AP13"/>
    <mergeCell ref="G14:J14"/>
    <mergeCell ref="K14:N14"/>
    <mergeCell ref="S14:V14"/>
    <mergeCell ref="W14:Z14"/>
    <mergeCell ref="AA14:AD14"/>
    <mergeCell ref="AE14:AH14"/>
    <mergeCell ref="AI14:AL14"/>
    <mergeCell ref="AM14:AP14"/>
    <mergeCell ref="G13:J13"/>
    <mergeCell ref="K13:N13"/>
    <mergeCell ref="S13:V13"/>
    <mergeCell ref="W13:Z13"/>
    <mergeCell ref="AA13:AD13"/>
    <mergeCell ref="AE13:AH13"/>
    <mergeCell ref="AF15:AH15"/>
    <mergeCell ref="AJ15:AL15"/>
    <mergeCell ref="AN15:AP15"/>
    <mergeCell ref="G16:J16"/>
    <mergeCell ref="K16:N16"/>
    <mergeCell ref="O16:R16"/>
    <mergeCell ref="S16:V16"/>
    <mergeCell ref="W16:Z16"/>
    <mergeCell ref="AA16:AD16"/>
    <mergeCell ref="AE16:AH16"/>
    <mergeCell ref="H15:J15"/>
    <mergeCell ref="L15:N15"/>
    <mergeCell ref="P15:R15"/>
    <mergeCell ref="T15:V15"/>
    <mergeCell ref="X15:Z15"/>
    <mergeCell ref="AB15:AD15"/>
    <mergeCell ref="AI16:AL16"/>
    <mergeCell ref="AM16:AP16"/>
    <mergeCell ref="G17:J17"/>
    <mergeCell ref="K17:N17"/>
    <mergeCell ref="O17:R17"/>
    <mergeCell ref="S17:V17"/>
    <mergeCell ref="W17:Z17"/>
    <mergeCell ref="AA17:AD17"/>
    <mergeCell ref="AE17:AH17"/>
    <mergeCell ref="AI17:AL17"/>
    <mergeCell ref="AM17:AP17"/>
    <mergeCell ref="G18:J18"/>
    <mergeCell ref="K18:N18"/>
    <mergeCell ref="O18:R18"/>
    <mergeCell ref="S18:V18"/>
    <mergeCell ref="W18:Z18"/>
    <mergeCell ref="AA18:AD18"/>
    <mergeCell ref="AE18:AH18"/>
    <mergeCell ref="AI18:AL18"/>
    <mergeCell ref="AM18:AP18"/>
    <mergeCell ref="AN19:AP19"/>
    <mergeCell ref="AR19:AT19"/>
    <mergeCell ref="O20:R20"/>
    <mergeCell ref="S20:V20"/>
    <mergeCell ref="W20:Z20"/>
    <mergeCell ref="AA20:AD20"/>
    <mergeCell ref="AE20:AH20"/>
    <mergeCell ref="AI20:AL20"/>
    <mergeCell ref="AM20:AP20"/>
    <mergeCell ref="AQ20:AT20"/>
    <mergeCell ref="P19:R19"/>
    <mergeCell ref="T19:V19"/>
    <mergeCell ref="X19:Z19"/>
    <mergeCell ref="AB19:AD19"/>
    <mergeCell ref="AF19:AH19"/>
    <mergeCell ref="AJ19:AL19"/>
    <mergeCell ref="AM21:AP21"/>
    <mergeCell ref="AQ21:AT21"/>
    <mergeCell ref="O22:R22"/>
    <mergeCell ref="S22:V22"/>
    <mergeCell ref="W22:Z22"/>
    <mergeCell ref="AA22:AD22"/>
    <mergeCell ref="AE22:AH22"/>
    <mergeCell ref="AI22:AL22"/>
    <mergeCell ref="AM22:AP22"/>
    <mergeCell ref="AQ22:AT22"/>
    <mergeCell ref="O21:R21"/>
    <mergeCell ref="S21:V21"/>
    <mergeCell ref="W21:Z21"/>
    <mergeCell ref="AA21:AD21"/>
    <mergeCell ref="AE21:AH21"/>
    <mergeCell ref="AI21:AL21"/>
    <mergeCell ref="AN23:AP23"/>
    <mergeCell ref="AR23:AT23"/>
    <mergeCell ref="AV23:AX23"/>
    <mergeCell ref="AZ23:BB23"/>
    <mergeCell ref="O24:R24"/>
    <mergeCell ref="S24:V24"/>
    <mergeCell ref="W24:Z24"/>
    <mergeCell ref="AA24:AD24"/>
    <mergeCell ref="AE24:AH24"/>
    <mergeCell ref="AI24:AL24"/>
    <mergeCell ref="P23:R23"/>
    <mergeCell ref="T23:V23"/>
    <mergeCell ref="X23:Z23"/>
    <mergeCell ref="AB23:AD23"/>
    <mergeCell ref="AF23:AH23"/>
    <mergeCell ref="AJ23:AL23"/>
    <mergeCell ref="AY25:BB25"/>
    <mergeCell ref="O26:R26"/>
    <mergeCell ref="S26:V26"/>
    <mergeCell ref="W26:Z26"/>
    <mergeCell ref="AA26:AD26"/>
    <mergeCell ref="AE26:AH26"/>
    <mergeCell ref="AI26:AL26"/>
    <mergeCell ref="AM24:AP24"/>
    <mergeCell ref="AQ24:AT24"/>
    <mergeCell ref="AU24:AX24"/>
    <mergeCell ref="AY24:BB24"/>
    <mergeCell ref="O25:R25"/>
    <mergeCell ref="S25:V25"/>
    <mergeCell ref="W25:Z25"/>
    <mergeCell ref="AA25:AD25"/>
    <mergeCell ref="AE25:AH25"/>
    <mergeCell ref="AI25:AL25"/>
    <mergeCell ref="T27:V27"/>
    <mergeCell ref="X27:Z27"/>
    <mergeCell ref="AB27:AD27"/>
    <mergeCell ref="AF27:AH27"/>
    <mergeCell ref="AJ27:AL27"/>
    <mergeCell ref="AN27:AP27"/>
    <mergeCell ref="AM25:AP25"/>
    <mergeCell ref="AQ25:AT25"/>
    <mergeCell ref="AU25:AX25"/>
    <mergeCell ref="AR27:AT27"/>
    <mergeCell ref="AV27:AX27"/>
    <mergeCell ref="AZ27:BB27"/>
    <mergeCell ref="BD27:BF27"/>
    <mergeCell ref="BH27:BJ27"/>
    <mergeCell ref="BL27:BN27"/>
    <mergeCell ref="AM26:AP26"/>
    <mergeCell ref="AQ26:AT26"/>
    <mergeCell ref="AU26:AX26"/>
    <mergeCell ref="AY26:BB26"/>
    <mergeCell ref="AQ28:AT28"/>
    <mergeCell ref="AU28:AX28"/>
    <mergeCell ref="AY28:BB28"/>
    <mergeCell ref="BC28:BF28"/>
    <mergeCell ref="BG28:BJ28"/>
    <mergeCell ref="BK28:BN28"/>
    <mergeCell ref="S28:V28"/>
    <mergeCell ref="W28:Z28"/>
    <mergeCell ref="AA28:AD28"/>
    <mergeCell ref="AE28:AH28"/>
    <mergeCell ref="AI28:AL28"/>
    <mergeCell ref="AM28:AP28"/>
    <mergeCell ref="AQ29:AT29"/>
    <mergeCell ref="AU29:AX29"/>
    <mergeCell ref="AY29:BB29"/>
    <mergeCell ref="BC29:BF29"/>
    <mergeCell ref="BG29:BJ29"/>
    <mergeCell ref="BK29:BN29"/>
    <mergeCell ref="S29:V29"/>
    <mergeCell ref="W29:Z29"/>
    <mergeCell ref="AA29:AD29"/>
    <mergeCell ref="AE29:AH29"/>
    <mergeCell ref="AI29:AL29"/>
    <mergeCell ref="AM29:AP29"/>
    <mergeCell ref="AQ30:AT30"/>
    <mergeCell ref="AU30:AX30"/>
    <mergeCell ref="AY30:BB30"/>
    <mergeCell ref="BC30:BF30"/>
    <mergeCell ref="BG30:BJ30"/>
    <mergeCell ref="BK30:BN30"/>
    <mergeCell ref="S30:V30"/>
    <mergeCell ref="W30:Z30"/>
    <mergeCell ref="AA30:AD30"/>
    <mergeCell ref="AE30:AH30"/>
    <mergeCell ref="AI30:AL30"/>
    <mergeCell ref="AM30:AP30"/>
    <mergeCell ref="BL31:BN31"/>
    <mergeCell ref="G32:J32"/>
    <mergeCell ref="K32:N32"/>
    <mergeCell ref="O32:R32"/>
    <mergeCell ref="S32:V32"/>
    <mergeCell ref="AA32:AD32"/>
    <mergeCell ref="AE32:AH32"/>
    <mergeCell ref="AI32:AL32"/>
    <mergeCell ref="AM32:AP32"/>
    <mergeCell ref="AU32:AX32"/>
    <mergeCell ref="AJ31:AL31"/>
    <mergeCell ref="AN31:AP31"/>
    <mergeCell ref="AV31:AX31"/>
    <mergeCell ref="AZ31:BB31"/>
    <mergeCell ref="BD31:BF31"/>
    <mergeCell ref="BH31:BJ31"/>
    <mergeCell ref="H31:J31"/>
    <mergeCell ref="L31:N31"/>
    <mergeCell ref="P31:R31"/>
    <mergeCell ref="T31:V31"/>
    <mergeCell ref="AB31:AD31"/>
    <mergeCell ref="AF31:AH31"/>
    <mergeCell ref="AY32:BB32"/>
    <mergeCell ref="BC32:BF32"/>
    <mergeCell ref="BG32:BJ32"/>
    <mergeCell ref="BK32:BN32"/>
    <mergeCell ref="G33:J33"/>
    <mergeCell ref="K33:N33"/>
    <mergeCell ref="O33:R33"/>
    <mergeCell ref="S33:V33"/>
    <mergeCell ref="AA33:AD33"/>
    <mergeCell ref="AE33:AH33"/>
    <mergeCell ref="BK33:BN33"/>
    <mergeCell ref="G34:J34"/>
    <mergeCell ref="K34:N34"/>
    <mergeCell ref="O34:R34"/>
    <mergeCell ref="S34:V34"/>
    <mergeCell ref="AA34:AD34"/>
    <mergeCell ref="AE34:AH34"/>
    <mergeCell ref="AI34:AL34"/>
    <mergeCell ref="AM34:AP34"/>
    <mergeCell ref="AU34:AX34"/>
    <mergeCell ref="AI33:AL33"/>
    <mergeCell ref="AM33:AP33"/>
    <mergeCell ref="AU33:AX33"/>
    <mergeCell ref="AY33:BB33"/>
    <mergeCell ref="BC33:BF33"/>
    <mergeCell ref="BG33:BJ33"/>
    <mergeCell ref="AY34:BB34"/>
    <mergeCell ref="BC34:BF34"/>
    <mergeCell ref="BG34:BJ34"/>
    <mergeCell ref="BK34:BN34"/>
    <mergeCell ref="AB35:AD35"/>
    <mergeCell ref="AF35:AH35"/>
    <mergeCell ref="BD35:BF35"/>
    <mergeCell ref="BH35:BJ35"/>
    <mergeCell ref="BL35:BN35"/>
    <mergeCell ref="AA36:AD36"/>
    <mergeCell ref="AE36:AH36"/>
    <mergeCell ref="BC36:BF36"/>
    <mergeCell ref="BG36:BJ36"/>
    <mergeCell ref="BK36:BN36"/>
    <mergeCell ref="AA37:AD37"/>
    <mergeCell ref="AE37:AH37"/>
    <mergeCell ref="BC37:BF37"/>
    <mergeCell ref="BG37:BJ37"/>
    <mergeCell ref="BK37:BN37"/>
    <mergeCell ref="BP39:BR39"/>
    <mergeCell ref="AY40:BB40"/>
    <mergeCell ref="BC40:BF40"/>
    <mergeCell ref="BG40:BJ40"/>
    <mergeCell ref="BK40:BN40"/>
    <mergeCell ref="BO40:BR40"/>
    <mergeCell ref="AA38:AD38"/>
    <mergeCell ref="AE38:AH38"/>
    <mergeCell ref="BC38:BF38"/>
    <mergeCell ref="BG38:BJ38"/>
    <mergeCell ref="BK38:BN38"/>
    <mergeCell ref="AZ39:BB39"/>
    <mergeCell ref="BD39:BF39"/>
    <mergeCell ref="BH39:BJ39"/>
    <mergeCell ref="BL39:BN39"/>
    <mergeCell ref="AY41:BB41"/>
    <mergeCell ref="BC41:BF41"/>
    <mergeCell ref="BG41:BJ41"/>
    <mergeCell ref="BK41:BN41"/>
    <mergeCell ref="BO41:BR41"/>
    <mergeCell ref="AY42:BB42"/>
    <mergeCell ref="BC42:BF42"/>
    <mergeCell ref="BG42:BJ42"/>
    <mergeCell ref="BK42:BN42"/>
    <mergeCell ref="BO42:BR42"/>
    <mergeCell ref="AY45:BB45"/>
    <mergeCell ref="BC45:BF45"/>
    <mergeCell ref="BG45:BJ45"/>
    <mergeCell ref="AY46:BB46"/>
    <mergeCell ref="BC46:BF46"/>
    <mergeCell ref="BG46:BJ46"/>
    <mergeCell ref="AZ43:BB43"/>
    <mergeCell ref="BD43:BF43"/>
    <mergeCell ref="BH43:BJ43"/>
    <mergeCell ref="AY44:BB44"/>
    <mergeCell ref="BC44:BF44"/>
    <mergeCell ref="BG44:BJ44"/>
    <mergeCell ref="AY49:BB49"/>
    <mergeCell ref="BC49:BF49"/>
    <mergeCell ref="BG49:BJ49"/>
    <mergeCell ref="AY50:BB50"/>
    <mergeCell ref="BC50:BF50"/>
    <mergeCell ref="BG50:BJ50"/>
    <mergeCell ref="AZ47:BB47"/>
    <mergeCell ref="BD47:BF47"/>
    <mergeCell ref="BH47:BJ47"/>
    <mergeCell ref="AY48:BB48"/>
    <mergeCell ref="BC48:BF48"/>
    <mergeCell ref="BG48:BJ48"/>
    <mergeCell ref="BN11:BP11"/>
    <mergeCell ref="BQ11:BR11"/>
    <mergeCell ref="BN12:BP12"/>
    <mergeCell ref="BQ12:BR12"/>
    <mergeCell ref="BN13:BP13"/>
    <mergeCell ref="BQ13:BR13"/>
    <mergeCell ref="BO5:BQ5"/>
    <mergeCell ref="BN6:BQ6"/>
    <mergeCell ref="BN7:BQ7"/>
    <mergeCell ref="BN8:BQ8"/>
    <mergeCell ref="BN10:BP10"/>
    <mergeCell ref="BQ10:BR10"/>
    <mergeCell ref="BN20:BP20"/>
    <mergeCell ref="BQ20:BR20"/>
    <mergeCell ref="BN17:BP17"/>
    <mergeCell ref="BQ17:BR17"/>
    <mergeCell ref="BN18:BP18"/>
    <mergeCell ref="BQ18:BR18"/>
    <mergeCell ref="BN19:BP19"/>
    <mergeCell ref="BQ19:BR19"/>
    <mergeCell ref="BN14:BP14"/>
    <mergeCell ref="BQ14:BR14"/>
    <mergeCell ref="BN15:BP15"/>
    <mergeCell ref="BQ15:BR15"/>
    <mergeCell ref="BN16:BP16"/>
    <mergeCell ref="BQ16:BR16"/>
  </mergeCells>
  <phoneticPr fontId="1"/>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B71BB5-C7E2-4335-969D-56E16049125F}">
  <sheetPr codeName="Sheet3">
    <tabColor rgb="FF0F8472"/>
  </sheetPr>
  <dimension ref="A1:AG153"/>
  <sheetViews>
    <sheetView zoomScaleNormal="100" workbookViewId="0"/>
  </sheetViews>
  <sheetFormatPr defaultColWidth="3.5" defaultRowHeight="21" customHeight="1" x14ac:dyDescent="0.55000000000000004"/>
  <cols>
    <col min="1" max="16384" width="3.5" style="11"/>
  </cols>
  <sheetData>
    <row r="1" spans="1:33" ht="21" customHeight="1" x14ac:dyDescent="0.55000000000000004">
      <c r="A1" s="37"/>
      <c r="F1" s="37" t="s">
        <v>171</v>
      </c>
      <c r="G1" s="37"/>
      <c r="I1" s="37"/>
      <c r="M1" s="37"/>
      <c r="Q1" s="37" t="s">
        <v>172</v>
      </c>
      <c r="V1" s="37"/>
      <c r="AF1" s="37" t="s">
        <v>170</v>
      </c>
    </row>
    <row r="2" spans="1:33" ht="21" customHeight="1" x14ac:dyDescent="0.55000000000000004">
      <c r="B2" s="13" t="s">
        <v>766</v>
      </c>
      <c r="C2" s="12"/>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row>
    <row r="10" spans="1:33" ht="21" customHeight="1" x14ac:dyDescent="0.55000000000000004">
      <c r="G10" s="35" t="s">
        <v>767</v>
      </c>
      <c r="H10" s="27"/>
      <c r="I10" s="27"/>
      <c r="J10" s="27"/>
      <c r="K10" s="27"/>
      <c r="L10" s="11" t="s">
        <v>768</v>
      </c>
    </row>
    <row r="13" spans="1:33" ht="21" customHeight="1" x14ac:dyDescent="0.55000000000000004">
      <c r="D13" s="13" t="s">
        <v>32</v>
      </c>
      <c r="E13" s="12"/>
      <c r="F13" s="12"/>
      <c r="G13" s="12"/>
      <c r="H13" s="12"/>
      <c r="I13" s="12"/>
      <c r="J13" s="12"/>
      <c r="K13" s="12"/>
      <c r="L13" s="12"/>
      <c r="M13" s="12"/>
      <c r="N13" s="12"/>
      <c r="O13" s="12"/>
      <c r="P13" s="12"/>
      <c r="Q13" s="12"/>
      <c r="R13" s="12"/>
      <c r="S13" s="12"/>
      <c r="T13" s="12"/>
      <c r="U13" s="12"/>
      <c r="V13" s="12"/>
      <c r="W13" s="12"/>
      <c r="X13" s="12"/>
      <c r="Y13" s="12"/>
      <c r="Z13" s="12"/>
      <c r="AA13" s="12"/>
      <c r="AB13" s="12"/>
      <c r="AC13" s="12"/>
      <c r="AD13" s="12"/>
      <c r="AE13" s="12"/>
      <c r="AF13" s="12"/>
      <c r="AG13" s="12"/>
    </row>
    <row r="21" spans="1:33" ht="21" customHeight="1" x14ac:dyDescent="0.55000000000000004">
      <c r="G21" s="11" t="s">
        <v>141</v>
      </c>
    </row>
    <row r="22" spans="1:33" ht="21" customHeight="1" x14ac:dyDescent="0.55000000000000004">
      <c r="F22" s="14" t="s">
        <v>30</v>
      </c>
      <c r="G22" s="11" t="s">
        <v>140</v>
      </c>
    </row>
    <row r="23" spans="1:33" ht="21" customHeight="1" x14ac:dyDescent="0.55000000000000004">
      <c r="F23" s="14"/>
    </row>
    <row r="24" spans="1:33" ht="21" customHeight="1" thickBot="1" x14ac:dyDescent="0.45">
      <c r="F24" s="26" t="s">
        <v>40</v>
      </c>
      <c r="Q24" s="26" t="s">
        <v>41</v>
      </c>
    </row>
    <row r="25" spans="1:33" ht="21" customHeight="1" thickTop="1" thickBot="1" x14ac:dyDescent="0.6">
      <c r="A25" s="37" t="s">
        <v>147</v>
      </c>
      <c r="F25" s="111" t="s">
        <v>758</v>
      </c>
      <c r="G25" s="112"/>
      <c r="H25" s="112"/>
      <c r="I25" s="112"/>
      <c r="J25" s="112"/>
      <c r="K25" s="112"/>
      <c r="L25" s="112"/>
      <c r="M25" s="112"/>
      <c r="N25" s="112"/>
      <c r="O25" s="113"/>
      <c r="Q25" s="111" t="s">
        <v>583</v>
      </c>
      <c r="R25" s="112"/>
      <c r="S25" s="112"/>
      <c r="T25" s="113"/>
    </row>
    <row r="26" spans="1:33" ht="21" customHeight="1" thickTop="1" x14ac:dyDescent="0.55000000000000004"/>
    <row r="28" spans="1:33" ht="21" customHeight="1" x14ac:dyDescent="0.55000000000000004">
      <c r="D28" s="13" t="s">
        <v>33</v>
      </c>
      <c r="E28" s="12"/>
      <c r="F28" s="12"/>
      <c r="G28" s="12"/>
      <c r="H28" s="12"/>
      <c r="I28" s="12"/>
      <c r="J28" s="12"/>
      <c r="K28" s="12"/>
      <c r="L28" s="12"/>
      <c r="M28" s="12"/>
      <c r="N28" s="12"/>
      <c r="O28" s="12"/>
      <c r="P28" s="12"/>
      <c r="Q28" s="12"/>
      <c r="R28" s="12"/>
      <c r="S28" s="12"/>
      <c r="T28" s="12"/>
      <c r="U28" s="12"/>
      <c r="V28" s="12"/>
      <c r="W28" s="12"/>
      <c r="X28" s="12"/>
      <c r="Y28" s="12"/>
      <c r="Z28" s="12"/>
      <c r="AA28" s="12"/>
      <c r="AB28" s="12"/>
      <c r="AC28" s="12"/>
      <c r="AD28" s="12"/>
      <c r="AE28" s="12"/>
      <c r="AF28" s="12"/>
      <c r="AG28" s="12"/>
    </row>
    <row r="35" spans="1:33" ht="21" customHeight="1" x14ac:dyDescent="0.55000000000000004">
      <c r="H35" s="11" t="s">
        <v>142</v>
      </c>
    </row>
    <row r="36" spans="1:33" ht="21" customHeight="1" x14ac:dyDescent="0.55000000000000004">
      <c r="F36" s="14"/>
      <c r="G36" s="14" t="s">
        <v>30</v>
      </c>
      <c r="H36" s="11" t="s">
        <v>143</v>
      </c>
    </row>
    <row r="37" spans="1:33" ht="21" customHeight="1" x14ac:dyDescent="0.55000000000000004">
      <c r="F37" s="14"/>
    </row>
    <row r="38" spans="1:33" ht="21" customHeight="1" x14ac:dyDescent="0.55000000000000004">
      <c r="F38" s="14"/>
      <c r="G38" s="11" t="s">
        <v>79</v>
      </c>
    </row>
    <row r="39" spans="1:33" ht="21" customHeight="1" thickBot="1" x14ac:dyDescent="0.45">
      <c r="F39" s="26" t="s">
        <v>40</v>
      </c>
      <c r="Q39" s="26" t="s">
        <v>42</v>
      </c>
    </row>
    <row r="40" spans="1:33" ht="21" customHeight="1" thickTop="1" thickBot="1" x14ac:dyDescent="0.6">
      <c r="A40" s="37" t="s">
        <v>159</v>
      </c>
      <c r="F40" s="111" t="s">
        <v>760</v>
      </c>
      <c r="G40" s="112"/>
      <c r="H40" s="112"/>
      <c r="I40" s="112"/>
      <c r="J40" s="112"/>
      <c r="K40" s="112"/>
      <c r="L40" s="112"/>
      <c r="M40" s="112"/>
      <c r="N40" s="112"/>
      <c r="O40" s="113"/>
      <c r="Q40" s="111" t="s">
        <v>132</v>
      </c>
      <c r="R40" s="113"/>
    </row>
    <row r="41" spans="1:33" ht="21" customHeight="1" thickTop="1" x14ac:dyDescent="0.55000000000000004"/>
    <row r="43" spans="1:33" ht="21" customHeight="1" x14ac:dyDescent="0.55000000000000004">
      <c r="D43" s="13" t="s">
        <v>34</v>
      </c>
      <c r="E43" s="12"/>
      <c r="F43" s="12"/>
      <c r="G43" s="12"/>
      <c r="H43" s="12"/>
      <c r="I43" s="12"/>
      <c r="J43" s="12"/>
      <c r="K43" s="12"/>
      <c r="L43" s="12"/>
      <c r="M43" s="12"/>
      <c r="N43" s="12"/>
      <c r="O43" s="12"/>
      <c r="P43" s="12"/>
      <c r="Q43" s="12"/>
      <c r="R43" s="12"/>
      <c r="S43" s="12"/>
      <c r="T43" s="12"/>
      <c r="U43" s="12"/>
      <c r="V43" s="12"/>
      <c r="W43" s="12"/>
      <c r="X43" s="12"/>
      <c r="Y43" s="12"/>
      <c r="Z43" s="12"/>
      <c r="AA43" s="12"/>
      <c r="AB43" s="12"/>
      <c r="AC43" s="12"/>
      <c r="AD43" s="12"/>
      <c r="AE43" s="12"/>
      <c r="AF43" s="12"/>
      <c r="AG43" s="12"/>
    </row>
    <row r="55" spans="1:20" ht="21" customHeight="1" x14ac:dyDescent="0.55000000000000004">
      <c r="F55" s="14" t="s">
        <v>30</v>
      </c>
      <c r="G55" s="11" t="s">
        <v>36</v>
      </c>
    </row>
    <row r="56" spans="1:20" ht="21" customHeight="1" x14ac:dyDescent="0.55000000000000004">
      <c r="P56" s="29" t="s">
        <v>85</v>
      </c>
      <c r="Q56" s="29"/>
      <c r="R56" s="29"/>
      <c r="S56" s="29"/>
      <c r="T56" s="11" t="s">
        <v>145</v>
      </c>
    </row>
    <row r="57" spans="1:20" ht="21" customHeight="1" x14ac:dyDescent="0.55000000000000004">
      <c r="F57" s="14"/>
      <c r="P57" s="14" t="s">
        <v>30</v>
      </c>
      <c r="Q57" s="11" t="s">
        <v>144</v>
      </c>
    </row>
    <row r="58" spans="1:20" ht="21" customHeight="1" x14ac:dyDescent="0.55000000000000004">
      <c r="F58" s="14"/>
    </row>
    <row r="59" spans="1:20" ht="21" customHeight="1" thickBot="1" x14ac:dyDescent="0.45">
      <c r="F59" s="14"/>
      <c r="Q59" s="26" t="s">
        <v>43</v>
      </c>
    </row>
    <row r="60" spans="1:20" ht="21" customHeight="1" thickTop="1" thickBot="1" x14ac:dyDescent="0.6">
      <c r="A60" s="37" t="s">
        <v>194</v>
      </c>
      <c r="F60" s="14"/>
      <c r="Q60" s="111" t="s">
        <v>778</v>
      </c>
      <c r="R60" s="113"/>
    </row>
    <row r="61" spans="1:20" ht="21" customHeight="1" thickTop="1" x14ac:dyDescent="0.55000000000000004">
      <c r="E61" s="11" t="s">
        <v>197</v>
      </c>
    </row>
    <row r="62" spans="1:20" ht="21" customHeight="1" thickBot="1" x14ac:dyDescent="0.6">
      <c r="E62" s="24"/>
      <c r="F62" s="39" t="s">
        <v>16</v>
      </c>
      <c r="G62" s="40" t="s">
        <v>17</v>
      </c>
      <c r="H62" s="40" t="s">
        <v>18</v>
      </c>
      <c r="I62" s="40" t="s">
        <v>19</v>
      </c>
      <c r="J62" s="24"/>
    </row>
    <row r="63" spans="1:20" ht="21" customHeight="1" x14ac:dyDescent="0.55000000000000004">
      <c r="A63" s="37" t="s">
        <v>158</v>
      </c>
      <c r="E63" s="38">
        <v>1</v>
      </c>
      <c r="F63" s="8"/>
      <c r="G63" s="114" t="s">
        <v>24</v>
      </c>
      <c r="H63" s="114"/>
      <c r="I63" s="115"/>
      <c r="J63" s="24"/>
    </row>
    <row r="64" spans="1:20" ht="21" customHeight="1" x14ac:dyDescent="0.55000000000000004">
      <c r="E64" s="38">
        <v>2</v>
      </c>
      <c r="F64" s="207" t="s">
        <v>628</v>
      </c>
      <c r="G64" s="208"/>
      <c r="H64" s="208"/>
      <c r="I64" s="209"/>
      <c r="J64" s="24"/>
    </row>
    <row r="65" spans="1:33" ht="21" customHeight="1" x14ac:dyDescent="0.55000000000000004">
      <c r="E65" s="38">
        <v>3</v>
      </c>
      <c r="F65" s="204" t="s">
        <v>26</v>
      </c>
      <c r="G65" s="205"/>
      <c r="H65" s="205"/>
      <c r="I65" s="206"/>
      <c r="J65" s="24"/>
    </row>
    <row r="66" spans="1:33" ht="21" customHeight="1" thickBot="1" x14ac:dyDescent="0.6">
      <c r="A66" s="37"/>
      <c r="E66" s="38">
        <v>4</v>
      </c>
      <c r="F66" s="130" t="s">
        <v>630</v>
      </c>
      <c r="G66" s="131"/>
      <c r="H66" s="131"/>
      <c r="I66" s="132"/>
      <c r="J66" s="24"/>
    </row>
    <row r="67" spans="1:33" ht="21" customHeight="1" x14ac:dyDescent="0.55000000000000004">
      <c r="E67" s="24"/>
      <c r="F67" s="24"/>
      <c r="G67" s="24"/>
      <c r="H67" s="24"/>
      <c r="I67" s="24"/>
      <c r="J67" s="24"/>
    </row>
    <row r="68" spans="1:33" ht="21" customHeight="1" thickBot="1" x14ac:dyDescent="0.45">
      <c r="Q68" s="26" t="s">
        <v>191</v>
      </c>
    </row>
    <row r="69" spans="1:33" ht="21" customHeight="1" thickTop="1" thickBot="1" x14ac:dyDescent="0.6">
      <c r="A69" s="37" t="s">
        <v>196</v>
      </c>
      <c r="Q69" s="111" t="s">
        <v>195</v>
      </c>
      <c r="R69" s="112"/>
      <c r="S69" s="112"/>
      <c r="T69" s="113"/>
    </row>
    <row r="70" spans="1:33" ht="21" customHeight="1" thickTop="1" x14ac:dyDescent="0.55000000000000004">
      <c r="Q70" s="45" t="s">
        <v>187</v>
      </c>
    </row>
    <row r="72" spans="1:33" ht="21" customHeight="1" x14ac:dyDescent="0.55000000000000004">
      <c r="G72" s="11" t="s">
        <v>37</v>
      </c>
    </row>
    <row r="75" spans="1:33" ht="21" customHeight="1" x14ac:dyDescent="0.55000000000000004">
      <c r="D75" s="13" t="s">
        <v>35</v>
      </c>
      <c r="E75" s="12"/>
      <c r="F75" s="12"/>
      <c r="G75" s="12"/>
      <c r="H75" s="12"/>
      <c r="I75" s="12"/>
      <c r="J75" s="12"/>
      <c r="K75" s="12"/>
      <c r="L75" s="12"/>
      <c r="M75" s="12"/>
      <c r="N75" s="12"/>
      <c r="O75" s="12"/>
      <c r="P75" s="12"/>
      <c r="Q75" s="12"/>
      <c r="R75" s="12"/>
      <c r="S75" s="12"/>
      <c r="T75" s="12"/>
      <c r="U75" s="12"/>
      <c r="V75" s="12"/>
      <c r="W75" s="12"/>
      <c r="X75" s="12"/>
      <c r="Y75" s="12"/>
      <c r="Z75" s="12"/>
      <c r="AA75" s="12"/>
      <c r="AB75" s="12"/>
      <c r="AC75" s="12"/>
      <c r="AD75" s="12"/>
      <c r="AE75" s="12"/>
      <c r="AF75" s="12"/>
      <c r="AG75" s="12"/>
    </row>
    <row r="95" spans="8:8" ht="21" customHeight="1" x14ac:dyDescent="0.55000000000000004">
      <c r="H95" s="11" t="s">
        <v>146</v>
      </c>
    </row>
    <row r="97" spans="1:18" ht="21" customHeight="1" thickBot="1" x14ac:dyDescent="0.45">
      <c r="Q97" s="26" t="s">
        <v>160</v>
      </c>
    </row>
    <row r="98" spans="1:18" ht="21" customHeight="1" thickTop="1" thickBot="1" x14ac:dyDescent="0.6">
      <c r="A98" s="37" t="s">
        <v>185</v>
      </c>
      <c r="Q98" s="111" t="s">
        <v>779</v>
      </c>
      <c r="R98" s="113"/>
    </row>
    <row r="99" spans="1:18" ht="21" customHeight="1" thickTop="1" x14ac:dyDescent="0.55000000000000004"/>
    <row r="100" spans="1:18" ht="21" customHeight="1" x14ac:dyDescent="0.55000000000000004">
      <c r="G100" s="14" t="s">
        <v>30</v>
      </c>
      <c r="H100" s="11" t="s">
        <v>184</v>
      </c>
    </row>
    <row r="102" spans="1:18" ht="21" customHeight="1" thickBot="1" x14ac:dyDescent="0.6">
      <c r="E102" s="38"/>
      <c r="F102" s="39" t="s">
        <v>16</v>
      </c>
      <c r="G102" s="40" t="s">
        <v>17</v>
      </c>
      <c r="H102" s="40" t="s">
        <v>18</v>
      </c>
      <c r="I102" s="40" t="s">
        <v>19</v>
      </c>
      <c r="J102" s="40" t="s">
        <v>20</v>
      </c>
      <c r="K102" s="40" t="s">
        <v>21</v>
      </c>
      <c r="L102" s="40" t="s">
        <v>22</v>
      </c>
      <c r="M102" s="40" t="s">
        <v>23</v>
      </c>
      <c r="N102" s="41"/>
    </row>
    <row r="103" spans="1:18" ht="21" customHeight="1" x14ac:dyDescent="0.55000000000000004">
      <c r="A103" s="37" t="s">
        <v>157</v>
      </c>
      <c r="E103" s="38">
        <v>1</v>
      </c>
      <c r="F103" s="11" t="s">
        <v>39</v>
      </c>
      <c r="G103" s="198" t="s">
        <v>28</v>
      </c>
      <c r="H103" s="199"/>
      <c r="I103" s="199"/>
      <c r="J103" s="200" t="s">
        <v>27</v>
      </c>
      <c r="K103" s="201"/>
      <c r="L103" s="138" t="s">
        <v>29</v>
      </c>
      <c r="M103" s="138"/>
      <c r="N103" s="25"/>
    </row>
    <row r="104" spans="1:18" ht="21" customHeight="1" x14ac:dyDescent="0.55000000000000004">
      <c r="E104" s="38">
        <v>2</v>
      </c>
      <c r="F104" s="11">
        <v>1</v>
      </c>
      <c r="G104" s="176">
        <v>7500</v>
      </c>
      <c r="H104" s="139"/>
      <c r="I104" s="139"/>
      <c r="J104" s="202"/>
      <c r="K104" s="203"/>
      <c r="L104" s="187"/>
      <c r="M104" s="187"/>
      <c r="N104" s="25"/>
    </row>
    <row r="105" spans="1:18" ht="21" customHeight="1" x14ac:dyDescent="0.55000000000000004">
      <c r="E105" s="38">
        <v>3</v>
      </c>
      <c r="F105" s="11">
        <v>2</v>
      </c>
      <c r="G105" s="176">
        <v>5000</v>
      </c>
      <c r="H105" s="139"/>
      <c r="I105" s="139"/>
      <c r="J105" s="185"/>
      <c r="K105" s="186"/>
      <c r="L105" s="187"/>
      <c r="M105" s="187"/>
      <c r="N105" s="25"/>
    </row>
    <row r="106" spans="1:18" ht="21" customHeight="1" x14ac:dyDescent="0.55000000000000004">
      <c r="E106" s="38">
        <v>4</v>
      </c>
      <c r="F106" s="11">
        <v>3</v>
      </c>
      <c r="G106" s="176">
        <v>2500</v>
      </c>
      <c r="H106" s="139"/>
      <c r="I106" s="139"/>
      <c r="J106" s="268"/>
      <c r="K106" s="269"/>
      <c r="L106" s="175"/>
      <c r="M106" s="175"/>
      <c r="N106" s="25"/>
    </row>
    <row r="107" spans="1:18" ht="21" customHeight="1" x14ac:dyDescent="0.55000000000000004">
      <c r="E107" s="38">
        <v>5</v>
      </c>
      <c r="F107" s="11">
        <v>4</v>
      </c>
      <c r="G107" s="176">
        <v>1250</v>
      </c>
      <c r="H107" s="139"/>
      <c r="I107" s="139"/>
      <c r="J107" s="188"/>
      <c r="K107" s="189"/>
      <c r="L107" s="175"/>
      <c r="M107" s="175"/>
      <c r="N107" s="25"/>
    </row>
    <row r="108" spans="1:18" ht="21" customHeight="1" x14ac:dyDescent="0.55000000000000004">
      <c r="E108" s="38">
        <v>6</v>
      </c>
      <c r="F108" s="11">
        <v>5</v>
      </c>
      <c r="G108" s="176">
        <v>1000</v>
      </c>
      <c r="H108" s="139"/>
      <c r="I108" s="139"/>
      <c r="J108" s="183"/>
      <c r="K108" s="184"/>
      <c r="L108" s="175"/>
      <c r="M108" s="175"/>
      <c r="N108" s="25"/>
    </row>
    <row r="109" spans="1:18" ht="21" customHeight="1" x14ac:dyDescent="0.55000000000000004">
      <c r="E109" s="38">
        <v>7</v>
      </c>
      <c r="F109" s="11">
        <v>6</v>
      </c>
      <c r="G109" s="176">
        <v>750</v>
      </c>
      <c r="H109" s="139"/>
      <c r="I109" s="139"/>
      <c r="J109" s="272"/>
      <c r="K109" s="273"/>
      <c r="L109" s="175"/>
      <c r="M109" s="175"/>
      <c r="N109" s="25"/>
    </row>
    <row r="110" spans="1:18" ht="21" customHeight="1" x14ac:dyDescent="0.55000000000000004">
      <c r="E110" s="38">
        <v>8</v>
      </c>
      <c r="F110" s="11">
        <v>7</v>
      </c>
      <c r="G110" s="176">
        <v>500</v>
      </c>
      <c r="H110" s="139"/>
      <c r="I110" s="139"/>
      <c r="J110" s="270"/>
      <c r="K110" s="271"/>
      <c r="L110" s="175"/>
      <c r="M110" s="175"/>
      <c r="N110" s="25"/>
    </row>
    <row r="111" spans="1:18" ht="21" customHeight="1" x14ac:dyDescent="0.55000000000000004">
      <c r="E111" s="38">
        <v>9</v>
      </c>
      <c r="F111" s="11">
        <v>8</v>
      </c>
      <c r="G111" s="176">
        <v>250</v>
      </c>
      <c r="H111" s="139"/>
      <c r="I111" s="139"/>
      <c r="J111" s="190"/>
      <c r="K111" s="191"/>
      <c r="L111" s="175"/>
      <c r="M111" s="175"/>
      <c r="N111" s="25"/>
    </row>
    <row r="112" spans="1:18" ht="21" customHeight="1" x14ac:dyDescent="0.55000000000000004">
      <c r="E112" s="38">
        <v>10</v>
      </c>
      <c r="F112" s="11">
        <v>9</v>
      </c>
      <c r="G112" s="176">
        <v>125</v>
      </c>
      <c r="H112" s="139"/>
      <c r="I112" s="139"/>
      <c r="J112" s="181"/>
      <c r="K112" s="182"/>
      <c r="L112" s="175"/>
      <c r="M112" s="175"/>
      <c r="N112" s="25"/>
    </row>
    <row r="113" spans="1:33" ht="21" customHeight="1" x14ac:dyDescent="0.55000000000000004">
      <c r="E113" s="38">
        <v>11</v>
      </c>
      <c r="F113" s="11">
        <v>10</v>
      </c>
      <c r="G113" s="176">
        <v>100</v>
      </c>
      <c r="H113" s="139"/>
      <c r="I113" s="139"/>
      <c r="J113" s="177"/>
      <c r="K113" s="178"/>
      <c r="L113" s="175"/>
      <c r="M113" s="175"/>
      <c r="N113" s="25"/>
    </row>
    <row r="114" spans="1:33" ht="21" customHeight="1" thickBot="1" x14ac:dyDescent="0.6">
      <c r="E114" s="38">
        <v>12</v>
      </c>
      <c r="F114" s="11">
        <v>11</v>
      </c>
      <c r="G114" s="173">
        <v>0</v>
      </c>
      <c r="H114" s="174"/>
      <c r="I114" s="174"/>
      <c r="J114" s="274"/>
      <c r="K114" s="275"/>
      <c r="L114" s="175"/>
      <c r="M114" s="175"/>
      <c r="N114" s="25"/>
    </row>
    <row r="115" spans="1:33" ht="21" customHeight="1" x14ac:dyDescent="0.55000000000000004">
      <c r="E115" s="38"/>
      <c r="F115" s="25"/>
      <c r="G115" s="25"/>
      <c r="H115" s="25"/>
      <c r="I115" s="25"/>
      <c r="J115" s="25"/>
      <c r="K115" s="25"/>
      <c r="L115" s="25"/>
      <c r="M115" s="25"/>
      <c r="N115" s="25"/>
    </row>
    <row r="117" spans="1:33" ht="21" customHeight="1" thickBot="1" x14ac:dyDescent="0.45">
      <c r="Q117" s="26" t="s">
        <v>191</v>
      </c>
    </row>
    <row r="118" spans="1:33" ht="21" customHeight="1" thickTop="1" thickBot="1" x14ac:dyDescent="0.6">
      <c r="A118" s="37" t="s">
        <v>190</v>
      </c>
      <c r="Q118" s="111" t="s">
        <v>192</v>
      </c>
      <c r="R118" s="112"/>
      <c r="S118" s="112"/>
      <c r="T118" s="113"/>
    </row>
    <row r="119" spans="1:33" ht="21" customHeight="1" thickTop="1" x14ac:dyDescent="0.55000000000000004">
      <c r="Q119" s="45" t="s">
        <v>187</v>
      </c>
    </row>
    <row r="120" spans="1:33" ht="21" customHeight="1" thickBot="1" x14ac:dyDescent="0.45">
      <c r="F120" s="26" t="s">
        <v>44</v>
      </c>
    </row>
    <row r="121" spans="1:33" ht="21" customHeight="1" thickTop="1" thickBot="1" x14ac:dyDescent="0.6">
      <c r="A121" s="37" t="s">
        <v>188</v>
      </c>
      <c r="F121" s="111" t="s">
        <v>173</v>
      </c>
      <c r="G121" s="112"/>
      <c r="H121" s="112"/>
      <c r="I121" s="113"/>
    </row>
    <row r="122" spans="1:33" ht="21" customHeight="1" thickTop="1" x14ac:dyDescent="0.55000000000000004">
      <c r="F122" s="45" t="s">
        <v>187</v>
      </c>
    </row>
    <row r="125" spans="1:33" ht="21" customHeight="1" x14ac:dyDescent="0.55000000000000004">
      <c r="D125" s="13" t="s">
        <v>35</v>
      </c>
      <c r="E125" s="12"/>
      <c r="F125" s="12"/>
      <c r="G125" s="12"/>
      <c r="H125" s="12"/>
      <c r="I125" s="12"/>
      <c r="J125" s="12"/>
      <c r="K125" s="12"/>
      <c r="L125" s="12"/>
      <c r="M125" s="12"/>
      <c r="N125" s="12"/>
      <c r="O125" s="12"/>
      <c r="P125" s="12"/>
      <c r="Q125" s="12"/>
      <c r="R125" s="12"/>
      <c r="S125" s="12"/>
      <c r="T125" s="12"/>
      <c r="U125" s="12"/>
      <c r="V125" s="12"/>
      <c r="W125" s="12"/>
      <c r="X125" s="12"/>
      <c r="Y125" s="12"/>
      <c r="Z125" s="12"/>
      <c r="AA125" s="12"/>
      <c r="AB125" s="12"/>
      <c r="AC125" s="12"/>
      <c r="AD125" s="12"/>
      <c r="AE125" s="12"/>
      <c r="AF125" s="12"/>
      <c r="AG125" s="12"/>
    </row>
    <row r="127" spans="1:33" ht="21" customHeight="1" thickBot="1" x14ac:dyDescent="0.6">
      <c r="F127" s="14" t="s">
        <v>30</v>
      </c>
      <c r="G127" s="11" t="s">
        <v>31</v>
      </c>
    </row>
    <row r="128" spans="1:33" ht="21" customHeight="1" x14ac:dyDescent="0.55000000000000004">
      <c r="F128" s="15"/>
      <c r="G128" s="16"/>
      <c r="H128" s="16"/>
      <c r="I128" s="16"/>
      <c r="J128" s="16"/>
      <c r="K128" s="16"/>
      <c r="L128" s="16"/>
      <c r="M128" s="16"/>
      <c r="N128" s="17"/>
    </row>
    <row r="129" spans="6:14" ht="21" customHeight="1" x14ac:dyDescent="0.55000000000000004">
      <c r="F129" s="18"/>
      <c r="N129" s="19"/>
    </row>
    <row r="130" spans="6:14" ht="21" customHeight="1" x14ac:dyDescent="0.55000000000000004">
      <c r="F130" s="18"/>
      <c r="N130" s="19"/>
    </row>
    <row r="131" spans="6:14" ht="21" customHeight="1" thickBot="1" x14ac:dyDescent="0.6">
      <c r="F131" s="20"/>
      <c r="G131" s="21"/>
      <c r="H131" s="21"/>
      <c r="I131" s="21"/>
      <c r="J131" s="21"/>
      <c r="K131" s="21"/>
      <c r="L131" s="21"/>
      <c r="M131" s="21"/>
      <c r="N131" s="22"/>
    </row>
    <row r="150" spans="1:8" ht="21" customHeight="1" x14ac:dyDescent="0.55000000000000004">
      <c r="H150" s="11" t="s">
        <v>81</v>
      </c>
    </row>
    <row r="152" spans="1:8" ht="21" customHeight="1" x14ac:dyDescent="0.55000000000000004">
      <c r="B152" s="11" t="s">
        <v>28</v>
      </c>
    </row>
    <row r="153" spans="1:8" ht="21" customHeight="1" x14ac:dyDescent="0.55000000000000004">
      <c r="A153" s="37" t="s">
        <v>133</v>
      </c>
    </row>
  </sheetData>
  <mergeCells count="49">
    <mergeCell ref="Q40:R40"/>
    <mergeCell ref="G104:I104"/>
    <mergeCell ref="F25:O25"/>
    <mergeCell ref="G63:I63"/>
    <mergeCell ref="F64:I64"/>
    <mergeCell ref="F65:I65"/>
    <mergeCell ref="F66:I66"/>
    <mergeCell ref="F40:O40"/>
    <mergeCell ref="L104:M104"/>
    <mergeCell ref="L103:M103"/>
    <mergeCell ref="J103:K103"/>
    <mergeCell ref="J104:K104"/>
    <mergeCell ref="Q25:T25"/>
    <mergeCell ref="Q98:R98"/>
    <mergeCell ref="G103:I103"/>
    <mergeCell ref="F121:I121"/>
    <mergeCell ref="L107:M107"/>
    <mergeCell ref="L108:M108"/>
    <mergeCell ref="J112:K112"/>
    <mergeCell ref="J111:K111"/>
    <mergeCell ref="J114:K114"/>
    <mergeCell ref="L109:M109"/>
    <mergeCell ref="L112:M112"/>
    <mergeCell ref="L113:M113"/>
    <mergeCell ref="L114:M114"/>
    <mergeCell ref="G110:I110"/>
    <mergeCell ref="G111:I111"/>
    <mergeCell ref="G112:I112"/>
    <mergeCell ref="G113:I113"/>
    <mergeCell ref="G114:I114"/>
    <mergeCell ref="J105:K105"/>
    <mergeCell ref="J106:K106"/>
    <mergeCell ref="J107:K107"/>
    <mergeCell ref="J110:K110"/>
    <mergeCell ref="J113:K113"/>
    <mergeCell ref="J109:K109"/>
    <mergeCell ref="J108:K108"/>
    <mergeCell ref="L106:M106"/>
    <mergeCell ref="L105:M105"/>
    <mergeCell ref="Q118:T118"/>
    <mergeCell ref="Q60:R60"/>
    <mergeCell ref="Q69:T69"/>
    <mergeCell ref="L110:M110"/>
    <mergeCell ref="L111:M111"/>
    <mergeCell ref="G105:I105"/>
    <mergeCell ref="G106:I106"/>
    <mergeCell ref="G107:I107"/>
    <mergeCell ref="G108:I108"/>
    <mergeCell ref="G109:I109"/>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7649" r:id="rId3" name="Button 1">
              <controlPr defaultSize="0" print="0" autoFill="0" autoPict="0" macro="[0]!設定_人口_ボタン1_Click">
                <anchor moveWithCells="1" sizeWithCells="1">
                  <from>
                    <xdr:col>6</xdr:col>
                    <xdr:colOff>82550</xdr:colOff>
                    <xdr:row>127</xdr:row>
                    <xdr:rowOff>184150</xdr:rowOff>
                  </from>
                  <to>
                    <xdr:col>12</xdr:col>
                    <xdr:colOff>139700</xdr:colOff>
                    <xdr:row>130</xdr:row>
                    <xdr:rowOff>57150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465D4-F316-4FF2-9D74-571FEC8717B6}">
  <sheetPr codeName="Sheet26"/>
  <dimension ref="A1:BT53"/>
  <sheetViews>
    <sheetView zoomScale="80" zoomScaleNormal="80" workbookViewId="0"/>
  </sheetViews>
  <sheetFormatPr defaultColWidth="3.5" defaultRowHeight="21.15" customHeight="1" x14ac:dyDescent="0.55000000000000004"/>
  <sheetData>
    <row r="1" spans="1:72" ht="21.15" customHeight="1" x14ac:dyDescent="0.55000000000000004">
      <c r="A1" s="78"/>
      <c r="B1" s="78"/>
      <c r="C1" s="78"/>
      <c r="D1" s="78"/>
      <c r="E1" s="78"/>
      <c r="F1" s="78"/>
      <c r="G1" s="78"/>
      <c r="H1" s="78"/>
      <c r="I1" s="78"/>
      <c r="J1" s="78"/>
      <c r="K1" s="78"/>
      <c r="L1" s="78"/>
      <c r="M1" s="78"/>
      <c r="N1" s="78"/>
      <c r="O1" s="78"/>
      <c r="P1" s="78"/>
      <c r="Q1" s="78"/>
      <c r="R1" s="78"/>
      <c r="S1" s="78"/>
      <c r="T1" s="78"/>
      <c r="U1" s="78"/>
      <c r="V1" s="78"/>
      <c r="W1" s="78"/>
      <c r="X1" s="78"/>
      <c r="Y1" s="78"/>
      <c r="Z1" s="78"/>
      <c r="AA1" s="78"/>
      <c r="AB1" s="78"/>
      <c r="AC1" s="78"/>
      <c r="AD1" s="78"/>
      <c r="AE1" s="78"/>
      <c r="AF1" s="78"/>
      <c r="AG1" s="78"/>
      <c r="AH1" s="78"/>
      <c r="AI1" s="78"/>
      <c r="AJ1" s="78"/>
      <c r="AK1" s="78"/>
      <c r="AL1" s="78"/>
      <c r="AM1" s="78"/>
      <c r="AN1" s="78"/>
      <c r="AO1" s="78"/>
      <c r="AP1" s="78"/>
      <c r="AQ1" s="78"/>
      <c r="AR1" s="78"/>
      <c r="AS1" s="78"/>
      <c r="AT1" s="78"/>
      <c r="AU1" s="78"/>
      <c r="AV1" s="78"/>
      <c r="AW1" s="78"/>
      <c r="AX1" s="78"/>
      <c r="AY1" s="78"/>
      <c r="AZ1" s="78"/>
      <c r="BA1" s="78"/>
      <c r="BB1" s="78"/>
      <c r="BC1" s="78"/>
      <c r="BD1" s="78"/>
      <c r="BE1" s="78"/>
      <c r="BF1" s="78"/>
      <c r="BG1" s="78"/>
      <c r="BH1" s="78"/>
      <c r="BI1" s="78"/>
      <c r="BJ1" s="78"/>
      <c r="BK1" s="78"/>
      <c r="BL1" s="78"/>
      <c r="BM1" s="78"/>
      <c r="BN1" s="78"/>
      <c r="BO1" s="78"/>
      <c r="BP1" s="78"/>
      <c r="BQ1" s="78"/>
      <c r="BR1" s="78"/>
      <c r="BS1" s="78"/>
      <c r="BT1" s="78"/>
    </row>
    <row r="2" spans="1:72" ht="21.15" customHeight="1" x14ac:dyDescent="0.55000000000000004">
      <c r="A2" s="78"/>
      <c r="B2" s="79"/>
      <c r="C2" s="79"/>
      <c r="D2" s="79"/>
      <c r="E2" s="79"/>
      <c r="F2" s="79"/>
      <c r="G2" s="79"/>
      <c r="H2" s="79"/>
      <c r="I2" s="79"/>
      <c r="J2" s="79"/>
      <c r="K2" s="79"/>
      <c r="L2" s="79"/>
      <c r="M2" s="79"/>
      <c r="N2" s="79"/>
      <c r="O2" s="79"/>
      <c r="P2" s="79"/>
      <c r="Q2" s="79"/>
      <c r="R2" s="79"/>
      <c r="S2" s="79"/>
      <c r="T2" s="79"/>
      <c r="U2" s="79"/>
      <c r="V2" s="79"/>
      <c r="W2" s="79"/>
      <c r="X2" s="79"/>
      <c r="Y2" s="79"/>
      <c r="Z2" s="79"/>
      <c r="AA2" s="79"/>
      <c r="AB2" s="79"/>
      <c r="AC2" s="79"/>
      <c r="AD2" s="79"/>
      <c r="AE2" s="79"/>
      <c r="AF2" s="79"/>
      <c r="AG2" s="79"/>
      <c r="AH2" s="79"/>
      <c r="AI2" s="79"/>
      <c r="AJ2" s="79"/>
      <c r="AK2" s="79"/>
      <c r="AL2" s="79"/>
      <c r="AM2" s="79"/>
      <c r="AN2" s="79"/>
      <c r="AO2" s="79"/>
      <c r="AP2" s="79"/>
      <c r="AQ2" s="79"/>
      <c r="AR2" s="79"/>
      <c r="AS2" s="79"/>
      <c r="AT2" s="79"/>
      <c r="AU2" s="79"/>
      <c r="AV2" s="79"/>
      <c r="AW2" s="79"/>
      <c r="AX2" s="79"/>
      <c r="AY2" s="79"/>
      <c r="AZ2" s="79"/>
      <c r="BA2" s="79"/>
      <c r="BB2" s="79"/>
      <c r="BC2" s="79"/>
      <c r="BD2" s="79"/>
      <c r="BE2" s="79"/>
      <c r="BF2" s="79"/>
      <c r="BG2" s="79"/>
      <c r="BH2" s="79"/>
      <c r="BI2" s="79"/>
      <c r="BJ2" s="79"/>
      <c r="BK2" s="79"/>
      <c r="BL2" s="79"/>
      <c r="BM2" s="79"/>
      <c r="BN2" s="79"/>
      <c r="BO2" s="79"/>
      <c r="BP2" s="79"/>
      <c r="BQ2" s="79"/>
      <c r="BR2" s="79"/>
      <c r="BS2" s="79"/>
      <c r="BT2" s="78"/>
    </row>
    <row r="3" spans="1:72" ht="21.15" customHeight="1" x14ac:dyDescent="0.55000000000000004">
      <c r="A3" s="78"/>
      <c r="B3" s="79"/>
      <c r="C3" s="79"/>
      <c r="D3" s="80"/>
      <c r="E3" s="80"/>
      <c r="F3" s="80"/>
      <c r="G3" s="81" t="s">
        <v>62</v>
      </c>
      <c r="H3" s="79"/>
      <c r="I3" s="79"/>
      <c r="J3" s="79"/>
      <c r="K3" s="81" t="s">
        <v>61</v>
      </c>
      <c r="L3" s="79"/>
      <c r="M3" s="79"/>
      <c r="N3" s="79"/>
      <c r="O3" s="81" t="s">
        <v>60</v>
      </c>
      <c r="P3" s="79"/>
      <c r="Q3" s="79"/>
      <c r="R3" s="79"/>
      <c r="S3" s="81" t="s">
        <v>59</v>
      </c>
      <c r="T3" s="79"/>
      <c r="U3" s="79"/>
      <c r="V3" s="79"/>
      <c r="W3" s="81" t="s">
        <v>58</v>
      </c>
      <c r="X3" s="79"/>
      <c r="Y3" s="79"/>
      <c r="Z3" s="79"/>
      <c r="AA3" s="81" t="s">
        <v>57</v>
      </c>
      <c r="AB3" s="79"/>
      <c r="AC3" s="79"/>
      <c r="AD3" s="79"/>
      <c r="AE3" s="81" t="s">
        <v>56</v>
      </c>
      <c r="AF3" s="79"/>
      <c r="AG3" s="79"/>
      <c r="AH3" s="79"/>
      <c r="AI3" s="81" t="s">
        <v>55</v>
      </c>
      <c r="AJ3" s="79"/>
      <c r="AK3" s="79"/>
      <c r="AL3" s="79"/>
      <c r="AM3" s="81" t="s">
        <v>54</v>
      </c>
      <c r="AN3" s="79"/>
      <c r="AO3" s="79"/>
      <c r="AP3" s="79"/>
      <c r="AQ3" s="81" t="s">
        <v>53</v>
      </c>
      <c r="AR3" s="79"/>
      <c r="AS3" s="79"/>
      <c r="AT3" s="79"/>
      <c r="AU3" s="81" t="s">
        <v>52</v>
      </c>
      <c r="AV3" s="79"/>
      <c r="AW3" s="79"/>
      <c r="AX3" s="79"/>
      <c r="AY3" s="81" t="s">
        <v>51</v>
      </c>
      <c r="AZ3" s="79"/>
      <c r="BA3" s="79"/>
      <c r="BB3" s="79"/>
      <c r="BC3" s="81" t="s">
        <v>50</v>
      </c>
      <c r="BD3" s="79"/>
      <c r="BE3" s="79"/>
      <c r="BF3" s="79"/>
      <c r="BG3" s="81" t="s">
        <v>49</v>
      </c>
      <c r="BH3" s="79"/>
      <c r="BI3" s="79"/>
      <c r="BJ3" s="79"/>
      <c r="BK3" s="81" t="s">
        <v>48</v>
      </c>
      <c r="BL3" s="79"/>
      <c r="BM3" s="79"/>
      <c r="BN3" s="79"/>
      <c r="BO3" s="81" t="s">
        <v>47</v>
      </c>
      <c r="BP3" s="79"/>
      <c r="BQ3" s="79"/>
      <c r="BR3" s="79"/>
      <c r="BS3" s="79"/>
      <c r="BT3" s="78"/>
    </row>
    <row r="4" spans="1:72" ht="21.15" customHeight="1" thickBot="1" x14ac:dyDescent="0.6">
      <c r="A4" s="78"/>
      <c r="B4" s="79"/>
      <c r="C4" s="80"/>
      <c r="D4" s="80"/>
      <c r="E4" s="80"/>
      <c r="F4" s="80"/>
      <c r="G4" s="79"/>
      <c r="H4" s="79"/>
      <c r="I4" s="79"/>
      <c r="J4" s="79"/>
      <c r="K4" s="79"/>
      <c r="L4" s="79"/>
      <c r="M4" s="79"/>
      <c r="N4" s="79"/>
      <c r="O4" s="79"/>
      <c r="P4" s="79"/>
      <c r="Q4" s="79"/>
      <c r="R4" s="79"/>
      <c r="S4" s="79"/>
      <c r="T4" s="79"/>
      <c r="U4" s="79"/>
      <c r="V4" s="79"/>
      <c r="W4" s="79"/>
      <c r="X4" s="79"/>
      <c r="Y4" s="79"/>
      <c r="Z4" s="79"/>
      <c r="AA4" s="79"/>
      <c r="AB4" s="79"/>
      <c r="AC4" s="79"/>
      <c r="AD4" s="79"/>
      <c r="AE4" s="79"/>
      <c r="AF4" s="79"/>
      <c r="AG4" s="79"/>
      <c r="AH4" s="79"/>
      <c r="AI4" s="79"/>
      <c r="AJ4" s="79"/>
      <c r="AK4" s="79"/>
      <c r="AL4" s="79"/>
      <c r="AM4" s="79"/>
      <c r="AN4" s="79"/>
      <c r="AO4" s="79"/>
      <c r="AP4" s="79"/>
      <c r="AQ4" s="79"/>
      <c r="AR4" s="79"/>
      <c r="AS4" s="79"/>
      <c r="AT4" s="79"/>
      <c r="AU4" s="79"/>
      <c r="AV4" s="79"/>
      <c r="AW4" s="79"/>
      <c r="AX4" s="79"/>
      <c r="AY4" s="79"/>
      <c r="AZ4" s="79"/>
      <c r="BA4" s="79"/>
      <c r="BB4" s="79"/>
      <c r="BC4" s="79"/>
      <c r="BD4" s="79"/>
      <c r="BE4" s="79"/>
      <c r="BF4" s="79"/>
      <c r="BG4" s="79"/>
      <c r="BH4" s="79"/>
      <c r="BI4" s="79"/>
      <c r="BJ4" s="79"/>
      <c r="BK4" s="79"/>
      <c r="BL4" s="79"/>
      <c r="BM4" s="79"/>
      <c r="BN4" s="79"/>
      <c r="BO4" s="79"/>
      <c r="BP4" s="79"/>
      <c r="BQ4" s="79"/>
      <c r="BR4" s="79"/>
      <c r="BS4" s="79"/>
      <c r="BT4" s="78"/>
    </row>
    <row r="5" spans="1:72" ht="21.15" customHeight="1" x14ac:dyDescent="0.55000000000000004">
      <c r="A5" s="78"/>
      <c r="B5" s="79"/>
      <c r="C5" s="80"/>
      <c r="D5" s="80"/>
      <c r="E5" s="80"/>
      <c r="F5" s="80"/>
      <c r="G5" s="79"/>
      <c r="H5" s="79"/>
      <c r="I5" s="79"/>
      <c r="J5" s="79"/>
      <c r="K5" s="79"/>
      <c r="L5" s="79"/>
      <c r="M5" s="79"/>
      <c r="N5" s="79"/>
      <c r="O5" s="79"/>
      <c r="P5" s="79"/>
      <c r="Q5" s="79"/>
      <c r="R5" s="79"/>
      <c r="S5" s="79"/>
      <c r="T5" s="79"/>
      <c r="U5" s="79"/>
      <c r="V5" s="79"/>
      <c r="W5" s="79"/>
      <c r="X5" s="79"/>
      <c r="Y5" s="79"/>
      <c r="Z5" s="79"/>
      <c r="AA5" s="79"/>
      <c r="AB5" s="79"/>
      <c r="AC5" s="79"/>
      <c r="AD5" s="79"/>
      <c r="AE5" s="79"/>
      <c r="AF5" s="79"/>
      <c r="AG5" s="79"/>
      <c r="AH5" s="79"/>
      <c r="AI5" s="79"/>
      <c r="AJ5" s="79"/>
      <c r="AK5" s="79"/>
      <c r="AL5" s="79"/>
      <c r="AM5" s="79"/>
      <c r="AN5" s="79"/>
      <c r="AO5" s="79"/>
      <c r="AP5" s="79"/>
      <c r="AQ5" s="79"/>
      <c r="AR5" s="79"/>
      <c r="AS5" s="79"/>
      <c r="AT5" s="79"/>
      <c r="AU5" s="79"/>
      <c r="AV5" s="79"/>
      <c r="AW5" s="79"/>
      <c r="AX5" s="79"/>
      <c r="AY5" s="79"/>
      <c r="AZ5" s="79"/>
      <c r="BA5" s="79"/>
      <c r="BB5" s="79"/>
      <c r="BC5" s="79"/>
      <c r="BD5" s="79"/>
      <c r="BE5" s="79"/>
      <c r="BF5" s="79"/>
      <c r="BG5" s="79"/>
      <c r="BH5" s="79"/>
      <c r="BI5" s="79"/>
      <c r="BJ5" s="79"/>
      <c r="BK5" s="79"/>
      <c r="BL5" s="79"/>
      <c r="BM5" s="79"/>
      <c r="BN5" s="104"/>
      <c r="BO5" s="142" t="s">
        <v>69</v>
      </c>
      <c r="BP5" s="142"/>
      <c r="BQ5" s="143"/>
      <c r="BR5" s="79"/>
      <c r="BS5" s="79"/>
      <c r="BT5" s="78"/>
    </row>
    <row r="6" spans="1:72" ht="21.15" customHeight="1" thickBot="1" x14ac:dyDescent="0.6">
      <c r="A6" s="78"/>
      <c r="B6" s="79"/>
      <c r="C6" s="80"/>
      <c r="D6" s="80"/>
      <c r="E6" s="80"/>
      <c r="F6" s="80"/>
      <c r="G6" s="79"/>
      <c r="H6" s="79"/>
      <c r="I6" s="79"/>
      <c r="J6" s="79"/>
      <c r="K6" s="79"/>
      <c r="L6" s="79"/>
      <c r="M6" s="79"/>
      <c r="N6" s="79"/>
      <c r="O6" s="79"/>
      <c r="P6" s="79"/>
      <c r="Q6" s="79"/>
      <c r="R6" s="79"/>
      <c r="S6" s="79"/>
      <c r="T6" s="79"/>
      <c r="U6" s="79"/>
      <c r="V6" s="79"/>
      <c r="W6" s="79"/>
      <c r="X6" s="79"/>
      <c r="Y6" s="79"/>
      <c r="Z6" s="79"/>
      <c r="AA6" s="79"/>
      <c r="AB6" s="79"/>
      <c r="AC6" s="79"/>
      <c r="AD6" s="79"/>
      <c r="AE6" s="79"/>
      <c r="AF6" s="79"/>
      <c r="AG6" s="79"/>
      <c r="AH6" s="79"/>
      <c r="AI6" s="79"/>
      <c r="AJ6" s="79"/>
      <c r="AK6" s="79"/>
      <c r="AL6" s="79"/>
      <c r="AM6" s="79"/>
      <c r="AN6" s="79"/>
      <c r="AO6" s="79"/>
      <c r="AP6" s="79"/>
      <c r="AQ6" s="79"/>
      <c r="AR6" s="79"/>
      <c r="AS6" s="79"/>
      <c r="AT6" s="79"/>
      <c r="AU6" s="79"/>
      <c r="AV6" s="79"/>
      <c r="AW6" s="79"/>
      <c r="AX6" s="79"/>
      <c r="AY6" s="79"/>
      <c r="AZ6" s="79"/>
      <c r="BA6" s="79"/>
      <c r="BB6" s="79"/>
      <c r="BC6" s="79"/>
      <c r="BD6" s="79"/>
      <c r="BE6" s="79"/>
      <c r="BF6" s="79"/>
      <c r="BG6" s="79"/>
      <c r="BH6" s="79"/>
      <c r="BI6" s="79"/>
      <c r="BJ6" s="79"/>
      <c r="BK6" s="79"/>
      <c r="BL6" s="79"/>
      <c r="BM6" s="79"/>
      <c r="BN6" s="232" t="s">
        <v>776</v>
      </c>
      <c r="BO6" s="218"/>
      <c r="BP6" s="218"/>
      <c r="BQ6" s="231"/>
      <c r="BR6" s="79"/>
      <c r="BS6" s="79"/>
      <c r="BT6" s="78"/>
    </row>
    <row r="7" spans="1:72" ht="21.15" customHeight="1" x14ac:dyDescent="0.55000000000000004">
      <c r="A7" s="78"/>
      <c r="B7" s="79"/>
      <c r="C7" s="81" t="s">
        <v>46</v>
      </c>
      <c r="D7" s="79"/>
      <c r="E7" s="79"/>
      <c r="F7" s="79"/>
      <c r="G7" s="79"/>
      <c r="H7" s="79"/>
      <c r="I7" s="79"/>
      <c r="J7" s="79"/>
      <c r="K7" s="82">
        <v>1</v>
      </c>
      <c r="L7" s="142" t="str">
        <f>VLOOKUP(K7,市町村データ!A2:P106,MATCH(手順書_丁目_人口!$G$63, 市町村データ!A1:P1, 0),FALSE)</f>
        <v>新座3</v>
      </c>
      <c r="M7" s="154"/>
      <c r="N7" s="159"/>
      <c r="O7" s="82">
        <v>2</v>
      </c>
      <c r="P7" s="142" t="str">
        <f>VLOOKUP(O7,市町村データ!A2:P106,MATCH(手順書_丁目_人口!$G$63, 市町村データ!A1:P1, 0),FALSE)</f>
        <v>新座2</v>
      </c>
      <c r="Q7" s="154"/>
      <c r="R7" s="159"/>
      <c r="S7" s="82">
        <v>3</v>
      </c>
      <c r="T7" s="142" t="str">
        <f>VLOOKUP(S7,市町村データ!A2:P106,MATCH(手順書_丁目_人口!$G$63, 市町村データ!A1:P1, 0),FALSE)</f>
        <v>新座1</v>
      </c>
      <c r="U7" s="154"/>
      <c r="V7" s="159"/>
      <c r="W7" s="82">
        <v>4</v>
      </c>
      <c r="X7" s="142" t="str">
        <f>VLOOKUP(W7,市町村データ!A2:P106,MATCH(手順書_丁目_人口!$G$63, 市町村データ!A1:P1, 0),FALSE)</f>
        <v>北野3</v>
      </c>
      <c r="Y7" s="154"/>
      <c r="Z7" s="159"/>
      <c r="AA7" s="82">
        <v>5</v>
      </c>
      <c r="AB7" s="142" t="str">
        <f>VLOOKUP(AA7,市町村データ!A2:P106,MATCH(手順書_丁目_人口!$G$63, 市町村データ!A1:P1, 0),FALSE)</f>
        <v>東北1</v>
      </c>
      <c r="AC7" s="154"/>
      <c r="AD7" s="159"/>
      <c r="AE7" s="82">
        <v>6</v>
      </c>
      <c r="AF7" s="142" t="str">
        <f>VLOOKUP(AE7,市町村データ!A2:P106,MATCH(手順書_丁目_人口!$G$63, 市町村データ!A1:P1, 0),FALSE)</f>
        <v>東北2</v>
      </c>
      <c r="AG7" s="154"/>
      <c r="AH7" s="159"/>
      <c r="AI7" s="85"/>
      <c r="AJ7" s="79"/>
      <c r="AK7" s="79"/>
      <c r="AL7" s="79"/>
      <c r="AM7" s="86"/>
      <c r="AN7" s="79"/>
      <c r="AO7" s="79"/>
      <c r="AP7" s="79"/>
      <c r="AQ7" s="86"/>
      <c r="AR7" s="79"/>
      <c r="AS7" s="79"/>
      <c r="AT7" s="79"/>
      <c r="AU7" s="79"/>
      <c r="AV7" s="79"/>
      <c r="AW7" s="79"/>
      <c r="AX7" s="79"/>
      <c r="AY7" s="79"/>
      <c r="AZ7" s="79"/>
      <c r="BA7" s="79"/>
      <c r="BB7" s="79"/>
      <c r="BC7" s="79"/>
      <c r="BD7" s="79"/>
      <c r="BE7" s="79"/>
      <c r="BF7" s="79"/>
      <c r="BG7" s="79"/>
      <c r="BH7" s="79"/>
      <c r="BI7" s="79"/>
      <c r="BJ7" s="79"/>
      <c r="BK7" s="86"/>
      <c r="BL7" s="79"/>
      <c r="BM7" s="79"/>
      <c r="BN7" s="230" t="s">
        <v>777</v>
      </c>
      <c r="BO7" s="218"/>
      <c r="BP7" s="218"/>
      <c r="BQ7" s="231"/>
      <c r="BR7" s="79"/>
      <c r="BS7" s="79"/>
      <c r="BT7" s="78"/>
    </row>
    <row r="8" spans="1:72" ht="21.15" customHeight="1" thickBot="1" x14ac:dyDescent="0.6">
      <c r="A8" s="78"/>
      <c r="B8" s="79"/>
      <c r="C8" s="79"/>
      <c r="D8" s="79"/>
      <c r="E8" s="79"/>
      <c r="F8" s="79"/>
      <c r="G8" s="79"/>
      <c r="H8" s="79"/>
      <c r="I8" s="79"/>
      <c r="J8" s="79"/>
      <c r="K8" s="282">
        <f>VLOOKUP(K7,市町村データ!A2:P106,MATCH(手順書_丁目_人口!$F$64, 市町村データ!A1:P1, 0),FALSE)</f>
        <v>160.1</v>
      </c>
      <c r="L8" s="156"/>
      <c r="M8" s="156"/>
      <c r="N8" s="158"/>
      <c r="O8" s="238">
        <f>VLOOKUP(O7,市町村データ!A2:P106,MATCH(手順書_丁目_人口!$F$64, 市町村データ!A1:P1, 0),FALSE)</f>
        <v>174.2</v>
      </c>
      <c r="P8" s="156"/>
      <c r="Q8" s="156"/>
      <c r="R8" s="158"/>
      <c r="S8" s="238">
        <f>VLOOKUP(S7,市町村データ!A2:P106,MATCH(手順書_丁目_人口!$F$64, 市町村データ!A1:P1, 0),FALSE)</f>
        <v>168.8</v>
      </c>
      <c r="T8" s="156"/>
      <c r="U8" s="156"/>
      <c r="V8" s="158"/>
      <c r="W8" s="282">
        <f>VLOOKUP(W7,市町村データ!A2:P106,MATCH(手順書_丁目_人口!$F$64, 市町村データ!A1:P1, 0),FALSE)</f>
        <v>181.9</v>
      </c>
      <c r="X8" s="156"/>
      <c r="Y8" s="156"/>
      <c r="Z8" s="158"/>
      <c r="AA8" s="238">
        <f>VLOOKUP(AA7,市町村データ!A2:P106,MATCH(手順書_丁目_人口!$F$64, 市町村データ!A1:P1, 0),FALSE)</f>
        <v>177.5</v>
      </c>
      <c r="AB8" s="156"/>
      <c r="AC8" s="156"/>
      <c r="AD8" s="158"/>
      <c r="AE8" s="266">
        <f>VLOOKUP(AE7,市町村データ!A2:P106,MATCH(手順書_丁目_人口!$F$64, 市町村データ!A1:P1, 0),FALSE)</f>
        <v>154.6</v>
      </c>
      <c r="AF8" s="156"/>
      <c r="AG8" s="156"/>
      <c r="AH8" s="158"/>
      <c r="AI8" s="85"/>
      <c r="AJ8" s="79"/>
      <c r="AK8" s="79"/>
      <c r="AL8" s="79"/>
      <c r="AM8" s="87"/>
      <c r="AN8" s="87"/>
      <c r="AO8" s="87"/>
      <c r="AP8" s="87"/>
      <c r="AQ8" s="87"/>
      <c r="AR8" s="87"/>
      <c r="AS8" s="87"/>
      <c r="AT8" s="87"/>
      <c r="AU8" s="79"/>
      <c r="AV8" s="79"/>
      <c r="AW8" s="79"/>
      <c r="AX8" s="79"/>
      <c r="AY8" s="79"/>
      <c r="AZ8" s="79"/>
      <c r="BA8" s="79"/>
      <c r="BB8" s="79"/>
      <c r="BC8" s="79"/>
      <c r="BD8" s="79"/>
      <c r="BE8" s="79"/>
      <c r="BF8" s="79"/>
      <c r="BG8" s="79"/>
      <c r="BH8" s="79"/>
      <c r="BI8" s="79"/>
      <c r="BJ8" s="79"/>
      <c r="BK8" s="79"/>
      <c r="BL8" s="79"/>
      <c r="BM8" s="79"/>
      <c r="BN8" s="147" t="s">
        <v>625</v>
      </c>
      <c r="BO8" s="148"/>
      <c r="BP8" s="148"/>
      <c r="BQ8" s="149"/>
      <c r="BR8" s="79"/>
      <c r="BS8" s="88"/>
      <c r="BT8" s="78"/>
    </row>
    <row r="9" spans="1:72" ht="21.15" customHeight="1" thickBot="1" x14ac:dyDescent="0.6">
      <c r="A9" s="78"/>
      <c r="B9" s="79"/>
      <c r="C9" s="79"/>
      <c r="D9" s="79"/>
      <c r="E9" s="79"/>
      <c r="F9" s="79"/>
      <c r="G9" s="79"/>
      <c r="H9" s="79"/>
      <c r="I9" s="79"/>
      <c r="J9" s="79"/>
      <c r="K9" s="280">
        <f>VLOOKUP(K7,市町村データ!A2:P106,MATCH(手順書_丁目_人口!$F$65, 市町村データ!A1:P1, 0),FALSE)</f>
        <v>4002</v>
      </c>
      <c r="L9" s="156"/>
      <c r="M9" s="156"/>
      <c r="N9" s="158"/>
      <c r="O9" s="243">
        <f>VLOOKUP(O7,市町村データ!A2:P106,MATCH(手順書_丁目_人口!$F$65, 市町村データ!A1:P1, 0),FALSE)</f>
        <v>2439</v>
      </c>
      <c r="P9" s="156"/>
      <c r="Q9" s="156"/>
      <c r="R9" s="158"/>
      <c r="S9" s="243">
        <f>VLOOKUP(S7,市町村データ!A2:P106,MATCH(手順書_丁目_人口!$F$65, 市町村データ!A1:P1, 0),FALSE)</f>
        <v>1350</v>
      </c>
      <c r="T9" s="156"/>
      <c r="U9" s="156"/>
      <c r="V9" s="158"/>
      <c r="W9" s="280">
        <f>VLOOKUP(W7,市町村データ!A2:P106,MATCH(手順書_丁目_人口!$F$65, 市町村データ!A1:P1, 0),FALSE)</f>
        <v>3457</v>
      </c>
      <c r="X9" s="156"/>
      <c r="Y9" s="156"/>
      <c r="Z9" s="158"/>
      <c r="AA9" s="243">
        <f>VLOOKUP(AA7,市町村データ!A2:P106,MATCH(手順書_丁目_人口!$F$65, 市町村データ!A1:P1, 0),FALSE)</f>
        <v>1952</v>
      </c>
      <c r="AB9" s="156"/>
      <c r="AC9" s="156"/>
      <c r="AD9" s="158"/>
      <c r="AE9" s="267">
        <f>VLOOKUP(AE7,市町村データ!A2:P106,MATCH(手順書_丁目_人口!$F$65, 市町村データ!A1:P1, 0),FALSE)</f>
        <v>6183</v>
      </c>
      <c r="AF9" s="156"/>
      <c r="AG9" s="156"/>
      <c r="AH9" s="158"/>
      <c r="AI9" s="85"/>
      <c r="AJ9" s="79"/>
      <c r="AK9" s="79"/>
      <c r="AL9" s="79"/>
      <c r="AM9" s="89"/>
      <c r="AN9" s="89"/>
      <c r="AO9" s="89"/>
      <c r="AP9" s="89"/>
      <c r="AQ9" s="89"/>
      <c r="AR9" s="89"/>
      <c r="AS9" s="89"/>
      <c r="AT9" s="89"/>
      <c r="AU9" s="79"/>
      <c r="AV9" s="79"/>
      <c r="AW9" s="79"/>
      <c r="AX9" s="79"/>
      <c r="AY9" s="79"/>
      <c r="AZ9" s="79"/>
      <c r="BA9" s="79"/>
      <c r="BB9" s="79"/>
      <c r="BC9" s="79"/>
      <c r="BD9" s="79"/>
      <c r="BE9" s="79"/>
      <c r="BF9" s="79"/>
      <c r="BG9" s="79"/>
      <c r="BH9" s="79"/>
      <c r="BI9" s="79"/>
      <c r="BJ9" s="79"/>
      <c r="BK9" s="79"/>
      <c r="BL9" s="79"/>
      <c r="BM9" s="79"/>
      <c r="BN9" s="79"/>
      <c r="BO9" s="79"/>
      <c r="BP9" s="79"/>
      <c r="BQ9" s="79"/>
      <c r="BR9" s="79"/>
      <c r="BS9" s="88"/>
      <c r="BT9" s="78"/>
    </row>
    <row r="10" spans="1:72" ht="21.15" customHeight="1" thickBot="1" x14ac:dyDescent="0.6">
      <c r="A10" s="78"/>
      <c r="B10" s="79"/>
      <c r="C10" s="79"/>
      <c r="D10" s="79"/>
      <c r="E10" s="79"/>
      <c r="F10" s="79"/>
      <c r="G10" s="79"/>
      <c r="H10" s="79"/>
      <c r="I10" s="79"/>
      <c r="J10" s="79"/>
      <c r="K10" s="281">
        <f>VLOOKUP(K7,市町村データ!A2:P106,MATCH(手順書_丁目_人口!$F$66, 市町村データ!A1:P1, 0),FALSE)</f>
        <v>25</v>
      </c>
      <c r="L10" s="153"/>
      <c r="M10" s="153"/>
      <c r="N10" s="240"/>
      <c r="O10" s="241">
        <f>VLOOKUP(O7,市町村データ!A2:P106,MATCH(手順書_丁目_人口!$F$66, 市町村データ!A1:P1, 0),FALSE)</f>
        <v>14</v>
      </c>
      <c r="P10" s="153"/>
      <c r="Q10" s="153"/>
      <c r="R10" s="240"/>
      <c r="S10" s="241">
        <f>VLOOKUP(S7,市町村データ!A2:P106,MATCH(手順書_丁目_人口!$F$66, 市町村データ!A1:P1, 0),FALSE)</f>
        <v>8</v>
      </c>
      <c r="T10" s="153"/>
      <c r="U10" s="153"/>
      <c r="V10" s="240"/>
      <c r="W10" s="281">
        <f>VLOOKUP(W7,市町村データ!A2:P106,MATCH(手順書_丁目_人口!$F$66, 市町村データ!A1:P1, 0),FALSE)</f>
        <v>19</v>
      </c>
      <c r="X10" s="153"/>
      <c r="Y10" s="153"/>
      <c r="Z10" s="240"/>
      <c r="AA10" s="241">
        <f>VLOOKUP(AA7,市町村データ!A2:P106,MATCH(手順書_丁目_人口!$F$66, 市町村データ!A1:P1, 0),FALSE)</f>
        <v>11</v>
      </c>
      <c r="AB10" s="153"/>
      <c r="AC10" s="153"/>
      <c r="AD10" s="240"/>
      <c r="AE10" s="265">
        <f>VLOOKUP(AE7,市町村データ!A2:P106,MATCH(手順書_丁目_人口!$F$66, 市町村データ!A1:P1, 0),FALSE)</f>
        <v>40</v>
      </c>
      <c r="AF10" s="153"/>
      <c r="AG10" s="153"/>
      <c r="AH10" s="240"/>
      <c r="AI10" s="85"/>
      <c r="AJ10" s="79"/>
      <c r="AK10" s="79"/>
      <c r="AL10" s="79"/>
      <c r="AM10" s="79"/>
      <c r="AN10" s="79"/>
      <c r="AO10" s="79"/>
      <c r="AP10" s="79"/>
      <c r="AQ10" s="79"/>
      <c r="AR10" s="79"/>
      <c r="AS10" s="79"/>
      <c r="AT10" s="79"/>
      <c r="AU10" s="79"/>
      <c r="AV10" s="79"/>
      <c r="AW10" s="79"/>
      <c r="AX10" s="79"/>
      <c r="AY10" s="79"/>
      <c r="AZ10" s="79"/>
      <c r="BA10" s="79"/>
      <c r="BB10" s="79"/>
      <c r="BC10" s="79"/>
      <c r="BD10" s="79"/>
      <c r="BE10" s="79"/>
      <c r="BF10" s="79"/>
      <c r="BG10" s="79"/>
      <c r="BH10" s="79"/>
      <c r="BI10" s="79"/>
      <c r="BJ10" s="79"/>
      <c r="BK10" s="79"/>
      <c r="BL10" s="79"/>
      <c r="BM10" s="79"/>
      <c r="BN10" s="233" t="s">
        <v>71</v>
      </c>
      <c r="BO10" s="234"/>
      <c r="BP10" s="234"/>
      <c r="BQ10" s="235" t="s">
        <v>70</v>
      </c>
      <c r="BR10" s="236"/>
      <c r="BS10" s="88"/>
      <c r="BT10" s="78"/>
    </row>
    <row r="11" spans="1:72" ht="21.15" customHeight="1" x14ac:dyDescent="0.55000000000000004">
      <c r="A11" s="78"/>
      <c r="B11" s="79"/>
      <c r="C11" s="81" t="s">
        <v>63</v>
      </c>
      <c r="D11" s="79"/>
      <c r="E11" s="79"/>
      <c r="F11" s="79"/>
      <c r="G11" s="82">
        <v>7</v>
      </c>
      <c r="H11" s="142" t="str">
        <f>VLOOKUP(G11,市町村データ!A2:P106,MATCH(手順書_丁目_人口!$G$63, 市町村データ!A1:P1, 0),FALSE)</f>
        <v>中野2</v>
      </c>
      <c r="I11" s="154"/>
      <c r="J11" s="159"/>
      <c r="K11" s="82">
        <v>8</v>
      </c>
      <c r="L11" s="142" t="str">
        <f>VLOOKUP(K11,市町村データ!A2:P106,MATCH(手順書_丁目_人口!$G$63, 市町村データ!A1:P1, 0),FALSE)</f>
        <v>大和田4</v>
      </c>
      <c r="M11" s="154"/>
      <c r="N11" s="154"/>
      <c r="O11" s="84"/>
      <c r="P11" s="84"/>
      <c r="Q11" s="84"/>
      <c r="R11" s="84"/>
      <c r="S11" s="82">
        <v>9</v>
      </c>
      <c r="T11" s="142" t="str">
        <f>VLOOKUP(S11,市町村データ!A2:P106,MATCH(手順書_丁目_人口!$G$63, 市町村データ!A1:P1, 0),FALSE)</f>
        <v>大和田5</v>
      </c>
      <c r="U11" s="154"/>
      <c r="V11" s="159"/>
      <c r="W11" s="82">
        <v>10</v>
      </c>
      <c r="X11" s="142" t="str">
        <f>VLOOKUP(W11,市町村データ!A2:P106,MATCH(手順書_丁目_人口!$G$63, 市町村データ!A1:P1, 0),FALSE)</f>
        <v>北野2</v>
      </c>
      <c r="Y11" s="154"/>
      <c r="Z11" s="159"/>
      <c r="AA11" s="82">
        <v>11</v>
      </c>
      <c r="AB11" s="142" t="str">
        <f>VLOOKUP(AA11,市町村データ!A2:P106,MATCH(手順書_丁目_人口!$G$63, 市町村データ!A1:P1, 0),FALSE)</f>
        <v>北野1</v>
      </c>
      <c r="AC11" s="154"/>
      <c r="AD11" s="159"/>
      <c r="AE11" s="82">
        <v>12</v>
      </c>
      <c r="AF11" s="142" t="str">
        <f>VLOOKUP(AE11,市町村データ!A2:P106,MATCH(手順書_丁目_人口!$G$63, 市町村データ!A1:P1, 0),FALSE)</f>
        <v>東3</v>
      </c>
      <c r="AG11" s="154"/>
      <c r="AH11" s="159"/>
      <c r="AI11" s="82">
        <v>13</v>
      </c>
      <c r="AJ11" s="142" t="str">
        <f>VLOOKUP(AI11,市町村データ!A2:P106,MATCH(手順書_丁目_人口!$G$63, 市町村データ!A1:P1, 0),FALSE)</f>
        <v>東2</v>
      </c>
      <c r="AK11" s="154"/>
      <c r="AL11" s="159"/>
      <c r="AM11" s="82">
        <v>14</v>
      </c>
      <c r="AN11" s="142" t="str">
        <f>VLOOKUP(AM11,市町村データ!A2:P106,MATCH(手順書_丁目_人口!$G$63, 市町村データ!A1:P1, 0),FALSE)</f>
        <v>東1</v>
      </c>
      <c r="AO11" s="154"/>
      <c r="AP11" s="159"/>
      <c r="AQ11" s="91"/>
      <c r="AR11" s="79"/>
      <c r="AS11" s="79"/>
      <c r="AT11" s="79"/>
      <c r="AU11" s="79"/>
      <c r="AV11" s="79"/>
      <c r="AW11" s="79"/>
      <c r="AX11" s="79"/>
      <c r="AY11" s="79"/>
      <c r="AZ11" s="79"/>
      <c r="BA11" s="79"/>
      <c r="BB11" s="79"/>
      <c r="BC11" s="79"/>
      <c r="BD11" s="79"/>
      <c r="BE11" s="79"/>
      <c r="BF11" s="79"/>
      <c r="BG11" s="79"/>
      <c r="BH11" s="79"/>
      <c r="BI11" s="79"/>
      <c r="BJ11" s="79"/>
      <c r="BK11" s="79"/>
      <c r="BL11" s="79"/>
      <c r="BM11" s="79"/>
      <c r="BN11" s="214">
        <v>7500</v>
      </c>
      <c r="BO11" s="218"/>
      <c r="BP11" s="218"/>
      <c r="BQ11" s="227"/>
      <c r="BR11" s="217"/>
      <c r="BS11" s="88"/>
      <c r="BT11" s="78"/>
    </row>
    <row r="12" spans="1:72" ht="21.15" customHeight="1" x14ac:dyDescent="0.55000000000000004">
      <c r="A12" s="78"/>
      <c r="B12" s="79"/>
      <c r="C12" s="79"/>
      <c r="D12" s="79"/>
      <c r="E12" s="79"/>
      <c r="F12" s="79"/>
      <c r="G12" s="261">
        <f>VLOOKUP(G11,市町村データ!A2:P106,MATCH(手順書_丁目_人口!$F$64, 市町村データ!A1:P1, 0),FALSE)</f>
        <v>4.9000000000000004</v>
      </c>
      <c r="H12" s="156"/>
      <c r="I12" s="156"/>
      <c r="J12" s="158"/>
      <c r="K12" s="238">
        <f>VLOOKUP(K11,市町村データ!A2:P106,MATCH(手順書_丁目_人口!$F$64, 市町村データ!A1:P1, 0),FALSE)</f>
        <v>36.700000000000003</v>
      </c>
      <c r="L12" s="156"/>
      <c r="M12" s="156"/>
      <c r="N12" s="156"/>
      <c r="O12" s="79"/>
      <c r="P12" s="79"/>
      <c r="Q12" s="79"/>
      <c r="R12" s="79"/>
      <c r="S12" s="282">
        <f>VLOOKUP(S11,市町村データ!A2:P106,MATCH(手順書_丁目_人口!$F$64, 市町村データ!A1:P1, 0),FALSE)</f>
        <v>144.69999999999999</v>
      </c>
      <c r="T12" s="156"/>
      <c r="U12" s="156"/>
      <c r="V12" s="158"/>
      <c r="W12" s="282">
        <f>VLOOKUP(W11,市町村データ!A2:P106,MATCH(手順書_丁目_人口!$F$64, 市町村データ!A1:P1, 0),FALSE)</f>
        <v>132.9</v>
      </c>
      <c r="X12" s="156"/>
      <c r="Y12" s="156"/>
      <c r="Z12" s="158"/>
      <c r="AA12" s="285">
        <f>VLOOKUP(AA11,市町村データ!A2:P106,MATCH(手順書_丁目_人口!$F$64, 市町村データ!A1:P1, 0),FALSE)</f>
        <v>34</v>
      </c>
      <c r="AB12" s="156"/>
      <c r="AC12" s="156"/>
      <c r="AD12" s="158"/>
      <c r="AE12" s="238">
        <f>VLOOKUP(AE11,市町村データ!A2:P106,MATCH(手順書_丁目_人口!$F$64, 市町村データ!A1:P1, 0),FALSE)</f>
        <v>164</v>
      </c>
      <c r="AF12" s="156"/>
      <c r="AG12" s="156"/>
      <c r="AH12" s="158"/>
      <c r="AI12" s="238">
        <f>VLOOKUP(AI11,市町村データ!A2:P106,MATCH(手順書_丁目_人口!$F$64, 市町村データ!A1:P1, 0),FALSE)</f>
        <v>108.1</v>
      </c>
      <c r="AJ12" s="156"/>
      <c r="AK12" s="156"/>
      <c r="AL12" s="158"/>
      <c r="AM12" s="282">
        <f>VLOOKUP(AM11,市町村データ!A2:P106,MATCH(手順書_丁目_人口!$F$64, 市町村データ!A1:P1, 0),FALSE)</f>
        <v>169.1</v>
      </c>
      <c r="AN12" s="156"/>
      <c r="AO12" s="156"/>
      <c r="AP12" s="158"/>
      <c r="AQ12" s="92"/>
      <c r="AR12" s="87"/>
      <c r="AS12" s="87"/>
      <c r="AT12" s="87"/>
      <c r="AU12" s="79"/>
      <c r="AV12" s="79"/>
      <c r="AW12" s="79"/>
      <c r="AX12" s="79"/>
      <c r="AY12" s="79"/>
      <c r="AZ12" s="79"/>
      <c r="BA12" s="79"/>
      <c r="BB12" s="79"/>
      <c r="BC12" s="79"/>
      <c r="BD12" s="79"/>
      <c r="BE12" s="79"/>
      <c r="BF12" s="79"/>
      <c r="BG12" s="79"/>
      <c r="BH12" s="79"/>
      <c r="BI12" s="79"/>
      <c r="BJ12" s="79"/>
      <c r="BK12" s="79"/>
      <c r="BL12" s="79"/>
      <c r="BM12" s="79"/>
      <c r="BN12" s="214">
        <v>5000</v>
      </c>
      <c r="BO12" s="218"/>
      <c r="BP12" s="218"/>
      <c r="BQ12" s="228"/>
      <c r="BR12" s="217"/>
      <c r="BS12" s="88"/>
      <c r="BT12" s="78"/>
    </row>
    <row r="13" spans="1:72" ht="21.15" customHeight="1" x14ac:dyDescent="0.55000000000000004">
      <c r="A13" s="78"/>
      <c r="B13" s="79"/>
      <c r="C13" s="79"/>
      <c r="D13" s="79"/>
      <c r="E13" s="79"/>
      <c r="F13" s="79"/>
      <c r="G13" s="263">
        <f>VLOOKUP(G11,市町村データ!A2:P106,MATCH(手順書_丁目_人口!$F$65, 市町村データ!A1:P1, 0),FALSE)</f>
        <v>195</v>
      </c>
      <c r="H13" s="156"/>
      <c r="I13" s="156"/>
      <c r="J13" s="158"/>
      <c r="K13" s="243">
        <f>VLOOKUP(K11,市町村データ!A2:P106,MATCH(手順書_丁目_人口!$F$65, 市町村データ!A1:P1, 0),FALSE)</f>
        <v>1352</v>
      </c>
      <c r="L13" s="156"/>
      <c r="M13" s="156"/>
      <c r="N13" s="156"/>
      <c r="O13" s="79"/>
      <c r="P13" s="79"/>
      <c r="Q13" s="79"/>
      <c r="R13" s="79"/>
      <c r="S13" s="280">
        <f>VLOOKUP(S11,市町村データ!A2:P106,MATCH(手順書_丁目_人口!$F$65, 市町村データ!A1:P1, 0),FALSE)</f>
        <v>3908</v>
      </c>
      <c r="T13" s="156"/>
      <c r="U13" s="156"/>
      <c r="V13" s="158"/>
      <c r="W13" s="280">
        <f>VLOOKUP(W11,市町村データ!A2:P106,MATCH(手順書_丁目_人口!$F$65, 市町村データ!A1:P1, 0),FALSE)</f>
        <v>2791</v>
      </c>
      <c r="X13" s="156"/>
      <c r="Y13" s="156"/>
      <c r="Z13" s="158"/>
      <c r="AA13" s="283">
        <f>VLOOKUP(AA11,市町村データ!A2:P106,MATCH(手順書_丁目_人口!$F$65, 市町村データ!A1:P1, 0),FALSE)</f>
        <v>816</v>
      </c>
      <c r="AB13" s="156"/>
      <c r="AC13" s="156"/>
      <c r="AD13" s="158"/>
      <c r="AE13" s="243">
        <f>VLOOKUP(AE11,市町村データ!A2:P106,MATCH(手順書_丁目_人口!$F$65, 市町村データ!A1:P1, 0),FALSE)</f>
        <v>2460</v>
      </c>
      <c r="AF13" s="156"/>
      <c r="AG13" s="156"/>
      <c r="AH13" s="158"/>
      <c r="AI13" s="243">
        <f>VLOOKUP(AI11,市町村データ!A2:P106,MATCH(手順書_丁目_人口!$F$65, 市町村データ!A1:P1, 0),FALSE)</f>
        <v>1405</v>
      </c>
      <c r="AJ13" s="156"/>
      <c r="AK13" s="156"/>
      <c r="AL13" s="158"/>
      <c r="AM13" s="280">
        <f>VLOOKUP(AM11,市町村データ!A2:P106,MATCH(手順書_丁目_人口!$F$65, 市町村データ!A1:P1, 0),FALSE)</f>
        <v>3213</v>
      </c>
      <c r="AN13" s="156"/>
      <c r="AO13" s="156"/>
      <c r="AP13" s="158"/>
      <c r="AQ13" s="93"/>
      <c r="AR13" s="89"/>
      <c r="AS13" s="89"/>
      <c r="AT13" s="89"/>
      <c r="AU13" s="79"/>
      <c r="AV13" s="79"/>
      <c r="AW13" s="79"/>
      <c r="AX13" s="79"/>
      <c r="AY13" s="79"/>
      <c r="AZ13" s="79"/>
      <c r="BA13" s="79"/>
      <c r="BB13" s="79"/>
      <c r="BC13" s="79"/>
      <c r="BD13" s="79"/>
      <c r="BE13" s="79"/>
      <c r="BF13" s="79"/>
      <c r="BG13" s="79"/>
      <c r="BH13" s="79"/>
      <c r="BI13" s="79"/>
      <c r="BJ13" s="79"/>
      <c r="BK13" s="79"/>
      <c r="BL13" s="79"/>
      <c r="BM13" s="79"/>
      <c r="BN13" s="214">
        <v>2500</v>
      </c>
      <c r="BO13" s="218"/>
      <c r="BP13" s="218"/>
      <c r="BQ13" s="279"/>
      <c r="BR13" s="217"/>
      <c r="BS13" s="88"/>
      <c r="BT13" s="78"/>
    </row>
    <row r="14" spans="1:72" ht="21.15" customHeight="1" thickBot="1" x14ac:dyDescent="0.6">
      <c r="A14" s="78"/>
      <c r="B14" s="79"/>
      <c r="C14" s="79"/>
      <c r="D14" s="79"/>
      <c r="E14" s="79"/>
      <c r="F14" s="79"/>
      <c r="G14" s="257">
        <f>VLOOKUP(G11,市町村データ!A2:P106,MATCH(手順書_丁目_人口!$F$66, 市町村データ!A1:P1, 0),FALSE)</f>
        <v>40</v>
      </c>
      <c r="H14" s="153"/>
      <c r="I14" s="153"/>
      <c r="J14" s="240"/>
      <c r="K14" s="241">
        <f>VLOOKUP(K11,市町村データ!A2:P106,MATCH(手順書_丁目_人口!$F$66, 市町村データ!A1:P1, 0),FALSE)</f>
        <v>36.799999999999997</v>
      </c>
      <c r="L14" s="153"/>
      <c r="M14" s="153"/>
      <c r="N14" s="153"/>
      <c r="O14" s="79"/>
      <c r="P14" s="79"/>
      <c r="Q14" s="79"/>
      <c r="R14" s="79"/>
      <c r="S14" s="281">
        <f>VLOOKUP(S11,市町村データ!A2:P106,MATCH(手順書_丁目_人口!$F$66, 市町村データ!A1:P1, 0),FALSE)</f>
        <v>27</v>
      </c>
      <c r="T14" s="153"/>
      <c r="U14" s="153"/>
      <c r="V14" s="240"/>
      <c r="W14" s="281">
        <f>VLOOKUP(W11,市町村データ!A2:P106,MATCH(手順書_丁目_人口!$F$66, 市町村データ!A1:P1, 0),FALSE)</f>
        <v>21</v>
      </c>
      <c r="X14" s="153"/>
      <c r="Y14" s="153"/>
      <c r="Z14" s="240"/>
      <c r="AA14" s="284">
        <f>VLOOKUP(AA11,市町村データ!A2:P106,MATCH(手順書_丁目_人口!$F$66, 市町村データ!A1:P1, 0),FALSE)</f>
        <v>24</v>
      </c>
      <c r="AB14" s="153"/>
      <c r="AC14" s="153"/>
      <c r="AD14" s="240"/>
      <c r="AE14" s="241">
        <f>VLOOKUP(AE11,市町村データ!A2:P106,MATCH(手順書_丁目_人口!$F$66, 市町村データ!A1:P1, 0),FALSE)</f>
        <v>15</v>
      </c>
      <c r="AF14" s="153"/>
      <c r="AG14" s="153"/>
      <c r="AH14" s="240"/>
      <c r="AI14" s="241">
        <f>VLOOKUP(AI11,市町村データ!A2:P106,MATCH(手順書_丁目_人口!$F$66, 市町村データ!A1:P1, 0),FALSE)</f>
        <v>13</v>
      </c>
      <c r="AJ14" s="153"/>
      <c r="AK14" s="153"/>
      <c r="AL14" s="240"/>
      <c r="AM14" s="281">
        <f>VLOOKUP(AM11,市町村データ!A2:P106,MATCH(手順書_丁目_人口!$F$66, 市町村データ!A1:P1, 0),FALSE)</f>
        <v>19</v>
      </c>
      <c r="AN14" s="153"/>
      <c r="AO14" s="153"/>
      <c r="AP14" s="240"/>
      <c r="AQ14" s="85"/>
      <c r="AR14" s="79"/>
      <c r="AS14" s="79"/>
      <c r="AT14" s="79"/>
      <c r="AU14" s="79"/>
      <c r="AV14" s="79"/>
      <c r="AW14" s="79"/>
      <c r="AX14" s="79"/>
      <c r="AY14" s="79"/>
      <c r="AZ14" s="79"/>
      <c r="BA14" s="79"/>
      <c r="BB14" s="79"/>
      <c r="BC14" s="79"/>
      <c r="BD14" s="79"/>
      <c r="BE14" s="79"/>
      <c r="BF14" s="79"/>
      <c r="BG14" s="79"/>
      <c r="BH14" s="79"/>
      <c r="BI14" s="79"/>
      <c r="BJ14" s="79"/>
      <c r="BK14" s="79"/>
      <c r="BL14" s="79"/>
      <c r="BM14" s="79"/>
      <c r="BN14" s="214">
        <v>1250</v>
      </c>
      <c r="BO14" s="218"/>
      <c r="BP14" s="218"/>
      <c r="BQ14" s="229"/>
      <c r="BR14" s="217"/>
      <c r="BS14" s="88"/>
      <c r="BT14" s="78"/>
    </row>
    <row r="15" spans="1:72" ht="21.15" customHeight="1" x14ac:dyDescent="0.55000000000000004">
      <c r="A15" s="78"/>
      <c r="B15" s="79"/>
      <c r="C15" s="81" t="s">
        <v>134</v>
      </c>
      <c r="D15" s="79"/>
      <c r="E15" s="79"/>
      <c r="F15" s="79"/>
      <c r="G15" s="82">
        <v>15</v>
      </c>
      <c r="H15" s="142" t="str">
        <f>VLOOKUP(G15,市町村データ!A2:P106,MATCH(手順書_丁目_人口!$G$63, 市町村データ!A1:P1, 0),FALSE)</f>
        <v>中野1</v>
      </c>
      <c r="I15" s="154"/>
      <c r="J15" s="159"/>
      <c r="K15" s="82">
        <v>16</v>
      </c>
      <c r="L15" s="142" t="str">
        <f>VLOOKUP(K15,市町村データ!A2:P106,MATCH(手順書_丁目_人口!$G$63, 市町村データ!A1:P1, 0),FALSE)</f>
        <v>大和田3</v>
      </c>
      <c r="M15" s="154"/>
      <c r="N15" s="159"/>
      <c r="O15" s="82">
        <v>17</v>
      </c>
      <c r="P15" s="142" t="str">
        <f>VLOOKUP(O15,市町村データ!A2:P106,MATCH(手順書_丁目_人口!$G$63, 市町村データ!A1:P1, 0),FALSE)</f>
        <v>大和田2</v>
      </c>
      <c r="Q15" s="154"/>
      <c r="R15" s="159"/>
      <c r="S15" s="82">
        <v>18</v>
      </c>
      <c r="T15" s="142" t="str">
        <f>VLOOKUP(S15,市町村データ!A2:P106,MATCH(手順書_丁目_人口!$G$63, 市町村データ!A1:P1, 0),FALSE)</f>
        <v>大和田1</v>
      </c>
      <c r="U15" s="154"/>
      <c r="V15" s="159"/>
      <c r="W15" s="82">
        <v>19</v>
      </c>
      <c r="X15" s="142" t="str">
        <f>VLOOKUP(W15,市町村データ!A2:P106,MATCH(手順書_丁目_人口!$G$63, 市町村データ!A1:P1, 0),FALSE)</f>
        <v>野火止5</v>
      </c>
      <c r="Y15" s="154"/>
      <c r="Z15" s="159"/>
      <c r="AA15" s="82">
        <v>20</v>
      </c>
      <c r="AB15" s="142" t="str">
        <f>VLOOKUP(AA15,市町村データ!A2:P106,MATCH(手順書_丁目_人口!$G$63, 市町村データ!A1:P1, 0),FALSE)</f>
        <v>野火止6</v>
      </c>
      <c r="AC15" s="154"/>
      <c r="AD15" s="159"/>
      <c r="AE15" s="82">
        <v>21</v>
      </c>
      <c r="AF15" s="142" t="str">
        <f>VLOOKUP(AE15,市町村データ!A2:P106,MATCH(手順書_丁目_人口!$G$63, 市町村データ!A1:P1, 0),FALSE)</f>
        <v>野火止7</v>
      </c>
      <c r="AG15" s="154"/>
      <c r="AH15" s="159"/>
      <c r="AI15" s="82">
        <v>22</v>
      </c>
      <c r="AJ15" s="142" t="str">
        <f>VLOOKUP(AI15,市町村データ!A2:P106,MATCH(手順書_丁目_人口!$G$63, 市町村データ!A1:P1, 0),FALSE)</f>
        <v>野火止8</v>
      </c>
      <c r="AK15" s="154"/>
      <c r="AL15" s="159"/>
      <c r="AM15" s="82">
        <v>23</v>
      </c>
      <c r="AN15" s="142" t="str">
        <f>VLOOKUP(AM15,市町村データ!A2:P106,MATCH(手順書_丁目_人口!$G$63, 市町村データ!A1:P1, 0),FALSE)</f>
        <v>畑中3</v>
      </c>
      <c r="AO15" s="154"/>
      <c r="AP15" s="159"/>
      <c r="AQ15" s="91"/>
      <c r="AR15" s="79"/>
      <c r="AS15" s="79"/>
      <c r="AT15" s="79"/>
      <c r="AU15" s="79"/>
      <c r="AV15" s="79"/>
      <c r="AW15" s="79"/>
      <c r="AX15" s="79"/>
      <c r="AY15" s="79"/>
      <c r="AZ15" s="79"/>
      <c r="BA15" s="79"/>
      <c r="BB15" s="79"/>
      <c r="BC15" s="79"/>
      <c r="BD15" s="79"/>
      <c r="BE15" s="79"/>
      <c r="BF15" s="79"/>
      <c r="BG15" s="79"/>
      <c r="BH15" s="79"/>
      <c r="BI15" s="79"/>
      <c r="BJ15" s="79"/>
      <c r="BK15" s="86"/>
      <c r="BL15" s="79"/>
      <c r="BM15" s="79"/>
      <c r="BN15" s="214">
        <v>1000</v>
      </c>
      <c r="BO15" s="218"/>
      <c r="BP15" s="218"/>
      <c r="BQ15" s="223"/>
      <c r="BR15" s="217"/>
      <c r="BS15" s="88"/>
      <c r="BT15" s="78"/>
    </row>
    <row r="16" spans="1:72" ht="21.15" customHeight="1" x14ac:dyDescent="0.55000000000000004">
      <c r="A16" s="78"/>
      <c r="B16" s="79"/>
      <c r="C16" s="79"/>
      <c r="D16" s="79"/>
      <c r="E16" s="79"/>
      <c r="F16" s="79"/>
      <c r="G16" s="255">
        <f>VLOOKUP(G15,市町村データ!A2:P106,MATCH(手順書_丁目_人口!$F$64, 市町村データ!A1:P1, 0),FALSE)</f>
        <v>11.5</v>
      </c>
      <c r="H16" s="156"/>
      <c r="I16" s="156"/>
      <c r="J16" s="158"/>
      <c r="K16" s="260">
        <f>VLOOKUP(K15,市町村データ!A2:P106,MATCH(手順書_丁目_人口!$F$64, 市町村データ!A1:P1, 0),FALSE)</f>
        <v>0.8</v>
      </c>
      <c r="L16" s="156"/>
      <c r="M16" s="156"/>
      <c r="N16" s="158"/>
      <c r="O16" s="261">
        <f>VLOOKUP(O15,市町村データ!A2:P106,MATCH(手順書_丁目_人口!$F$64, 市町村データ!A1:P1, 0),FALSE)</f>
        <v>5.3</v>
      </c>
      <c r="P16" s="156"/>
      <c r="Q16" s="156"/>
      <c r="R16" s="158"/>
      <c r="S16" s="282">
        <f>VLOOKUP(S15,市町村データ!A2:P106,MATCH(手順書_丁目_人口!$F$64, 市町村データ!A1:P1, 0),FALSE)</f>
        <v>71</v>
      </c>
      <c r="T16" s="156"/>
      <c r="U16" s="156"/>
      <c r="V16" s="158"/>
      <c r="W16" s="237">
        <f>VLOOKUP(W15,市町村データ!A2:P106,MATCH(手順書_丁目_人口!$F$64, 市町村データ!A1:P1, 0),FALSE)</f>
        <v>133.4</v>
      </c>
      <c r="X16" s="156"/>
      <c r="Y16" s="156"/>
      <c r="Z16" s="158"/>
      <c r="AA16" s="282">
        <f>VLOOKUP(AA15,市町村データ!A2:P106,MATCH(手順書_丁目_人口!$F$64, 市町村データ!A1:P1, 0),FALSE)</f>
        <v>105.2</v>
      </c>
      <c r="AB16" s="156"/>
      <c r="AC16" s="156"/>
      <c r="AD16" s="158"/>
      <c r="AE16" s="282">
        <f>VLOOKUP(AE15,市町村データ!A2:P106,MATCH(手順書_丁目_人口!$F$64, 市町村データ!A1:P1, 0),FALSE)</f>
        <v>64.3</v>
      </c>
      <c r="AF16" s="156"/>
      <c r="AG16" s="156"/>
      <c r="AH16" s="158"/>
      <c r="AI16" s="282">
        <f>VLOOKUP(AI15,市町村データ!A2:P106,MATCH(手順書_丁目_人口!$F$64, 市町村データ!A1:P1, 0),FALSE)</f>
        <v>81</v>
      </c>
      <c r="AJ16" s="156"/>
      <c r="AK16" s="156"/>
      <c r="AL16" s="158"/>
      <c r="AM16" s="238">
        <f>VLOOKUP(AM15,市町村データ!A2:P106,MATCH(手順書_丁目_人口!$F$64, 市町村データ!A1:P1, 0),FALSE)</f>
        <v>106.6</v>
      </c>
      <c r="AN16" s="156"/>
      <c r="AO16" s="156"/>
      <c r="AP16" s="158"/>
      <c r="AQ16" s="92"/>
      <c r="AR16" s="87"/>
      <c r="AS16" s="87"/>
      <c r="AT16" s="87"/>
      <c r="AU16" s="79"/>
      <c r="AV16" s="79"/>
      <c r="AW16" s="79"/>
      <c r="AX16" s="79"/>
      <c r="AY16" s="79"/>
      <c r="AZ16" s="79"/>
      <c r="BA16" s="79"/>
      <c r="BB16" s="79"/>
      <c r="BC16" s="79"/>
      <c r="BD16" s="79"/>
      <c r="BE16" s="79"/>
      <c r="BF16" s="79"/>
      <c r="BG16" s="79"/>
      <c r="BH16" s="79"/>
      <c r="BI16" s="79"/>
      <c r="BJ16" s="79"/>
      <c r="BK16" s="87"/>
      <c r="BL16" s="87"/>
      <c r="BM16" s="87"/>
      <c r="BN16" s="214">
        <v>750</v>
      </c>
      <c r="BO16" s="225"/>
      <c r="BP16" s="225"/>
      <c r="BQ16" s="278"/>
      <c r="BR16" s="217"/>
      <c r="BS16" s="88"/>
      <c r="BT16" s="78"/>
    </row>
    <row r="17" spans="1:72" ht="21.15" customHeight="1" x14ac:dyDescent="0.55000000000000004">
      <c r="A17" s="78"/>
      <c r="B17" s="79"/>
      <c r="C17" s="79"/>
      <c r="D17" s="79"/>
      <c r="E17" s="79"/>
      <c r="F17" s="79"/>
      <c r="G17" s="254">
        <f>VLOOKUP(G15,市町村データ!A2:P106,MATCH(手順書_丁目_人口!$F$65, 市町村データ!A1:P1, 0),FALSE)</f>
        <v>388</v>
      </c>
      <c r="H17" s="156"/>
      <c r="I17" s="156"/>
      <c r="J17" s="158"/>
      <c r="K17" s="262">
        <f>VLOOKUP(K15,市町村データ!A2:P106,MATCH(手順書_丁目_人口!$F$65, 市町村データ!A1:P1, 0),FALSE)</f>
        <v>26</v>
      </c>
      <c r="L17" s="156"/>
      <c r="M17" s="156"/>
      <c r="N17" s="158"/>
      <c r="O17" s="263">
        <f>VLOOKUP(O15,市町村データ!A2:P106,MATCH(手順書_丁目_人口!$F$65, 市町村データ!A1:P1, 0),FALSE)</f>
        <v>156</v>
      </c>
      <c r="P17" s="156"/>
      <c r="Q17" s="156"/>
      <c r="R17" s="158"/>
      <c r="S17" s="280">
        <f>VLOOKUP(S15,市町村データ!A2:P106,MATCH(手順書_丁目_人口!$F$65, 市町村データ!A1:P1, 0),FALSE)</f>
        <v>3836</v>
      </c>
      <c r="T17" s="156"/>
      <c r="U17" s="156"/>
      <c r="V17" s="158"/>
      <c r="W17" s="242">
        <f>VLOOKUP(W15,市町村データ!A2:P106,MATCH(手順書_丁目_人口!$F$65, 市町村データ!A1:P1, 0),FALSE)</f>
        <v>8004</v>
      </c>
      <c r="X17" s="156"/>
      <c r="Y17" s="156"/>
      <c r="Z17" s="158"/>
      <c r="AA17" s="280">
        <f>VLOOKUP(AA15,市町村データ!A2:P106,MATCH(手順書_丁目_人口!$F$65, 市町村データ!A1:P1, 0),FALSE)</f>
        <v>4944</v>
      </c>
      <c r="AB17" s="156"/>
      <c r="AC17" s="156"/>
      <c r="AD17" s="158"/>
      <c r="AE17" s="280">
        <f>VLOOKUP(AE15,市町村データ!A2:P106,MATCH(手順書_丁目_人口!$F$65, 市町村データ!A1:P1, 0),FALSE)</f>
        <v>3539</v>
      </c>
      <c r="AF17" s="156"/>
      <c r="AG17" s="156"/>
      <c r="AH17" s="158"/>
      <c r="AI17" s="280">
        <f>VLOOKUP(AI15,市町村データ!A2:P106,MATCH(手順書_丁目_人口!$F$65, 市町村データ!A1:P1, 0),FALSE)</f>
        <v>4857</v>
      </c>
      <c r="AJ17" s="156"/>
      <c r="AK17" s="156"/>
      <c r="AL17" s="158"/>
      <c r="AM17" s="243">
        <f>VLOOKUP(AM15,市町村データ!A2:P106,MATCH(手順書_丁目_人口!$F$65, 市町村データ!A1:P1, 0),FALSE)</f>
        <v>1599</v>
      </c>
      <c r="AN17" s="156"/>
      <c r="AO17" s="156"/>
      <c r="AP17" s="158"/>
      <c r="AQ17" s="93"/>
      <c r="AR17" s="89"/>
      <c r="AS17" s="89"/>
      <c r="AT17" s="89"/>
      <c r="AU17" s="79"/>
      <c r="AV17" s="79"/>
      <c r="AW17" s="79"/>
      <c r="AX17" s="79"/>
      <c r="AY17" s="79"/>
      <c r="AZ17" s="79"/>
      <c r="BA17" s="79"/>
      <c r="BB17" s="79"/>
      <c r="BC17" s="79"/>
      <c r="BD17" s="79"/>
      <c r="BE17" s="79"/>
      <c r="BF17" s="79"/>
      <c r="BG17" s="79"/>
      <c r="BH17" s="79"/>
      <c r="BI17" s="79"/>
      <c r="BJ17" s="79"/>
      <c r="BK17" s="89"/>
      <c r="BL17" s="89"/>
      <c r="BM17" s="89"/>
      <c r="BN17" s="214">
        <v>500</v>
      </c>
      <c r="BO17" s="215"/>
      <c r="BP17" s="215"/>
      <c r="BQ17" s="277"/>
      <c r="BR17" s="217"/>
      <c r="BS17" s="79"/>
      <c r="BT17" s="78"/>
    </row>
    <row r="18" spans="1:72" ht="21.15" customHeight="1" thickBot="1" x14ac:dyDescent="0.6">
      <c r="A18" s="78"/>
      <c r="B18" s="79"/>
      <c r="C18" s="79"/>
      <c r="D18" s="79"/>
      <c r="E18" s="79"/>
      <c r="F18" s="79"/>
      <c r="G18" s="253">
        <f>VLOOKUP(G15,市町村データ!A2:P106,MATCH(手順書_丁目_人口!$F$66, 市町村データ!A1:P1, 0),FALSE)</f>
        <v>33.700000000000003</v>
      </c>
      <c r="H18" s="153"/>
      <c r="I18" s="153"/>
      <c r="J18" s="240"/>
      <c r="K18" s="256">
        <f>VLOOKUP(K15,市町村データ!A2:P106,MATCH(手順書_丁目_人口!$F$66, 市町村データ!A1:P1, 0),FALSE)</f>
        <v>30.7</v>
      </c>
      <c r="L18" s="153"/>
      <c r="M18" s="153"/>
      <c r="N18" s="240"/>
      <c r="O18" s="257">
        <f>VLOOKUP(O15,市町村データ!A2:P106,MATCH(手順書_丁目_人口!$F$66, 市町村データ!A1:P1, 0),FALSE)</f>
        <v>29.7</v>
      </c>
      <c r="P18" s="153"/>
      <c r="Q18" s="153"/>
      <c r="R18" s="240"/>
      <c r="S18" s="281">
        <f>VLOOKUP(S15,市町村データ!A2:P106,MATCH(手順書_丁目_人口!$F$66, 市町村データ!A1:P1, 0),FALSE)</f>
        <v>54</v>
      </c>
      <c r="T18" s="153"/>
      <c r="U18" s="153"/>
      <c r="V18" s="240"/>
      <c r="W18" s="239">
        <f>VLOOKUP(W15,市町村データ!A2:P106,MATCH(手順書_丁目_人口!$F$66, 市町村データ!A1:P1, 0),FALSE)</f>
        <v>60</v>
      </c>
      <c r="X18" s="153"/>
      <c r="Y18" s="153"/>
      <c r="Z18" s="240"/>
      <c r="AA18" s="281">
        <f>VLOOKUP(AA15,市町村データ!A2:P106,MATCH(手順書_丁目_人口!$F$66, 市町村データ!A1:P1, 0),FALSE)</f>
        <v>47</v>
      </c>
      <c r="AB18" s="153"/>
      <c r="AC18" s="153"/>
      <c r="AD18" s="240"/>
      <c r="AE18" s="281">
        <f>VLOOKUP(AE15,市町村データ!A2:P106,MATCH(手順書_丁目_人口!$F$66, 市町村データ!A1:P1, 0),FALSE)</f>
        <v>55</v>
      </c>
      <c r="AF18" s="153"/>
      <c r="AG18" s="153"/>
      <c r="AH18" s="240"/>
      <c r="AI18" s="281">
        <f>VLOOKUP(AI15,市町村データ!A2:P106,MATCH(手順書_丁目_人口!$F$66, 市町村データ!A1:P1, 0),FALSE)</f>
        <v>60</v>
      </c>
      <c r="AJ18" s="153"/>
      <c r="AK18" s="153"/>
      <c r="AL18" s="240"/>
      <c r="AM18" s="241">
        <f>VLOOKUP(AM15,市町村データ!A2:P106,MATCH(手順書_丁目_人口!$F$66, 市町村データ!A1:P1, 0),FALSE)</f>
        <v>15</v>
      </c>
      <c r="AN18" s="153"/>
      <c r="AO18" s="153"/>
      <c r="AP18" s="240"/>
      <c r="AQ18" s="85"/>
      <c r="AR18" s="79"/>
      <c r="AS18" s="79"/>
      <c r="AT18" s="79"/>
      <c r="AU18" s="79"/>
      <c r="AV18" s="79"/>
      <c r="AW18" s="79"/>
      <c r="AX18" s="79"/>
      <c r="AY18" s="79"/>
      <c r="AZ18" s="79"/>
      <c r="BA18" s="79"/>
      <c r="BB18" s="79"/>
      <c r="BC18" s="79"/>
      <c r="BD18" s="79"/>
      <c r="BE18" s="79"/>
      <c r="BF18" s="79"/>
      <c r="BG18" s="79"/>
      <c r="BH18" s="79"/>
      <c r="BI18" s="79"/>
      <c r="BJ18" s="79"/>
      <c r="BK18" s="79"/>
      <c r="BL18" s="79"/>
      <c r="BM18" s="79"/>
      <c r="BN18" s="214">
        <v>250</v>
      </c>
      <c r="BO18" s="218"/>
      <c r="BP18" s="218"/>
      <c r="BQ18" s="216"/>
      <c r="BR18" s="217"/>
      <c r="BS18" s="79"/>
      <c r="BT18" s="78"/>
    </row>
    <row r="19" spans="1:72" ht="21.15" customHeight="1" x14ac:dyDescent="0.55000000000000004">
      <c r="A19" s="78"/>
      <c r="B19" s="79"/>
      <c r="C19" s="81" t="s">
        <v>64</v>
      </c>
      <c r="D19" s="79"/>
      <c r="E19" s="79"/>
      <c r="F19" s="79"/>
      <c r="G19" s="95"/>
      <c r="H19" s="84"/>
      <c r="I19" s="84"/>
      <c r="J19" s="84"/>
      <c r="K19" s="95"/>
      <c r="L19" s="84"/>
      <c r="M19" s="84"/>
      <c r="N19" s="84"/>
      <c r="O19" s="82">
        <v>24</v>
      </c>
      <c r="P19" s="142" t="str">
        <f>VLOOKUP(O19,市町村データ!A2:P106,MATCH(手順書_丁目_人口!$G$63, 市町村データ!A1:P1, 0),FALSE)</f>
        <v>菅沢2</v>
      </c>
      <c r="Q19" s="154"/>
      <c r="R19" s="159"/>
      <c r="S19" s="82">
        <v>25</v>
      </c>
      <c r="T19" s="142" t="str">
        <f>VLOOKUP(S19,市町村データ!A2:P106,MATCH(手順書_丁目_人口!$G$63, 市町村データ!A1:P1, 0),FALSE)</f>
        <v>菅沢1</v>
      </c>
      <c r="U19" s="154"/>
      <c r="V19" s="159"/>
      <c r="W19" s="82">
        <v>26</v>
      </c>
      <c r="X19" s="142" t="str">
        <f>VLOOKUP(W19,市町村データ!A2:P106,MATCH(手順書_丁目_人口!$G$63, 市町村データ!A1:P1, 0),FALSE)</f>
        <v>野火止4</v>
      </c>
      <c r="Y19" s="154"/>
      <c r="Z19" s="159"/>
      <c r="AA19" s="82">
        <v>27</v>
      </c>
      <c r="AB19" s="142" t="str">
        <f>VLOOKUP(AA19,市町村データ!A2:P106,MATCH(手順書_丁目_人口!$G$63, 市町村データ!A1:P1, 0),FALSE)</f>
        <v>野火止3</v>
      </c>
      <c r="AC19" s="154"/>
      <c r="AD19" s="159"/>
      <c r="AE19" s="82">
        <v>28</v>
      </c>
      <c r="AF19" s="142" t="str">
        <f>VLOOKUP(AE19,市町村データ!A2:P106,MATCH(手順書_丁目_人口!$G$63, 市町村データ!A1:P1, 0),FALSE)</f>
        <v>野火止2</v>
      </c>
      <c r="AG19" s="154"/>
      <c r="AH19" s="159"/>
      <c r="AI19" s="82">
        <v>29</v>
      </c>
      <c r="AJ19" s="142" t="str">
        <f>VLOOKUP(AI19,市町村データ!A2:P106,MATCH(手順書_丁目_人口!$G$63, 市町村データ!A1:P1, 0),FALSE)</f>
        <v>野火止1</v>
      </c>
      <c r="AK19" s="154"/>
      <c r="AL19" s="159"/>
      <c r="AM19" s="82">
        <v>30</v>
      </c>
      <c r="AN19" s="142" t="str">
        <f>VLOOKUP(AM19,市町村データ!A2:P106,MATCH(手順書_丁目_人口!$G$63, 市町村データ!A1:P1, 0),FALSE)</f>
        <v>畑中1</v>
      </c>
      <c r="AO19" s="154"/>
      <c r="AP19" s="159"/>
      <c r="AQ19" s="82">
        <v>31</v>
      </c>
      <c r="AR19" s="142" t="str">
        <f>VLOOKUP(AQ19,市町村データ!A2:P106,MATCH(手順書_丁目_人口!$G$63, 市町村データ!A1:P1, 0),FALSE)</f>
        <v>畑中2</v>
      </c>
      <c r="AS19" s="154"/>
      <c r="AT19" s="159"/>
      <c r="AU19" s="91"/>
      <c r="AV19" s="79"/>
      <c r="AW19" s="79"/>
      <c r="AX19" s="79"/>
      <c r="AY19" s="86"/>
      <c r="AZ19" s="79"/>
      <c r="BA19" s="79"/>
      <c r="BB19" s="79"/>
      <c r="BC19" s="86"/>
      <c r="BD19" s="79"/>
      <c r="BE19" s="79"/>
      <c r="BF19" s="79"/>
      <c r="BG19" s="86"/>
      <c r="BH19" s="79"/>
      <c r="BI19" s="79"/>
      <c r="BJ19" s="79"/>
      <c r="BK19" s="86"/>
      <c r="BL19" s="79"/>
      <c r="BM19" s="79"/>
      <c r="BN19" s="214">
        <v>125</v>
      </c>
      <c r="BO19" s="218"/>
      <c r="BP19" s="218"/>
      <c r="BQ19" s="219"/>
      <c r="BR19" s="217"/>
      <c r="BS19" s="79"/>
      <c r="BT19" s="78"/>
    </row>
    <row r="20" spans="1:72" ht="21.15" customHeight="1" x14ac:dyDescent="0.55000000000000004">
      <c r="A20" s="78"/>
      <c r="B20" s="79"/>
      <c r="C20" s="79"/>
      <c r="D20" s="79"/>
      <c r="E20" s="79"/>
      <c r="F20" s="79"/>
      <c r="G20" s="87"/>
      <c r="H20" s="87"/>
      <c r="I20" s="87"/>
      <c r="J20" s="87"/>
      <c r="K20" s="87"/>
      <c r="L20" s="87"/>
      <c r="M20" s="87"/>
      <c r="N20" s="87"/>
      <c r="O20" s="285">
        <f>VLOOKUP(O19,市町村データ!A2:P106,MATCH(手順書_丁目_人口!$F$64, 市町村データ!A1:P1, 0),FALSE)</f>
        <v>23.4</v>
      </c>
      <c r="P20" s="156"/>
      <c r="Q20" s="156"/>
      <c r="R20" s="158"/>
      <c r="S20" s="255">
        <f>VLOOKUP(S19,市町村データ!A2:P106,MATCH(手順書_丁目_人口!$F$64, 市町村データ!A1:P1, 0),FALSE)</f>
        <v>11.6</v>
      </c>
      <c r="T20" s="156"/>
      <c r="U20" s="156"/>
      <c r="V20" s="158"/>
      <c r="W20" s="266">
        <f>VLOOKUP(W19,市町村データ!A2:P106,MATCH(手順書_丁目_人口!$F$64, 市町村データ!A1:P1, 0),FALSE)</f>
        <v>79.8</v>
      </c>
      <c r="X20" s="156"/>
      <c r="Y20" s="156"/>
      <c r="Z20" s="158"/>
      <c r="AA20" s="238">
        <f>VLOOKUP(AA19,市町村データ!A2:P106,MATCH(手順書_丁目_人口!$F$64, 市町村データ!A1:P1, 0),FALSE)</f>
        <v>22.9</v>
      </c>
      <c r="AB20" s="156"/>
      <c r="AC20" s="156"/>
      <c r="AD20" s="158"/>
      <c r="AE20" s="255">
        <f>VLOOKUP(AE19,市町村データ!A2:P106,MATCH(手順書_丁目_人口!$F$64, 市町村データ!A1:P1, 0),FALSE)</f>
        <v>9.9</v>
      </c>
      <c r="AF20" s="156"/>
      <c r="AG20" s="156"/>
      <c r="AH20" s="158"/>
      <c r="AI20" s="282">
        <f>VLOOKUP(AI19,市町村データ!A2:P106,MATCH(手順書_丁目_人口!$F$64, 市町村データ!A1:P1, 0),FALSE)</f>
        <v>59.6</v>
      </c>
      <c r="AJ20" s="156"/>
      <c r="AK20" s="156"/>
      <c r="AL20" s="158"/>
      <c r="AM20" s="266">
        <f>VLOOKUP(AM19,市町村データ!A2:P106,MATCH(手順書_丁目_人口!$F$64, 市町村データ!A1:P1, 0),FALSE)</f>
        <v>87.3</v>
      </c>
      <c r="AN20" s="156"/>
      <c r="AO20" s="156"/>
      <c r="AP20" s="158"/>
      <c r="AQ20" s="282">
        <f>VLOOKUP(AQ19,市町村データ!A2:P106,MATCH(手順書_丁目_人口!$F$64, 市町村データ!A1:P1, 0),FALSE)</f>
        <v>72.3</v>
      </c>
      <c r="AR20" s="156"/>
      <c r="AS20" s="156"/>
      <c r="AT20" s="158"/>
      <c r="AU20" s="92"/>
      <c r="AV20" s="87"/>
      <c r="AW20" s="87"/>
      <c r="AX20" s="87"/>
      <c r="AY20" s="87"/>
      <c r="AZ20" s="87"/>
      <c r="BA20" s="87"/>
      <c r="BB20" s="87"/>
      <c r="BC20" s="87"/>
      <c r="BD20" s="87"/>
      <c r="BE20" s="87"/>
      <c r="BF20" s="87"/>
      <c r="BG20" s="87"/>
      <c r="BH20" s="87"/>
      <c r="BI20" s="87"/>
      <c r="BJ20" s="87"/>
      <c r="BK20" s="87"/>
      <c r="BL20" s="87"/>
      <c r="BM20" s="87"/>
      <c r="BN20" s="214">
        <v>100</v>
      </c>
      <c r="BO20" s="225"/>
      <c r="BP20" s="225"/>
      <c r="BQ20" s="220"/>
      <c r="BR20" s="217"/>
      <c r="BS20" s="79"/>
      <c r="BT20" s="78"/>
    </row>
    <row r="21" spans="1:72" ht="21.15" customHeight="1" thickBot="1" x14ac:dyDescent="0.6">
      <c r="A21" s="78"/>
      <c r="B21" s="79"/>
      <c r="C21" s="79"/>
      <c r="D21" s="79"/>
      <c r="E21" s="79"/>
      <c r="F21" s="79"/>
      <c r="G21" s="89"/>
      <c r="H21" s="89"/>
      <c r="I21" s="89"/>
      <c r="J21" s="89"/>
      <c r="K21" s="89"/>
      <c r="L21" s="89"/>
      <c r="M21" s="89"/>
      <c r="N21" s="89"/>
      <c r="O21" s="283">
        <f>VLOOKUP(O19,市町村データ!A2:P106,MATCH(手順書_丁目_人口!$F$65, 市町村データ!A1:P1, 0),FALSE)</f>
        <v>993</v>
      </c>
      <c r="P21" s="156"/>
      <c r="Q21" s="156"/>
      <c r="R21" s="158"/>
      <c r="S21" s="254">
        <f>VLOOKUP(S19,市町村データ!A2:P106,MATCH(手順書_丁目_人口!$F$65, 市町村データ!A1:P1, 0),FALSE)</f>
        <v>460</v>
      </c>
      <c r="T21" s="156"/>
      <c r="U21" s="156"/>
      <c r="V21" s="158"/>
      <c r="W21" s="267">
        <f>VLOOKUP(W19,市町村データ!A2:P106,MATCH(手順書_丁目_人口!$F$65, 市町村データ!A1:P1, 0),FALSE)</f>
        <v>5240</v>
      </c>
      <c r="X21" s="156"/>
      <c r="Y21" s="156"/>
      <c r="Z21" s="158"/>
      <c r="AA21" s="243">
        <f>VLOOKUP(AA19,市町村データ!A2:P106,MATCH(手順書_丁目_人口!$F$65, 市町村データ!A1:P1, 0),FALSE)</f>
        <v>2316</v>
      </c>
      <c r="AB21" s="156"/>
      <c r="AC21" s="156"/>
      <c r="AD21" s="158"/>
      <c r="AE21" s="254">
        <f>VLOOKUP(AE19,市町村データ!A2:P106,MATCH(手順書_丁目_人口!$F$65, 市町村データ!A1:P1, 0),FALSE)</f>
        <v>450</v>
      </c>
      <c r="AF21" s="156"/>
      <c r="AG21" s="156"/>
      <c r="AH21" s="158"/>
      <c r="AI21" s="280">
        <f>VLOOKUP(AI19,市町村データ!A2:P106,MATCH(手順書_丁目_人口!$F$65, 市町村データ!A1:P1, 0),FALSE)</f>
        <v>3149</v>
      </c>
      <c r="AJ21" s="156"/>
      <c r="AK21" s="156"/>
      <c r="AL21" s="158"/>
      <c r="AM21" s="267">
        <f>VLOOKUP(AM19,市町村データ!A2:P106,MATCH(手順書_丁目_人口!$F$65, 市町村データ!A1:P1, 0),FALSE)</f>
        <v>5131</v>
      </c>
      <c r="AN21" s="156"/>
      <c r="AO21" s="156"/>
      <c r="AP21" s="158"/>
      <c r="AQ21" s="280">
        <f>VLOOKUP(AQ19,市町村データ!A2:P106,MATCH(手順書_丁目_人口!$F$65, 市町村データ!A1:P1, 0),FALSE)</f>
        <v>3037</v>
      </c>
      <c r="AR21" s="156"/>
      <c r="AS21" s="156"/>
      <c r="AT21" s="158"/>
      <c r="AU21" s="93"/>
      <c r="AV21" s="89"/>
      <c r="AW21" s="89"/>
      <c r="AX21" s="89"/>
      <c r="AY21" s="89"/>
      <c r="AZ21" s="89"/>
      <c r="BA21" s="89"/>
      <c r="BB21" s="89"/>
      <c r="BC21" s="89"/>
      <c r="BD21" s="89"/>
      <c r="BE21" s="89"/>
      <c r="BF21" s="89"/>
      <c r="BG21" s="89"/>
      <c r="BH21" s="89"/>
      <c r="BI21" s="89"/>
      <c r="BJ21" s="89"/>
      <c r="BK21" s="89"/>
      <c r="BL21" s="89"/>
      <c r="BM21" s="89"/>
      <c r="BN21" s="210">
        <v>0</v>
      </c>
      <c r="BO21" s="276"/>
      <c r="BP21" s="276"/>
      <c r="BQ21" s="212"/>
      <c r="BR21" s="213"/>
      <c r="BS21" s="79"/>
      <c r="BT21" s="78"/>
    </row>
    <row r="22" spans="1:72" ht="21.15" customHeight="1" thickBot="1" x14ac:dyDescent="0.6">
      <c r="A22" s="78"/>
      <c r="B22" s="79"/>
      <c r="C22" s="79"/>
      <c r="D22" s="79"/>
      <c r="E22" s="79"/>
      <c r="F22" s="79"/>
      <c r="G22" s="79"/>
      <c r="H22" s="79"/>
      <c r="I22" s="79"/>
      <c r="J22" s="79"/>
      <c r="K22" s="79"/>
      <c r="L22" s="79"/>
      <c r="M22" s="79"/>
      <c r="N22" s="79"/>
      <c r="O22" s="284">
        <f>VLOOKUP(O19,市町村データ!A2:P106,MATCH(手順書_丁目_人口!$F$66, 市町村データ!A1:P1, 0),FALSE)</f>
        <v>42.5</v>
      </c>
      <c r="P22" s="153"/>
      <c r="Q22" s="153"/>
      <c r="R22" s="240"/>
      <c r="S22" s="253">
        <f>VLOOKUP(S19,市町村データ!A2:P106,MATCH(手順書_丁目_人口!$F$66, 市町村データ!A1:P1, 0),FALSE)</f>
        <v>39.6</v>
      </c>
      <c r="T22" s="153"/>
      <c r="U22" s="153"/>
      <c r="V22" s="240"/>
      <c r="W22" s="265">
        <f>VLOOKUP(W19,市町村データ!A2:P106,MATCH(手順書_丁目_人口!$F$66, 市町村データ!A1:P1, 0),FALSE)</f>
        <v>65.7</v>
      </c>
      <c r="X22" s="153"/>
      <c r="Y22" s="153"/>
      <c r="Z22" s="240"/>
      <c r="AA22" s="241">
        <f>VLOOKUP(AA19,市町村データ!A2:P106,MATCH(手順書_丁目_人口!$F$66, 市町村データ!A1:P1, 0),FALSE)</f>
        <v>101.1</v>
      </c>
      <c r="AB22" s="153"/>
      <c r="AC22" s="153"/>
      <c r="AD22" s="240"/>
      <c r="AE22" s="253">
        <f>VLOOKUP(AE19,市町村データ!A2:P106,MATCH(手順書_丁目_人口!$F$66, 市町村データ!A1:P1, 0),FALSE)</f>
        <v>45.6</v>
      </c>
      <c r="AF22" s="153"/>
      <c r="AG22" s="153"/>
      <c r="AH22" s="240"/>
      <c r="AI22" s="281">
        <f>VLOOKUP(AI19,市町村データ!A2:P106,MATCH(手順書_丁目_人口!$F$66, 市町村データ!A1:P1, 0),FALSE)</f>
        <v>52.8</v>
      </c>
      <c r="AJ22" s="153"/>
      <c r="AK22" s="153"/>
      <c r="AL22" s="240"/>
      <c r="AM22" s="265">
        <f>VLOOKUP(AM19,市町村データ!A2:P106,MATCH(手順書_丁目_人口!$F$66, 市町村データ!A1:P1, 0),FALSE)</f>
        <v>58.8</v>
      </c>
      <c r="AN22" s="153"/>
      <c r="AO22" s="153"/>
      <c r="AP22" s="240"/>
      <c r="AQ22" s="281">
        <f>VLOOKUP(AQ19,市町村データ!A2:P106,MATCH(手順書_丁目_人口!$F$66, 市町村データ!A1:P1, 0),FALSE)</f>
        <v>42</v>
      </c>
      <c r="AR22" s="153"/>
      <c r="AS22" s="153"/>
      <c r="AT22" s="240"/>
      <c r="AU22" s="85"/>
      <c r="AV22" s="79"/>
      <c r="AW22" s="79"/>
      <c r="AX22" s="79"/>
      <c r="AY22" s="79"/>
      <c r="AZ22" s="79"/>
      <c r="BA22" s="79"/>
      <c r="BB22" s="79"/>
      <c r="BC22" s="79"/>
      <c r="BD22" s="79"/>
      <c r="BE22" s="79"/>
      <c r="BF22" s="79"/>
      <c r="BG22" s="79"/>
      <c r="BH22" s="79"/>
      <c r="BI22" s="79"/>
      <c r="BJ22" s="79"/>
      <c r="BK22" s="79"/>
      <c r="BL22" s="79"/>
      <c r="BM22" s="79"/>
      <c r="BN22" s="79"/>
      <c r="BO22" s="79"/>
      <c r="BP22" s="79"/>
      <c r="BQ22" s="79"/>
      <c r="BR22" s="79"/>
      <c r="BS22" s="79"/>
      <c r="BT22" s="78"/>
    </row>
    <row r="23" spans="1:72" ht="21.15" customHeight="1" x14ac:dyDescent="0.55000000000000004">
      <c r="A23" s="78"/>
      <c r="B23" s="79"/>
      <c r="C23" s="81" t="s">
        <v>65</v>
      </c>
      <c r="D23" s="79"/>
      <c r="E23" s="79"/>
      <c r="F23" s="79"/>
      <c r="G23" s="79"/>
      <c r="H23" s="79"/>
      <c r="I23" s="79"/>
      <c r="J23" s="79"/>
      <c r="K23" s="79"/>
      <c r="L23" s="79"/>
      <c r="M23" s="79"/>
      <c r="N23" s="79"/>
      <c r="O23" s="82">
        <v>32</v>
      </c>
      <c r="P23" s="142" t="str">
        <f>VLOOKUP(O23,市町村データ!A2:P106,MATCH(手順書_丁目_人口!$G$63, 市町村データ!A1:P1, 0),FALSE)</f>
        <v>あたご3</v>
      </c>
      <c r="Q23" s="154"/>
      <c r="R23" s="159"/>
      <c r="S23" s="82">
        <v>33</v>
      </c>
      <c r="T23" s="142" t="str">
        <f>VLOOKUP(S23,市町村データ!A2:P106,MATCH(手順書_丁目_人口!$G$63, 市町村データ!A1:P1, 0),FALSE)</f>
        <v>あたご2</v>
      </c>
      <c r="U23" s="154"/>
      <c r="V23" s="159"/>
      <c r="W23" s="82">
        <v>34</v>
      </c>
      <c r="X23" s="142" t="str">
        <f>VLOOKUP(W23,市町村データ!A2:P106,MATCH(手順書_丁目_人口!$G$63, 市町村データ!A1:P1, 0),FALSE)</f>
        <v>あたご1</v>
      </c>
      <c r="Y23" s="154"/>
      <c r="Z23" s="159"/>
      <c r="AA23" s="82">
        <v>35</v>
      </c>
      <c r="AB23" s="142" t="str">
        <f>VLOOKUP(AA23,市町村データ!A2:P106,MATCH(手順書_丁目_人口!$G$63, 市町村データ!A1:P1, 0),FALSE)</f>
        <v>本多2</v>
      </c>
      <c r="AC23" s="154"/>
      <c r="AD23" s="159"/>
      <c r="AE23" s="82">
        <v>36</v>
      </c>
      <c r="AF23" s="142" t="str">
        <f>VLOOKUP(AE23,市町村データ!A2:P106,MATCH(手順書_丁目_人口!$G$63, 市町村データ!A1:P1, 0),FALSE)</f>
        <v>本多1</v>
      </c>
      <c r="AG23" s="154"/>
      <c r="AH23" s="159"/>
      <c r="AI23" s="82">
        <v>37</v>
      </c>
      <c r="AJ23" s="142" t="str">
        <f>VLOOKUP(AI23,市町村データ!A2:P106,MATCH(手順書_丁目_人口!$G$63, 市町村データ!A1:P1, 0),FALSE)</f>
        <v>堀ノ内1</v>
      </c>
      <c r="AK23" s="154"/>
      <c r="AL23" s="159"/>
      <c r="AM23" s="82">
        <v>38</v>
      </c>
      <c r="AN23" s="142" t="str">
        <f>VLOOKUP(AM23,市町村データ!A2:P106,MATCH(手順書_丁目_人口!$G$63, 市町村データ!A1:P1, 0),FALSE)</f>
        <v>馬場1</v>
      </c>
      <c r="AO23" s="154"/>
      <c r="AP23" s="159"/>
      <c r="AQ23" s="82">
        <v>39</v>
      </c>
      <c r="AR23" s="142" t="str">
        <f>VLOOKUP(AQ23,市町村データ!A2:P106,MATCH(手順書_丁目_人口!$G$63, 市町村データ!A1:P1, 0),FALSE)</f>
        <v>馬場2</v>
      </c>
      <c r="AS23" s="154"/>
      <c r="AT23" s="159"/>
      <c r="AU23" s="82">
        <v>40</v>
      </c>
      <c r="AV23" s="142" t="str">
        <f>VLOOKUP(AU23,市町村データ!A2:P106,MATCH(手順書_丁目_人口!$G$63, 市町村データ!A1:P1, 0),FALSE)</f>
        <v>新塚1</v>
      </c>
      <c r="AW23" s="154"/>
      <c r="AX23" s="159"/>
      <c r="AY23" s="82">
        <v>41</v>
      </c>
      <c r="AZ23" s="142" t="str">
        <f>VLOOKUP(AY23,市町村データ!A2:P106,MATCH(手順書_丁目_人口!$G$63, 市町村データ!A1:P1, 0),FALSE)</f>
        <v>新塚他の地域</v>
      </c>
      <c r="BA23" s="154"/>
      <c r="BB23" s="159"/>
      <c r="BC23" s="91"/>
      <c r="BD23" s="79"/>
      <c r="BE23" s="79"/>
      <c r="BF23" s="79"/>
      <c r="BG23" s="86"/>
      <c r="BH23" s="79"/>
      <c r="BI23" s="79"/>
      <c r="BJ23" s="79"/>
      <c r="BK23" s="79"/>
      <c r="BL23" s="79"/>
      <c r="BM23" s="79"/>
      <c r="BN23" s="79"/>
      <c r="BO23" s="86"/>
      <c r="BP23" s="79"/>
      <c r="BQ23" s="79"/>
      <c r="BR23" s="79"/>
      <c r="BS23" s="79"/>
      <c r="BT23" s="78"/>
    </row>
    <row r="24" spans="1:72" ht="21.15" customHeight="1" x14ac:dyDescent="0.55000000000000004">
      <c r="A24" s="78"/>
      <c r="B24" s="79"/>
      <c r="C24" s="79"/>
      <c r="D24" s="79"/>
      <c r="E24" s="79"/>
      <c r="F24" s="79"/>
      <c r="G24" s="79"/>
      <c r="H24" s="79"/>
      <c r="I24" s="79"/>
      <c r="J24" s="79"/>
      <c r="K24" s="79"/>
      <c r="L24" s="79"/>
      <c r="M24" s="79"/>
      <c r="N24" s="79"/>
      <c r="O24" s="245">
        <f>VLOOKUP(O23,市町村データ!A2:P106,MATCH(手順書_丁目_人口!$F$64, 市町村データ!A1:P1, 0),FALSE)</f>
        <v>51</v>
      </c>
      <c r="P24" s="156"/>
      <c r="Q24" s="156"/>
      <c r="R24" s="158"/>
      <c r="S24" s="261">
        <f>VLOOKUP(S23,市町村データ!A2:P106,MATCH(手順書_丁目_人口!$F$64, 市町村データ!A1:P1, 0),FALSE)</f>
        <v>8.6</v>
      </c>
      <c r="T24" s="156"/>
      <c r="U24" s="156"/>
      <c r="V24" s="158"/>
      <c r="W24" s="261">
        <f>VLOOKUP(W23,市町村データ!A2:P106,MATCH(手順書_丁目_人口!$F$64, 市町村データ!A1:P1, 0),FALSE)</f>
        <v>7.9</v>
      </c>
      <c r="X24" s="156"/>
      <c r="Y24" s="156"/>
      <c r="Z24" s="158"/>
      <c r="AA24" s="260">
        <f>VLOOKUP(AA23,市町村データ!A2:P106,MATCH(手順書_丁目_人口!$F$64, 市町村データ!A1:P1, 0),FALSE)</f>
        <v>1.4</v>
      </c>
      <c r="AB24" s="156"/>
      <c r="AC24" s="156"/>
      <c r="AD24" s="158"/>
      <c r="AE24" s="245">
        <f>VLOOKUP(AE23,市町村データ!A2:P106,MATCH(手順書_丁目_人口!$F$64, 市町村データ!A1:P1, 0),FALSE)</f>
        <v>22.8</v>
      </c>
      <c r="AF24" s="156"/>
      <c r="AG24" s="156"/>
      <c r="AH24" s="158"/>
      <c r="AI24" s="255">
        <f>VLOOKUP(AI23,市町村データ!A2:P106,MATCH(手順書_丁目_人口!$F$64, 市町村データ!A1:P1, 0),FALSE)</f>
        <v>17.3</v>
      </c>
      <c r="AJ24" s="156"/>
      <c r="AK24" s="156"/>
      <c r="AL24" s="158"/>
      <c r="AM24" s="238">
        <f>VLOOKUP(AM23,市町村データ!A2:P106,MATCH(手順書_丁目_人口!$F$64, 市町村データ!A1:P1, 0),FALSE)</f>
        <v>33.799999999999997</v>
      </c>
      <c r="AN24" s="156"/>
      <c r="AO24" s="156"/>
      <c r="AP24" s="158"/>
      <c r="AQ24" s="238">
        <f>VLOOKUP(AQ23,市町村データ!A2:P106,MATCH(手順書_丁目_人口!$F$64, 市町村データ!A1:P1, 0),FALSE)</f>
        <v>84.4</v>
      </c>
      <c r="AR24" s="156"/>
      <c r="AS24" s="156"/>
      <c r="AT24" s="158"/>
      <c r="AU24" s="238">
        <f>VLOOKUP(AU23,市町村データ!A2:P106,MATCH(手順書_丁目_人口!$F$64, 市町村データ!A1:P1, 0),FALSE)</f>
        <v>68.8</v>
      </c>
      <c r="AV24" s="156"/>
      <c r="AW24" s="156"/>
      <c r="AX24" s="158"/>
      <c r="AY24" s="260">
        <f>VLOOKUP(AY23,市町村データ!A2:P106,MATCH(手順書_丁目_人口!$F$64, 市町村データ!A1:P1, 0),FALSE)</f>
        <v>0</v>
      </c>
      <c r="AZ24" s="156"/>
      <c r="BA24" s="156"/>
      <c r="BB24" s="158"/>
      <c r="BC24" s="92"/>
      <c r="BD24" s="87"/>
      <c r="BE24" s="87"/>
      <c r="BF24" s="87"/>
      <c r="BG24" s="87"/>
      <c r="BH24" s="87"/>
      <c r="BI24" s="87"/>
      <c r="BJ24" s="87"/>
      <c r="BK24" s="79"/>
      <c r="BL24" s="79"/>
      <c r="BM24" s="79"/>
      <c r="BN24" s="79"/>
      <c r="BO24" s="87"/>
      <c r="BP24" s="50"/>
      <c r="BQ24" s="50"/>
      <c r="BR24" s="50"/>
      <c r="BS24" s="79"/>
      <c r="BT24" s="78"/>
    </row>
    <row r="25" spans="1:72" ht="21.15" customHeight="1" x14ac:dyDescent="0.55000000000000004">
      <c r="A25" s="78"/>
      <c r="B25" s="79"/>
      <c r="C25" s="79"/>
      <c r="D25" s="79"/>
      <c r="E25" s="79"/>
      <c r="F25" s="79"/>
      <c r="G25" s="79"/>
      <c r="H25" s="79"/>
      <c r="I25" s="79"/>
      <c r="J25" s="79"/>
      <c r="K25" s="79"/>
      <c r="L25" s="79"/>
      <c r="M25" s="79"/>
      <c r="N25" s="79"/>
      <c r="O25" s="249">
        <f>VLOOKUP(O23,市町村データ!A2:P106,MATCH(手順書_丁目_人口!$F$65, 市町村データ!A1:P1, 0),FALSE)</f>
        <v>1214</v>
      </c>
      <c r="P25" s="156"/>
      <c r="Q25" s="156"/>
      <c r="R25" s="158"/>
      <c r="S25" s="263">
        <f>VLOOKUP(S23,市町村データ!A2:P106,MATCH(手順書_丁目_人口!$F$65, 市町村データ!A1:P1, 0),FALSE)</f>
        <v>137</v>
      </c>
      <c r="T25" s="156"/>
      <c r="U25" s="156"/>
      <c r="V25" s="158"/>
      <c r="W25" s="263">
        <f>VLOOKUP(W23,市町村データ!A2:P106,MATCH(手順書_丁目_人口!$F$65, 市町村データ!A1:P1, 0),FALSE)</f>
        <v>125</v>
      </c>
      <c r="X25" s="156"/>
      <c r="Y25" s="156"/>
      <c r="Z25" s="158"/>
      <c r="AA25" s="262">
        <f>VLOOKUP(AA23,市町村データ!A2:P106,MATCH(手順書_丁目_人口!$F$65, 市町村データ!A1:P1, 0),FALSE)</f>
        <v>58</v>
      </c>
      <c r="AB25" s="156"/>
      <c r="AC25" s="156"/>
      <c r="AD25" s="158"/>
      <c r="AE25" s="249">
        <f>VLOOKUP(AE23,市町村データ!A2:P106,MATCH(手順書_丁目_人口!$F$65, 市町村データ!A1:P1, 0),FALSE)</f>
        <v>1175</v>
      </c>
      <c r="AF25" s="156"/>
      <c r="AG25" s="156"/>
      <c r="AH25" s="158"/>
      <c r="AI25" s="254">
        <f>VLOOKUP(AI23,市町村データ!A2:P106,MATCH(手順書_丁目_人口!$F$65, 市町村データ!A1:P1, 0),FALSE)</f>
        <v>480</v>
      </c>
      <c r="AJ25" s="156"/>
      <c r="AK25" s="156"/>
      <c r="AL25" s="158"/>
      <c r="AM25" s="243">
        <f>VLOOKUP(AM23,市町村データ!A2:P106,MATCH(手順書_丁目_人口!$F$65, 市町村データ!A1:P1, 0),FALSE)</f>
        <v>1342</v>
      </c>
      <c r="AN25" s="156"/>
      <c r="AO25" s="156"/>
      <c r="AP25" s="158"/>
      <c r="AQ25" s="243">
        <f>VLOOKUP(AQ23,市町村データ!A2:P106,MATCH(手順書_丁目_人口!$F$65, 市町村データ!A1:P1, 0),FALSE)</f>
        <v>1603</v>
      </c>
      <c r="AR25" s="156"/>
      <c r="AS25" s="156"/>
      <c r="AT25" s="158"/>
      <c r="AU25" s="243">
        <f>VLOOKUP(AU23,市町村データ!A2:P106,MATCH(手順書_丁目_人口!$F$65, 市町村データ!A1:P1, 0),FALSE)</f>
        <v>1451</v>
      </c>
      <c r="AV25" s="156"/>
      <c r="AW25" s="156"/>
      <c r="AX25" s="158"/>
      <c r="AY25" s="262">
        <f>VLOOKUP(AY23,市町村データ!A2:P106,MATCH(手順書_丁目_人口!$F$65, 市町村データ!A1:P1, 0),FALSE)</f>
        <v>0</v>
      </c>
      <c r="AZ25" s="156"/>
      <c r="BA25" s="156"/>
      <c r="BB25" s="158"/>
      <c r="BC25" s="93"/>
      <c r="BD25" s="89"/>
      <c r="BE25" s="89"/>
      <c r="BF25" s="89"/>
      <c r="BG25" s="89"/>
      <c r="BH25" s="89"/>
      <c r="BI25" s="89"/>
      <c r="BJ25" s="89"/>
      <c r="BK25" s="79"/>
      <c r="BL25" s="79"/>
      <c r="BM25" s="79"/>
      <c r="BN25" s="79"/>
      <c r="BO25" s="89"/>
      <c r="BP25" s="51"/>
      <c r="BQ25" s="51"/>
      <c r="BR25" s="51"/>
      <c r="BS25" s="79"/>
      <c r="BT25" s="78"/>
    </row>
    <row r="26" spans="1:72" ht="21.15" customHeight="1" thickBot="1" x14ac:dyDescent="0.6">
      <c r="A26" s="78"/>
      <c r="B26" s="79"/>
      <c r="C26" s="79"/>
      <c r="D26" s="79"/>
      <c r="E26" s="79"/>
      <c r="F26" s="79"/>
      <c r="G26" s="79"/>
      <c r="H26" s="79"/>
      <c r="I26" s="79"/>
      <c r="J26" s="79"/>
      <c r="K26" s="79"/>
      <c r="L26" s="79"/>
      <c r="M26" s="79"/>
      <c r="N26" s="79"/>
      <c r="O26" s="247">
        <f>VLOOKUP(O23,市町村データ!A2:P106,MATCH(手順書_丁目_人口!$F$66, 市町村データ!A1:P1, 0),FALSE)</f>
        <v>23.8</v>
      </c>
      <c r="P26" s="153"/>
      <c r="Q26" s="153"/>
      <c r="R26" s="240"/>
      <c r="S26" s="257">
        <f>VLOOKUP(S23,市町村データ!A2:P106,MATCH(手順書_丁目_人口!$F$66, 市町村データ!A1:P1, 0),FALSE)</f>
        <v>15.9</v>
      </c>
      <c r="T26" s="153"/>
      <c r="U26" s="153"/>
      <c r="V26" s="240"/>
      <c r="W26" s="257">
        <f>VLOOKUP(W23,市町村データ!A2:P106,MATCH(手順書_丁目_人口!$F$66, 市町村データ!A1:P1, 0),FALSE)</f>
        <v>15.9</v>
      </c>
      <c r="X26" s="153"/>
      <c r="Y26" s="153"/>
      <c r="Z26" s="240"/>
      <c r="AA26" s="256">
        <f>VLOOKUP(AA23,市町村データ!A2:P106,MATCH(手順書_丁目_人口!$F$66, 市町村データ!A1:P1, 0),FALSE)</f>
        <v>41.6</v>
      </c>
      <c r="AB26" s="153"/>
      <c r="AC26" s="153"/>
      <c r="AD26" s="240"/>
      <c r="AE26" s="247">
        <f>VLOOKUP(AE23,市町村データ!A2:P106,MATCH(手順書_丁目_人口!$F$66, 市町村データ!A1:P1, 0),FALSE)</f>
        <v>51.5</v>
      </c>
      <c r="AF26" s="153"/>
      <c r="AG26" s="153"/>
      <c r="AH26" s="240"/>
      <c r="AI26" s="253">
        <f>VLOOKUP(AI23,市町村データ!A2:P106,MATCH(手順書_丁目_人口!$F$66, 市町村データ!A1:P1, 0),FALSE)</f>
        <v>27.7</v>
      </c>
      <c r="AJ26" s="153"/>
      <c r="AK26" s="153"/>
      <c r="AL26" s="240"/>
      <c r="AM26" s="241">
        <f>VLOOKUP(AM23,市町村データ!A2:P106,MATCH(手順書_丁目_人口!$F$66, 市町村データ!A1:P1, 0),FALSE)</f>
        <v>39.700000000000003</v>
      </c>
      <c r="AN26" s="153"/>
      <c r="AO26" s="153"/>
      <c r="AP26" s="240"/>
      <c r="AQ26" s="241">
        <f>VLOOKUP(AQ23,市町村データ!A2:P106,MATCH(手順書_丁目_人口!$F$66, 市町村データ!A1:P1, 0),FALSE)</f>
        <v>19</v>
      </c>
      <c r="AR26" s="153"/>
      <c r="AS26" s="153"/>
      <c r="AT26" s="240"/>
      <c r="AU26" s="241">
        <f>VLOOKUP(AU23,市町村データ!A2:P106,MATCH(手順書_丁目_人口!$F$66, 市町村データ!A1:P1, 0),FALSE)</f>
        <v>21.1</v>
      </c>
      <c r="AV26" s="153"/>
      <c r="AW26" s="153"/>
      <c r="AX26" s="240"/>
      <c r="AY26" s="256">
        <f>VLOOKUP(AY23,市町村データ!A2:P106,MATCH(手順書_丁目_人口!$F$66, 市町村データ!A1:P1, 0),FALSE)</f>
        <v>41.8</v>
      </c>
      <c r="AZ26" s="153"/>
      <c r="BA26" s="153"/>
      <c r="BB26" s="240"/>
      <c r="BC26" s="85"/>
      <c r="BD26" s="79"/>
      <c r="BE26" s="79"/>
      <c r="BF26" s="79"/>
      <c r="BG26" s="79"/>
      <c r="BH26" s="79"/>
      <c r="BI26" s="79"/>
      <c r="BJ26" s="79"/>
      <c r="BK26" s="79"/>
      <c r="BL26" s="79"/>
      <c r="BM26" s="79"/>
      <c r="BN26" s="79"/>
      <c r="BO26" s="79"/>
      <c r="BP26" s="52"/>
      <c r="BQ26" s="52"/>
      <c r="BR26" s="52"/>
      <c r="BS26" s="79"/>
      <c r="BT26" s="78"/>
    </row>
    <row r="27" spans="1:72" ht="21.15" customHeight="1" x14ac:dyDescent="0.55000000000000004">
      <c r="A27" s="78"/>
      <c r="B27" s="79"/>
      <c r="C27" s="81" t="s">
        <v>66</v>
      </c>
      <c r="D27" s="79"/>
      <c r="E27" s="79"/>
      <c r="F27" s="79"/>
      <c r="G27" s="79"/>
      <c r="H27" s="79"/>
      <c r="I27" s="79"/>
      <c r="J27" s="79"/>
      <c r="K27" s="79"/>
      <c r="L27" s="79"/>
      <c r="M27" s="79"/>
      <c r="N27" s="79"/>
      <c r="O27" s="84"/>
      <c r="P27" s="84"/>
      <c r="Q27" s="84"/>
      <c r="R27" s="84"/>
      <c r="S27" s="82">
        <v>42</v>
      </c>
      <c r="T27" s="142" t="str">
        <f>VLOOKUP(S27,市町村データ!A2:P106,MATCH(手順書_丁目_人口!$G$63, 市町村データ!A1:P1, 0),FALSE)</f>
        <v>西堀2</v>
      </c>
      <c r="U27" s="154"/>
      <c r="V27" s="159"/>
      <c r="W27" s="82">
        <v>43</v>
      </c>
      <c r="X27" s="142" t="str">
        <f>VLOOKUP(W27,市町村データ!A2:P106,MATCH(手順書_丁目_人口!$G$63, 市町村データ!A1:P1, 0),FALSE)</f>
        <v>西堀1</v>
      </c>
      <c r="Y27" s="154"/>
      <c r="Z27" s="159"/>
      <c r="AA27" s="82">
        <v>44</v>
      </c>
      <c r="AB27" s="142" t="str">
        <f>VLOOKUP(AA27,市町村データ!A2:P106,MATCH(手順書_丁目_人口!$G$63, 市町村データ!A1:P1, 0),FALSE)</f>
        <v>石神5</v>
      </c>
      <c r="AC27" s="154"/>
      <c r="AD27" s="159"/>
      <c r="AE27" s="82">
        <v>45</v>
      </c>
      <c r="AF27" s="142" t="str">
        <f>VLOOKUP(AE27,市町村データ!A2:P106,MATCH(手順書_丁目_人口!$G$63, 市町村データ!A1:P1, 0),FALSE)</f>
        <v>堀ノ内3</v>
      </c>
      <c r="AG27" s="154"/>
      <c r="AH27" s="159"/>
      <c r="AI27" s="82">
        <v>46</v>
      </c>
      <c r="AJ27" s="142" t="str">
        <f>VLOOKUP(AI27,市町村データ!A2:P106,MATCH(手順書_丁目_人口!$G$63, 市町村データ!A1:P1, 0),FALSE)</f>
        <v>堀ノ内2</v>
      </c>
      <c r="AK27" s="154"/>
      <c r="AL27" s="159"/>
      <c r="AM27" s="82">
        <v>47</v>
      </c>
      <c r="AN27" s="142" t="str">
        <f>VLOOKUP(AM27,市町村データ!A2:P106,MATCH(手順書_丁目_人口!$G$63, 市町村データ!A1:P1, 0),FALSE)</f>
        <v>馬場4</v>
      </c>
      <c r="AO27" s="154"/>
      <c r="AP27" s="159"/>
      <c r="AQ27" s="82">
        <v>48</v>
      </c>
      <c r="AR27" s="142" t="str">
        <f>VLOOKUP(AQ27,市町村データ!A2:P106,MATCH(手順書_丁目_人口!$G$63, 市町村データ!A1:P1, 0),FALSE)</f>
        <v>馬場3</v>
      </c>
      <c r="AS27" s="154"/>
      <c r="AT27" s="159"/>
      <c r="AU27" s="82">
        <v>49</v>
      </c>
      <c r="AV27" s="142" t="str">
        <f>VLOOKUP(AU27,市町村データ!A2:P106,MATCH(手順書_丁目_人口!$G$63, 市町村データ!A1:P1, 0),FALSE)</f>
        <v>栄1</v>
      </c>
      <c r="AW27" s="154"/>
      <c r="AX27" s="159"/>
      <c r="AY27" s="82">
        <v>50</v>
      </c>
      <c r="AZ27" s="142" t="str">
        <f>VLOOKUP(AY27,市町村データ!A2:P106,MATCH(手順書_丁目_人口!$G$63, 市町村データ!A1:P1, 0),FALSE)</f>
        <v>栄2</v>
      </c>
      <c r="BA27" s="154"/>
      <c r="BB27" s="159"/>
      <c r="BC27" s="82">
        <v>51</v>
      </c>
      <c r="BD27" s="142" t="str">
        <f>VLOOKUP(BC27,市町村データ!A2:P106,MATCH(手順書_丁目_人口!$G$63, 市町村データ!A1:P1, 0),FALSE)</f>
        <v>栄3</v>
      </c>
      <c r="BE27" s="154"/>
      <c r="BF27" s="159"/>
      <c r="BG27" s="82">
        <v>52</v>
      </c>
      <c r="BH27" s="142" t="str">
        <f>VLOOKUP(BG27,市町村データ!A2:P106,MATCH(手順書_丁目_人口!$G$63, 市町村データ!A1:P1, 0),FALSE)</f>
        <v>栄4</v>
      </c>
      <c r="BI27" s="154"/>
      <c r="BJ27" s="159"/>
      <c r="BK27" s="82">
        <v>53</v>
      </c>
      <c r="BL27" s="142" t="str">
        <f>VLOOKUP(BK27,市町村データ!A2:P106,MATCH(手順書_丁目_人口!$G$63, 市町村データ!A1:P1, 0),FALSE)</f>
        <v>栄5</v>
      </c>
      <c r="BM27" s="154"/>
      <c r="BN27" s="159"/>
      <c r="BO27" s="91"/>
      <c r="BP27" s="79"/>
      <c r="BQ27" s="79"/>
      <c r="BR27" s="79"/>
      <c r="BS27" s="79"/>
      <c r="BT27" s="78"/>
    </row>
    <row r="28" spans="1:72" ht="21.15" customHeight="1" x14ac:dyDescent="0.55000000000000004">
      <c r="A28" s="78"/>
      <c r="B28" s="79"/>
      <c r="C28" s="79"/>
      <c r="D28" s="79"/>
      <c r="E28" s="79"/>
      <c r="F28" s="79"/>
      <c r="G28" s="79"/>
      <c r="H28" s="79"/>
      <c r="I28" s="79"/>
      <c r="J28" s="79"/>
      <c r="K28" s="79"/>
      <c r="L28" s="79"/>
      <c r="M28" s="79"/>
      <c r="N28" s="79"/>
      <c r="O28" s="79"/>
      <c r="P28" s="79"/>
      <c r="Q28" s="79"/>
      <c r="R28" s="79"/>
      <c r="S28" s="282">
        <f>VLOOKUP(S27,市町村データ!A2:P106,MATCH(手順書_丁目_人口!$F$64, 市町村データ!A1:P1, 0),FALSE)</f>
        <v>109.8</v>
      </c>
      <c r="T28" s="156"/>
      <c r="U28" s="156"/>
      <c r="V28" s="158"/>
      <c r="W28" s="238">
        <f>VLOOKUP(W27,市町村データ!A2:P106,MATCH(手順書_丁目_人口!$F$64, 市町村データ!A1:P1, 0),FALSE)</f>
        <v>88.8</v>
      </c>
      <c r="X28" s="156"/>
      <c r="Y28" s="156"/>
      <c r="Z28" s="158"/>
      <c r="AA28" s="238">
        <f>VLOOKUP(AA27,市町村データ!A2:P106,MATCH(手順書_丁目_人口!$F$64, 市町村データ!A1:P1, 0),FALSE)</f>
        <v>169.4</v>
      </c>
      <c r="AB28" s="156"/>
      <c r="AC28" s="156"/>
      <c r="AD28" s="158"/>
      <c r="AE28" s="255">
        <f>VLOOKUP(AE27,市町村データ!A2:P106,MATCH(手順書_丁目_人口!$F$64, 市町村データ!A1:P1, 0),FALSE)</f>
        <v>9.1999999999999993</v>
      </c>
      <c r="AF28" s="156"/>
      <c r="AG28" s="156"/>
      <c r="AH28" s="158"/>
      <c r="AI28" s="285">
        <f>VLOOKUP(AI27,市町村データ!A2:P106,MATCH(手順書_丁目_人口!$F$64, 市町村データ!A1:P1, 0),FALSE)</f>
        <v>40.9</v>
      </c>
      <c r="AJ28" s="156"/>
      <c r="AK28" s="156"/>
      <c r="AL28" s="158"/>
      <c r="AM28" s="238">
        <f>VLOOKUP(AM27,市町村データ!A2:P106,MATCH(手順書_丁目_人口!$F$64, 市町村データ!A1:P1, 0),FALSE)</f>
        <v>35.200000000000003</v>
      </c>
      <c r="AN28" s="156"/>
      <c r="AO28" s="156"/>
      <c r="AP28" s="158"/>
      <c r="AQ28" s="238">
        <f>VLOOKUP(AQ27,市町村データ!A2:P106,MATCH(手順書_丁目_人口!$F$64, 市町村データ!A1:P1, 0),FALSE)</f>
        <v>53.3</v>
      </c>
      <c r="AR28" s="156"/>
      <c r="AS28" s="156"/>
      <c r="AT28" s="158"/>
      <c r="AU28" s="285">
        <f>VLOOKUP(AU27,市町村データ!A2:P106,MATCH(手順書_丁目_人口!$F$64, 市町村データ!A1:P1, 0),FALSE)</f>
        <v>84.9</v>
      </c>
      <c r="AV28" s="156"/>
      <c r="AW28" s="156"/>
      <c r="AX28" s="158"/>
      <c r="AY28" s="238">
        <f>VLOOKUP(AY27,市町村データ!A2:P106,MATCH(手順書_丁目_人口!$F$64, 市町村データ!A1:P1, 0),FALSE)</f>
        <v>148.6</v>
      </c>
      <c r="AZ28" s="156"/>
      <c r="BA28" s="156"/>
      <c r="BB28" s="158"/>
      <c r="BC28" s="238">
        <f>VLOOKUP(BC27,市町村データ!A2:P106,MATCH(手順書_丁目_人口!$F$64, 市町村データ!A1:P1, 0),FALSE)</f>
        <v>141.5</v>
      </c>
      <c r="BD28" s="156"/>
      <c r="BE28" s="156"/>
      <c r="BF28" s="158"/>
      <c r="BG28" s="238">
        <f>VLOOKUP(BG27,市町村データ!A2:P106,MATCH(手順書_丁目_人口!$F$64, 市町村データ!A1:P1, 0),FALSE)</f>
        <v>135.9</v>
      </c>
      <c r="BH28" s="156"/>
      <c r="BI28" s="156"/>
      <c r="BJ28" s="158"/>
      <c r="BK28" s="282">
        <f>VLOOKUP(BK27,市町村データ!A2:P106,MATCH(手順書_丁目_人口!$F$64, 市町村データ!A1:P1, 0),FALSE)</f>
        <v>160.69999999999999</v>
      </c>
      <c r="BL28" s="156"/>
      <c r="BM28" s="156"/>
      <c r="BN28" s="158"/>
      <c r="BO28" s="92"/>
      <c r="BP28" s="50"/>
      <c r="BQ28" s="50"/>
      <c r="BR28" s="50"/>
      <c r="BS28" s="79"/>
      <c r="BT28" s="78"/>
    </row>
    <row r="29" spans="1:72" ht="21.15" customHeight="1" x14ac:dyDescent="0.55000000000000004">
      <c r="A29" s="78"/>
      <c r="B29" s="79"/>
      <c r="C29" s="79"/>
      <c r="D29" s="79"/>
      <c r="E29" s="79"/>
      <c r="F29" s="79"/>
      <c r="G29" s="79"/>
      <c r="H29" s="79"/>
      <c r="I29" s="79"/>
      <c r="J29" s="79"/>
      <c r="K29" s="79"/>
      <c r="L29" s="79"/>
      <c r="M29" s="79"/>
      <c r="N29" s="79"/>
      <c r="O29" s="79"/>
      <c r="P29" s="79"/>
      <c r="Q29" s="79"/>
      <c r="R29" s="79"/>
      <c r="S29" s="280">
        <f>VLOOKUP(S27,市町村データ!A2:P106,MATCH(手順書_丁目_人口!$F$65, 市町村データ!A1:P1, 0),FALSE)</f>
        <v>4393</v>
      </c>
      <c r="T29" s="156"/>
      <c r="U29" s="156"/>
      <c r="V29" s="158"/>
      <c r="W29" s="243">
        <f>VLOOKUP(W27,市町村データ!A2:P106,MATCH(手順書_丁目_人口!$F$65, 市町村データ!A1:P1, 0),FALSE)</f>
        <v>1864</v>
      </c>
      <c r="X29" s="156"/>
      <c r="Y29" s="156"/>
      <c r="Z29" s="158"/>
      <c r="AA29" s="243">
        <f>VLOOKUP(AA27,市町村データ!A2:P106,MATCH(手順書_丁目_人口!$F$65, 市町村データ!A1:P1, 0),FALSE)</f>
        <v>2033</v>
      </c>
      <c r="AB29" s="156"/>
      <c r="AC29" s="156"/>
      <c r="AD29" s="158"/>
      <c r="AE29" s="254">
        <f>VLOOKUP(AE27,市町村データ!A2:P106,MATCH(手順書_丁目_人口!$F$65, 市町村データ!A1:P1, 0),FALSE)</f>
        <v>291</v>
      </c>
      <c r="AF29" s="156"/>
      <c r="AG29" s="156"/>
      <c r="AH29" s="158"/>
      <c r="AI29" s="283">
        <f>VLOOKUP(AI27,市町村データ!A2:P106,MATCH(手順書_丁目_人口!$F$65, 市町村データ!A1:P1, 0),FALSE)</f>
        <v>768</v>
      </c>
      <c r="AJ29" s="156"/>
      <c r="AK29" s="156"/>
      <c r="AL29" s="158"/>
      <c r="AM29" s="243">
        <f>VLOOKUP(AM27,市町村データ!A2:P106,MATCH(手順書_丁目_人口!$F$65, 市町村データ!A1:P1, 0),FALSE)</f>
        <v>1446</v>
      </c>
      <c r="AN29" s="156"/>
      <c r="AO29" s="156"/>
      <c r="AP29" s="158"/>
      <c r="AQ29" s="243">
        <f>VLOOKUP(AQ27,市町村データ!A2:P106,MATCH(手順書_丁目_人口!$F$65, 市町村データ!A1:P1, 0),FALSE)</f>
        <v>1390</v>
      </c>
      <c r="AR29" s="156"/>
      <c r="AS29" s="156"/>
      <c r="AT29" s="158"/>
      <c r="AU29" s="283">
        <f>VLOOKUP(AU27,市町村データ!A2:P106,MATCH(手順書_丁目_人口!$F$65, 市町村データ!A1:P1, 0),FALSE)</f>
        <v>849</v>
      </c>
      <c r="AV29" s="156"/>
      <c r="AW29" s="156"/>
      <c r="AX29" s="158"/>
      <c r="AY29" s="243">
        <f>VLOOKUP(AY27,市町村データ!A2:P106,MATCH(手順書_丁目_人口!$F$65, 市町村データ!A1:P1, 0),FALSE)</f>
        <v>2229</v>
      </c>
      <c r="AZ29" s="156"/>
      <c r="BA29" s="156"/>
      <c r="BB29" s="158"/>
      <c r="BC29" s="243">
        <f>VLOOKUP(BC27,市町村データ!A2:P106,MATCH(手順書_丁目_人口!$F$65, 市町村データ!A1:P1, 0),FALSE)</f>
        <v>1839</v>
      </c>
      <c r="BD29" s="156"/>
      <c r="BE29" s="156"/>
      <c r="BF29" s="158"/>
      <c r="BG29" s="243">
        <f>VLOOKUP(BG27,市町村データ!A2:P106,MATCH(手順書_丁目_人口!$F$65, 市町村データ!A1:P1, 0),FALSE)</f>
        <v>1835</v>
      </c>
      <c r="BH29" s="156"/>
      <c r="BI29" s="156"/>
      <c r="BJ29" s="158"/>
      <c r="BK29" s="280">
        <f>VLOOKUP(BK27,市町村データ!A2:P106,MATCH(手順書_丁目_人口!$F$65, 市町村データ!A1:P1, 0),FALSE)</f>
        <v>2651</v>
      </c>
      <c r="BL29" s="156"/>
      <c r="BM29" s="156"/>
      <c r="BN29" s="158"/>
      <c r="BO29" s="93"/>
      <c r="BP29" s="51"/>
      <c r="BQ29" s="51"/>
      <c r="BR29" s="51"/>
      <c r="BS29" s="79"/>
      <c r="BT29" s="78"/>
    </row>
    <row r="30" spans="1:72" ht="21.15" customHeight="1" thickBot="1" x14ac:dyDescent="0.6">
      <c r="A30" s="78"/>
      <c r="B30" s="79"/>
      <c r="C30" s="79"/>
      <c r="D30" s="79"/>
      <c r="E30" s="79"/>
      <c r="F30" s="79"/>
      <c r="G30" s="79"/>
      <c r="H30" s="79"/>
      <c r="I30" s="79"/>
      <c r="J30" s="79"/>
      <c r="K30" s="79"/>
      <c r="L30" s="79"/>
      <c r="M30" s="79"/>
      <c r="N30" s="79"/>
      <c r="O30" s="79"/>
      <c r="P30" s="79"/>
      <c r="Q30" s="79"/>
      <c r="R30" s="79"/>
      <c r="S30" s="281">
        <f>VLOOKUP(S27,市町村データ!A2:P106,MATCH(手順書_丁目_人口!$F$66, 市町村データ!A1:P1, 0),FALSE)</f>
        <v>40</v>
      </c>
      <c r="T30" s="153"/>
      <c r="U30" s="153"/>
      <c r="V30" s="240"/>
      <c r="W30" s="241">
        <f>VLOOKUP(W27,市町村データ!A2:P106,MATCH(手順書_丁目_人口!$F$66, 市町村データ!A1:P1, 0),FALSE)</f>
        <v>21</v>
      </c>
      <c r="X30" s="153"/>
      <c r="Y30" s="153"/>
      <c r="Z30" s="240"/>
      <c r="AA30" s="241">
        <f>VLOOKUP(AA27,市町村データ!A2:P106,MATCH(手順書_丁目_人口!$F$66, 市町村データ!A1:P1, 0),FALSE)</f>
        <v>12</v>
      </c>
      <c r="AB30" s="153"/>
      <c r="AC30" s="153"/>
      <c r="AD30" s="240"/>
      <c r="AE30" s="253">
        <f>VLOOKUP(AE27,市町村データ!A2:P106,MATCH(手順書_丁目_人口!$F$66, 市町村データ!A1:P1, 0),FALSE)</f>
        <v>31.7</v>
      </c>
      <c r="AF30" s="153"/>
      <c r="AG30" s="153"/>
      <c r="AH30" s="240"/>
      <c r="AI30" s="284">
        <f>VLOOKUP(AI27,市町村データ!A2:P106,MATCH(手順書_丁目_人口!$F$66, 市町村データ!A1:P1, 0),FALSE)</f>
        <v>18.8</v>
      </c>
      <c r="AJ30" s="153"/>
      <c r="AK30" s="153"/>
      <c r="AL30" s="240"/>
      <c r="AM30" s="241">
        <f>VLOOKUP(AM27,市町村データ!A2:P106,MATCH(手順書_丁目_人口!$F$66, 市町村データ!A1:P1, 0),FALSE)</f>
        <v>41.1</v>
      </c>
      <c r="AN30" s="153"/>
      <c r="AO30" s="153"/>
      <c r="AP30" s="240"/>
      <c r="AQ30" s="241">
        <f>VLOOKUP(AQ27,市町村データ!A2:P106,MATCH(手順書_丁目_人口!$F$66, 市町村データ!A1:P1, 0),FALSE)</f>
        <v>26.1</v>
      </c>
      <c r="AR30" s="153"/>
      <c r="AS30" s="153"/>
      <c r="AT30" s="240"/>
      <c r="AU30" s="284">
        <f>VLOOKUP(AU27,市町村データ!A2:P106,MATCH(手順書_丁目_人口!$F$66, 市町村データ!A1:P1, 0),FALSE)</f>
        <v>10</v>
      </c>
      <c r="AV30" s="153"/>
      <c r="AW30" s="153"/>
      <c r="AX30" s="240"/>
      <c r="AY30" s="241">
        <f>VLOOKUP(AY27,市町村データ!A2:P106,MATCH(手順書_丁目_人口!$F$66, 市町村データ!A1:P1, 0),FALSE)</f>
        <v>15</v>
      </c>
      <c r="AZ30" s="153"/>
      <c r="BA30" s="153"/>
      <c r="BB30" s="240"/>
      <c r="BC30" s="241">
        <f>VLOOKUP(BC27,市町村データ!A2:P106,MATCH(手順書_丁目_人口!$F$66, 市町村データ!A1:P1, 0),FALSE)</f>
        <v>13</v>
      </c>
      <c r="BD30" s="153"/>
      <c r="BE30" s="153"/>
      <c r="BF30" s="240"/>
      <c r="BG30" s="241">
        <f>VLOOKUP(BG27,市町村データ!A2:P106,MATCH(手順書_丁目_人口!$F$66, 市町村データ!A1:P1, 0),FALSE)</f>
        <v>13.5</v>
      </c>
      <c r="BH30" s="153"/>
      <c r="BI30" s="153"/>
      <c r="BJ30" s="240"/>
      <c r="BK30" s="281">
        <f>VLOOKUP(BK27,市町村データ!A2:P106,MATCH(手順書_丁目_人口!$F$66, 市町村データ!A1:P1, 0),FALSE)</f>
        <v>16.5</v>
      </c>
      <c r="BL30" s="153"/>
      <c r="BM30" s="153"/>
      <c r="BN30" s="240"/>
      <c r="BO30" s="85"/>
      <c r="BP30" s="52"/>
      <c r="BQ30" s="52"/>
      <c r="BR30" s="52"/>
      <c r="BS30" s="79"/>
      <c r="BT30" s="78"/>
    </row>
    <row r="31" spans="1:72" ht="21.15" customHeight="1" x14ac:dyDescent="0.55000000000000004">
      <c r="A31" s="78"/>
      <c r="B31" s="79"/>
      <c r="C31" s="81" t="s">
        <v>67</v>
      </c>
      <c r="D31" s="79"/>
      <c r="E31" s="79"/>
      <c r="F31" s="79"/>
      <c r="G31" s="82">
        <v>54</v>
      </c>
      <c r="H31" s="142" t="str">
        <f>VLOOKUP(G31,市町村データ!A2:P106,MATCH(手順書_丁目_人口!$G$63, 市町村データ!A1:P1, 0),FALSE)</f>
        <v>新堀3</v>
      </c>
      <c r="I31" s="154"/>
      <c r="J31" s="159"/>
      <c r="K31" s="82">
        <v>55</v>
      </c>
      <c r="L31" s="142" t="str">
        <f>VLOOKUP(K31,市町村データ!A2:P106,MATCH(手順書_丁目_人口!$G$63, 市町村データ!A1:P1, 0),FALSE)</f>
        <v>新堀2</v>
      </c>
      <c r="M31" s="154"/>
      <c r="N31" s="159"/>
      <c r="O31" s="82">
        <v>56</v>
      </c>
      <c r="P31" s="142" t="str">
        <f>VLOOKUP(O31,市町村データ!A2:P106,MATCH(手順書_丁目_人口!$G$63, 市町村データ!A1:P1, 0),FALSE)</f>
        <v>新堀1</v>
      </c>
      <c r="Q31" s="154"/>
      <c r="R31" s="159"/>
      <c r="S31" s="82">
        <v>57</v>
      </c>
      <c r="T31" s="142" t="str">
        <f>VLOOKUP(S31,市町村データ!A2:P106,MATCH(手順書_丁目_人口!$G$63, 市町村データ!A1:P1, 0),FALSE)</f>
        <v>西堀3</v>
      </c>
      <c r="U31" s="154"/>
      <c r="V31" s="159"/>
      <c r="W31" s="96"/>
      <c r="X31" s="84"/>
      <c r="Y31" s="84"/>
      <c r="Z31" s="84"/>
      <c r="AA31" s="82">
        <v>58</v>
      </c>
      <c r="AB31" s="142" t="str">
        <f>VLOOKUP(AA31,市町村データ!A2:P106,MATCH(手順書_丁目_人口!$G$63, 市町村データ!A1:P1, 0),FALSE)</f>
        <v>石神4</v>
      </c>
      <c r="AC31" s="154"/>
      <c r="AD31" s="159"/>
      <c r="AE31" s="82">
        <v>59</v>
      </c>
      <c r="AF31" s="142" t="str">
        <f>VLOOKUP(AE31,市町村データ!A2:P106,MATCH(手順書_丁目_人口!$G$63, 市町村データ!A1:P1, 0),FALSE)</f>
        <v>石神1</v>
      </c>
      <c r="AG31" s="154"/>
      <c r="AH31" s="159"/>
      <c r="AI31" s="82">
        <v>60</v>
      </c>
      <c r="AJ31" s="142" t="str">
        <f>VLOOKUP(AI31,市町村データ!A2:P106,MATCH(手順書_丁目_人口!$G$63, 市町村データ!A1:P1, 0),FALSE)</f>
        <v>道場2</v>
      </c>
      <c r="AK31" s="154"/>
      <c r="AL31" s="159"/>
      <c r="AM31" s="82">
        <v>61</v>
      </c>
      <c r="AN31" s="142" t="str">
        <f>VLOOKUP(AM31,市町村データ!A2:P106,MATCH(手順書_丁目_人口!$G$63, 市町村データ!A1:P1, 0),FALSE)</f>
        <v>道場1</v>
      </c>
      <c r="AO31" s="154"/>
      <c r="AP31" s="159"/>
      <c r="AQ31" s="97"/>
      <c r="AR31" s="84"/>
      <c r="AS31" s="84"/>
      <c r="AT31" s="84"/>
      <c r="AU31" s="82">
        <v>62</v>
      </c>
      <c r="AV31" s="142" t="str">
        <f>VLOOKUP(AU31,市町村データ!A2:P106,MATCH(手順書_丁目_人口!$G$63, 市町村データ!A1:P1, 0),FALSE)</f>
        <v>池田1</v>
      </c>
      <c r="AW31" s="154"/>
      <c r="AX31" s="159"/>
      <c r="AY31" s="82">
        <v>63</v>
      </c>
      <c r="AZ31" s="142" t="str">
        <f>VLOOKUP(AY31,市町村データ!A2:P106,MATCH(手順書_丁目_人口!$G$63, 市町村データ!A1:P1, 0),FALSE)</f>
        <v>池田2</v>
      </c>
      <c r="BA31" s="154"/>
      <c r="BB31" s="159"/>
      <c r="BC31" s="82">
        <v>64</v>
      </c>
      <c r="BD31" s="142" t="str">
        <f>VLOOKUP(BC31,市町村データ!A2:P106,MATCH(手順書_丁目_人口!$G$63, 市町村データ!A1:P1, 0),FALSE)</f>
        <v>池田3</v>
      </c>
      <c r="BE31" s="154"/>
      <c r="BF31" s="159"/>
      <c r="BG31" s="82">
        <v>65</v>
      </c>
      <c r="BH31" s="142" t="str">
        <f>VLOOKUP(BG31,市町村データ!A2:P106,MATCH(手順書_丁目_人口!$G$63, 市町村データ!A1:P1, 0),FALSE)</f>
        <v>池田4</v>
      </c>
      <c r="BI31" s="154"/>
      <c r="BJ31" s="159"/>
      <c r="BK31" s="82">
        <v>66</v>
      </c>
      <c r="BL31" s="142" t="str">
        <f>VLOOKUP(BK31,市町村データ!A2:P106,MATCH(手順書_丁目_人口!$G$63, 市町村データ!A1:P1, 0),FALSE)</f>
        <v>池田5</v>
      </c>
      <c r="BM31" s="154"/>
      <c r="BN31" s="159"/>
      <c r="BO31" s="91"/>
      <c r="BP31" s="79"/>
      <c r="BQ31" s="79"/>
      <c r="BR31" s="79"/>
      <c r="BS31" s="79"/>
      <c r="BT31" s="78"/>
    </row>
    <row r="32" spans="1:72" ht="21.15" customHeight="1" x14ac:dyDescent="0.55000000000000004">
      <c r="A32" s="78"/>
      <c r="B32" s="79"/>
      <c r="C32" s="79"/>
      <c r="D32" s="79"/>
      <c r="E32" s="79"/>
      <c r="F32" s="79"/>
      <c r="G32" s="282">
        <f>VLOOKUP(G31,市町村データ!A2:P106,MATCH(手順書_丁目_人口!$F$64, 市町村データ!A1:P1, 0),FALSE)</f>
        <v>158.69999999999999</v>
      </c>
      <c r="H32" s="156"/>
      <c r="I32" s="156"/>
      <c r="J32" s="158"/>
      <c r="K32" s="282">
        <f>VLOOKUP(K31,市町村データ!A2:P106,MATCH(手順書_丁目_人口!$F$64, 市町村データ!A1:P1, 0),FALSE)</f>
        <v>133</v>
      </c>
      <c r="L32" s="156"/>
      <c r="M32" s="156"/>
      <c r="N32" s="158"/>
      <c r="O32" s="282">
        <f>VLOOKUP(O31,市町村データ!A2:P106,MATCH(手順書_丁目_人口!$F$64, 市町村データ!A1:P1, 0),FALSE)</f>
        <v>118.2</v>
      </c>
      <c r="P32" s="156"/>
      <c r="Q32" s="156"/>
      <c r="R32" s="158"/>
      <c r="S32" s="259">
        <f>VLOOKUP(S31,市町村データ!A2:P106,MATCH(手順書_丁目_人口!$F$64, 市町村データ!A1:P1, 0),FALSE)</f>
        <v>2.7</v>
      </c>
      <c r="T32" s="156"/>
      <c r="U32" s="156"/>
      <c r="V32" s="158"/>
      <c r="W32" s="85"/>
      <c r="X32" s="79"/>
      <c r="Y32" s="79"/>
      <c r="Z32" s="79"/>
      <c r="AA32" s="238">
        <f>VLOOKUP(AA31,市町村データ!A2:P106,MATCH(手順書_丁目_人口!$F$64, 市町村データ!A1:P1, 0),FALSE)</f>
        <v>93.7</v>
      </c>
      <c r="AB32" s="156"/>
      <c r="AC32" s="156"/>
      <c r="AD32" s="158"/>
      <c r="AE32" s="238">
        <f>VLOOKUP(AE31,市町村データ!A2:P106,MATCH(手順書_丁目_人口!$F$64, 市町村データ!A1:P1, 0),FALSE)</f>
        <v>81.8</v>
      </c>
      <c r="AF32" s="156"/>
      <c r="AG32" s="156"/>
      <c r="AH32" s="158"/>
      <c r="AI32" s="288">
        <f>VLOOKUP(AI31,市町村データ!A2:P106,MATCH(手順書_丁目_人口!$F$64, 市町村データ!A1:P1, 0),FALSE)</f>
        <v>22.9</v>
      </c>
      <c r="AJ32" s="156"/>
      <c r="AK32" s="156"/>
      <c r="AL32" s="158"/>
      <c r="AM32" s="245">
        <f>VLOOKUP(AM31,市町村データ!A2:P106,MATCH(手順書_丁目_人口!$F$64, 市町村データ!A1:P1, 0),FALSE)</f>
        <v>61</v>
      </c>
      <c r="AN32" s="156"/>
      <c r="AO32" s="156"/>
      <c r="AP32" s="158"/>
      <c r="AQ32" s="92"/>
      <c r="AR32" s="87"/>
      <c r="AS32" s="87"/>
      <c r="AT32" s="87"/>
      <c r="AU32" s="260">
        <f>VLOOKUP(AU31,市町村データ!A2:P106,MATCH(手順書_丁目_人口!$F$64, 市町村データ!A1:P1, 0),FALSE)</f>
        <v>1.2</v>
      </c>
      <c r="AV32" s="156"/>
      <c r="AW32" s="156"/>
      <c r="AX32" s="158"/>
      <c r="AY32" s="261">
        <f>VLOOKUP(AY31,市町村データ!A2:P106,MATCH(手順書_丁目_人口!$F$64, 市町村データ!A1:P1, 0),FALSE)</f>
        <v>19</v>
      </c>
      <c r="AZ32" s="156"/>
      <c r="BA32" s="156"/>
      <c r="BB32" s="158"/>
      <c r="BC32" s="288">
        <f>VLOOKUP(BC31,市町村データ!A2:P106,MATCH(手順書_丁目_人口!$F$64, 市町村データ!A1:P1, 0),FALSE)</f>
        <v>49.9</v>
      </c>
      <c r="BD32" s="156"/>
      <c r="BE32" s="156"/>
      <c r="BF32" s="158"/>
      <c r="BG32" s="245">
        <f>VLOOKUP(BG31,市町村データ!A2:P106,MATCH(手順書_丁目_人口!$F$64, 市町村データ!A1:P1, 0),FALSE)</f>
        <v>83.2</v>
      </c>
      <c r="BH32" s="156"/>
      <c r="BI32" s="156"/>
      <c r="BJ32" s="158"/>
      <c r="BK32" s="245">
        <f>VLOOKUP(BK31,市町村データ!A2:P106,MATCH(手順書_丁目_人口!$F$64, 市町村データ!A1:P1, 0),FALSE)</f>
        <v>147.30000000000001</v>
      </c>
      <c r="BL32" s="156"/>
      <c r="BM32" s="156"/>
      <c r="BN32" s="158"/>
      <c r="BO32" s="92"/>
      <c r="BP32" s="50"/>
      <c r="BQ32" s="50"/>
      <c r="BR32" s="50"/>
      <c r="BS32" s="79"/>
      <c r="BT32" s="78"/>
    </row>
    <row r="33" spans="1:72" ht="21.15" customHeight="1" x14ac:dyDescent="0.55000000000000004">
      <c r="A33" s="78"/>
      <c r="B33" s="79"/>
      <c r="C33" s="79"/>
      <c r="D33" s="79"/>
      <c r="E33" s="79"/>
      <c r="F33" s="79"/>
      <c r="G33" s="280">
        <f>VLOOKUP(G31,市町村データ!A2:P106,MATCH(手順書_丁目_人口!$F$65, 市町村データ!A1:P1, 0),FALSE)</f>
        <v>3173</v>
      </c>
      <c r="H33" s="156"/>
      <c r="I33" s="156"/>
      <c r="J33" s="158"/>
      <c r="K33" s="280">
        <f>VLOOKUP(K31,市町村データ!A2:P106,MATCH(手順書_丁目_人口!$F$65, 市町村データ!A1:P1, 0),FALSE)</f>
        <v>3856</v>
      </c>
      <c r="L33" s="156"/>
      <c r="M33" s="156"/>
      <c r="N33" s="158"/>
      <c r="O33" s="280">
        <f>VLOOKUP(O31,市町村データ!A2:P106,MATCH(手順書_丁目_人口!$F$65, 市町村データ!A1:P1, 0),FALSE)</f>
        <v>3429</v>
      </c>
      <c r="P33" s="156"/>
      <c r="Q33" s="156"/>
      <c r="R33" s="158"/>
      <c r="S33" s="264">
        <f>VLOOKUP(S31,市町村データ!A2:P106,MATCH(手順書_丁目_人口!$F$65, 市町村データ!A1:P1, 0),FALSE)</f>
        <v>119</v>
      </c>
      <c r="T33" s="156"/>
      <c r="U33" s="156"/>
      <c r="V33" s="158"/>
      <c r="W33" s="85"/>
      <c r="X33" s="79"/>
      <c r="Y33" s="79"/>
      <c r="Z33" s="79"/>
      <c r="AA33" s="243">
        <f>VLOOKUP(AA31,市町村データ!A2:P106,MATCH(手順書_丁目_人口!$F$65, 市町村データ!A1:P1, 0),FALSE)</f>
        <v>1686</v>
      </c>
      <c r="AB33" s="156"/>
      <c r="AC33" s="156"/>
      <c r="AD33" s="158"/>
      <c r="AE33" s="243">
        <f>VLOOKUP(AE31,市町村データ!A2:P106,MATCH(手順書_丁目_人口!$F$65, 市町村データ!A1:P1, 0),FALSE)</f>
        <v>1529</v>
      </c>
      <c r="AF33" s="156"/>
      <c r="AG33" s="156"/>
      <c r="AH33" s="158"/>
      <c r="AI33" s="287">
        <f>VLOOKUP(AI31,市町村データ!A2:P106,MATCH(手順書_丁目_人口!$F$65, 市町村データ!A1:P1, 0),FALSE)</f>
        <v>591</v>
      </c>
      <c r="AJ33" s="156"/>
      <c r="AK33" s="156"/>
      <c r="AL33" s="158"/>
      <c r="AM33" s="249">
        <f>VLOOKUP(AM31,市町村データ!A2:P106,MATCH(手順書_丁目_人口!$F$65, 市町村データ!A1:P1, 0),FALSE)</f>
        <v>1024</v>
      </c>
      <c r="AN33" s="156"/>
      <c r="AO33" s="156"/>
      <c r="AP33" s="158"/>
      <c r="AQ33" s="93"/>
      <c r="AR33" s="89"/>
      <c r="AS33" s="89"/>
      <c r="AT33" s="89"/>
      <c r="AU33" s="262">
        <f>VLOOKUP(AU31,市町村データ!A2:P106,MATCH(手順書_丁目_人口!$F$65, 市町村データ!A1:P1, 0),FALSE)</f>
        <v>12</v>
      </c>
      <c r="AV33" s="156"/>
      <c r="AW33" s="156"/>
      <c r="AX33" s="158"/>
      <c r="AY33" s="263">
        <f>VLOOKUP(AY31,市町村データ!A2:P106,MATCH(手順書_丁目_人口!$F$65, 市町村データ!A1:P1, 0),FALSE)</f>
        <v>226</v>
      </c>
      <c r="AZ33" s="156"/>
      <c r="BA33" s="156"/>
      <c r="BB33" s="158"/>
      <c r="BC33" s="287">
        <f>VLOOKUP(BC31,市町村データ!A2:P106,MATCH(手順書_丁目_人口!$F$65, 市町村データ!A1:P1, 0),FALSE)</f>
        <v>599</v>
      </c>
      <c r="BD33" s="156"/>
      <c r="BE33" s="156"/>
      <c r="BF33" s="158"/>
      <c r="BG33" s="249">
        <f>VLOOKUP(BG31,市町村データ!A2:P106,MATCH(手順書_丁目_人口!$F$65, 市町村データ!A1:P1, 0),FALSE)</f>
        <v>1123</v>
      </c>
      <c r="BH33" s="156"/>
      <c r="BI33" s="156"/>
      <c r="BJ33" s="158"/>
      <c r="BK33" s="249">
        <f>VLOOKUP(BK31,市町村データ!A2:P106,MATCH(手順書_丁目_人口!$F$65, 市町村データ!A1:P1, 0),FALSE)</f>
        <v>1178</v>
      </c>
      <c r="BL33" s="156"/>
      <c r="BM33" s="156"/>
      <c r="BN33" s="158"/>
      <c r="BO33" s="93"/>
      <c r="BP33" s="51"/>
      <c r="BQ33" s="51"/>
      <c r="BR33" s="51"/>
      <c r="BS33" s="79"/>
      <c r="BT33" s="78"/>
    </row>
    <row r="34" spans="1:72" ht="21.15" customHeight="1" thickBot="1" x14ac:dyDescent="0.6">
      <c r="A34" s="78"/>
      <c r="B34" s="79"/>
      <c r="C34" s="79"/>
      <c r="D34" s="79"/>
      <c r="E34" s="79"/>
      <c r="F34" s="79"/>
      <c r="G34" s="281">
        <f>VLOOKUP(G31,市町村データ!A2:P106,MATCH(手順書_丁目_人口!$F$66, 市町村データ!A1:P1, 0),FALSE)</f>
        <v>20</v>
      </c>
      <c r="H34" s="153"/>
      <c r="I34" s="153"/>
      <c r="J34" s="240"/>
      <c r="K34" s="281">
        <f>VLOOKUP(K31,市町村データ!A2:P106,MATCH(手順書_丁目_人口!$F$66, 市町村データ!A1:P1, 0),FALSE)</f>
        <v>29</v>
      </c>
      <c r="L34" s="153"/>
      <c r="M34" s="153"/>
      <c r="N34" s="240"/>
      <c r="O34" s="281">
        <f>VLOOKUP(O31,市町村データ!A2:P106,MATCH(手順書_丁目_人口!$F$66, 市町村データ!A1:P1, 0),FALSE)</f>
        <v>29</v>
      </c>
      <c r="P34" s="153"/>
      <c r="Q34" s="153"/>
      <c r="R34" s="240"/>
      <c r="S34" s="258">
        <f>VLOOKUP(S31,市町村データ!A2:P106,MATCH(手順書_丁目_人口!$F$66, 市町村データ!A1:P1, 0),FALSE)</f>
        <v>43.6</v>
      </c>
      <c r="T34" s="153"/>
      <c r="U34" s="153"/>
      <c r="V34" s="240"/>
      <c r="W34" s="85"/>
      <c r="X34" s="79"/>
      <c r="Y34" s="79"/>
      <c r="Z34" s="79"/>
      <c r="AA34" s="241">
        <f>VLOOKUP(AA31,市町村データ!A2:P106,MATCH(手順書_丁目_人口!$F$66, 市町村データ!A1:P1, 0),FALSE)</f>
        <v>18</v>
      </c>
      <c r="AB34" s="153"/>
      <c r="AC34" s="153"/>
      <c r="AD34" s="240"/>
      <c r="AE34" s="241">
        <f>VLOOKUP(AE31,市町村データ!A2:P106,MATCH(手順書_丁目_人口!$F$66, 市町村データ!A1:P1, 0),FALSE)</f>
        <v>18.7</v>
      </c>
      <c r="AF34" s="153"/>
      <c r="AG34" s="153"/>
      <c r="AH34" s="240"/>
      <c r="AI34" s="286">
        <f>VLOOKUP(AI31,市町村データ!A2:P106,MATCH(手順書_丁目_人口!$F$66, 市町村データ!A1:P1, 0),FALSE)</f>
        <v>25.8</v>
      </c>
      <c r="AJ34" s="153"/>
      <c r="AK34" s="153"/>
      <c r="AL34" s="240"/>
      <c r="AM34" s="247">
        <f>VLOOKUP(AM31,市町村データ!A2:P106,MATCH(手順書_丁目_人口!$F$66, 市町村データ!A1:P1, 0),FALSE)</f>
        <v>16.8</v>
      </c>
      <c r="AN34" s="153"/>
      <c r="AO34" s="153"/>
      <c r="AP34" s="240"/>
      <c r="AQ34" s="85"/>
      <c r="AR34" s="79"/>
      <c r="AS34" s="79"/>
      <c r="AT34" s="79"/>
      <c r="AU34" s="256">
        <f>VLOOKUP(AU31,市町村データ!A2:P106,MATCH(手順書_丁目_人口!$F$66, 市町村データ!A1:P1, 0),FALSE)</f>
        <v>9.9</v>
      </c>
      <c r="AV34" s="153"/>
      <c r="AW34" s="153"/>
      <c r="AX34" s="240"/>
      <c r="AY34" s="257">
        <f>VLOOKUP(AY31,市町村データ!A2:P106,MATCH(手順書_丁目_人口!$F$66, 市町村データ!A1:P1, 0),FALSE)</f>
        <v>11.9</v>
      </c>
      <c r="AZ34" s="153"/>
      <c r="BA34" s="153"/>
      <c r="BB34" s="240"/>
      <c r="BC34" s="286">
        <f>VLOOKUP(BC31,市町村データ!A2:P106,MATCH(手順書_丁目_人口!$F$66, 市町村データ!A1:P1, 0),FALSE)</f>
        <v>12</v>
      </c>
      <c r="BD34" s="153"/>
      <c r="BE34" s="153"/>
      <c r="BF34" s="240"/>
      <c r="BG34" s="247">
        <f>VLOOKUP(BG31,市町村データ!A2:P106,MATCH(手順書_丁目_人口!$F$66, 市町村データ!A1:P1, 0),FALSE)</f>
        <v>13.5</v>
      </c>
      <c r="BH34" s="153"/>
      <c r="BI34" s="153"/>
      <c r="BJ34" s="240"/>
      <c r="BK34" s="247">
        <f>VLOOKUP(BK31,市町村データ!A2:P106,MATCH(手順書_丁目_人口!$F$66, 市町村データ!A1:P1, 0),FALSE)</f>
        <v>8</v>
      </c>
      <c r="BL34" s="153"/>
      <c r="BM34" s="153"/>
      <c r="BN34" s="240"/>
      <c r="BO34" s="85"/>
      <c r="BP34" s="52"/>
      <c r="BQ34" s="52"/>
      <c r="BR34" s="52"/>
      <c r="BS34" s="79"/>
      <c r="BT34" s="78"/>
    </row>
    <row r="35" spans="1:72" ht="21.15" customHeight="1" x14ac:dyDescent="0.55000000000000004">
      <c r="A35" s="78"/>
      <c r="B35" s="79"/>
      <c r="C35" s="81" t="s">
        <v>68</v>
      </c>
      <c r="D35" s="79"/>
      <c r="E35" s="79"/>
      <c r="F35" s="79"/>
      <c r="G35" s="84"/>
      <c r="H35" s="84"/>
      <c r="I35" s="84"/>
      <c r="J35" s="84"/>
      <c r="K35" s="84"/>
      <c r="L35" s="84"/>
      <c r="M35" s="84"/>
      <c r="N35" s="84"/>
      <c r="O35" s="84"/>
      <c r="P35" s="84"/>
      <c r="Q35" s="84"/>
      <c r="R35" s="84"/>
      <c r="S35" s="84"/>
      <c r="T35" s="84"/>
      <c r="U35" s="84"/>
      <c r="V35" s="84"/>
      <c r="W35" s="79"/>
      <c r="X35" s="79"/>
      <c r="Y35" s="79"/>
      <c r="Z35" s="79"/>
      <c r="AA35" s="82">
        <v>67</v>
      </c>
      <c r="AB35" s="142" t="str">
        <f>VLOOKUP(AA35,市町村データ!A2:P106,MATCH(手順書_丁目_人口!$G$63, 市町村データ!A1:P1, 0),FALSE)</f>
        <v>石神3</v>
      </c>
      <c r="AC35" s="154"/>
      <c r="AD35" s="159"/>
      <c r="AE35" s="82">
        <v>68</v>
      </c>
      <c r="AF35" s="142" t="str">
        <f>VLOOKUP(AE35,市町村データ!A2:P106,MATCH(手順書_丁目_人口!$G$63, 市町村データ!A1:P1, 0),FALSE)</f>
        <v>石神2</v>
      </c>
      <c r="AG35" s="154"/>
      <c r="AH35" s="159"/>
      <c r="AI35" s="97"/>
      <c r="AJ35" s="84"/>
      <c r="AK35" s="84"/>
      <c r="AL35" s="84"/>
      <c r="AM35" s="95"/>
      <c r="AN35" s="84"/>
      <c r="AO35" s="84"/>
      <c r="AP35" s="84"/>
      <c r="AQ35" s="86"/>
      <c r="AR35" s="79"/>
      <c r="AS35" s="79"/>
      <c r="AT35" s="79"/>
      <c r="AU35" s="95"/>
      <c r="AV35" s="84"/>
      <c r="AW35" s="84"/>
      <c r="AX35" s="84"/>
      <c r="AY35" s="95"/>
      <c r="AZ35" s="84"/>
      <c r="BA35" s="84"/>
      <c r="BB35" s="84"/>
      <c r="BC35" s="82">
        <v>69</v>
      </c>
      <c r="BD35" s="142" t="str">
        <f>VLOOKUP(BC35,市町村データ!A2:P106,MATCH(手順書_丁目_人口!$G$63, 市町村データ!A1:P1, 0),FALSE)</f>
        <v>片山1</v>
      </c>
      <c r="BE35" s="154"/>
      <c r="BF35" s="159"/>
      <c r="BG35" s="82">
        <v>70</v>
      </c>
      <c r="BH35" s="142" t="str">
        <f>VLOOKUP(BG35,市町村データ!A2:P106,MATCH(手順書_丁目_人口!$G$63, 市町村データ!A1:P1, 0),FALSE)</f>
        <v>片山2</v>
      </c>
      <c r="BI35" s="154"/>
      <c r="BJ35" s="159"/>
      <c r="BK35" s="82">
        <v>71</v>
      </c>
      <c r="BL35" s="142" t="str">
        <f>VLOOKUP(BK35,市町村データ!A2:P106,MATCH(手順書_丁目_人口!$G$63, 市町村データ!A1:P1, 0),FALSE)</f>
        <v>片山3</v>
      </c>
      <c r="BM35" s="154"/>
      <c r="BN35" s="159"/>
      <c r="BO35" s="91"/>
      <c r="BP35" s="79"/>
      <c r="BQ35" s="79"/>
      <c r="BR35" s="79"/>
      <c r="BS35" s="79"/>
      <c r="BT35" s="78"/>
    </row>
    <row r="36" spans="1:72" ht="21.15" customHeight="1" x14ac:dyDescent="0.55000000000000004">
      <c r="A36" s="78"/>
      <c r="B36" s="79"/>
      <c r="C36" s="79"/>
      <c r="D36" s="79"/>
      <c r="E36" s="79"/>
      <c r="F36" s="79"/>
      <c r="G36" s="79"/>
      <c r="H36" s="79"/>
      <c r="I36" s="79"/>
      <c r="J36" s="79"/>
      <c r="K36" s="79"/>
      <c r="L36" s="79"/>
      <c r="M36" s="79"/>
      <c r="N36" s="79"/>
      <c r="O36" s="79"/>
      <c r="P36" s="79"/>
      <c r="Q36" s="79"/>
      <c r="R36" s="79"/>
      <c r="S36" s="79"/>
      <c r="T36" s="79"/>
      <c r="U36" s="79"/>
      <c r="V36" s="79"/>
      <c r="W36" s="79"/>
      <c r="X36" s="79"/>
      <c r="Y36" s="79"/>
      <c r="Z36" s="79"/>
      <c r="AA36" s="238">
        <f>VLOOKUP(AA35,市町村データ!A2:P106,MATCH(手順書_丁目_人口!$F$64, 市町村データ!A1:P1, 0),FALSE)</f>
        <v>158.30000000000001</v>
      </c>
      <c r="AB36" s="156"/>
      <c r="AC36" s="156"/>
      <c r="AD36" s="158"/>
      <c r="AE36" s="238">
        <f>VLOOKUP(AE35,市町村データ!A2:P106,MATCH(手順書_丁目_人口!$F$64, 市町村データ!A1:P1, 0),FALSE)</f>
        <v>122.2</v>
      </c>
      <c r="AF36" s="156"/>
      <c r="AG36" s="156"/>
      <c r="AH36" s="158"/>
      <c r="AI36" s="98"/>
      <c r="AJ36" s="50"/>
      <c r="AK36" s="50"/>
      <c r="AL36" s="50"/>
      <c r="AM36" s="50"/>
      <c r="AN36" s="50"/>
      <c r="AO36" s="50"/>
      <c r="AP36" s="50"/>
      <c r="AQ36" s="50"/>
      <c r="AR36" s="50"/>
      <c r="AS36" s="50"/>
      <c r="AT36" s="50"/>
      <c r="AU36" s="50"/>
      <c r="AV36" s="50"/>
      <c r="AW36" s="50"/>
      <c r="AX36" s="50"/>
      <c r="AY36" s="50"/>
      <c r="AZ36" s="50"/>
      <c r="BA36" s="50"/>
      <c r="BB36" s="50"/>
      <c r="BC36" s="238">
        <f>VLOOKUP(BC35,市町村データ!A2:P106,MATCH(手順書_丁目_人口!$F$64, 市町村データ!A1:P1, 0),FALSE)</f>
        <v>102.8</v>
      </c>
      <c r="BD36" s="156"/>
      <c r="BE36" s="156"/>
      <c r="BF36" s="158"/>
      <c r="BG36" s="238">
        <f>VLOOKUP(BG35,市町村データ!A2:P106,MATCH(手順書_丁目_人口!$F$64, 市町村データ!A1:P1, 0),FALSE)</f>
        <v>73.7</v>
      </c>
      <c r="BH36" s="156"/>
      <c r="BI36" s="156"/>
      <c r="BJ36" s="158"/>
      <c r="BK36" s="282">
        <f>VLOOKUP(BK35,市町村データ!A2:P106,MATCH(手順書_丁目_人口!$F$64, 市町村データ!A1:P1, 0),FALSE)</f>
        <v>119.3</v>
      </c>
      <c r="BL36" s="156"/>
      <c r="BM36" s="156"/>
      <c r="BN36" s="158"/>
      <c r="BO36" s="98"/>
      <c r="BP36" s="50"/>
      <c r="BQ36" s="50"/>
      <c r="BR36" s="50"/>
      <c r="BS36" s="79"/>
      <c r="BT36" s="78"/>
    </row>
    <row r="37" spans="1:72" ht="21.15" customHeight="1" x14ac:dyDescent="0.55000000000000004">
      <c r="A37" s="78"/>
      <c r="B37" s="79"/>
      <c r="C37" s="79"/>
      <c r="D37" s="79"/>
      <c r="E37" s="79"/>
      <c r="F37" s="79"/>
      <c r="G37" s="79"/>
      <c r="H37" s="79"/>
      <c r="I37" s="79"/>
      <c r="J37" s="79"/>
      <c r="K37" s="79"/>
      <c r="L37" s="79"/>
      <c r="M37" s="79"/>
      <c r="N37" s="79"/>
      <c r="O37" s="79"/>
      <c r="P37" s="79"/>
      <c r="Q37" s="79"/>
      <c r="R37" s="79"/>
      <c r="S37" s="79"/>
      <c r="T37" s="79"/>
      <c r="U37" s="79"/>
      <c r="V37" s="79"/>
      <c r="W37" s="79"/>
      <c r="X37" s="79"/>
      <c r="Y37" s="79"/>
      <c r="Z37" s="79"/>
      <c r="AA37" s="243">
        <f>VLOOKUP(AA35,市町村データ!A2:P106,MATCH(手順書_丁目_人口!$F$65, 市町村データ!A1:P1, 0),FALSE)</f>
        <v>2169</v>
      </c>
      <c r="AB37" s="156"/>
      <c r="AC37" s="156"/>
      <c r="AD37" s="158"/>
      <c r="AE37" s="243">
        <f>VLOOKUP(AE35,市町村データ!A2:P106,MATCH(手順書_丁目_人口!$F$65, 市町村データ!A1:P1, 0),FALSE)</f>
        <v>1894</v>
      </c>
      <c r="AF37" s="156"/>
      <c r="AG37" s="156"/>
      <c r="AH37" s="158"/>
      <c r="AI37" s="99"/>
      <c r="AJ37" s="51"/>
      <c r="AK37" s="51"/>
      <c r="AL37" s="51"/>
      <c r="AM37" s="51"/>
      <c r="AN37" s="51"/>
      <c r="AO37" s="51"/>
      <c r="AP37" s="51"/>
      <c r="AQ37" s="51"/>
      <c r="AR37" s="51"/>
      <c r="AS37" s="51"/>
      <c r="AT37" s="51"/>
      <c r="AU37" s="51"/>
      <c r="AV37" s="51"/>
      <c r="AW37" s="51"/>
      <c r="AX37" s="51"/>
      <c r="AY37" s="51"/>
      <c r="AZ37" s="51"/>
      <c r="BA37" s="51"/>
      <c r="BB37" s="51"/>
      <c r="BC37" s="243">
        <f>VLOOKUP(BC35,市町村データ!A2:P106,MATCH(手順書_丁目_人口!$F$65, 市町村データ!A1:P1, 0),FALSE)</f>
        <v>2365</v>
      </c>
      <c r="BD37" s="156"/>
      <c r="BE37" s="156"/>
      <c r="BF37" s="158"/>
      <c r="BG37" s="243">
        <f>VLOOKUP(BG35,市町村データ!A2:P106,MATCH(手順書_丁目_人口!$F$65, 市町村データ!A1:P1, 0),FALSE)</f>
        <v>1327</v>
      </c>
      <c r="BH37" s="156"/>
      <c r="BI37" s="156"/>
      <c r="BJ37" s="158"/>
      <c r="BK37" s="280">
        <f>VLOOKUP(BK35,市町村データ!A2:P106,MATCH(手順書_丁目_人口!$F$65, 市町村データ!A1:P1, 0),FALSE)</f>
        <v>3818</v>
      </c>
      <c r="BL37" s="156"/>
      <c r="BM37" s="156"/>
      <c r="BN37" s="158"/>
      <c r="BO37" s="99"/>
      <c r="BP37" s="51"/>
      <c r="BQ37" s="51"/>
      <c r="BR37" s="51"/>
      <c r="BS37" s="79"/>
      <c r="BT37" s="78"/>
    </row>
    <row r="38" spans="1:72" ht="21.15" customHeight="1" thickBot="1" x14ac:dyDescent="0.6">
      <c r="A38" s="78"/>
      <c r="B38" s="79"/>
      <c r="C38" s="79"/>
      <c r="D38" s="79"/>
      <c r="E38" s="79"/>
      <c r="F38" s="79"/>
      <c r="G38" s="79"/>
      <c r="H38" s="79"/>
      <c r="I38" s="79"/>
      <c r="J38" s="79"/>
      <c r="K38" s="79"/>
      <c r="L38" s="79"/>
      <c r="M38" s="79"/>
      <c r="N38" s="79"/>
      <c r="O38" s="79"/>
      <c r="P38" s="79"/>
      <c r="Q38" s="79"/>
      <c r="R38" s="79"/>
      <c r="S38" s="79"/>
      <c r="T38" s="79"/>
      <c r="U38" s="79"/>
      <c r="V38" s="79"/>
      <c r="W38" s="79"/>
      <c r="X38" s="79"/>
      <c r="Y38" s="79"/>
      <c r="Z38" s="79"/>
      <c r="AA38" s="241">
        <f>VLOOKUP(AA35,市町村データ!A2:P106,MATCH(手順書_丁目_人口!$F$66, 市町村データ!A1:P1, 0),FALSE)</f>
        <v>13.7</v>
      </c>
      <c r="AB38" s="153"/>
      <c r="AC38" s="153"/>
      <c r="AD38" s="240"/>
      <c r="AE38" s="241">
        <f>VLOOKUP(AE35,市町村データ!A2:P106,MATCH(手順書_丁目_人口!$F$66, 市町村データ!A1:P1, 0),FALSE)</f>
        <v>15.5</v>
      </c>
      <c r="AF38" s="153"/>
      <c r="AG38" s="153"/>
      <c r="AH38" s="240"/>
      <c r="AI38" s="99"/>
      <c r="AJ38" s="51"/>
      <c r="AK38" s="51"/>
      <c r="AL38" s="51"/>
      <c r="AM38" s="51"/>
      <c r="AN38" s="51"/>
      <c r="AO38" s="51"/>
      <c r="AP38" s="51"/>
      <c r="AQ38" s="51"/>
      <c r="AR38" s="51"/>
      <c r="AS38" s="51"/>
      <c r="AT38" s="51"/>
      <c r="AU38" s="51"/>
      <c r="AV38" s="51"/>
      <c r="AW38" s="51"/>
      <c r="AX38" s="51"/>
      <c r="AY38" s="51"/>
      <c r="AZ38" s="51"/>
      <c r="BA38" s="51"/>
      <c r="BB38" s="51"/>
      <c r="BC38" s="241">
        <f>VLOOKUP(BC35,市町村データ!A2:P106,MATCH(手順書_丁目_人口!$F$66, 市町村データ!A1:P1, 0),FALSE)</f>
        <v>23</v>
      </c>
      <c r="BD38" s="153"/>
      <c r="BE38" s="153"/>
      <c r="BF38" s="240"/>
      <c r="BG38" s="241">
        <f>VLOOKUP(BG35,市町村データ!A2:P106,MATCH(手順書_丁目_人口!$F$66, 市町村データ!A1:P1, 0),FALSE)</f>
        <v>18</v>
      </c>
      <c r="BH38" s="153"/>
      <c r="BI38" s="153"/>
      <c r="BJ38" s="240"/>
      <c r="BK38" s="281">
        <f>VLOOKUP(BK35,市町村データ!A2:P106,MATCH(手順書_丁目_人口!$F$66, 市町村データ!A1:P1, 0),FALSE)</f>
        <v>32</v>
      </c>
      <c r="BL38" s="153"/>
      <c r="BM38" s="153"/>
      <c r="BN38" s="240"/>
      <c r="BO38" s="99"/>
      <c r="BP38" s="51"/>
      <c r="BQ38" s="51"/>
      <c r="BR38" s="51"/>
      <c r="BS38" s="79"/>
      <c r="BT38" s="78"/>
    </row>
    <row r="39" spans="1:72" ht="21.15" customHeight="1" x14ac:dyDescent="0.55000000000000004">
      <c r="A39" s="78"/>
      <c r="B39" s="79"/>
      <c r="C39" s="81" t="s">
        <v>516</v>
      </c>
      <c r="D39" s="79"/>
      <c r="E39" s="79"/>
      <c r="F39" s="79"/>
      <c r="G39" s="79"/>
      <c r="H39" s="79"/>
      <c r="I39" s="79"/>
      <c r="J39" s="79"/>
      <c r="K39" s="79"/>
      <c r="L39" s="79"/>
      <c r="M39" s="79"/>
      <c r="N39" s="79"/>
      <c r="O39" s="79"/>
      <c r="P39" s="79"/>
      <c r="Q39" s="79"/>
      <c r="R39" s="79"/>
      <c r="S39" s="79"/>
      <c r="T39" s="79"/>
      <c r="U39" s="79"/>
      <c r="V39" s="79"/>
      <c r="W39" s="79"/>
      <c r="X39" s="79"/>
      <c r="Y39" s="79"/>
      <c r="Z39" s="79"/>
      <c r="AA39" s="84"/>
      <c r="AB39" s="84"/>
      <c r="AC39" s="84"/>
      <c r="AD39" s="84"/>
      <c r="AE39" s="84"/>
      <c r="AF39" s="84"/>
      <c r="AG39" s="84"/>
      <c r="AH39" s="84"/>
      <c r="AI39" s="51"/>
      <c r="AJ39" s="51"/>
      <c r="AK39" s="51"/>
      <c r="AL39" s="51"/>
      <c r="AM39" s="51"/>
      <c r="AN39" s="51"/>
      <c r="AO39" s="51"/>
      <c r="AP39" s="51"/>
      <c r="AQ39" s="51"/>
      <c r="AR39" s="51"/>
      <c r="AS39" s="51"/>
      <c r="AT39" s="51"/>
      <c r="AU39" s="51"/>
      <c r="AV39" s="51"/>
      <c r="AW39" s="51"/>
      <c r="AX39" s="51"/>
      <c r="AY39" s="82">
        <v>72</v>
      </c>
      <c r="AZ39" s="142" t="str">
        <f>VLOOKUP(AY39,市町村データ!A2:P106,MATCH(手順書_丁目_人口!$G$63, 市町村データ!A1:P1, 0),FALSE)</f>
        <v>野寺1</v>
      </c>
      <c r="BA39" s="154"/>
      <c r="BB39" s="159"/>
      <c r="BC39" s="82">
        <v>73</v>
      </c>
      <c r="BD39" s="142" t="str">
        <f>VLOOKUP(BC39,市町村データ!A2:P106,MATCH(手順書_丁目_人口!$G$63, 市町村データ!A1:P1, 0),FALSE)</f>
        <v>野寺2</v>
      </c>
      <c r="BE39" s="154"/>
      <c r="BF39" s="159"/>
      <c r="BG39" s="82">
        <v>74</v>
      </c>
      <c r="BH39" s="142" t="str">
        <f>VLOOKUP(BG39,市町村データ!A2:P106,MATCH(手順書_丁目_人口!$G$63, 市町村データ!A1:P1, 0),FALSE)</f>
        <v>野寺3</v>
      </c>
      <c r="BI39" s="154"/>
      <c r="BJ39" s="159"/>
      <c r="BK39" s="82">
        <v>75</v>
      </c>
      <c r="BL39" s="142" t="str">
        <f>VLOOKUP(BK39,市町村データ!A2:P106,MATCH(手順書_丁目_人口!$G$63, 市町村データ!A1:P1, 0),FALSE)</f>
        <v>野寺4</v>
      </c>
      <c r="BM39" s="154"/>
      <c r="BN39" s="159"/>
      <c r="BO39" s="82">
        <v>76</v>
      </c>
      <c r="BP39" s="142" t="str">
        <f>VLOOKUP(BO39,市町村データ!A2:P106,MATCH(手順書_丁目_人口!$G$63, 市町村データ!A1:P1, 0),FALSE)</f>
        <v>野寺5</v>
      </c>
      <c r="BQ39" s="154"/>
      <c r="BR39" s="159"/>
      <c r="BS39" s="85"/>
      <c r="BT39" s="78"/>
    </row>
    <row r="40" spans="1:72" ht="21.15" customHeight="1" x14ac:dyDescent="0.55000000000000004">
      <c r="A40" s="78"/>
      <c r="B40" s="79"/>
      <c r="C40" s="79"/>
      <c r="D40" s="79"/>
      <c r="E40" s="79"/>
      <c r="F40" s="79"/>
      <c r="G40" s="79"/>
      <c r="H40" s="79"/>
      <c r="I40" s="79"/>
      <c r="J40" s="79"/>
      <c r="K40" s="79"/>
      <c r="L40" s="79"/>
      <c r="M40" s="79"/>
      <c r="N40" s="79"/>
      <c r="O40" s="79"/>
      <c r="P40" s="79"/>
      <c r="Q40" s="79"/>
      <c r="R40" s="79"/>
      <c r="S40" s="79"/>
      <c r="T40" s="79"/>
      <c r="U40" s="79"/>
      <c r="V40" s="79"/>
      <c r="W40" s="79"/>
      <c r="X40" s="79"/>
      <c r="Y40" s="79"/>
      <c r="Z40" s="79"/>
      <c r="AA40" s="79"/>
      <c r="AB40" s="79"/>
      <c r="AC40" s="79"/>
      <c r="AD40" s="79"/>
      <c r="AE40" s="79"/>
      <c r="AF40" s="79"/>
      <c r="AG40" s="79"/>
      <c r="AH40" s="79"/>
      <c r="AI40" s="51"/>
      <c r="AJ40" s="51"/>
      <c r="AK40" s="51"/>
      <c r="AL40" s="51"/>
      <c r="AM40" s="51"/>
      <c r="AN40" s="51"/>
      <c r="AO40" s="51"/>
      <c r="AP40" s="51"/>
      <c r="AQ40" s="51"/>
      <c r="AR40" s="51"/>
      <c r="AS40" s="51"/>
      <c r="AT40" s="51"/>
      <c r="AU40" s="51"/>
      <c r="AV40" s="51"/>
      <c r="AW40" s="51"/>
      <c r="AX40" s="51"/>
      <c r="AY40" s="238">
        <f>VLOOKUP(AY39,市町村データ!A2:P106,MATCH(手順書_丁目_人口!$F$64, 市町村データ!A1:P1, 0),FALSE)</f>
        <v>120.2</v>
      </c>
      <c r="AZ40" s="156"/>
      <c r="BA40" s="156"/>
      <c r="BB40" s="158"/>
      <c r="BC40" s="238">
        <f>VLOOKUP(BC39,市町村データ!A2:P106,MATCH(手順書_丁目_人口!$F$64, 市町村データ!A1:P1, 0),FALSE)</f>
        <v>91</v>
      </c>
      <c r="BD40" s="156"/>
      <c r="BE40" s="156"/>
      <c r="BF40" s="158"/>
      <c r="BG40" s="238">
        <f>VLOOKUP(BG39,市町村データ!A2:P106,MATCH(手順書_丁目_人口!$F$64, 市町村データ!A1:P1, 0),FALSE)</f>
        <v>105.9</v>
      </c>
      <c r="BH40" s="156"/>
      <c r="BI40" s="156"/>
      <c r="BJ40" s="158"/>
      <c r="BK40" s="282">
        <f>VLOOKUP(BK39,市町村データ!A2:P106,MATCH(手順書_丁目_人口!$F$64, 市町村データ!A1:P1, 0),FALSE)</f>
        <v>128.5</v>
      </c>
      <c r="BL40" s="156"/>
      <c r="BM40" s="156"/>
      <c r="BN40" s="158"/>
      <c r="BO40" s="238">
        <f>VLOOKUP(BO39,市町村データ!A2:P106,MATCH(手順書_丁目_人口!$F$64, 市町村データ!A1:P1, 0),FALSE)</f>
        <v>124.1</v>
      </c>
      <c r="BP40" s="156"/>
      <c r="BQ40" s="156"/>
      <c r="BR40" s="158"/>
      <c r="BS40" s="85"/>
      <c r="BT40" s="78"/>
    </row>
    <row r="41" spans="1:72" ht="21.15" customHeight="1" x14ac:dyDescent="0.55000000000000004">
      <c r="A41" s="78"/>
      <c r="B41" s="79"/>
      <c r="C41" s="79"/>
      <c r="D41" s="79"/>
      <c r="E41" s="79"/>
      <c r="F41" s="79"/>
      <c r="G41" s="79"/>
      <c r="H41" s="79"/>
      <c r="I41" s="79"/>
      <c r="J41" s="79"/>
      <c r="K41" s="79"/>
      <c r="L41" s="79"/>
      <c r="M41" s="79"/>
      <c r="N41" s="79"/>
      <c r="O41" s="79"/>
      <c r="P41" s="79"/>
      <c r="Q41" s="79"/>
      <c r="R41" s="79"/>
      <c r="S41" s="79"/>
      <c r="T41" s="79"/>
      <c r="U41" s="79"/>
      <c r="V41" s="79"/>
      <c r="W41" s="79"/>
      <c r="X41" s="79"/>
      <c r="Y41" s="79"/>
      <c r="Z41" s="79"/>
      <c r="AA41" s="79"/>
      <c r="AB41" s="79"/>
      <c r="AC41" s="79"/>
      <c r="AD41" s="79"/>
      <c r="AE41" s="79"/>
      <c r="AF41" s="79"/>
      <c r="AG41" s="79"/>
      <c r="AH41" s="79"/>
      <c r="AI41" s="51"/>
      <c r="AJ41" s="51"/>
      <c r="AK41" s="51"/>
      <c r="AL41" s="51"/>
      <c r="AM41" s="51"/>
      <c r="AN41" s="51"/>
      <c r="AO41" s="51"/>
      <c r="AP41" s="51"/>
      <c r="AQ41" s="51"/>
      <c r="AR41" s="51"/>
      <c r="AS41" s="51"/>
      <c r="AT41" s="51"/>
      <c r="AU41" s="51"/>
      <c r="AV41" s="51"/>
      <c r="AW41" s="51"/>
      <c r="AX41" s="51"/>
      <c r="AY41" s="243">
        <f>VLOOKUP(AY39,市町村データ!A2:P106,MATCH(手順書_丁目_人口!$F$65, 市町村データ!A1:P1, 0),FALSE)</f>
        <v>1322</v>
      </c>
      <c r="AZ41" s="156"/>
      <c r="BA41" s="156"/>
      <c r="BB41" s="158"/>
      <c r="BC41" s="243">
        <f>VLOOKUP(BC39,市町村データ!A2:P106,MATCH(手順書_丁目_人口!$F$65, 市町村データ!A1:P1, 0),FALSE)</f>
        <v>2411</v>
      </c>
      <c r="BD41" s="156"/>
      <c r="BE41" s="156"/>
      <c r="BF41" s="158"/>
      <c r="BG41" s="243">
        <f>VLOOKUP(BG39,市町村データ!A2:P106,MATCH(手順書_丁目_人口!$F$65, 市町村データ!A1:P1, 0),FALSE)</f>
        <v>2246</v>
      </c>
      <c r="BH41" s="156"/>
      <c r="BI41" s="156"/>
      <c r="BJ41" s="158"/>
      <c r="BK41" s="280">
        <f>VLOOKUP(BK39,市町村データ!A2:P106,MATCH(手順書_丁目_人口!$F$65, 市町村データ!A1:P1, 0),FALSE)</f>
        <v>2570</v>
      </c>
      <c r="BL41" s="156"/>
      <c r="BM41" s="156"/>
      <c r="BN41" s="158"/>
      <c r="BO41" s="243">
        <f>VLOOKUP(BO39,市町村データ!A2:P106,MATCH(手順書_丁目_人口!$F$65, 市町村データ!A1:P1, 0),FALSE)</f>
        <v>1303</v>
      </c>
      <c r="BP41" s="156"/>
      <c r="BQ41" s="156"/>
      <c r="BR41" s="158"/>
      <c r="BS41" s="85"/>
      <c r="BT41" s="78"/>
    </row>
    <row r="42" spans="1:72" ht="21.15" customHeight="1" thickBot="1" x14ac:dyDescent="0.6">
      <c r="A42" s="78"/>
      <c r="B42" s="79"/>
      <c r="C42" s="79"/>
      <c r="D42" s="79"/>
      <c r="E42" s="79"/>
      <c r="F42" s="79"/>
      <c r="G42" s="79"/>
      <c r="H42" s="79"/>
      <c r="I42" s="79"/>
      <c r="J42" s="79"/>
      <c r="K42" s="79"/>
      <c r="L42" s="79"/>
      <c r="M42" s="79"/>
      <c r="N42" s="79"/>
      <c r="O42" s="79"/>
      <c r="P42" s="79"/>
      <c r="Q42" s="79"/>
      <c r="R42" s="79"/>
      <c r="S42" s="79"/>
      <c r="T42" s="79"/>
      <c r="U42" s="79"/>
      <c r="V42" s="79"/>
      <c r="W42" s="79"/>
      <c r="X42" s="79"/>
      <c r="Y42" s="79"/>
      <c r="Z42" s="79"/>
      <c r="AA42" s="79"/>
      <c r="AB42" s="79"/>
      <c r="AC42" s="79"/>
      <c r="AD42" s="79"/>
      <c r="AE42" s="79"/>
      <c r="AF42" s="79"/>
      <c r="AG42" s="79"/>
      <c r="AH42" s="79"/>
      <c r="AI42" s="51"/>
      <c r="AJ42" s="51"/>
      <c r="AK42" s="51"/>
      <c r="AL42" s="51"/>
      <c r="AM42" s="51"/>
      <c r="AN42" s="51"/>
      <c r="AO42" s="51"/>
      <c r="AP42" s="51"/>
      <c r="AQ42" s="51"/>
      <c r="AR42" s="51"/>
      <c r="AS42" s="51"/>
      <c r="AT42" s="51"/>
      <c r="AU42" s="51"/>
      <c r="AV42" s="51"/>
      <c r="AW42" s="51"/>
      <c r="AX42" s="51"/>
      <c r="AY42" s="241">
        <f>VLOOKUP(AY39,市町村データ!A2:P106,MATCH(手順書_丁目_人口!$F$66, 市町村データ!A1:P1, 0),FALSE)</f>
        <v>11</v>
      </c>
      <c r="AZ42" s="153"/>
      <c r="BA42" s="153"/>
      <c r="BB42" s="240"/>
      <c r="BC42" s="241">
        <f>VLOOKUP(BC39,市町村データ!A2:P106,MATCH(手順書_丁目_人口!$F$66, 市町村データ!A1:P1, 0),FALSE)</f>
        <v>26.5</v>
      </c>
      <c r="BD42" s="153"/>
      <c r="BE42" s="153"/>
      <c r="BF42" s="240"/>
      <c r="BG42" s="241">
        <f>VLOOKUP(BG39,市町村データ!A2:P106,MATCH(手順書_丁目_人口!$F$66, 市町村データ!A1:P1, 0),FALSE)</f>
        <v>21.2</v>
      </c>
      <c r="BH42" s="153"/>
      <c r="BI42" s="153"/>
      <c r="BJ42" s="240"/>
      <c r="BK42" s="281">
        <f>VLOOKUP(BK39,市町村データ!A2:P106,MATCH(手順書_丁目_人口!$F$66, 市町村データ!A1:P1, 0),FALSE)</f>
        <v>20</v>
      </c>
      <c r="BL42" s="153"/>
      <c r="BM42" s="153"/>
      <c r="BN42" s="240"/>
      <c r="BO42" s="241">
        <f>VLOOKUP(BO39,市町村データ!A2:P106,MATCH(手順書_丁目_人口!$F$66, 市町村データ!A1:P1, 0),FALSE)</f>
        <v>10.5</v>
      </c>
      <c r="BP42" s="153"/>
      <c r="BQ42" s="153"/>
      <c r="BR42" s="240"/>
      <c r="BS42" s="85"/>
      <c r="BT42" s="78"/>
    </row>
    <row r="43" spans="1:72" ht="21.15" customHeight="1" x14ac:dyDescent="0.55000000000000004">
      <c r="A43" s="78"/>
      <c r="B43" s="79"/>
      <c r="C43" s="81" t="s">
        <v>518</v>
      </c>
      <c r="D43" s="79"/>
      <c r="E43" s="79"/>
      <c r="F43" s="79"/>
      <c r="G43" s="79"/>
      <c r="H43" s="79"/>
      <c r="I43" s="79"/>
      <c r="J43" s="79"/>
      <c r="K43" s="79"/>
      <c r="L43" s="79"/>
      <c r="M43" s="79"/>
      <c r="N43" s="79"/>
      <c r="O43" s="79"/>
      <c r="P43" s="79"/>
      <c r="Q43" s="79"/>
      <c r="R43" s="79"/>
      <c r="S43" s="79"/>
      <c r="T43" s="79"/>
      <c r="U43" s="79"/>
      <c r="V43" s="79"/>
      <c r="W43" s="79"/>
      <c r="X43" s="79"/>
      <c r="Y43" s="79"/>
      <c r="Z43" s="79"/>
      <c r="AA43" s="79"/>
      <c r="AB43" s="79"/>
      <c r="AC43" s="79"/>
      <c r="AD43" s="79"/>
      <c r="AE43" s="79"/>
      <c r="AF43" s="79"/>
      <c r="AG43" s="79"/>
      <c r="AH43" s="79"/>
      <c r="AI43" s="51"/>
      <c r="AJ43" s="51"/>
      <c r="AK43" s="51"/>
      <c r="AL43" s="51"/>
      <c r="AM43" s="51"/>
      <c r="AN43" s="51"/>
      <c r="AO43" s="51"/>
      <c r="AP43" s="51"/>
      <c r="AQ43" s="51"/>
      <c r="AR43" s="51"/>
      <c r="AS43" s="51"/>
      <c r="AT43" s="51"/>
      <c r="AU43" s="51"/>
      <c r="AV43" s="51"/>
      <c r="AW43" s="51"/>
      <c r="AX43" s="51"/>
      <c r="AY43" s="82">
        <v>77</v>
      </c>
      <c r="AZ43" s="142" t="str">
        <f>VLOOKUP(AY43,市町村データ!A2:P106,MATCH(手順書_丁目_人口!$G$63, 市町村データ!A1:P1, 0),FALSE)</f>
        <v>栗原1</v>
      </c>
      <c r="BA43" s="154"/>
      <c r="BB43" s="159"/>
      <c r="BC43" s="82">
        <v>78</v>
      </c>
      <c r="BD43" s="142" t="str">
        <f>VLOOKUP(BC43,市町村データ!A2:P106,MATCH(手順書_丁目_人口!$G$63, 市町村データ!A1:P1, 0),FALSE)</f>
        <v>栗原2</v>
      </c>
      <c r="BE43" s="154"/>
      <c r="BF43" s="159"/>
      <c r="BG43" s="82">
        <v>79</v>
      </c>
      <c r="BH43" s="142" t="str">
        <f>VLOOKUP(BG43,市町村データ!A2:P106,MATCH(手順書_丁目_人口!$G$63, 市町村データ!A1:P1, 0),FALSE)</f>
        <v>栗原3</v>
      </c>
      <c r="BI43" s="154"/>
      <c r="BJ43" s="159"/>
      <c r="BK43" s="100"/>
      <c r="BL43" s="101"/>
      <c r="BM43" s="101"/>
      <c r="BN43" s="101"/>
      <c r="BO43" s="101"/>
      <c r="BP43" s="101"/>
      <c r="BQ43" s="101"/>
      <c r="BR43" s="101"/>
      <c r="BS43" s="79"/>
      <c r="BT43" s="78"/>
    </row>
    <row r="44" spans="1:72" ht="21.15" customHeight="1" x14ac:dyDescent="0.55000000000000004">
      <c r="A44" s="78"/>
      <c r="B44" s="79"/>
      <c r="C44" s="79"/>
      <c r="D44" s="79"/>
      <c r="E44" s="79"/>
      <c r="F44" s="79"/>
      <c r="G44" s="79"/>
      <c r="H44" s="79"/>
      <c r="I44" s="79"/>
      <c r="J44" s="79"/>
      <c r="K44" s="79"/>
      <c r="L44" s="79"/>
      <c r="M44" s="79"/>
      <c r="N44" s="79"/>
      <c r="O44" s="79"/>
      <c r="P44" s="79"/>
      <c r="Q44" s="79"/>
      <c r="R44" s="79"/>
      <c r="S44" s="79"/>
      <c r="T44" s="79"/>
      <c r="U44" s="79"/>
      <c r="V44" s="79"/>
      <c r="W44" s="79"/>
      <c r="X44" s="79"/>
      <c r="Y44" s="79"/>
      <c r="Z44" s="79"/>
      <c r="AA44" s="79"/>
      <c r="AB44" s="79"/>
      <c r="AC44" s="79"/>
      <c r="AD44" s="79"/>
      <c r="AE44" s="79"/>
      <c r="AF44" s="79"/>
      <c r="AG44" s="79"/>
      <c r="AH44" s="79"/>
      <c r="AI44" s="51"/>
      <c r="AJ44" s="51"/>
      <c r="AK44" s="51"/>
      <c r="AL44" s="51"/>
      <c r="AM44" s="51"/>
      <c r="AN44" s="51"/>
      <c r="AO44" s="51"/>
      <c r="AP44" s="51"/>
      <c r="AQ44" s="51"/>
      <c r="AR44" s="51"/>
      <c r="AS44" s="51"/>
      <c r="AT44" s="51"/>
      <c r="AU44" s="51"/>
      <c r="AV44" s="51"/>
      <c r="AW44" s="51"/>
      <c r="AX44" s="51"/>
      <c r="AY44" s="282">
        <f>VLOOKUP(AY43,市町村データ!A2:P106,MATCH(手順書_丁目_人口!$F$64, 市町村データ!A1:P1, 0),FALSE)</f>
        <v>153</v>
      </c>
      <c r="AZ44" s="156"/>
      <c r="BA44" s="156"/>
      <c r="BB44" s="158"/>
      <c r="BC44" s="285">
        <f>VLOOKUP(BC43,市町村データ!A2:P106,MATCH(手順書_丁目_人口!$F$64, 市町村データ!A1:P1, 0),FALSE)</f>
        <v>92</v>
      </c>
      <c r="BD44" s="156"/>
      <c r="BE44" s="156"/>
      <c r="BF44" s="158"/>
      <c r="BG44" s="238">
        <f>VLOOKUP(BG43,市町村データ!A2:P106,MATCH(手順書_丁目_人口!$F$64, 市町村データ!A1:P1, 0),FALSE)</f>
        <v>137.4</v>
      </c>
      <c r="BH44" s="156"/>
      <c r="BI44" s="156"/>
      <c r="BJ44" s="158"/>
      <c r="BK44" s="99"/>
      <c r="BL44" s="51"/>
      <c r="BM44" s="51"/>
      <c r="BN44" s="51"/>
      <c r="BO44" s="51"/>
      <c r="BP44" s="51"/>
      <c r="BQ44" s="51"/>
      <c r="BR44" s="51"/>
      <c r="BS44" s="79"/>
      <c r="BT44" s="78"/>
    </row>
    <row r="45" spans="1:72" ht="21.15" customHeight="1" x14ac:dyDescent="0.55000000000000004">
      <c r="A45" s="78"/>
      <c r="B45" s="79"/>
      <c r="C45" s="79"/>
      <c r="D45" s="79"/>
      <c r="E45" s="79"/>
      <c r="F45" s="79"/>
      <c r="G45" s="79"/>
      <c r="H45" s="79"/>
      <c r="I45" s="79"/>
      <c r="J45" s="79"/>
      <c r="K45" s="79"/>
      <c r="L45" s="79"/>
      <c r="M45" s="79"/>
      <c r="N45" s="79"/>
      <c r="O45" s="79"/>
      <c r="P45" s="79"/>
      <c r="Q45" s="79"/>
      <c r="R45" s="79"/>
      <c r="S45" s="79"/>
      <c r="T45" s="79"/>
      <c r="U45" s="79"/>
      <c r="V45" s="79"/>
      <c r="W45" s="79"/>
      <c r="X45" s="79"/>
      <c r="Y45" s="79"/>
      <c r="Z45" s="79"/>
      <c r="AA45" s="79"/>
      <c r="AB45" s="79"/>
      <c r="AC45" s="79"/>
      <c r="AD45" s="79"/>
      <c r="AE45" s="79"/>
      <c r="AF45" s="79"/>
      <c r="AG45" s="79"/>
      <c r="AH45" s="79"/>
      <c r="AI45" s="51"/>
      <c r="AJ45" s="51"/>
      <c r="AK45" s="51"/>
      <c r="AL45" s="51"/>
      <c r="AM45" s="51"/>
      <c r="AN45" s="51"/>
      <c r="AO45" s="51"/>
      <c r="AP45" s="51"/>
      <c r="AQ45" s="51"/>
      <c r="AR45" s="51"/>
      <c r="AS45" s="51"/>
      <c r="AT45" s="51"/>
      <c r="AU45" s="51"/>
      <c r="AV45" s="51"/>
      <c r="AW45" s="51"/>
      <c r="AX45" s="51"/>
      <c r="AY45" s="280">
        <f>VLOOKUP(AY43,市町村データ!A2:P106,MATCH(手順書_丁目_人口!$F$65, 市町村データ!A1:P1, 0),FALSE)</f>
        <v>3350</v>
      </c>
      <c r="AZ45" s="156"/>
      <c r="BA45" s="156"/>
      <c r="BB45" s="158"/>
      <c r="BC45" s="283">
        <f>VLOOKUP(BC43,市町村データ!A2:P106,MATCH(手順書_丁目_人口!$F$65, 市町村データ!A1:P1, 0),FALSE)</f>
        <v>920</v>
      </c>
      <c r="BD45" s="156"/>
      <c r="BE45" s="156"/>
      <c r="BF45" s="158"/>
      <c r="BG45" s="243">
        <f>VLOOKUP(BG43,市町村データ!A2:P106,MATCH(手順書_丁目_人口!$F$65, 市町村データ!A1:P1, 0),FALSE)</f>
        <v>2061</v>
      </c>
      <c r="BH45" s="156"/>
      <c r="BI45" s="156"/>
      <c r="BJ45" s="158"/>
      <c r="BK45" s="99"/>
      <c r="BL45" s="51"/>
      <c r="BM45" s="51"/>
      <c r="BN45" s="51"/>
      <c r="BO45" s="51"/>
      <c r="BP45" s="51"/>
      <c r="BQ45" s="51"/>
      <c r="BR45" s="51"/>
      <c r="BS45" s="79"/>
      <c r="BT45" s="78"/>
    </row>
    <row r="46" spans="1:72" ht="21.15" customHeight="1" thickBot="1" x14ac:dyDescent="0.6">
      <c r="A46" s="78"/>
      <c r="B46" s="79"/>
      <c r="C46" s="79"/>
      <c r="D46" s="79"/>
      <c r="E46" s="79"/>
      <c r="F46" s="79"/>
      <c r="G46" s="79"/>
      <c r="H46" s="79"/>
      <c r="I46" s="79"/>
      <c r="J46" s="79"/>
      <c r="K46" s="79"/>
      <c r="L46" s="79"/>
      <c r="M46" s="79"/>
      <c r="N46" s="79"/>
      <c r="O46" s="79"/>
      <c r="P46" s="79"/>
      <c r="Q46" s="79"/>
      <c r="R46" s="79"/>
      <c r="S46" s="79"/>
      <c r="T46" s="79"/>
      <c r="U46" s="79"/>
      <c r="V46" s="79"/>
      <c r="W46" s="79"/>
      <c r="X46" s="79"/>
      <c r="Y46" s="79"/>
      <c r="Z46" s="79"/>
      <c r="AA46" s="79"/>
      <c r="AB46" s="79"/>
      <c r="AC46" s="79"/>
      <c r="AD46" s="79"/>
      <c r="AE46" s="79"/>
      <c r="AF46" s="79"/>
      <c r="AG46" s="79"/>
      <c r="AH46" s="79"/>
      <c r="AI46" s="51"/>
      <c r="AJ46" s="51"/>
      <c r="AK46" s="51"/>
      <c r="AL46" s="51"/>
      <c r="AM46" s="51"/>
      <c r="AN46" s="51"/>
      <c r="AO46" s="51"/>
      <c r="AP46" s="51"/>
      <c r="AQ46" s="51"/>
      <c r="AR46" s="51"/>
      <c r="AS46" s="51"/>
      <c r="AT46" s="51"/>
      <c r="AU46" s="51"/>
      <c r="AV46" s="51"/>
      <c r="AW46" s="51"/>
      <c r="AX46" s="51"/>
      <c r="AY46" s="281">
        <f>VLOOKUP(AY43,市町村データ!A2:P106,MATCH(手順書_丁目_人口!$F$66, 市町村データ!A1:P1, 0),FALSE)</f>
        <v>21.9</v>
      </c>
      <c r="AZ46" s="153"/>
      <c r="BA46" s="153"/>
      <c r="BB46" s="240"/>
      <c r="BC46" s="284">
        <f>VLOOKUP(BC43,市町村データ!A2:P106,MATCH(手順書_丁目_人口!$F$66, 市町村データ!A1:P1, 0),FALSE)</f>
        <v>10</v>
      </c>
      <c r="BD46" s="153"/>
      <c r="BE46" s="153"/>
      <c r="BF46" s="240"/>
      <c r="BG46" s="241">
        <f>VLOOKUP(BG43,市町村データ!A2:P106,MATCH(手順書_丁目_人口!$F$66, 市町村データ!A1:P1, 0),FALSE)</f>
        <v>15</v>
      </c>
      <c r="BH46" s="153"/>
      <c r="BI46" s="153"/>
      <c r="BJ46" s="240"/>
      <c r="BK46" s="99"/>
      <c r="BL46" s="51"/>
      <c r="BM46" s="51"/>
      <c r="BN46" s="51"/>
      <c r="BO46" s="51"/>
      <c r="BP46" s="51"/>
      <c r="BQ46" s="51"/>
      <c r="BR46" s="51"/>
      <c r="BS46" s="79"/>
      <c r="BT46" s="78"/>
    </row>
    <row r="47" spans="1:72" ht="21.15" customHeight="1" x14ac:dyDescent="0.55000000000000004">
      <c r="A47" s="78"/>
      <c r="B47" s="79"/>
      <c r="C47" s="81" t="s">
        <v>520</v>
      </c>
      <c r="D47" s="79"/>
      <c r="E47" s="79"/>
      <c r="F47" s="79"/>
      <c r="G47" s="79"/>
      <c r="H47" s="79"/>
      <c r="I47" s="79"/>
      <c r="J47" s="79"/>
      <c r="K47" s="79"/>
      <c r="L47" s="79"/>
      <c r="M47" s="79"/>
      <c r="N47" s="79"/>
      <c r="O47" s="79"/>
      <c r="P47" s="79"/>
      <c r="Q47" s="79"/>
      <c r="R47" s="79"/>
      <c r="S47" s="79"/>
      <c r="T47" s="79"/>
      <c r="U47" s="79"/>
      <c r="V47" s="79"/>
      <c r="W47" s="79"/>
      <c r="X47" s="79"/>
      <c r="Y47" s="79"/>
      <c r="Z47" s="79"/>
      <c r="AA47" s="79"/>
      <c r="AB47" s="79"/>
      <c r="AC47" s="79"/>
      <c r="AD47" s="79"/>
      <c r="AE47" s="79"/>
      <c r="AF47" s="79"/>
      <c r="AG47" s="79"/>
      <c r="AH47" s="79"/>
      <c r="AI47" s="51"/>
      <c r="AJ47" s="51"/>
      <c r="AK47" s="51"/>
      <c r="AL47" s="51"/>
      <c r="AM47" s="51"/>
      <c r="AN47" s="51"/>
      <c r="AO47" s="51"/>
      <c r="AP47" s="51"/>
      <c r="AQ47" s="51"/>
      <c r="AR47" s="51"/>
      <c r="AS47" s="51"/>
      <c r="AT47" s="51"/>
      <c r="AU47" s="51"/>
      <c r="AV47" s="51"/>
      <c r="AW47" s="51"/>
      <c r="AX47" s="51"/>
      <c r="AY47" s="82">
        <v>80</v>
      </c>
      <c r="AZ47" s="142" t="str">
        <f>VLOOKUP(AY47,市町村データ!A2:P106,MATCH(手順書_丁目_人口!$G$63, 市町村データ!A1:P1, 0),FALSE)</f>
        <v>栗原6</v>
      </c>
      <c r="BA47" s="154"/>
      <c r="BB47" s="159"/>
      <c r="BC47" s="82">
        <v>81</v>
      </c>
      <c r="BD47" s="142" t="str">
        <f>VLOOKUP(BC47,市町村データ!A2:P106,MATCH(手順書_丁目_人口!$G$63, 市町村データ!A1:P1, 0),FALSE)</f>
        <v>栗原5</v>
      </c>
      <c r="BE47" s="154"/>
      <c r="BF47" s="159"/>
      <c r="BG47" s="82">
        <v>82</v>
      </c>
      <c r="BH47" s="142" t="str">
        <f>VLOOKUP(BG47,市町村データ!A2:P106,MATCH(手順書_丁目_人口!$G$63, 市町村データ!A1:P1, 0),FALSE)</f>
        <v>栗原4</v>
      </c>
      <c r="BI47" s="154"/>
      <c r="BJ47" s="159"/>
      <c r="BK47" s="99"/>
      <c r="BL47" s="51"/>
      <c r="BM47" s="51"/>
      <c r="BN47" s="51"/>
      <c r="BO47" s="51"/>
      <c r="BP47" s="51"/>
      <c r="BQ47" s="51"/>
      <c r="BR47" s="51"/>
      <c r="BS47" s="79"/>
      <c r="BT47" s="78"/>
    </row>
    <row r="48" spans="1:72" ht="21.15" customHeight="1" x14ac:dyDescent="0.55000000000000004">
      <c r="A48" s="78"/>
      <c r="B48" s="79"/>
      <c r="C48" s="79"/>
      <c r="D48" s="79"/>
      <c r="E48" s="79"/>
      <c r="F48" s="79"/>
      <c r="G48" s="79"/>
      <c r="H48" s="79"/>
      <c r="I48" s="79"/>
      <c r="J48" s="79"/>
      <c r="K48" s="79"/>
      <c r="L48" s="79"/>
      <c r="M48" s="79"/>
      <c r="N48" s="79"/>
      <c r="O48" s="79"/>
      <c r="P48" s="79"/>
      <c r="Q48" s="79"/>
      <c r="R48" s="79"/>
      <c r="S48" s="79"/>
      <c r="T48" s="79"/>
      <c r="U48" s="79"/>
      <c r="V48" s="79"/>
      <c r="W48" s="79"/>
      <c r="X48" s="79"/>
      <c r="Y48" s="79"/>
      <c r="Z48" s="79"/>
      <c r="AA48" s="79"/>
      <c r="AB48" s="79"/>
      <c r="AC48" s="79"/>
      <c r="AD48" s="79"/>
      <c r="AE48" s="79"/>
      <c r="AF48" s="79"/>
      <c r="AG48" s="79"/>
      <c r="AH48" s="79"/>
      <c r="AI48" s="51"/>
      <c r="AJ48" s="51"/>
      <c r="AK48" s="51"/>
      <c r="AL48" s="51"/>
      <c r="AM48" s="51"/>
      <c r="AN48" s="51"/>
      <c r="AO48" s="51"/>
      <c r="AP48" s="51"/>
      <c r="AQ48" s="51"/>
      <c r="AR48" s="51"/>
      <c r="AS48" s="51"/>
      <c r="AT48" s="51"/>
      <c r="AU48" s="51"/>
      <c r="AV48" s="51"/>
      <c r="AW48" s="51"/>
      <c r="AX48" s="51"/>
      <c r="AY48" s="282">
        <f>VLOOKUP(AY47,市町村データ!A2:P106,MATCH(手順書_丁目_人口!$F$64, 市町村データ!A1:P1, 0),FALSE)</f>
        <v>185.2</v>
      </c>
      <c r="AZ48" s="156"/>
      <c r="BA48" s="156"/>
      <c r="BB48" s="158"/>
      <c r="BC48" s="282">
        <f>VLOOKUP(BC47,市町村データ!A2:P106,MATCH(手順書_丁目_人口!$F$64, 市町村データ!A1:P1, 0),FALSE)</f>
        <v>183.5</v>
      </c>
      <c r="BD48" s="156"/>
      <c r="BE48" s="156"/>
      <c r="BF48" s="158"/>
      <c r="BG48" s="238">
        <f>VLOOKUP(BG47,市町村データ!A2:P106,MATCH(手順書_丁目_人口!$F$64, 市町村データ!A1:P1, 0),FALSE)</f>
        <v>156.6</v>
      </c>
      <c r="BH48" s="156"/>
      <c r="BI48" s="156"/>
      <c r="BJ48" s="158"/>
      <c r="BK48" s="99"/>
      <c r="BL48" s="51"/>
      <c r="BM48" s="51"/>
      <c r="BN48" s="51"/>
      <c r="BO48" s="51"/>
      <c r="BP48" s="51"/>
      <c r="BQ48" s="51"/>
      <c r="BR48" s="51"/>
      <c r="BS48" s="79"/>
      <c r="BT48" s="78"/>
    </row>
    <row r="49" spans="1:72" ht="21.15" customHeight="1" x14ac:dyDescent="0.55000000000000004">
      <c r="A49" s="78"/>
      <c r="B49" s="79"/>
      <c r="C49" s="79"/>
      <c r="D49" s="79"/>
      <c r="E49" s="79"/>
      <c r="F49" s="79"/>
      <c r="G49" s="79"/>
      <c r="H49" s="79"/>
      <c r="I49" s="79"/>
      <c r="J49" s="79"/>
      <c r="K49" s="79"/>
      <c r="L49" s="79"/>
      <c r="M49" s="79"/>
      <c r="N49" s="79"/>
      <c r="O49" s="79"/>
      <c r="P49" s="79"/>
      <c r="Q49" s="79"/>
      <c r="R49" s="79"/>
      <c r="S49" s="79"/>
      <c r="T49" s="79"/>
      <c r="U49" s="79"/>
      <c r="V49" s="79"/>
      <c r="W49" s="79"/>
      <c r="X49" s="79"/>
      <c r="Y49" s="79"/>
      <c r="Z49" s="79"/>
      <c r="AA49" s="79"/>
      <c r="AB49" s="79"/>
      <c r="AC49" s="79"/>
      <c r="AD49" s="79"/>
      <c r="AE49" s="79"/>
      <c r="AF49" s="79"/>
      <c r="AG49" s="79"/>
      <c r="AH49" s="79"/>
      <c r="AI49" s="51"/>
      <c r="AJ49" s="51"/>
      <c r="AK49" s="51"/>
      <c r="AL49" s="51"/>
      <c r="AM49" s="51"/>
      <c r="AN49" s="51"/>
      <c r="AO49" s="51"/>
      <c r="AP49" s="51"/>
      <c r="AQ49" s="51"/>
      <c r="AR49" s="51"/>
      <c r="AS49" s="51"/>
      <c r="AT49" s="51"/>
      <c r="AU49" s="51"/>
      <c r="AV49" s="51"/>
      <c r="AW49" s="51"/>
      <c r="AX49" s="51"/>
      <c r="AY49" s="280">
        <f>VLOOKUP(AY47,市町村データ!A2:P106,MATCH(手順書_丁目_人口!$F$65, 市町村データ!A1:P1, 0),FALSE)</f>
        <v>2593</v>
      </c>
      <c r="AZ49" s="156"/>
      <c r="BA49" s="156"/>
      <c r="BB49" s="158"/>
      <c r="BC49" s="280">
        <f>VLOOKUP(BC47,市町村データ!A2:P106,MATCH(手順書_丁目_人口!$F$65, 市町村データ!A1:P1, 0),FALSE)</f>
        <v>2661</v>
      </c>
      <c r="BD49" s="156"/>
      <c r="BE49" s="156"/>
      <c r="BF49" s="158"/>
      <c r="BG49" s="243">
        <f>VLOOKUP(BG47,市町村データ!A2:P106,MATCH(手順書_丁目_人口!$F$65, 市町村データ!A1:P1, 0),FALSE)</f>
        <v>2036</v>
      </c>
      <c r="BH49" s="156"/>
      <c r="BI49" s="156"/>
      <c r="BJ49" s="158"/>
      <c r="BK49" s="99"/>
      <c r="BL49" s="51"/>
      <c r="BM49" s="51"/>
      <c r="BN49" s="51"/>
      <c r="BO49" s="51"/>
      <c r="BP49" s="51"/>
      <c r="BQ49" s="51"/>
      <c r="BR49" s="51"/>
      <c r="BS49" s="79"/>
      <c r="BT49" s="78"/>
    </row>
    <row r="50" spans="1:72" ht="21.15" customHeight="1" thickBot="1" x14ac:dyDescent="0.6">
      <c r="A50" s="78"/>
      <c r="B50" s="79"/>
      <c r="C50" s="79"/>
      <c r="D50" s="79"/>
      <c r="E50" s="79"/>
      <c r="F50" s="79"/>
      <c r="G50" s="79"/>
      <c r="H50" s="79"/>
      <c r="I50" s="79"/>
      <c r="J50" s="79"/>
      <c r="K50" s="79"/>
      <c r="L50" s="79"/>
      <c r="M50" s="79"/>
      <c r="N50" s="79"/>
      <c r="O50" s="79"/>
      <c r="P50" s="79"/>
      <c r="Q50" s="79"/>
      <c r="R50" s="79"/>
      <c r="S50" s="79"/>
      <c r="T50" s="79"/>
      <c r="U50" s="79"/>
      <c r="V50" s="79"/>
      <c r="W50" s="79"/>
      <c r="X50" s="79"/>
      <c r="Y50" s="79"/>
      <c r="Z50" s="79"/>
      <c r="AA50" s="79"/>
      <c r="AB50" s="79"/>
      <c r="AC50" s="79"/>
      <c r="AD50" s="79"/>
      <c r="AE50" s="79"/>
      <c r="AF50" s="79"/>
      <c r="AG50" s="79"/>
      <c r="AH50" s="79"/>
      <c r="AI50" s="79"/>
      <c r="AJ50" s="79"/>
      <c r="AK50" s="79"/>
      <c r="AL50" s="79"/>
      <c r="AM50" s="79"/>
      <c r="AN50" s="79"/>
      <c r="AO50" s="79"/>
      <c r="AP50" s="79"/>
      <c r="AQ50" s="79"/>
      <c r="AR50" s="79"/>
      <c r="AS50" s="79"/>
      <c r="AT50" s="79"/>
      <c r="AU50" s="79"/>
      <c r="AV50" s="51"/>
      <c r="AW50" s="51"/>
      <c r="AX50" s="51"/>
      <c r="AY50" s="281">
        <f>VLOOKUP(AY47,市町村データ!A2:P106,MATCH(手順書_丁目_人口!$F$66, 市町村データ!A1:P1, 0),FALSE)</f>
        <v>14</v>
      </c>
      <c r="AZ50" s="153"/>
      <c r="BA50" s="153"/>
      <c r="BB50" s="240"/>
      <c r="BC50" s="281">
        <f>VLOOKUP(BC47,市町村データ!A2:P106,MATCH(手順書_丁目_人口!$F$66, 市町村データ!A1:P1, 0),FALSE)</f>
        <v>14.5</v>
      </c>
      <c r="BD50" s="153"/>
      <c r="BE50" s="153"/>
      <c r="BF50" s="240"/>
      <c r="BG50" s="241">
        <f>VLOOKUP(BG47,市町村データ!A2:P106,MATCH(手順書_丁目_人口!$F$66, 市町村データ!A1:P1, 0),FALSE)</f>
        <v>13</v>
      </c>
      <c r="BH50" s="153"/>
      <c r="BI50" s="153"/>
      <c r="BJ50" s="240"/>
      <c r="BK50" s="85"/>
      <c r="BL50" s="79"/>
      <c r="BM50" s="79"/>
      <c r="BN50" s="79"/>
      <c r="BO50" s="51"/>
      <c r="BP50" s="51"/>
      <c r="BQ50" s="51"/>
      <c r="BR50" s="51"/>
      <c r="BS50" s="51"/>
      <c r="BT50" s="78"/>
    </row>
    <row r="51" spans="1:72" ht="21.15" customHeight="1" x14ac:dyDescent="0.55000000000000004">
      <c r="A51" s="78"/>
      <c r="B51" s="79" t="s">
        <v>162</v>
      </c>
      <c r="C51" s="79"/>
      <c r="D51" s="79"/>
      <c r="E51" s="79"/>
      <c r="F51" s="79"/>
      <c r="G51" s="102"/>
      <c r="H51" s="79"/>
      <c r="I51" s="79"/>
      <c r="J51" s="79"/>
      <c r="K51" s="79"/>
      <c r="L51" s="79"/>
      <c r="M51" s="79"/>
      <c r="N51" s="79"/>
      <c r="O51" s="79"/>
      <c r="P51" s="79"/>
      <c r="Q51" s="79"/>
      <c r="R51" s="79"/>
      <c r="S51" s="79"/>
      <c r="T51" s="79"/>
      <c r="U51" s="79"/>
      <c r="V51" s="79"/>
      <c r="W51" s="79"/>
      <c r="X51" s="79"/>
      <c r="Y51" s="79"/>
      <c r="Z51" s="79"/>
      <c r="AA51" s="79"/>
      <c r="AB51" s="79"/>
      <c r="AC51" s="79"/>
      <c r="AD51" s="79"/>
      <c r="AE51" s="79"/>
      <c r="AF51" s="79"/>
      <c r="AG51" s="79"/>
      <c r="AH51" s="79"/>
      <c r="AI51" s="79"/>
      <c r="AJ51" s="79"/>
      <c r="AK51" s="79"/>
      <c r="AL51" s="79"/>
      <c r="AM51" s="52"/>
      <c r="AN51" s="52"/>
      <c r="AO51" s="52"/>
      <c r="AP51" s="52"/>
      <c r="AQ51" s="52"/>
      <c r="AR51" s="52"/>
      <c r="AS51" s="52"/>
      <c r="AT51" s="52"/>
      <c r="AU51" s="52"/>
      <c r="AV51" s="52"/>
      <c r="AW51" s="52"/>
      <c r="AX51" s="52"/>
      <c r="AY51" s="103"/>
      <c r="AZ51" s="103"/>
      <c r="BA51" s="103"/>
      <c r="BB51" s="103"/>
      <c r="BC51" s="103"/>
      <c r="BD51" s="103"/>
      <c r="BE51" s="103"/>
      <c r="BF51" s="103"/>
      <c r="BG51" s="103"/>
      <c r="BH51" s="103"/>
      <c r="BI51" s="103"/>
      <c r="BJ51" s="103"/>
      <c r="BK51" s="52"/>
      <c r="BL51" s="52"/>
      <c r="BM51" s="52"/>
      <c r="BN51" s="52"/>
      <c r="BO51" s="52"/>
      <c r="BP51" s="52"/>
      <c r="BQ51" s="52"/>
      <c r="BR51" s="52"/>
      <c r="BS51" s="52"/>
      <c r="BT51" s="78"/>
    </row>
    <row r="52" spans="1:72" ht="21.15" customHeight="1" x14ac:dyDescent="0.55000000000000004">
      <c r="A52" s="78"/>
      <c r="B52" s="79" t="s">
        <v>161</v>
      </c>
      <c r="C52" s="79"/>
      <c r="D52" s="79"/>
      <c r="E52" s="79"/>
      <c r="F52" s="79"/>
      <c r="G52" s="79"/>
      <c r="H52" s="79"/>
      <c r="I52" s="79"/>
      <c r="J52" s="79"/>
      <c r="K52" s="79"/>
      <c r="L52" s="79"/>
      <c r="M52" s="79"/>
      <c r="N52" s="79"/>
      <c r="O52" s="79"/>
      <c r="P52" s="79"/>
      <c r="Q52" s="79"/>
      <c r="R52" s="79"/>
      <c r="S52" s="79"/>
      <c r="T52" s="79"/>
      <c r="U52" s="79"/>
      <c r="V52" s="79"/>
      <c r="W52" s="79"/>
      <c r="X52" s="79"/>
      <c r="Y52" s="79"/>
      <c r="Z52" s="79"/>
      <c r="AA52" s="79"/>
      <c r="AB52" s="79"/>
      <c r="AC52" s="79"/>
      <c r="AD52" s="79"/>
      <c r="AE52" s="79"/>
      <c r="AF52" s="79"/>
      <c r="AG52" s="79"/>
      <c r="AH52" s="79"/>
      <c r="AI52" s="79"/>
      <c r="AJ52" s="79"/>
      <c r="AK52" s="79"/>
      <c r="AL52" s="79"/>
      <c r="AM52" s="79"/>
      <c r="AN52" s="79"/>
      <c r="AO52" s="79"/>
      <c r="AP52" s="79"/>
      <c r="AQ52" s="79"/>
      <c r="AR52" s="79"/>
      <c r="AS52" s="79"/>
      <c r="AT52" s="79"/>
      <c r="AU52" s="79"/>
      <c r="AV52" s="79"/>
      <c r="AW52" s="79"/>
      <c r="AX52" s="79"/>
      <c r="AY52" s="79"/>
      <c r="AZ52" s="79"/>
      <c r="BA52" s="79"/>
      <c r="BB52" s="79"/>
      <c r="BC52" s="79"/>
      <c r="BD52" s="79"/>
      <c r="BE52" s="79"/>
      <c r="BF52" s="79"/>
      <c r="BG52" s="79"/>
      <c r="BH52" s="79"/>
      <c r="BI52" s="79"/>
      <c r="BJ52" s="79"/>
      <c r="BK52" s="79"/>
      <c r="BL52" s="79"/>
      <c r="BM52" s="79"/>
      <c r="BN52" s="79"/>
      <c r="BO52" s="79"/>
      <c r="BP52" s="79"/>
      <c r="BQ52" s="79"/>
      <c r="BR52" s="79"/>
      <c r="BS52" s="79"/>
      <c r="BT52" s="78"/>
    </row>
    <row r="53" spans="1:72" ht="21.15" customHeight="1" x14ac:dyDescent="0.55000000000000004">
      <c r="A53" s="78"/>
      <c r="B53" s="78"/>
      <c r="C53" s="78"/>
      <c r="D53" s="78"/>
      <c r="E53" s="78"/>
      <c r="F53" s="78"/>
      <c r="G53" s="78"/>
      <c r="H53" s="78"/>
      <c r="I53" s="78"/>
      <c r="J53" s="78"/>
      <c r="K53" s="78"/>
      <c r="L53" s="78"/>
      <c r="M53" s="78"/>
      <c r="N53" s="78"/>
      <c r="O53" s="78"/>
      <c r="P53" s="78"/>
      <c r="Q53" s="78"/>
      <c r="R53" s="78"/>
      <c r="S53" s="78"/>
      <c r="T53" s="78"/>
      <c r="U53" s="78"/>
      <c r="V53" s="78"/>
      <c r="W53" s="78"/>
      <c r="X53" s="78"/>
      <c r="Y53" s="78"/>
      <c r="Z53" s="78"/>
      <c r="AA53" s="78"/>
      <c r="AB53" s="78"/>
      <c r="AC53" s="78"/>
      <c r="AD53" s="78"/>
      <c r="AE53" s="78"/>
      <c r="AF53" s="78"/>
      <c r="AG53" s="78"/>
      <c r="AH53" s="78"/>
      <c r="AI53" s="78"/>
      <c r="AJ53" s="78"/>
      <c r="AK53" s="78"/>
      <c r="AL53" s="78"/>
      <c r="AM53" s="78"/>
      <c r="AN53" s="78"/>
      <c r="AO53" s="78"/>
      <c r="AP53" s="78"/>
      <c r="AQ53" s="78"/>
      <c r="AR53" s="78"/>
      <c r="AS53" s="78"/>
      <c r="AT53" s="78"/>
      <c r="AU53" s="78"/>
      <c r="AV53" s="78"/>
      <c r="AW53" s="78"/>
      <c r="AX53" s="78"/>
      <c r="AY53" s="78"/>
      <c r="AZ53" s="78"/>
      <c r="BA53" s="78"/>
      <c r="BB53" s="78"/>
      <c r="BC53" s="78"/>
      <c r="BD53" s="78"/>
      <c r="BE53" s="78"/>
      <c r="BF53" s="78"/>
      <c r="BG53" s="78"/>
      <c r="BH53" s="78"/>
      <c r="BI53" s="78"/>
      <c r="BJ53" s="78"/>
      <c r="BK53" s="78"/>
      <c r="BL53" s="78"/>
      <c r="BM53" s="78"/>
      <c r="BN53" s="78"/>
      <c r="BO53" s="78"/>
      <c r="BP53" s="78"/>
      <c r="BQ53" s="78"/>
      <c r="BR53" s="78"/>
      <c r="BS53" s="78"/>
      <c r="BT53" s="78"/>
    </row>
  </sheetData>
  <mergeCells count="356">
    <mergeCell ref="K8:N8"/>
    <mergeCell ref="O8:R8"/>
    <mergeCell ref="S8:V8"/>
    <mergeCell ref="W8:Z8"/>
    <mergeCell ref="AA8:AD8"/>
    <mergeCell ref="AE8:AH8"/>
    <mergeCell ref="L7:N7"/>
    <mergeCell ref="P7:R7"/>
    <mergeCell ref="T7:V7"/>
    <mergeCell ref="X7:Z7"/>
    <mergeCell ref="AB7:AD7"/>
    <mergeCell ref="AF7:AH7"/>
    <mergeCell ref="K10:N10"/>
    <mergeCell ref="O10:R10"/>
    <mergeCell ref="S10:V10"/>
    <mergeCell ref="W10:Z10"/>
    <mergeCell ref="AA10:AD10"/>
    <mergeCell ref="AE10:AH10"/>
    <mergeCell ref="K9:N9"/>
    <mergeCell ref="O9:R9"/>
    <mergeCell ref="S9:V9"/>
    <mergeCell ref="W9:Z9"/>
    <mergeCell ref="AA9:AD9"/>
    <mergeCell ref="AE9:AH9"/>
    <mergeCell ref="AJ11:AL11"/>
    <mergeCell ref="AN11:AP11"/>
    <mergeCell ref="G12:J12"/>
    <mergeCell ref="K12:N12"/>
    <mergeCell ref="S12:V12"/>
    <mergeCell ref="W12:Z12"/>
    <mergeCell ref="AA12:AD12"/>
    <mergeCell ref="AE12:AH12"/>
    <mergeCell ref="AI12:AL12"/>
    <mergeCell ref="AM12:AP12"/>
    <mergeCell ref="H11:J11"/>
    <mergeCell ref="L11:N11"/>
    <mergeCell ref="T11:V11"/>
    <mergeCell ref="X11:Z11"/>
    <mergeCell ref="AB11:AD11"/>
    <mergeCell ref="AF11:AH11"/>
    <mergeCell ref="AI13:AL13"/>
    <mergeCell ref="AM13:AP13"/>
    <mergeCell ref="G14:J14"/>
    <mergeCell ref="K14:N14"/>
    <mergeCell ref="S14:V14"/>
    <mergeCell ref="W14:Z14"/>
    <mergeCell ref="AA14:AD14"/>
    <mergeCell ref="AE14:AH14"/>
    <mergeCell ref="AI14:AL14"/>
    <mergeCell ref="AM14:AP14"/>
    <mergeCell ref="G13:J13"/>
    <mergeCell ref="K13:N13"/>
    <mergeCell ref="S13:V13"/>
    <mergeCell ref="W13:Z13"/>
    <mergeCell ref="AA13:AD13"/>
    <mergeCell ref="AE13:AH13"/>
    <mergeCell ref="AF15:AH15"/>
    <mergeCell ref="AJ15:AL15"/>
    <mergeCell ref="AN15:AP15"/>
    <mergeCell ref="G16:J16"/>
    <mergeCell ref="K16:N16"/>
    <mergeCell ref="O16:R16"/>
    <mergeCell ref="S16:V16"/>
    <mergeCell ref="W16:Z16"/>
    <mergeCell ref="AA16:AD16"/>
    <mergeCell ref="AE16:AH16"/>
    <mergeCell ref="H15:J15"/>
    <mergeCell ref="L15:N15"/>
    <mergeCell ref="P15:R15"/>
    <mergeCell ref="T15:V15"/>
    <mergeCell ref="X15:Z15"/>
    <mergeCell ref="AB15:AD15"/>
    <mergeCell ref="AI16:AL16"/>
    <mergeCell ref="AM16:AP16"/>
    <mergeCell ref="G17:J17"/>
    <mergeCell ref="K17:N17"/>
    <mergeCell ref="O17:R17"/>
    <mergeCell ref="S17:V17"/>
    <mergeCell ref="W17:Z17"/>
    <mergeCell ref="AA17:AD17"/>
    <mergeCell ref="AE17:AH17"/>
    <mergeCell ref="AI17:AL17"/>
    <mergeCell ref="AM17:AP17"/>
    <mergeCell ref="G18:J18"/>
    <mergeCell ref="K18:N18"/>
    <mergeCell ref="O18:R18"/>
    <mergeCell ref="S18:V18"/>
    <mergeCell ref="W18:Z18"/>
    <mergeCell ref="AA18:AD18"/>
    <mergeCell ref="AE18:AH18"/>
    <mergeCell ref="AI18:AL18"/>
    <mergeCell ref="AM18:AP18"/>
    <mergeCell ref="AN19:AP19"/>
    <mergeCell ref="AR19:AT19"/>
    <mergeCell ref="O20:R20"/>
    <mergeCell ref="S20:V20"/>
    <mergeCell ref="W20:Z20"/>
    <mergeCell ref="AA20:AD20"/>
    <mergeCell ref="AE20:AH20"/>
    <mergeCell ref="AI20:AL20"/>
    <mergeCell ref="AM20:AP20"/>
    <mergeCell ref="AQ20:AT20"/>
    <mergeCell ref="P19:R19"/>
    <mergeCell ref="T19:V19"/>
    <mergeCell ref="X19:Z19"/>
    <mergeCell ref="AB19:AD19"/>
    <mergeCell ref="AF19:AH19"/>
    <mergeCell ref="AJ19:AL19"/>
    <mergeCell ref="AM21:AP21"/>
    <mergeCell ref="AQ21:AT21"/>
    <mergeCell ref="O22:R22"/>
    <mergeCell ref="S22:V22"/>
    <mergeCell ref="W22:Z22"/>
    <mergeCell ref="AA22:AD22"/>
    <mergeCell ref="AE22:AH22"/>
    <mergeCell ref="AI22:AL22"/>
    <mergeCell ref="AM22:AP22"/>
    <mergeCell ref="AQ22:AT22"/>
    <mergeCell ref="O21:R21"/>
    <mergeCell ref="S21:V21"/>
    <mergeCell ref="W21:Z21"/>
    <mergeCell ref="AA21:AD21"/>
    <mergeCell ref="AE21:AH21"/>
    <mergeCell ref="AI21:AL21"/>
    <mergeCell ref="AN23:AP23"/>
    <mergeCell ref="AR23:AT23"/>
    <mergeCell ref="AV23:AX23"/>
    <mergeCell ref="AZ23:BB23"/>
    <mergeCell ref="O24:R24"/>
    <mergeCell ref="S24:V24"/>
    <mergeCell ref="W24:Z24"/>
    <mergeCell ref="AA24:AD24"/>
    <mergeCell ref="AE24:AH24"/>
    <mergeCell ref="AI24:AL24"/>
    <mergeCell ref="P23:R23"/>
    <mergeCell ref="T23:V23"/>
    <mergeCell ref="X23:Z23"/>
    <mergeCell ref="AB23:AD23"/>
    <mergeCell ref="AF23:AH23"/>
    <mergeCell ref="AJ23:AL23"/>
    <mergeCell ref="AY25:BB25"/>
    <mergeCell ref="O26:R26"/>
    <mergeCell ref="S26:V26"/>
    <mergeCell ref="W26:Z26"/>
    <mergeCell ref="AA26:AD26"/>
    <mergeCell ref="AE26:AH26"/>
    <mergeCell ref="AI26:AL26"/>
    <mergeCell ref="AM24:AP24"/>
    <mergeCell ref="AQ24:AT24"/>
    <mergeCell ref="AU24:AX24"/>
    <mergeCell ref="AY24:BB24"/>
    <mergeCell ref="O25:R25"/>
    <mergeCell ref="S25:V25"/>
    <mergeCell ref="W25:Z25"/>
    <mergeCell ref="AA25:AD25"/>
    <mergeCell ref="AE25:AH25"/>
    <mergeCell ref="AI25:AL25"/>
    <mergeCell ref="T27:V27"/>
    <mergeCell ref="X27:Z27"/>
    <mergeCell ref="AB27:AD27"/>
    <mergeCell ref="AF27:AH27"/>
    <mergeCell ref="AJ27:AL27"/>
    <mergeCell ref="AN27:AP27"/>
    <mergeCell ref="AM25:AP25"/>
    <mergeCell ref="AQ25:AT25"/>
    <mergeCell ref="AU25:AX25"/>
    <mergeCell ref="AR27:AT27"/>
    <mergeCell ref="AV27:AX27"/>
    <mergeCell ref="AZ27:BB27"/>
    <mergeCell ref="BD27:BF27"/>
    <mergeCell ref="BH27:BJ27"/>
    <mergeCell ref="BL27:BN27"/>
    <mergeCell ref="AM26:AP26"/>
    <mergeCell ref="AQ26:AT26"/>
    <mergeCell ref="AU26:AX26"/>
    <mergeCell ref="AY26:BB26"/>
    <mergeCell ref="AQ28:AT28"/>
    <mergeCell ref="AU28:AX28"/>
    <mergeCell ref="AY28:BB28"/>
    <mergeCell ref="BC28:BF28"/>
    <mergeCell ref="BG28:BJ28"/>
    <mergeCell ref="BK28:BN28"/>
    <mergeCell ref="S28:V28"/>
    <mergeCell ref="W28:Z28"/>
    <mergeCell ref="AA28:AD28"/>
    <mergeCell ref="AE28:AH28"/>
    <mergeCell ref="AI28:AL28"/>
    <mergeCell ref="AM28:AP28"/>
    <mergeCell ref="AQ29:AT29"/>
    <mergeCell ref="AU29:AX29"/>
    <mergeCell ref="AY29:BB29"/>
    <mergeCell ref="BC29:BF29"/>
    <mergeCell ref="BG29:BJ29"/>
    <mergeCell ref="BK29:BN29"/>
    <mergeCell ref="S29:V29"/>
    <mergeCell ref="W29:Z29"/>
    <mergeCell ref="AA29:AD29"/>
    <mergeCell ref="AE29:AH29"/>
    <mergeCell ref="AI29:AL29"/>
    <mergeCell ref="AM29:AP29"/>
    <mergeCell ref="AQ30:AT30"/>
    <mergeCell ref="AU30:AX30"/>
    <mergeCell ref="AY30:BB30"/>
    <mergeCell ref="BC30:BF30"/>
    <mergeCell ref="BG30:BJ30"/>
    <mergeCell ref="BK30:BN30"/>
    <mergeCell ref="S30:V30"/>
    <mergeCell ref="W30:Z30"/>
    <mergeCell ref="AA30:AD30"/>
    <mergeCell ref="AE30:AH30"/>
    <mergeCell ref="AI30:AL30"/>
    <mergeCell ref="AM30:AP30"/>
    <mergeCell ref="BL31:BN31"/>
    <mergeCell ref="G32:J32"/>
    <mergeCell ref="K32:N32"/>
    <mergeCell ref="O32:R32"/>
    <mergeCell ref="S32:V32"/>
    <mergeCell ref="AA32:AD32"/>
    <mergeCell ref="AE32:AH32"/>
    <mergeCell ref="AI32:AL32"/>
    <mergeCell ref="AM32:AP32"/>
    <mergeCell ref="AU32:AX32"/>
    <mergeCell ref="AJ31:AL31"/>
    <mergeCell ref="AN31:AP31"/>
    <mergeCell ref="AV31:AX31"/>
    <mergeCell ref="AZ31:BB31"/>
    <mergeCell ref="BD31:BF31"/>
    <mergeCell ref="BH31:BJ31"/>
    <mergeCell ref="H31:J31"/>
    <mergeCell ref="L31:N31"/>
    <mergeCell ref="P31:R31"/>
    <mergeCell ref="T31:V31"/>
    <mergeCell ref="AB31:AD31"/>
    <mergeCell ref="AF31:AH31"/>
    <mergeCell ref="AY32:BB32"/>
    <mergeCell ref="BC32:BF32"/>
    <mergeCell ref="BG32:BJ32"/>
    <mergeCell ref="BK32:BN32"/>
    <mergeCell ref="G33:J33"/>
    <mergeCell ref="K33:N33"/>
    <mergeCell ref="O33:R33"/>
    <mergeCell ref="S33:V33"/>
    <mergeCell ref="AA33:AD33"/>
    <mergeCell ref="AE33:AH33"/>
    <mergeCell ref="BK33:BN33"/>
    <mergeCell ref="G34:J34"/>
    <mergeCell ref="K34:N34"/>
    <mergeCell ref="O34:R34"/>
    <mergeCell ref="S34:V34"/>
    <mergeCell ref="AA34:AD34"/>
    <mergeCell ref="AE34:AH34"/>
    <mergeCell ref="AI34:AL34"/>
    <mergeCell ref="AM34:AP34"/>
    <mergeCell ref="AU34:AX34"/>
    <mergeCell ref="AI33:AL33"/>
    <mergeCell ref="AM33:AP33"/>
    <mergeCell ref="AU33:AX33"/>
    <mergeCell ref="AY33:BB33"/>
    <mergeCell ref="BC33:BF33"/>
    <mergeCell ref="BG33:BJ33"/>
    <mergeCell ref="AY34:BB34"/>
    <mergeCell ref="BC34:BF34"/>
    <mergeCell ref="BG34:BJ34"/>
    <mergeCell ref="BK34:BN34"/>
    <mergeCell ref="AB35:AD35"/>
    <mergeCell ref="AF35:AH35"/>
    <mergeCell ref="BD35:BF35"/>
    <mergeCell ref="BH35:BJ35"/>
    <mergeCell ref="BL35:BN35"/>
    <mergeCell ref="AA36:AD36"/>
    <mergeCell ref="AE36:AH36"/>
    <mergeCell ref="BC36:BF36"/>
    <mergeCell ref="BG36:BJ36"/>
    <mergeCell ref="BK36:BN36"/>
    <mergeCell ref="AA37:AD37"/>
    <mergeCell ref="AE37:AH37"/>
    <mergeCell ref="BC37:BF37"/>
    <mergeCell ref="BG37:BJ37"/>
    <mergeCell ref="BK37:BN37"/>
    <mergeCell ref="AA38:AD38"/>
    <mergeCell ref="AE38:AH38"/>
    <mergeCell ref="BC38:BF38"/>
    <mergeCell ref="BG38:BJ38"/>
    <mergeCell ref="BK38:BN38"/>
    <mergeCell ref="AZ39:BB39"/>
    <mergeCell ref="BD39:BF39"/>
    <mergeCell ref="BH39:BJ39"/>
    <mergeCell ref="BL39:BN39"/>
    <mergeCell ref="BK41:BN41"/>
    <mergeCell ref="BO41:BR41"/>
    <mergeCell ref="AY42:BB42"/>
    <mergeCell ref="BC42:BF42"/>
    <mergeCell ref="BG42:BJ42"/>
    <mergeCell ref="BK42:BN42"/>
    <mergeCell ref="BO42:BR42"/>
    <mergeCell ref="BP39:BR39"/>
    <mergeCell ref="AY40:BB40"/>
    <mergeCell ref="BC40:BF40"/>
    <mergeCell ref="BG40:BJ40"/>
    <mergeCell ref="BK40:BN40"/>
    <mergeCell ref="BO40:BR40"/>
    <mergeCell ref="AY50:BB50"/>
    <mergeCell ref="BC50:BF50"/>
    <mergeCell ref="BG50:BJ50"/>
    <mergeCell ref="AZ47:BB47"/>
    <mergeCell ref="BD47:BF47"/>
    <mergeCell ref="BH47:BJ47"/>
    <mergeCell ref="AY48:BB48"/>
    <mergeCell ref="BC48:BF48"/>
    <mergeCell ref="BG48:BJ48"/>
    <mergeCell ref="BO5:BQ5"/>
    <mergeCell ref="BN6:BQ6"/>
    <mergeCell ref="BN7:BQ7"/>
    <mergeCell ref="BN8:BQ8"/>
    <mergeCell ref="BN10:BP10"/>
    <mergeCell ref="BQ10:BR10"/>
    <mergeCell ref="AY49:BB49"/>
    <mergeCell ref="BC49:BF49"/>
    <mergeCell ref="BG49:BJ49"/>
    <mergeCell ref="AY45:BB45"/>
    <mergeCell ref="BC45:BF45"/>
    <mergeCell ref="BG45:BJ45"/>
    <mergeCell ref="AY46:BB46"/>
    <mergeCell ref="BC46:BF46"/>
    <mergeCell ref="BG46:BJ46"/>
    <mergeCell ref="AZ43:BB43"/>
    <mergeCell ref="BD43:BF43"/>
    <mergeCell ref="BH43:BJ43"/>
    <mergeCell ref="AY44:BB44"/>
    <mergeCell ref="BC44:BF44"/>
    <mergeCell ref="BG44:BJ44"/>
    <mergeCell ref="AY41:BB41"/>
    <mergeCell ref="BC41:BF41"/>
    <mergeCell ref="BG41:BJ41"/>
    <mergeCell ref="BN14:BP14"/>
    <mergeCell ref="BQ14:BR14"/>
    <mergeCell ref="BN15:BP15"/>
    <mergeCell ref="BQ15:BR15"/>
    <mergeCell ref="BN16:BP16"/>
    <mergeCell ref="BQ16:BR16"/>
    <mergeCell ref="BN11:BP11"/>
    <mergeCell ref="BQ11:BR11"/>
    <mergeCell ref="BN12:BP12"/>
    <mergeCell ref="BQ12:BR12"/>
    <mergeCell ref="BN13:BP13"/>
    <mergeCell ref="BQ13:BR13"/>
    <mergeCell ref="BN20:BP20"/>
    <mergeCell ref="BQ20:BR20"/>
    <mergeCell ref="BN21:BP21"/>
    <mergeCell ref="BQ21:BR21"/>
    <mergeCell ref="BN17:BP17"/>
    <mergeCell ref="BQ17:BR17"/>
    <mergeCell ref="BN18:BP18"/>
    <mergeCell ref="BQ18:BR18"/>
    <mergeCell ref="BN19:BP19"/>
    <mergeCell ref="BQ19:BR19"/>
  </mergeCells>
  <phoneticPr fontId="1"/>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06D9AC-1155-40E0-8CEC-F841E8C4D9BA}">
  <sheetPr codeName="Sheet12">
    <tabColor rgb="FF0F8472"/>
  </sheetPr>
  <dimension ref="A1:AG154"/>
  <sheetViews>
    <sheetView zoomScaleNormal="100" workbookViewId="0"/>
  </sheetViews>
  <sheetFormatPr defaultColWidth="3.5" defaultRowHeight="21" customHeight="1" x14ac:dyDescent="0.55000000000000004"/>
  <cols>
    <col min="1" max="16384" width="3.5" style="11"/>
  </cols>
  <sheetData>
    <row r="1" spans="1:33" ht="21" customHeight="1" x14ac:dyDescent="0.55000000000000004">
      <c r="A1" s="37"/>
      <c r="F1" s="37" t="s">
        <v>171</v>
      </c>
      <c r="G1" s="37"/>
      <c r="I1" s="37"/>
      <c r="M1" s="37"/>
      <c r="Q1" s="37" t="s">
        <v>172</v>
      </c>
      <c r="V1" s="37"/>
      <c r="AF1" s="37" t="s">
        <v>170</v>
      </c>
    </row>
    <row r="2" spans="1:33" ht="21" customHeight="1" x14ac:dyDescent="0.55000000000000004">
      <c r="B2" s="13" t="s">
        <v>766</v>
      </c>
      <c r="C2" s="12"/>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row>
    <row r="10" spans="1:33" ht="21" customHeight="1" x14ac:dyDescent="0.55000000000000004">
      <c r="G10" s="35" t="s">
        <v>767</v>
      </c>
      <c r="H10" s="27"/>
      <c r="I10" s="27"/>
      <c r="J10" s="27"/>
      <c r="K10" s="27"/>
      <c r="L10" s="11" t="s">
        <v>768</v>
      </c>
    </row>
    <row r="13" spans="1:33" ht="21" customHeight="1" x14ac:dyDescent="0.55000000000000004">
      <c r="D13" s="13" t="s">
        <v>32</v>
      </c>
      <c r="E13" s="12"/>
      <c r="F13" s="12"/>
      <c r="G13" s="12"/>
      <c r="H13" s="12"/>
      <c r="I13" s="12"/>
      <c r="J13" s="12"/>
      <c r="K13" s="12"/>
      <c r="L13" s="12"/>
      <c r="M13" s="12"/>
      <c r="N13" s="12"/>
      <c r="O13" s="12"/>
      <c r="P13" s="12"/>
      <c r="Q13" s="12"/>
      <c r="R13" s="12"/>
      <c r="S13" s="12"/>
      <c r="T13" s="12"/>
      <c r="U13" s="12"/>
      <c r="V13" s="12"/>
      <c r="W13" s="12"/>
      <c r="X13" s="12"/>
      <c r="Y13" s="12"/>
      <c r="Z13" s="12"/>
      <c r="AA13" s="12"/>
      <c r="AB13" s="12"/>
      <c r="AC13" s="12"/>
      <c r="AD13" s="12"/>
      <c r="AE13" s="12"/>
      <c r="AF13" s="12"/>
      <c r="AG13" s="12"/>
    </row>
    <row r="21" spans="1:33" ht="21" customHeight="1" x14ac:dyDescent="0.55000000000000004">
      <c r="G21" s="11" t="s">
        <v>141</v>
      </c>
    </row>
    <row r="22" spans="1:33" ht="21" customHeight="1" x14ac:dyDescent="0.55000000000000004">
      <c r="F22" s="14" t="s">
        <v>30</v>
      </c>
      <c r="G22" s="11" t="s">
        <v>140</v>
      </c>
    </row>
    <row r="23" spans="1:33" ht="21" customHeight="1" x14ac:dyDescent="0.55000000000000004">
      <c r="F23" s="14"/>
    </row>
    <row r="24" spans="1:33" ht="21" customHeight="1" thickBot="1" x14ac:dyDescent="0.45">
      <c r="F24" s="26" t="s">
        <v>40</v>
      </c>
      <c r="Q24" s="26" t="s">
        <v>41</v>
      </c>
    </row>
    <row r="25" spans="1:33" ht="21" customHeight="1" thickTop="1" thickBot="1" x14ac:dyDescent="0.6">
      <c r="A25" s="37" t="s">
        <v>147</v>
      </c>
      <c r="F25" s="111" t="s">
        <v>758</v>
      </c>
      <c r="G25" s="112"/>
      <c r="H25" s="112"/>
      <c r="I25" s="112"/>
      <c r="J25" s="112"/>
      <c r="K25" s="112"/>
      <c r="L25" s="112"/>
      <c r="M25" s="112"/>
      <c r="N25" s="112"/>
      <c r="O25" s="113"/>
      <c r="Q25" s="111" t="s">
        <v>583</v>
      </c>
      <c r="R25" s="112"/>
      <c r="S25" s="112"/>
      <c r="T25" s="113"/>
    </row>
    <row r="26" spans="1:33" ht="21" customHeight="1" thickTop="1" x14ac:dyDescent="0.55000000000000004"/>
    <row r="28" spans="1:33" ht="21" customHeight="1" x14ac:dyDescent="0.55000000000000004">
      <c r="D28" s="13" t="s">
        <v>33</v>
      </c>
      <c r="E28" s="12"/>
      <c r="F28" s="12"/>
      <c r="G28" s="12"/>
      <c r="H28" s="12"/>
      <c r="I28" s="12"/>
      <c r="J28" s="12"/>
      <c r="K28" s="12"/>
      <c r="L28" s="12"/>
      <c r="M28" s="12"/>
      <c r="N28" s="12"/>
      <c r="O28" s="12"/>
      <c r="P28" s="12"/>
      <c r="Q28" s="12"/>
      <c r="R28" s="12"/>
      <c r="S28" s="12"/>
      <c r="T28" s="12"/>
      <c r="U28" s="12"/>
      <c r="V28" s="12"/>
      <c r="W28" s="12"/>
      <c r="X28" s="12"/>
      <c r="Y28" s="12"/>
      <c r="Z28" s="12"/>
      <c r="AA28" s="12"/>
      <c r="AB28" s="12"/>
      <c r="AC28" s="12"/>
      <c r="AD28" s="12"/>
      <c r="AE28" s="12"/>
      <c r="AF28" s="12"/>
      <c r="AG28" s="12"/>
    </row>
    <row r="35" spans="1:33" ht="21" customHeight="1" x14ac:dyDescent="0.55000000000000004">
      <c r="H35" s="11" t="s">
        <v>142</v>
      </c>
    </row>
    <row r="36" spans="1:33" ht="21" customHeight="1" x14ac:dyDescent="0.55000000000000004">
      <c r="F36" s="14"/>
      <c r="G36" s="14" t="s">
        <v>30</v>
      </c>
      <c r="H36" s="11" t="s">
        <v>143</v>
      </c>
    </row>
    <row r="37" spans="1:33" ht="21" customHeight="1" x14ac:dyDescent="0.55000000000000004">
      <c r="F37" s="14"/>
    </row>
    <row r="38" spans="1:33" ht="21" customHeight="1" x14ac:dyDescent="0.55000000000000004">
      <c r="F38" s="14"/>
      <c r="G38" s="11" t="s">
        <v>79</v>
      </c>
    </row>
    <row r="39" spans="1:33" ht="21" customHeight="1" thickBot="1" x14ac:dyDescent="0.45">
      <c r="F39" s="26" t="s">
        <v>40</v>
      </c>
      <c r="Q39" s="26" t="s">
        <v>42</v>
      </c>
    </row>
    <row r="40" spans="1:33" ht="21" customHeight="1" thickTop="1" thickBot="1" x14ac:dyDescent="0.6">
      <c r="A40" s="37" t="s">
        <v>159</v>
      </c>
      <c r="F40" s="111" t="s">
        <v>761</v>
      </c>
      <c r="G40" s="112"/>
      <c r="H40" s="112"/>
      <c r="I40" s="112"/>
      <c r="J40" s="112"/>
      <c r="K40" s="112"/>
      <c r="L40" s="112"/>
      <c r="M40" s="112"/>
      <c r="N40" s="112"/>
      <c r="O40" s="113"/>
      <c r="Q40" s="111" t="s">
        <v>132</v>
      </c>
      <c r="R40" s="113"/>
    </row>
    <row r="41" spans="1:33" ht="21" customHeight="1" thickTop="1" x14ac:dyDescent="0.55000000000000004"/>
    <row r="43" spans="1:33" ht="21" customHeight="1" x14ac:dyDescent="0.55000000000000004">
      <c r="D43" s="13" t="s">
        <v>34</v>
      </c>
      <c r="E43" s="12"/>
      <c r="F43" s="12"/>
      <c r="G43" s="12"/>
      <c r="H43" s="12"/>
      <c r="I43" s="12"/>
      <c r="J43" s="12"/>
      <c r="K43" s="12"/>
      <c r="L43" s="12"/>
      <c r="M43" s="12"/>
      <c r="N43" s="12"/>
      <c r="O43" s="12"/>
      <c r="P43" s="12"/>
      <c r="Q43" s="12"/>
      <c r="R43" s="12"/>
      <c r="S43" s="12"/>
      <c r="T43" s="12"/>
      <c r="U43" s="12"/>
      <c r="V43" s="12"/>
      <c r="W43" s="12"/>
      <c r="X43" s="12"/>
      <c r="Y43" s="12"/>
      <c r="Z43" s="12"/>
      <c r="AA43" s="12"/>
      <c r="AB43" s="12"/>
      <c r="AC43" s="12"/>
      <c r="AD43" s="12"/>
      <c r="AE43" s="12"/>
      <c r="AF43" s="12"/>
      <c r="AG43" s="12"/>
    </row>
    <row r="55" spans="1:20" ht="21" customHeight="1" x14ac:dyDescent="0.55000000000000004">
      <c r="F55" s="14" t="s">
        <v>30</v>
      </c>
      <c r="G55" s="11" t="s">
        <v>36</v>
      </c>
    </row>
    <row r="56" spans="1:20" ht="21" customHeight="1" x14ac:dyDescent="0.55000000000000004">
      <c r="P56" s="29" t="s">
        <v>85</v>
      </c>
      <c r="Q56" s="29"/>
      <c r="R56" s="29"/>
      <c r="S56" s="29"/>
      <c r="T56" s="11" t="s">
        <v>145</v>
      </c>
    </row>
    <row r="57" spans="1:20" ht="21" customHeight="1" x14ac:dyDescent="0.55000000000000004">
      <c r="F57" s="14"/>
      <c r="P57" s="14" t="s">
        <v>30</v>
      </c>
      <c r="Q57" s="11" t="s">
        <v>144</v>
      </c>
    </row>
    <row r="58" spans="1:20" ht="21" customHeight="1" x14ac:dyDescent="0.55000000000000004">
      <c r="F58" s="14"/>
    </row>
    <row r="59" spans="1:20" ht="21" customHeight="1" thickBot="1" x14ac:dyDescent="0.45">
      <c r="F59" s="14"/>
      <c r="Q59" s="26" t="s">
        <v>43</v>
      </c>
    </row>
    <row r="60" spans="1:20" ht="21" customHeight="1" thickTop="1" thickBot="1" x14ac:dyDescent="0.6">
      <c r="A60" s="37" t="s">
        <v>194</v>
      </c>
      <c r="F60" s="14"/>
      <c r="Q60" s="111" t="s">
        <v>778</v>
      </c>
      <c r="R60" s="113"/>
    </row>
    <row r="61" spans="1:20" ht="21" customHeight="1" thickTop="1" x14ac:dyDescent="0.55000000000000004">
      <c r="E61" s="11" t="s">
        <v>197</v>
      </c>
    </row>
    <row r="62" spans="1:20" ht="21" customHeight="1" thickBot="1" x14ac:dyDescent="0.6">
      <c r="E62" s="24"/>
      <c r="F62" s="39" t="s">
        <v>16</v>
      </c>
      <c r="G62" s="40" t="s">
        <v>17</v>
      </c>
      <c r="H62" s="40" t="s">
        <v>18</v>
      </c>
      <c r="I62" s="40" t="s">
        <v>19</v>
      </c>
      <c r="J62" s="24"/>
    </row>
    <row r="63" spans="1:20" ht="21" customHeight="1" x14ac:dyDescent="0.55000000000000004">
      <c r="A63" s="37" t="s">
        <v>158</v>
      </c>
      <c r="E63" s="24"/>
      <c r="F63" s="8"/>
      <c r="G63" s="114" t="s">
        <v>24</v>
      </c>
      <c r="H63" s="114"/>
      <c r="I63" s="115"/>
      <c r="J63" s="24"/>
    </row>
    <row r="64" spans="1:20" ht="21" customHeight="1" x14ac:dyDescent="0.55000000000000004">
      <c r="E64" s="24"/>
      <c r="F64" s="207" t="s">
        <v>751</v>
      </c>
      <c r="G64" s="208"/>
      <c r="H64" s="208"/>
      <c r="I64" s="209"/>
      <c r="J64" s="24"/>
    </row>
    <row r="65" spans="1:33" ht="21" customHeight="1" x14ac:dyDescent="0.55000000000000004">
      <c r="E65" s="24"/>
      <c r="F65" s="204" t="s">
        <v>200</v>
      </c>
      <c r="G65" s="205"/>
      <c r="H65" s="205"/>
      <c r="I65" s="206"/>
      <c r="J65" s="24"/>
    </row>
    <row r="66" spans="1:33" ht="21" customHeight="1" thickBot="1" x14ac:dyDescent="0.6">
      <c r="A66" s="37"/>
      <c r="E66" s="24"/>
      <c r="F66" s="130" t="s">
        <v>630</v>
      </c>
      <c r="G66" s="131"/>
      <c r="H66" s="131"/>
      <c r="I66" s="132"/>
      <c r="J66" s="24"/>
    </row>
    <row r="67" spans="1:33" ht="21" customHeight="1" x14ac:dyDescent="0.55000000000000004">
      <c r="E67" s="24"/>
      <c r="F67" s="24"/>
      <c r="G67" s="24"/>
      <c r="H67" s="24"/>
      <c r="I67" s="24"/>
      <c r="J67" s="24"/>
    </row>
    <row r="68" spans="1:33" ht="21" customHeight="1" thickBot="1" x14ac:dyDescent="0.45">
      <c r="Q68" s="26" t="s">
        <v>191</v>
      </c>
    </row>
    <row r="69" spans="1:33" ht="21" customHeight="1" thickTop="1" thickBot="1" x14ac:dyDescent="0.6">
      <c r="A69" s="37" t="s">
        <v>196</v>
      </c>
      <c r="Q69" s="111" t="s">
        <v>195</v>
      </c>
      <c r="R69" s="112"/>
      <c r="S69" s="112"/>
      <c r="T69" s="113"/>
    </row>
    <row r="70" spans="1:33" ht="21" customHeight="1" thickTop="1" x14ac:dyDescent="0.55000000000000004">
      <c r="Q70" s="45" t="s">
        <v>187</v>
      </c>
    </row>
    <row r="72" spans="1:33" ht="21" customHeight="1" x14ac:dyDescent="0.55000000000000004">
      <c r="G72" s="11" t="s">
        <v>37</v>
      </c>
    </row>
    <row r="75" spans="1:33" ht="21" customHeight="1" x14ac:dyDescent="0.55000000000000004">
      <c r="D75" s="13" t="s">
        <v>35</v>
      </c>
      <c r="E75" s="12"/>
      <c r="F75" s="12"/>
      <c r="G75" s="12"/>
      <c r="H75" s="12"/>
      <c r="I75" s="12"/>
      <c r="J75" s="12"/>
      <c r="K75" s="12"/>
      <c r="L75" s="12"/>
      <c r="M75" s="12"/>
      <c r="N75" s="12"/>
      <c r="O75" s="12"/>
      <c r="P75" s="12"/>
      <c r="Q75" s="12"/>
      <c r="R75" s="12"/>
      <c r="S75" s="12"/>
      <c r="T75" s="12"/>
      <c r="U75" s="12"/>
      <c r="V75" s="12"/>
      <c r="W75" s="12"/>
      <c r="X75" s="12"/>
      <c r="Y75" s="12"/>
      <c r="Z75" s="12"/>
      <c r="AA75" s="12"/>
      <c r="AB75" s="12"/>
      <c r="AC75" s="12"/>
      <c r="AD75" s="12"/>
      <c r="AE75" s="12"/>
      <c r="AF75" s="12"/>
      <c r="AG75" s="12"/>
    </row>
    <row r="95" spans="8:8" ht="21" customHeight="1" x14ac:dyDescent="0.55000000000000004">
      <c r="H95" s="11" t="s">
        <v>146</v>
      </c>
    </row>
    <row r="97" spans="1:18" ht="21" customHeight="1" thickBot="1" x14ac:dyDescent="0.45">
      <c r="Q97" s="26" t="s">
        <v>160</v>
      </c>
    </row>
    <row r="98" spans="1:18" ht="21" customHeight="1" thickTop="1" thickBot="1" x14ac:dyDescent="0.6">
      <c r="A98" s="37" t="s">
        <v>185</v>
      </c>
      <c r="Q98" s="111" t="s">
        <v>779</v>
      </c>
      <c r="R98" s="113"/>
    </row>
    <row r="99" spans="1:18" ht="21" customHeight="1" thickTop="1" x14ac:dyDescent="0.55000000000000004"/>
    <row r="100" spans="1:18" ht="21" customHeight="1" x14ac:dyDescent="0.55000000000000004">
      <c r="G100" s="14" t="s">
        <v>30</v>
      </c>
      <c r="H100" s="11" t="s">
        <v>184</v>
      </c>
    </row>
    <row r="102" spans="1:18" ht="21" customHeight="1" thickBot="1" x14ac:dyDescent="0.6">
      <c r="E102" s="38"/>
      <c r="F102" s="39" t="s">
        <v>16</v>
      </c>
      <c r="G102" s="40" t="s">
        <v>17</v>
      </c>
      <c r="H102" s="40" t="s">
        <v>18</v>
      </c>
      <c r="I102" s="40" t="s">
        <v>19</v>
      </c>
      <c r="J102" s="40" t="s">
        <v>20</v>
      </c>
      <c r="K102" s="40" t="s">
        <v>21</v>
      </c>
      <c r="L102" s="40" t="s">
        <v>22</v>
      </c>
      <c r="M102" s="40" t="s">
        <v>23</v>
      </c>
      <c r="N102" s="41"/>
    </row>
    <row r="103" spans="1:18" ht="21" customHeight="1" x14ac:dyDescent="0.55000000000000004">
      <c r="A103" s="37" t="s">
        <v>157</v>
      </c>
      <c r="E103" s="38">
        <v>1</v>
      </c>
      <c r="F103" s="11" t="s">
        <v>39</v>
      </c>
      <c r="G103" s="198" t="s">
        <v>28</v>
      </c>
      <c r="H103" s="199"/>
      <c r="I103" s="199"/>
      <c r="J103" s="200" t="s">
        <v>27</v>
      </c>
      <c r="K103" s="201"/>
      <c r="L103" s="138" t="s">
        <v>29</v>
      </c>
      <c r="M103" s="138"/>
      <c r="N103" s="25"/>
    </row>
    <row r="104" spans="1:18" ht="21" customHeight="1" x14ac:dyDescent="0.55000000000000004">
      <c r="E104" s="38">
        <v>2</v>
      </c>
      <c r="F104" s="11">
        <v>1</v>
      </c>
      <c r="G104" s="176">
        <v>3666</v>
      </c>
      <c r="H104" s="139"/>
      <c r="I104" s="139"/>
      <c r="J104" s="202"/>
      <c r="K104" s="203"/>
      <c r="L104" s="187"/>
      <c r="M104" s="187"/>
      <c r="N104" s="25"/>
    </row>
    <row r="105" spans="1:18" ht="21" customHeight="1" x14ac:dyDescent="0.55000000000000004">
      <c r="E105" s="38">
        <v>3</v>
      </c>
      <c r="F105" s="11">
        <v>2</v>
      </c>
      <c r="G105" s="176">
        <v>3333</v>
      </c>
      <c r="H105" s="139"/>
      <c r="I105" s="139"/>
      <c r="J105" s="185"/>
      <c r="K105" s="186"/>
      <c r="L105" s="187"/>
      <c r="M105" s="187"/>
      <c r="N105" s="25"/>
    </row>
    <row r="106" spans="1:18" ht="21" customHeight="1" x14ac:dyDescent="0.55000000000000004">
      <c r="E106" s="38">
        <v>4</v>
      </c>
      <c r="F106" s="11">
        <v>3</v>
      </c>
      <c r="G106" s="176">
        <v>3000</v>
      </c>
      <c r="H106" s="139"/>
      <c r="I106" s="139"/>
      <c r="J106" s="188"/>
      <c r="K106" s="189"/>
      <c r="L106" s="175"/>
      <c r="M106" s="175"/>
      <c r="N106" s="25"/>
    </row>
    <row r="107" spans="1:18" ht="21" customHeight="1" x14ac:dyDescent="0.55000000000000004">
      <c r="E107" s="38">
        <v>5</v>
      </c>
      <c r="F107" s="11">
        <v>4</v>
      </c>
      <c r="G107" s="194">
        <v>2666</v>
      </c>
      <c r="H107" s="195"/>
      <c r="I107" s="195"/>
      <c r="J107" s="183"/>
      <c r="K107" s="184"/>
      <c r="L107" s="175"/>
      <c r="M107" s="175"/>
      <c r="N107" s="25"/>
    </row>
    <row r="108" spans="1:18" ht="21" customHeight="1" x14ac:dyDescent="0.55000000000000004">
      <c r="E108" s="38">
        <v>6</v>
      </c>
      <c r="F108" s="11">
        <v>5</v>
      </c>
      <c r="G108" s="176">
        <v>2333</v>
      </c>
      <c r="H108" s="139"/>
      <c r="I108" s="139"/>
      <c r="J108" s="196"/>
      <c r="K108" s="197"/>
      <c r="L108" s="175"/>
      <c r="M108" s="175"/>
      <c r="N108" s="25"/>
    </row>
    <row r="109" spans="1:18" ht="21" customHeight="1" x14ac:dyDescent="0.55000000000000004">
      <c r="E109" s="38">
        <v>7</v>
      </c>
      <c r="F109" s="11">
        <v>6</v>
      </c>
      <c r="G109" s="176">
        <v>2000</v>
      </c>
      <c r="H109" s="139"/>
      <c r="I109" s="139"/>
      <c r="J109" s="192"/>
      <c r="K109" s="193"/>
      <c r="L109" s="175"/>
      <c r="M109" s="175"/>
      <c r="N109" s="25"/>
    </row>
    <row r="110" spans="1:18" ht="21" customHeight="1" x14ac:dyDescent="0.55000000000000004">
      <c r="E110" s="38">
        <v>8</v>
      </c>
      <c r="F110" s="11">
        <v>7</v>
      </c>
      <c r="G110" s="176">
        <v>1666</v>
      </c>
      <c r="H110" s="139"/>
      <c r="I110" s="139"/>
      <c r="J110" s="289"/>
      <c r="K110" s="290"/>
      <c r="L110" s="175"/>
      <c r="M110" s="175"/>
      <c r="N110" s="25"/>
    </row>
    <row r="111" spans="1:18" ht="21" customHeight="1" x14ac:dyDescent="0.55000000000000004">
      <c r="E111" s="38">
        <v>9</v>
      </c>
      <c r="F111" s="11">
        <v>8</v>
      </c>
      <c r="G111" s="176">
        <v>1333</v>
      </c>
      <c r="H111" s="139"/>
      <c r="I111" s="139"/>
      <c r="J111" s="291"/>
      <c r="K111" s="292"/>
      <c r="L111" s="175"/>
      <c r="M111" s="175"/>
      <c r="N111" s="25"/>
    </row>
    <row r="112" spans="1:18" ht="21" customHeight="1" x14ac:dyDescent="0.55000000000000004">
      <c r="E112" s="38">
        <v>10</v>
      </c>
      <c r="F112" s="11">
        <v>9</v>
      </c>
      <c r="G112" s="176">
        <v>1000</v>
      </c>
      <c r="H112" s="139"/>
      <c r="I112" s="139"/>
      <c r="J112" s="190"/>
      <c r="K112" s="191"/>
      <c r="L112" s="175"/>
      <c r="M112" s="175"/>
      <c r="N112" s="25"/>
    </row>
    <row r="113" spans="1:33" ht="21" customHeight="1" x14ac:dyDescent="0.55000000000000004">
      <c r="E113" s="38">
        <v>11</v>
      </c>
      <c r="F113" s="11">
        <v>10</v>
      </c>
      <c r="G113" s="176">
        <v>666</v>
      </c>
      <c r="H113" s="139"/>
      <c r="I113" s="139"/>
      <c r="J113" s="181"/>
      <c r="K113" s="182"/>
      <c r="L113" s="175"/>
      <c r="M113" s="175"/>
      <c r="N113" s="25"/>
    </row>
    <row r="114" spans="1:33" ht="21" customHeight="1" x14ac:dyDescent="0.55000000000000004">
      <c r="E114" s="38">
        <v>12</v>
      </c>
      <c r="F114" s="11">
        <v>11</v>
      </c>
      <c r="G114" s="176">
        <v>333</v>
      </c>
      <c r="H114" s="139"/>
      <c r="I114" s="139"/>
      <c r="J114" s="177"/>
      <c r="K114" s="178"/>
      <c r="L114" s="70"/>
      <c r="M114" s="70"/>
      <c r="N114" s="25"/>
    </row>
    <row r="115" spans="1:33" ht="21" customHeight="1" thickBot="1" x14ac:dyDescent="0.6">
      <c r="E115" s="38">
        <v>13</v>
      </c>
      <c r="F115" s="11">
        <v>12</v>
      </c>
      <c r="G115" s="173">
        <v>0</v>
      </c>
      <c r="H115" s="174"/>
      <c r="I115" s="174"/>
      <c r="J115" s="74"/>
      <c r="K115" s="75"/>
      <c r="L115" s="70"/>
      <c r="M115" s="70"/>
      <c r="N115" s="25"/>
    </row>
    <row r="116" spans="1:33" ht="21" customHeight="1" x14ac:dyDescent="0.55000000000000004">
      <c r="E116" s="38"/>
      <c r="F116" s="25"/>
      <c r="G116" s="25"/>
      <c r="H116" s="25"/>
      <c r="I116" s="25"/>
      <c r="J116" s="25"/>
      <c r="K116" s="25"/>
      <c r="L116" s="25"/>
      <c r="M116" s="25"/>
      <c r="N116" s="25"/>
    </row>
    <row r="118" spans="1:33" ht="21" customHeight="1" thickBot="1" x14ac:dyDescent="0.45">
      <c r="Q118" s="26" t="s">
        <v>191</v>
      </c>
    </row>
    <row r="119" spans="1:33" ht="21" customHeight="1" thickTop="1" thickBot="1" x14ac:dyDescent="0.6">
      <c r="A119" s="37" t="s">
        <v>190</v>
      </c>
      <c r="Q119" s="111" t="s">
        <v>753</v>
      </c>
      <c r="R119" s="112"/>
      <c r="S119" s="112"/>
      <c r="T119" s="113"/>
    </row>
    <row r="120" spans="1:33" ht="21" customHeight="1" thickTop="1" x14ac:dyDescent="0.55000000000000004">
      <c r="Q120" s="45" t="s">
        <v>187</v>
      </c>
    </row>
    <row r="121" spans="1:33" ht="21" customHeight="1" thickBot="1" x14ac:dyDescent="0.45">
      <c r="F121" s="26" t="s">
        <v>44</v>
      </c>
    </row>
    <row r="122" spans="1:33" ht="21" customHeight="1" thickTop="1" thickBot="1" x14ac:dyDescent="0.6">
      <c r="A122" s="37" t="s">
        <v>188</v>
      </c>
      <c r="F122" s="111" t="s">
        <v>754</v>
      </c>
      <c r="G122" s="112"/>
      <c r="H122" s="112"/>
      <c r="I122" s="113"/>
    </row>
    <row r="123" spans="1:33" ht="21" customHeight="1" thickTop="1" x14ac:dyDescent="0.55000000000000004">
      <c r="F123" s="45" t="s">
        <v>187</v>
      </c>
    </row>
    <row r="126" spans="1:33" ht="21" customHeight="1" x14ac:dyDescent="0.55000000000000004">
      <c r="D126" s="13" t="s">
        <v>35</v>
      </c>
      <c r="E126" s="12"/>
      <c r="F126" s="12"/>
      <c r="G126" s="12"/>
      <c r="H126" s="12"/>
      <c r="I126" s="12"/>
      <c r="J126" s="12"/>
      <c r="K126" s="12"/>
      <c r="L126" s="12"/>
      <c r="M126" s="12"/>
      <c r="N126" s="12"/>
      <c r="O126" s="12"/>
      <c r="P126" s="12"/>
      <c r="Q126" s="12"/>
      <c r="R126" s="12"/>
      <c r="S126" s="12"/>
      <c r="T126" s="12"/>
      <c r="U126" s="12"/>
      <c r="V126" s="12"/>
      <c r="W126" s="12"/>
      <c r="X126" s="12"/>
      <c r="Y126" s="12"/>
      <c r="Z126" s="12"/>
      <c r="AA126" s="12"/>
      <c r="AB126" s="12"/>
      <c r="AC126" s="12"/>
      <c r="AD126" s="12"/>
      <c r="AE126" s="12"/>
      <c r="AF126" s="12"/>
      <c r="AG126" s="12"/>
    </row>
    <row r="128" spans="1:33" ht="21" customHeight="1" thickBot="1" x14ac:dyDescent="0.6">
      <c r="F128" s="14" t="s">
        <v>30</v>
      </c>
      <c r="G128" s="11" t="s">
        <v>31</v>
      </c>
    </row>
    <row r="129" spans="6:14" ht="21" customHeight="1" x14ac:dyDescent="0.55000000000000004">
      <c r="F129" s="15"/>
      <c r="G129" s="16"/>
      <c r="H129" s="16"/>
      <c r="I129" s="16"/>
      <c r="J129" s="16"/>
      <c r="K129" s="16"/>
      <c r="L129" s="16"/>
      <c r="M129" s="16"/>
      <c r="N129" s="17"/>
    </row>
    <row r="130" spans="6:14" ht="21" customHeight="1" x14ac:dyDescent="0.55000000000000004">
      <c r="F130" s="18"/>
      <c r="N130" s="19"/>
    </row>
    <row r="131" spans="6:14" ht="21" customHeight="1" x14ac:dyDescent="0.55000000000000004">
      <c r="F131" s="18"/>
      <c r="N131" s="19"/>
    </row>
    <row r="132" spans="6:14" ht="21" customHeight="1" thickBot="1" x14ac:dyDescent="0.6">
      <c r="F132" s="20"/>
      <c r="G132" s="21"/>
      <c r="H132" s="21"/>
      <c r="I132" s="21"/>
      <c r="J132" s="21"/>
      <c r="K132" s="21"/>
      <c r="L132" s="21"/>
      <c r="M132" s="21"/>
      <c r="N132" s="22"/>
    </row>
    <row r="151" spans="1:8" ht="21" customHeight="1" x14ac:dyDescent="0.55000000000000004">
      <c r="H151" s="11" t="s">
        <v>81</v>
      </c>
    </row>
    <row r="153" spans="1:8" ht="21" customHeight="1" x14ac:dyDescent="0.55000000000000004">
      <c r="B153" s="11" t="s">
        <v>28</v>
      </c>
    </row>
    <row r="154" spans="1:8" ht="21" customHeight="1" x14ac:dyDescent="0.55000000000000004">
      <c r="A154" s="37" t="s">
        <v>133</v>
      </c>
    </row>
  </sheetData>
  <mergeCells count="49">
    <mergeCell ref="G114:I114"/>
    <mergeCell ref="J114:K114"/>
    <mergeCell ref="G115:I115"/>
    <mergeCell ref="Q119:T119"/>
    <mergeCell ref="F122:I122"/>
    <mergeCell ref="G112:I112"/>
    <mergeCell ref="J112:K112"/>
    <mergeCell ref="L112:M112"/>
    <mergeCell ref="G113:I113"/>
    <mergeCell ref="J113:K113"/>
    <mergeCell ref="L113:M113"/>
    <mergeCell ref="G110:I110"/>
    <mergeCell ref="J110:K110"/>
    <mergeCell ref="L110:M110"/>
    <mergeCell ref="G111:I111"/>
    <mergeCell ref="J111:K111"/>
    <mergeCell ref="L111:M111"/>
    <mergeCell ref="G108:I108"/>
    <mergeCell ref="J108:K108"/>
    <mergeCell ref="L108:M108"/>
    <mergeCell ref="G109:I109"/>
    <mergeCell ref="J109:K109"/>
    <mergeCell ref="L109:M109"/>
    <mergeCell ref="G106:I106"/>
    <mergeCell ref="J106:K106"/>
    <mergeCell ref="L106:M106"/>
    <mergeCell ref="G107:I107"/>
    <mergeCell ref="J107:K107"/>
    <mergeCell ref="L107:M107"/>
    <mergeCell ref="G104:I104"/>
    <mergeCell ref="J104:K104"/>
    <mergeCell ref="L104:M104"/>
    <mergeCell ref="G105:I105"/>
    <mergeCell ref="J105:K105"/>
    <mergeCell ref="L105:M105"/>
    <mergeCell ref="G103:I103"/>
    <mergeCell ref="J103:K103"/>
    <mergeCell ref="L103:M103"/>
    <mergeCell ref="F25:O25"/>
    <mergeCell ref="Q25:T25"/>
    <mergeCell ref="F40:O40"/>
    <mergeCell ref="Q40:R40"/>
    <mergeCell ref="Q60:R60"/>
    <mergeCell ref="G63:I63"/>
    <mergeCell ref="F64:I64"/>
    <mergeCell ref="F65:I65"/>
    <mergeCell ref="F66:I66"/>
    <mergeCell ref="Q69:T69"/>
    <mergeCell ref="Q98:R98"/>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4145" r:id="rId3" name="Button 1">
              <controlPr defaultSize="0" print="0" autoFill="0" autoPict="0" macro="[0]!設定_人口_ボタン1_Click">
                <anchor moveWithCells="1" sizeWithCells="1">
                  <from>
                    <xdr:col>6</xdr:col>
                    <xdr:colOff>82550</xdr:colOff>
                    <xdr:row>128</xdr:row>
                    <xdr:rowOff>184150</xdr:rowOff>
                  </from>
                  <to>
                    <xdr:col>12</xdr:col>
                    <xdr:colOff>139700</xdr:colOff>
                    <xdr:row>131</xdr:row>
                    <xdr:rowOff>57150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054EC-0CCD-43B8-9E82-EBE9D33C053C}">
  <sheetPr codeName="Sheet29"/>
  <dimension ref="A1:BT53"/>
  <sheetViews>
    <sheetView zoomScale="80" zoomScaleNormal="80" workbookViewId="0"/>
  </sheetViews>
  <sheetFormatPr defaultColWidth="3.5" defaultRowHeight="21.15" customHeight="1" x14ac:dyDescent="0.55000000000000004"/>
  <sheetData>
    <row r="1" spans="1:72" ht="21.15" customHeight="1" x14ac:dyDescent="0.55000000000000004">
      <c r="A1" s="78"/>
      <c r="B1" s="78"/>
      <c r="C1" s="78"/>
      <c r="D1" s="78"/>
      <c r="E1" s="78"/>
      <c r="F1" s="78"/>
      <c r="G1" s="78"/>
      <c r="H1" s="78"/>
      <c r="I1" s="78"/>
      <c r="J1" s="78"/>
      <c r="K1" s="78"/>
      <c r="L1" s="78"/>
      <c r="M1" s="78"/>
      <c r="N1" s="78"/>
      <c r="O1" s="78"/>
      <c r="P1" s="78"/>
      <c r="Q1" s="78"/>
      <c r="R1" s="78"/>
      <c r="S1" s="78"/>
      <c r="T1" s="78"/>
      <c r="U1" s="78"/>
      <c r="V1" s="78"/>
      <c r="W1" s="78"/>
      <c r="X1" s="78"/>
      <c r="Y1" s="78"/>
      <c r="Z1" s="78"/>
      <c r="AA1" s="78"/>
      <c r="AB1" s="78"/>
      <c r="AC1" s="78"/>
      <c r="AD1" s="78"/>
      <c r="AE1" s="78"/>
      <c r="AF1" s="78"/>
      <c r="AG1" s="78"/>
      <c r="AH1" s="78"/>
      <c r="AI1" s="78"/>
      <c r="AJ1" s="78"/>
      <c r="AK1" s="78"/>
      <c r="AL1" s="78"/>
      <c r="AM1" s="78"/>
      <c r="AN1" s="78"/>
      <c r="AO1" s="78"/>
      <c r="AP1" s="78"/>
      <c r="AQ1" s="78"/>
      <c r="AR1" s="78"/>
      <c r="AS1" s="78"/>
      <c r="AT1" s="78"/>
      <c r="AU1" s="78"/>
      <c r="AV1" s="78"/>
      <c r="AW1" s="78"/>
      <c r="AX1" s="78"/>
      <c r="AY1" s="78"/>
      <c r="AZ1" s="78"/>
      <c r="BA1" s="78"/>
      <c r="BB1" s="78"/>
      <c r="BC1" s="78"/>
      <c r="BD1" s="78"/>
      <c r="BE1" s="78"/>
      <c r="BF1" s="78"/>
      <c r="BG1" s="78"/>
      <c r="BH1" s="78"/>
      <c r="BI1" s="78"/>
      <c r="BJ1" s="78"/>
      <c r="BK1" s="78"/>
      <c r="BL1" s="78"/>
      <c r="BM1" s="78"/>
      <c r="BN1" s="78"/>
      <c r="BO1" s="78"/>
      <c r="BP1" s="78"/>
      <c r="BQ1" s="78"/>
      <c r="BR1" s="78"/>
      <c r="BS1" s="78"/>
      <c r="BT1" s="78"/>
    </row>
    <row r="2" spans="1:72" ht="21.15" customHeight="1" x14ac:dyDescent="0.55000000000000004">
      <c r="A2" s="78"/>
      <c r="B2" s="79"/>
      <c r="C2" s="79"/>
      <c r="D2" s="79"/>
      <c r="E2" s="79"/>
      <c r="F2" s="79"/>
      <c r="G2" s="79"/>
      <c r="H2" s="79"/>
      <c r="I2" s="79"/>
      <c r="J2" s="79"/>
      <c r="K2" s="79"/>
      <c r="L2" s="79"/>
      <c r="M2" s="79"/>
      <c r="N2" s="79"/>
      <c r="O2" s="79"/>
      <c r="P2" s="79"/>
      <c r="Q2" s="79"/>
      <c r="R2" s="79"/>
      <c r="S2" s="79"/>
      <c r="T2" s="79"/>
      <c r="U2" s="79"/>
      <c r="V2" s="79"/>
      <c r="W2" s="79"/>
      <c r="X2" s="79"/>
      <c r="Y2" s="79"/>
      <c r="Z2" s="79"/>
      <c r="AA2" s="79"/>
      <c r="AB2" s="79"/>
      <c r="AC2" s="79"/>
      <c r="AD2" s="79"/>
      <c r="AE2" s="79"/>
      <c r="AF2" s="79"/>
      <c r="AG2" s="79"/>
      <c r="AH2" s="79"/>
      <c r="AI2" s="79"/>
      <c r="AJ2" s="79"/>
      <c r="AK2" s="79"/>
      <c r="AL2" s="79"/>
      <c r="AM2" s="79"/>
      <c r="AN2" s="79"/>
      <c r="AO2" s="79"/>
      <c r="AP2" s="79"/>
      <c r="AQ2" s="79"/>
      <c r="AR2" s="79"/>
      <c r="AS2" s="79"/>
      <c r="AT2" s="79"/>
      <c r="AU2" s="79"/>
      <c r="AV2" s="79"/>
      <c r="AW2" s="79"/>
      <c r="AX2" s="79"/>
      <c r="AY2" s="79"/>
      <c r="AZ2" s="79"/>
      <c r="BA2" s="79"/>
      <c r="BB2" s="79"/>
      <c r="BC2" s="79"/>
      <c r="BD2" s="79"/>
      <c r="BE2" s="79"/>
      <c r="BF2" s="79"/>
      <c r="BG2" s="79"/>
      <c r="BH2" s="79"/>
      <c r="BI2" s="79"/>
      <c r="BJ2" s="79"/>
      <c r="BK2" s="79"/>
      <c r="BL2" s="79"/>
      <c r="BM2" s="79"/>
      <c r="BN2" s="79"/>
      <c r="BO2" s="79"/>
      <c r="BP2" s="79"/>
      <c r="BQ2" s="79"/>
      <c r="BR2" s="79"/>
      <c r="BS2" s="79"/>
      <c r="BT2" s="78"/>
    </row>
    <row r="3" spans="1:72" ht="21.15" customHeight="1" x14ac:dyDescent="0.55000000000000004">
      <c r="A3" s="78"/>
      <c r="B3" s="79"/>
      <c r="C3" s="79"/>
      <c r="D3" s="80"/>
      <c r="E3" s="80"/>
      <c r="F3" s="80"/>
      <c r="G3" s="81" t="s">
        <v>62</v>
      </c>
      <c r="H3" s="79"/>
      <c r="I3" s="79"/>
      <c r="J3" s="79"/>
      <c r="K3" s="81" t="s">
        <v>61</v>
      </c>
      <c r="L3" s="79"/>
      <c r="M3" s="79"/>
      <c r="N3" s="79"/>
      <c r="O3" s="81" t="s">
        <v>60</v>
      </c>
      <c r="P3" s="79"/>
      <c r="Q3" s="79"/>
      <c r="R3" s="79"/>
      <c r="S3" s="81" t="s">
        <v>59</v>
      </c>
      <c r="T3" s="79"/>
      <c r="U3" s="79"/>
      <c r="V3" s="79"/>
      <c r="W3" s="81" t="s">
        <v>58</v>
      </c>
      <c r="X3" s="79"/>
      <c r="Y3" s="79"/>
      <c r="Z3" s="79"/>
      <c r="AA3" s="81" t="s">
        <v>57</v>
      </c>
      <c r="AB3" s="79"/>
      <c r="AC3" s="79"/>
      <c r="AD3" s="79"/>
      <c r="AE3" s="81" t="s">
        <v>56</v>
      </c>
      <c r="AF3" s="79"/>
      <c r="AG3" s="79"/>
      <c r="AH3" s="79"/>
      <c r="AI3" s="81" t="s">
        <v>55</v>
      </c>
      <c r="AJ3" s="79"/>
      <c r="AK3" s="79"/>
      <c r="AL3" s="79"/>
      <c r="AM3" s="81" t="s">
        <v>54</v>
      </c>
      <c r="AN3" s="79"/>
      <c r="AO3" s="79"/>
      <c r="AP3" s="79"/>
      <c r="AQ3" s="81" t="s">
        <v>53</v>
      </c>
      <c r="AR3" s="79"/>
      <c r="AS3" s="79"/>
      <c r="AT3" s="79"/>
      <c r="AU3" s="81" t="s">
        <v>52</v>
      </c>
      <c r="AV3" s="79"/>
      <c r="AW3" s="79"/>
      <c r="AX3" s="79"/>
      <c r="AY3" s="81" t="s">
        <v>51</v>
      </c>
      <c r="AZ3" s="79"/>
      <c r="BA3" s="79"/>
      <c r="BB3" s="79"/>
      <c r="BC3" s="81" t="s">
        <v>50</v>
      </c>
      <c r="BD3" s="79"/>
      <c r="BE3" s="79"/>
      <c r="BF3" s="79"/>
      <c r="BG3" s="81" t="s">
        <v>49</v>
      </c>
      <c r="BH3" s="79"/>
      <c r="BI3" s="79"/>
      <c r="BJ3" s="79"/>
      <c r="BK3" s="81" t="s">
        <v>48</v>
      </c>
      <c r="BL3" s="79"/>
      <c r="BM3" s="79"/>
      <c r="BN3" s="79"/>
      <c r="BO3" s="81" t="s">
        <v>47</v>
      </c>
      <c r="BP3" s="79"/>
      <c r="BQ3" s="79"/>
      <c r="BR3" s="79"/>
      <c r="BS3" s="79"/>
      <c r="BT3" s="78"/>
    </row>
    <row r="4" spans="1:72" ht="21.15" customHeight="1" thickBot="1" x14ac:dyDescent="0.6">
      <c r="A4" s="78"/>
      <c r="B4" s="79"/>
      <c r="C4" s="80"/>
      <c r="D4" s="80"/>
      <c r="E4" s="80"/>
      <c r="F4" s="80"/>
      <c r="G4" s="79"/>
      <c r="H4" s="79"/>
      <c r="I4" s="79"/>
      <c r="J4" s="79"/>
      <c r="K4" s="79"/>
      <c r="L4" s="79"/>
      <c r="M4" s="79"/>
      <c r="N4" s="79"/>
      <c r="O4" s="79"/>
      <c r="P4" s="79"/>
      <c r="Q4" s="79"/>
      <c r="R4" s="79"/>
      <c r="S4" s="79"/>
      <c r="T4" s="79"/>
      <c r="U4" s="79"/>
      <c r="V4" s="79"/>
      <c r="W4" s="79"/>
      <c r="X4" s="79"/>
      <c r="Y4" s="79"/>
      <c r="Z4" s="79"/>
      <c r="AA4" s="79"/>
      <c r="AB4" s="79"/>
      <c r="AC4" s="79"/>
      <c r="AD4" s="79"/>
      <c r="AE4" s="79"/>
      <c r="AF4" s="79"/>
      <c r="AG4" s="79"/>
      <c r="AH4" s="79"/>
      <c r="AI4" s="79"/>
      <c r="AJ4" s="79"/>
      <c r="AK4" s="79"/>
      <c r="AL4" s="79"/>
      <c r="AM4" s="79"/>
      <c r="AN4" s="79"/>
      <c r="AO4" s="79"/>
      <c r="AP4" s="79"/>
      <c r="AQ4" s="79"/>
      <c r="AR4" s="79"/>
      <c r="AS4" s="79"/>
      <c r="AT4" s="79"/>
      <c r="AU4" s="79"/>
      <c r="AV4" s="79"/>
      <c r="AW4" s="79"/>
      <c r="AX4" s="79"/>
      <c r="AY4" s="79"/>
      <c r="AZ4" s="79"/>
      <c r="BA4" s="79"/>
      <c r="BB4" s="79"/>
      <c r="BC4" s="79"/>
      <c r="BD4" s="79"/>
      <c r="BE4" s="79"/>
      <c r="BF4" s="79"/>
      <c r="BG4" s="79"/>
      <c r="BH4" s="79"/>
      <c r="BI4" s="79"/>
      <c r="BJ4" s="79"/>
      <c r="BK4" s="79"/>
      <c r="BL4" s="79"/>
      <c r="BM4" s="79"/>
      <c r="BN4" s="79"/>
      <c r="BO4" s="79"/>
      <c r="BP4" s="79"/>
      <c r="BQ4" s="79"/>
      <c r="BR4" s="79"/>
      <c r="BS4" s="79"/>
      <c r="BT4" s="78"/>
    </row>
    <row r="5" spans="1:72" ht="21.15" customHeight="1" x14ac:dyDescent="0.55000000000000004">
      <c r="A5" s="78"/>
      <c r="B5" s="79"/>
      <c r="C5" s="80"/>
      <c r="D5" s="80"/>
      <c r="E5" s="80"/>
      <c r="F5" s="80"/>
      <c r="G5" s="79"/>
      <c r="H5" s="79"/>
      <c r="I5" s="79"/>
      <c r="J5" s="79"/>
      <c r="K5" s="79"/>
      <c r="L5" s="79"/>
      <c r="M5" s="79"/>
      <c r="N5" s="79"/>
      <c r="O5" s="79"/>
      <c r="P5" s="79"/>
      <c r="Q5" s="79"/>
      <c r="R5" s="79"/>
      <c r="S5" s="79"/>
      <c r="T5" s="79"/>
      <c r="U5" s="79"/>
      <c r="V5" s="79"/>
      <c r="W5" s="79"/>
      <c r="X5" s="79"/>
      <c r="Y5" s="79"/>
      <c r="Z5" s="79"/>
      <c r="AA5" s="79"/>
      <c r="AB5" s="79"/>
      <c r="AC5" s="79"/>
      <c r="AD5" s="79"/>
      <c r="AE5" s="79"/>
      <c r="AF5" s="79"/>
      <c r="AG5" s="79"/>
      <c r="AH5" s="79"/>
      <c r="AI5" s="79"/>
      <c r="AJ5" s="79"/>
      <c r="AK5" s="79"/>
      <c r="AL5" s="79"/>
      <c r="AM5" s="79"/>
      <c r="AN5" s="79"/>
      <c r="AO5" s="79"/>
      <c r="AP5" s="79"/>
      <c r="AQ5" s="79"/>
      <c r="AR5" s="79"/>
      <c r="AS5" s="79"/>
      <c r="AT5" s="79"/>
      <c r="AU5" s="79"/>
      <c r="AV5" s="79"/>
      <c r="AW5" s="79"/>
      <c r="AX5" s="79"/>
      <c r="AY5" s="79"/>
      <c r="AZ5" s="79"/>
      <c r="BA5" s="79"/>
      <c r="BB5" s="79"/>
      <c r="BC5" s="79"/>
      <c r="BD5" s="79"/>
      <c r="BE5" s="79"/>
      <c r="BF5" s="79"/>
      <c r="BG5" s="79"/>
      <c r="BH5" s="79"/>
      <c r="BI5" s="79"/>
      <c r="BJ5" s="79"/>
      <c r="BK5" s="79"/>
      <c r="BL5" s="79"/>
      <c r="BM5" s="79"/>
      <c r="BN5" s="104"/>
      <c r="BO5" s="142" t="s">
        <v>69</v>
      </c>
      <c r="BP5" s="142"/>
      <c r="BQ5" s="143"/>
      <c r="BR5" s="79"/>
      <c r="BS5" s="79"/>
      <c r="BT5" s="78"/>
    </row>
    <row r="6" spans="1:72" ht="21.15" customHeight="1" thickBot="1" x14ac:dyDescent="0.6">
      <c r="A6" s="78"/>
      <c r="B6" s="79"/>
      <c r="C6" s="80"/>
      <c r="D6" s="80"/>
      <c r="E6" s="80"/>
      <c r="F6" s="80"/>
      <c r="G6" s="79"/>
      <c r="H6" s="79"/>
      <c r="I6" s="79"/>
      <c r="J6" s="79"/>
      <c r="K6" s="79"/>
      <c r="L6" s="79"/>
      <c r="M6" s="79"/>
      <c r="N6" s="79"/>
      <c r="O6" s="79"/>
      <c r="P6" s="79"/>
      <c r="Q6" s="79"/>
      <c r="R6" s="79"/>
      <c r="S6" s="79"/>
      <c r="T6" s="79"/>
      <c r="U6" s="79"/>
      <c r="V6" s="79"/>
      <c r="W6" s="79"/>
      <c r="X6" s="79"/>
      <c r="Y6" s="79"/>
      <c r="Z6" s="79"/>
      <c r="AA6" s="79"/>
      <c r="AB6" s="79"/>
      <c r="AC6" s="79"/>
      <c r="AD6" s="79"/>
      <c r="AE6" s="79"/>
      <c r="AF6" s="79"/>
      <c r="AG6" s="79"/>
      <c r="AH6" s="79"/>
      <c r="AI6" s="79"/>
      <c r="AJ6" s="79"/>
      <c r="AK6" s="79"/>
      <c r="AL6" s="79"/>
      <c r="AM6" s="79"/>
      <c r="AN6" s="79"/>
      <c r="AO6" s="79"/>
      <c r="AP6" s="79"/>
      <c r="AQ6" s="79"/>
      <c r="AR6" s="79"/>
      <c r="AS6" s="79"/>
      <c r="AT6" s="79"/>
      <c r="AU6" s="79"/>
      <c r="AV6" s="79"/>
      <c r="AW6" s="79"/>
      <c r="AX6" s="79"/>
      <c r="AY6" s="79"/>
      <c r="AZ6" s="79"/>
      <c r="BA6" s="79"/>
      <c r="BB6" s="79"/>
      <c r="BC6" s="79"/>
      <c r="BD6" s="79"/>
      <c r="BE6" s="79"/>
      <c r="BF6" s="79"/>
      <c r="BG6" s="79"/>
      <c r="BH6" s="79"/>
      <c r="BI6" s="79"/>
      <c r="BJ6" s="79"/>
      <c r="BK6" s="79"/>
      <c r="BL6" s="79"/>
      <c r="BM6" s="79"/>
      <c r="BN6" s="232" t="s">
        <v>749</v>
      </c>
      <c r="BO6" s="218"/>
      <c r="BP6" s="218"/>
      <c r="BQ6" s="231"/>
      <c r="BR6" s="79"/>
      <c r="BS6" s="79"/>
      <c r="BT6" s="78"/>
    </row>
    <row r="7" spans="1:72" ht="21.15" customHeight="1" x14ac:dyDescent="0.55000000000000004">
      <c r="A7" s="78"/>
      <c r="B7" s="79"/>
      <c r="C7" s="81" t="s">
        <v>46</v>
      </c>
      <c r="D7" s="79"/>
      <c r="E7" s="79"/>
      <c r="F7" s="79"/>
      <c r="G7" s="79"/>
      <c r="H7" s="79"/>
      <c r="I7" s="79"/>
      <c r="J7" s="79"/>
      <c r="K7" s="82">
        <v>1</v>
      </c>
      <c r="L7" s="142" t="str">
        <f>VLOOKUP(K7,市町村データ!A2:P106,MATCH(手順書_丁目_世帯数!$G$63, 市町村データ!A1:P1, 0),FALSE)</f>
        <v>新座3</v>
      </c>
      <c r="M7" s="154"/>
      <c r="N7" s="159"/>
      <c r="O7" s="82">
        <v>2</v>
      </c>
      <c r="P7" s="142" t="str">
        <f>VLOOKUP(O7,市町村データ!A2:P106,MATCH(手順書_丁目_世帯数!$G$63, 市町村データ!A1:P1, 0),FALSE)</f>
        <v>新座2</v>
      </c>
      <c r="Q7" s="154"/>
      <c r="R7" s="159"/>
      <c r="S7" s="82">
        <v>3</v>
      </c>
      <c r="T7" s="142" t="str">
        <f>VLOOKUP(S7,市町村データ!A2:P106,MATCH(手順書_丁目_世帯数!$G$63, 市町村データ!A1:P1, 0),FALSE)</f>
        <v>新座1</v>
      </c>
      <c r="U7" s="154"/>
      <c r="V7" s="159"/>
      <c r="W7" s="82">
        <v>4</v>
      </c>
      <c r="X7" s="142" t="str">
        <f>VLOOKUP(W7,市町村データ!A2:P106,MATCH(手順書_丁目_世帯数!$G$63, 市町村データ!A1:P1, 0),FALSE)</f>
        <v>北野3</v>
      </c>
      <c r="Y7" s="154"/>
      <c r="Z7" s="159"/>
      <c r="AA7" s="82">
        <v>5</v>
      </c>
      <c r="AB7" s="142" t="str">
        <f>VLOOKUP(AA7,市町村データ!A2:P106,MATCH(手順書_丁目_世帯数!$G$63, 市町村データ!A1:P1, 0),FALSE)</f>
        <v>東北1</v>
      </c>
      <c r="AC7" s="154"/>
      <c r="AD7" s="159"/>
      <c r="AE7" s="82">
        <v>6</v>
      </c>
      <c r="AF7" s="142" t="str">
        <f>VLOOKUP(AE7,市町村データ!A2:P106,MATCH(手順書_丁目_世帯数!$G$63, 市町村データ!A1:P1, 0),FALSE)</f>
        <v>東北2</v>
      </c>
      <c r="AG7" s="154"/>
      <c r="AH7" s="159"/>
      <c r="AI7" s="85"/>
      <c r="AJ7" s="79"/>
      <c r="AK7" s="79"/>
      <c r="AL7" s="79"/>
      <c r="AM7" s="86"/>
      <c r="AN7" s="79"/>
      <c r="AO7" s="79"/>
      <c r="AP7" s="79"/>
      <c r="AQ7" s="86"/>
      <c r="AR7" s="79"/>
      <c r="AS7" s="79"/>
      <c r="AT7" s="79"/>
      <c r="AU7" s="79"/>
      <c r="AV7" s="79"/>
      <c r="AW7" s="79"/>
      <c r="AX7" s="79"/>
      <c r="AY7" s="79"/>
      <c r="AZ7" s="79"/>
      <c r="BA7" s="79"/>
      <c r="BB7" s="79"/>
      <c r="BC7" s="79"/>
      <c r="BD7" s="79"/>
      <c r="BE7" s="79"/>
      <c r="BF7" s="79"/>
      <c r="BG7" s="79"/>
      <c r="BH7" s="79"/>
      <c r="BI7" s="79"/>
      <c r="BJ7" s="79"/>
      <c r="BK7" s="86"/>
      <c r="BL7" s="79"/>
      <c r="BM7" s="79"/>
      <c r="BN7" s="230" t="s">
        <v>752</v>
      </c>
      <c r="BO7" s="218"/>
      <c r="BP7" s="218"/>
      <c r="BQ7" s="231"/>
      <c r="BR7" s="79"/>
      <c r="BS7" s="79"/>
      <c r="BT7" s="78"/>
    </row>
    <row r="8" spans="1:72" ht="21.15" customHeight="1" thickBot="1" x14ac:dyDescent="0.6">
      <c r="A8" s="78"/>
      <c r="B8" s="79"/>
      <c r="C8" s="79"/>
      <c r="D8" s="79"/>
      <c r="E8" s="79"/>
      <c r="F8" s="79"/>
      <c r="G8" s="79"/>
      <c r="H8" s="79"/>
      <c r="I8" s="79"/>
      <c r="J8" s="79"/>
      <c r="K8" s="250">
        <f>VLOOKUP(K7,市町村データ!A2:P106,MATCH(手順書_丁目_世帯数!$F$64, 市町村データ!A1:P1, 0),FALSE)</f>
        <v>95.4</v>
      </c>
      <c r="L8" s="156"/>
      <c r="M8" s="156"/>
      <c r="N8" s="158"/>
      <c r="O8" s="255">
        <f>VLOOKUP(O7,市町村データ!A2:P106,MATCH(手順書_丁目_世帯数!$F$64, 市町村データ!A1:P1, 0),FALSE)</f>
        <v>80.900000000000006</v>
      </c>
      <c r="P8" s="156"/>
      <c r="Q8" s="156"/>
      <c r="R8" s="158"/>
      <c r="S8" s="261">
        <f>VLOOKUP(S7,市町村データ!A2:P106,MATCH(手順書_丁目_世帯数!$F$64, 市町村データ!A1:P1, 0),FALSE)</f>
        <v>85.5</v>
      </c>
      <c r="T8" s="156"/>
      <c r="U8" s="156"/>
      <c r="V8" s="158"/>
      <c r="W8" s="300">
        <f>VLOOKUP(W7,市町村データ!A2:P106,MATCH(手順書_丁目_世帯数!$F$64, 市町村データ!A1:P1, 0),FALSE)</f>
        <v>98.8</v>
      </c>
      <c r="X8" s="156"/>
      <c r="Y8" s="156"/>
      <c r="Z8" s="158"/>
      <c r="AA8" s="255">
        <f>VLOOKUP(AA7,市町村データ!A2:P106,MATCH(手順書_丁目_世帯数!$F$64, 市町村データ!A1:P1, 0),FALSE)</f>
        <v>93.3</v>
      </c>
      <c r="AB8" s="156"/>
      <c r="AC8" s="156"/>
      <c r="AD8" s="158"/>
      <c r="AE8" s="266">
        <f>VLOOKUP(AE7,市町村データ!A2:P106,MATCH(手順書_丁目_世帯数!$F$64, 市町村データ!A1:P1, 0),FALSE)</f>
        <v>86.7</v>
      </c>
      <c r="AF8" s="156"/>
      <c r="AG8" s="156"/>
      <c r="AH8" s="158"/>
      <c r="AI8" s="85"/>
      <c r="AJ8" s="79"/>
      <c r="AK8" s="79"/>
      <c r="AL8" s="79"/>
      <c r="AM8" s="87"/>
      <c r="AN8" s="87"/>
      <c r="AO8" s="87"/>
      <c r="AP8" s="87"/>
      <c r="AQ8" s="87"/>
      <c r="AR8" s="87"/>
      <c r="AS8" s="87"/>
      <c r="AT8" s="87"/>
      <c r="AU8" s="79"/>
      <c r="AV8" s="79"/>
      <c r="AW8" s="79"/>
      <c r="AX8" s="79"/>
      <c r="AY8" s="79"/>
      <c r="AZ8" s="79"/>
      <c r="BA8" s="79"/>
      <c r="BB8" s="79"/>
      <c r="BC8" s="79"/>
      <c r="BD8" s="79"/>
      <c r="BE8" s="79"/>
      <c r="BF8" s="79"/>
      <c r="BG8" s="79"/>
      <c r="BH8" s="79"/>
      <c r="BI8" s="79"/>
      <c r="BJ8" s="79"/>
      <c r="BK8" s="79"/>
      <c r="BL8" s="79"/>
      <c r="BM8" s="79"/>
      <c r="BN8" s="147" t="s">
        <v>625</v>
      </c>
      <c r="BO8" s="148"/>
      <c r="BP8" s="148"/>
      <c r="BQ8" s="149"/>
      <c r="BR8" s="79"/>
      <c r="BS8" s="88"/>
      <c r="BT8" s="78"/>
    </row>
    <row r="9" spans="1:72" ht="21.15" customHeight="1" thickBot="1" x14ac:dyDescent="0.6">
      <c r="A9" s="78"/>
      <c r="B9" s="79"/>
      <c r="C9" s="79"/>
      <c r="D9" s="79"/>
      <c r="E9" s="79"/>
      <c r="F9" s="79"/>
      <c r="G9" s="79"/>
      <c r="H9" s="79"/>
      <c r="I9" s="79"/>
      <c r="J9" s="79"/>
      <c r="K9" s="252">
        <f>VLOOKUP(K7,市町村データ!A2:P106,MATCH(手順書_丁目_世帯数!$F$65, 市町村データ!A1:P1, 0),FALSE)</f>
        <v>2386</v>
      </c>
      <c r="L9" s="156"/>
      <c r="M9" s="156"/>
      <c r="N9" s="158"/>
      <c r="O9" s="254">
        <f>VLOOKUP(O7,市町村データ!A2:P106,MATCH(手順書_丁目_世帯数!$F$65, 市町村データ!A1:P1, 0),FALSE)</f>
        <v>1132</v>
      </c>
      <c r="P9" s="156"/>
      <c r="Q9" s="156"/>
      <c r="R9" s="158"/>
      <c r="S9" s="263">
        <f>VLOOKUP(S7,市町村データ!A2:P106,MATCH(手順書_丁目_世帯数!$F$65, 市町村データ!A1:P1, 0),FALSE)</f>
        <v>684</v>
      </c>
      <c r="T9" s="156"/>
      <c r="U9" s="156"/>
      <c r="V9" s="158"/>
      <c r="W9" s="299">
        <f>VLOOKUP(W7,市町村データ!A2:P106,MATCH(手順書_丁目_世帯数!$F$65, 市町村データ!A1:P1, 0),FALSE)</f>
        <v>1877</v>
      </c>
      <c r="X9" s="156"/>
      <c r="Y9" s="156"/>
      <c r="Z9" s="158"/>
      <c r="AA9" s="254">
        <f>VLOOKUP(AA7,市町村データ!A2:P106,MATCH(手順書_丁目_世帯数!$F$65, 市町村データ!A1:P1, 0),FALSE)</f>
        <v>1026</v>
      </c>
      <c r="AB9" s="156"/>
      <c r="AC9" s="156"/>
      <c r="AD9" s="158"/>
      <c r="AE9" s="267">
        <f>VLOOKUP(AE7,市町村データ!A2:P106,MATCH(手順書_丁目_世帯数!$F$65, 市町村データ!A1:P1, 0),FALSE)</f>
        <v>3467</v>
      </c>
      <c r="AF9" s="156"/>
      <c r="AG9" s="156"/>
      <c r="AH9" s="158"/>
      <c r="AI9" s="85"/>
      <c r="AJ9" s="79"/>
      <c r="AK9" s="79"/>
      <c r="AL9" s="79"/>
      <c r="AM9" s="89"/>
      <c r="AN9" s="89"/>
      <c r="AO9" s="89"/>
      <c r="AP9" s="89"/>
      <c r="AQ9" s="89"/>
      <c r="AR9" s="89"/>
      <c r="AS9" s="89"/>
      <c r="AT9" s="89"/>
      <c r="AU9" s="79"/>
      <c r="AV9" s="79"/>
      <c r="AW9" s="79"/>
      <c r="AX9" s="79"/>
      <c r="AY9" s="79"/>
      <c r="AZ9" s="79"/>
      <c r="BA9" s="79"/>
      <c r="BB9" s="79"/>
      <c r="BC9" s="79"/>
      <c r="BD9" s="79"/>
      <c r="BE9" s="79"/>
      <c r="BF9" s="79"/>
      <c r="BG9" s="79"/>
      <c r="BH9" s="79"/>
      <c r="BI9" s="79"/>
      <c r="BJ9" s="79"/>
      <c r="BK9" s="79"/>
      <c r="BL9" s="79"/>
      <c r="BM9" s="79"/>
      <c r="BN9" s="79"/>
      <c r="BO9" s="79"/>
      <c r="BP9" s="79"/>
      <c r="BQ9" s="79"/>
      <c r="BR9" s="79"/>
      <c r="BS9" s="88"/>
      <c r="BT9" s="78"/>
    </row>
    <row r="10" spans="1:72" ht="21.15" customHeight="1" thickBot="1" x14ac:dyDescent="0.6">
      <c r="A10" s="78"/>
      <c r="B10" s="79"/>
      <c r="C10" s="79"/>
      <c r="D10" s="79"/>
      <c r="E10" s="79"/>
      <c r="F10" s="79"/>
      <c r="G10" s="79"/>
      <c r="H10" s="79"/>
      <c r="I10" s="79"/>
      <c r="J10" s="79"/>
      <c r="K10" s="251">
        <f>VLOOKUP(K7,市町村データ!A2:P106,MATCH(手順書_丁目_世帯数!$F$66, 市町村データ!A1:P1, 0),FALSE)</f>
        <v>25</v>
      </c>
      <c r="L10" s="153"/>
      <c r="M10" s="153"/>
      <c r="N10" s="240"/>
      <c r="O10" s="253">
        <f>VLOOKUP(O7,市町村データ!A2:P106,MATCH(手順書_丁目_世帯数!$F$66, 市町村データ!A1:P1, 0),FALSE)</f>
        <v>14</v>
      </c>
      <c r="P10" s="153"/>
      <c r="Q10" s="153"/>
      <c r="R10" s="240"/>
      <c r="S10" s="257">
        <f>VLOOKUP(S7,市町村データ!A2:P106,MATCH(手順書_丁目_世帯数!$F$66, 市町村データ!A1:P1, 0),FALSE)</f>
        <v>8</v>
      </c>
      <c r="T10" s="153"/>
      <c r="U10" s="153"/>
      <c r="V10" s="240"/>
      <c r="W10" s="298">
        <f>VLOOKUP(W7,市町村データ!A2:P106,MATCH(手順書_丁目_世帯数!$F$66, 市町村データ!A1:P1, 0),FALSE)</f>
        <v>19</v>
      </c>
      <c r="X10" s="153"/>
      <c r="Y10" s="153"/>
      <c r="Z10" s="240"/>
      <c r="AA10" s="253">
        <f>VLOOKUP(AA7,市町村データ!A2:P106,MATCH(手順書_丁目_世帯数!$F$66, 市町村データ!A1:P1, 0),FALSE)</f>
        <v>11</v>
      </c>
      <c r="AB10" s="153"/>
      <c r="AC10" s="153"/>
      <c r="AD10" s="240"/>
      <c r="AE10" s="265">
        <f>VLOOKUP(AE7,市町村データ!A2:P106,MATCH(手順書_丁目_世帯数!$F$66, 市町村データ!A1:P1, 0),FALSE)</f>
        <v>40</v>
      </c>
      <c r="AF10" s="153"/>
      <c r="AG10" s="153"/>
      <c r="AH10" s="240"/>
      <c r="AI10" s="85"/>
      <c r="AJ10" s="79"/>
      <c r="AK10" s="79"/>
      <c r="AL10" s="79"/>
      <c r="AM10" s="79"/>
      <c r="AN10" s="79"/>
      <c r="AO10" s="79"/>
      <c r="AP10" s="79"/>
      <c r="AQ10" s="79"/>
      <c r="AR10" s="79"/>
      <c r="AS10" s="79"/>
      <c r="AT10" s="79"/>
      <c r="AU10" s="79"/>
      <c r="AV10" s="79"/>
      <c r="AW10" s="79"/>
      <c r="AX10" s="79"/>
      <c r="AY10" s="79"/>
      <c r="AZ10" s="79"/>
      <c r="BA10" s="79"/>
      <c r="BB10" s="79"/>
      <c r="BC10" s="79"/>
      <c r="BD10" s="79"/>
      <c r="BE10" s="79"/>
      <c r="BF10" s="79"/>
      <c r="BG10" s="79"/>
      <c r="BH10" s="79"/>
      <c r="BI10" s="79"/>
      <c r="BJ10" s="79"/>
      <c r="BK10" s="79"/>
      <c r="BL10" s="79"/>
      <c r="BM10" s="79"/>
      <c r="BN10" s="233" t="s">
        <v>71</v>
      </c>
      <c r="BO10" s="234"/>
      <c r="BP10" s="234"/>
      <c r="BQ10" s="235" t="s">
        <v>70</v>
      </c>
      <c r="BR10" s="236"/>
      <c r="BS10" s="88"/>
      <c r="BT10" s="78"/>
    </row>
    <row r="11" spans="1:72" ht="21.15" customHeight="1" x14ac:dyDescent="0.55000000000000004">
      <c r="A11" s="78"/>
      <c r="B11" s="79"/>
      <c r="C11" s="81" t="s">
        <v>63</v>
      </c>
      <c r="D11" s="79"/>
      <c r="E11" s="79"/>
      <c r="F11" s="79"/>
      <c r="G11" s="82">
        <v>7</v>
      </c>
      <c r="H11" s="142" t="str">
        <f>VLOOKUP(G11,市町村データ!A2:P106,MATCH(手順書_丁目_世帯数!$G$63, 市町村データ!A1:P1, 0),FALSE)</f>
        <v>中野2</v>
      </c>
      <c r="I11" s="154"/>
      <c r="J11" s="159"/>
      <c r="K11" s="82">
        <v>8</v>
      </c>
      <c r="L11" s="142" t="str">
        <f>VLOOKUP(K11,市町村データ!A2:P106,MATCH(手順書_丁目_世帯数!$G$63, 市町村データ!A1:P1, 0),FALSE)</f>
        <v>大和田4</v>
      </c>
      <c r="M11" s="154"/>
      <c r="N11" s="154"/>
      <c r="O11" s="84"/>
      <c r="P11" s="84"/>
      <c r="Q11" s="84"/>
      <c r="R11" s="84"/>
      <c r="S11" s="82">
        <v>9</v>
      </c>
      <c r="T11" s="142" t="str">
        <f>VLOOKUP(S11,市町村データ!A2:P106,MATCH(手順書_丁目_世帯数!$G$63, 市町村データ!A1:P1, 0),FALSE)</f>
        <v>大和田5</v>
      </c>
      <c r="U11" s="154"/>
      <c r="V11" s="159"/>
      <c r="W11" s="82">
        <v>10</v>
      </c>
      <c r="X11" s="142" t="str">
        <f>VLOOKUP(W11,市町村データ!A2:P106,MATCH(手順書_丁目_世帯数!$G$63, 市町村データ!A1:P1, 0),FALSE)</f>
        <v>北野2</v>
      </c>
      <c r="Y11" s="154"/>
      <c r="Z11" s="159"/>
      <c r="AA11" s="82">
        <v>11</v>
      </c>
      <c r="AB11" s="142" t="str">
        <f>VLOOKUP(AA11,市町村データ!A2:P106,MATCH(手順書_丁目_世帯数!$G$63, 市町村データ!A1:P1, 0),FALSE)</f>
        <v>北野1</v>
      </c>
      <c r="AC11" s="154"/>
      <c r="AD11" s="159"/>
      <c r="AE11" s="82">
        <v>12</v>
      </c>
      <c r="AF11" s="142" t="str">
        <f>VLOOKUP(AE11,市町村データ!A2:P106,MATCH(手順書_丁目_世帯数!$G$63, 市町村データ!A1:P1, 0),FALSE)</f>
        <v>東3</v>
      </c>
      <c r="AG11" s="154"/>
      <c r="AH11" s="159"/>
      <c r="AI11" s="82">
        <v>13</v>
      </c>
      <c r="AJ11" s="142" t="str">
        <f>VLOOKUP(AI11,市町村データ!A2:P106,MATCH(手順書_丁目_世帯数!$G$63, 市町村データ!A1:P1, 0),FALSE)</f>
        <v>東2</v>
      </c>
      <c r="AK11" s="154"/>
      <c r="AL11" s="159"/>
      <c r="AM11" s="82">
        <v>14</v>
      </c>
      <c r="AN11" s="142" t="str">
        <f>VLOOKUP(AM11,市町村データ!A2:P106,MATCH(手順書_丁目_世帯数!$G$63, 市町村データ!A1:P1, 0),FALSE)</f>
        <v>東1</v>
      </c>
      <c r="AO11" s="154"/>
      <c r="AP11" s="159"/>
      <c r="AQ11" s="91"/>
      <c r="AR11" s="79"/>
      <c r="AS11" s="79"/>
      <c r="AT11" s="79"/>
      <c r="AU11" s="79"/>
      <c r="AV11" s="79"/>
      <c r="AW11" s="79"/>
      <c r="AX11" s="79"/>
      <c r="AY11" s="79"/>
      <c r="AZ11" s="79"/>
      <c r="BA11" s="79"/>
      <c r="BB11" s="79"/>
      <c r="BC11" s="79"/>
      <c r="BD11" s="79"/>
      <c r="BE11" s="79"/>
      <c r="BF11" s="79"/>
      <c r="BG11" s="79"/>
      <c r="BH11" s="79"/>
      <c r="BI11" s="79"/>
      <c r="BJ11" s="79"/>
      <c r="BK11" s="79"/>
      <c r="BL11" s="79"/>
      <c r="BM11" s="79"/>
      <c r="BN11" s="214">
        <v>3666</v>
      </c>
      <c r="BO11" s="218"/>
      <c r="BP11" s="218"/>
      <c r="BQ11" s="227"/>
      <c r="BR11" s="217"/>
      <c r="BS11" s="88"/>
      <c r="BT11" s="78"/>
    </row>
    <row r="12" spans="1:72" ht="21.15" customHeight="1" x14ac:dyDescent="0.55000000000000004">
      <c r="A12" s="78"/>
      <c r="B12" s="79"/>
      <c r="C12" s="79"/>
      <c r="D12" s="79"/>
      <c r="E12" s="79"/>
      <c r="F12" s="79"/>
      <c r="G12" s="260">
        <f>VLOOKUP(G11,市町村データ!A2:P106,MATCH(手順書_丁目_世帯数!$F$64, 市町村データ!A1:P1, 0),FALSE)</f>
        <v>1.8</v>
      </c>
      <c r="H12" s="156"/>
      <c r="I12" s="156"/>
      <c r="J12" s="158"/>
      <c r="K12" s="259">
        <f>VLOOKUP(K11,市町村データ!A2:P106,MATCH(手順書_丁目_世帯数!$F$64, 市町村データ!A1:P1, 0),FALSE)</f>
        <v>17.8</v>
      </c>
      <c r="L12" s="156"/>
      <c r="M12" s="156"/>
      <c r="N12" s="156"/>
      <c r="O12" s="79"/>
      <c r="P12" s="79"/>
      <c r="Q12" s="79"/>
      <c r="R12" s="79"/>
      <c r="S12" s="300">
        <f>VLOOKUP(S11,市町村データ!A2:P106,MATCH(手順書_丁目_世帯数!$F$64, 市町村データ!A1:P1, 0),FALSE)</f>
        <v>64.7</v>
      </c>
      <c r="T12" s="156"/>
      <c r="U12" s="156"/>
      <c r="V12" s="158"/>
      <c r="W12" s="255">
        <f>VLOOKUP(W11,市町村データ!A2:P106,MATCH(手順書_丁目_世帯数!$F$64, 市町村データ!A1:P1, 0),FALSE)</f>
        <v>61</v>
      </c>
      <c r="X12" s="156"/>
      <c r="Y12" s="156"/>
      <c r="Z12" s="158"/>
      <c r="AA12" s="259">
        <f>VLOOKUP(AA11,市町村データ!A2:P106,MATCH(手順書_丁目_世帯数!$F$64, 市町村データ!A1:P1, 0),FALSE)</f>
        <v>18.5</v>
      </c>
      <c r="AB12" s="156"/>
      <c r="AC12" s="156"/>
      <c r="AD12" s="158"/>
      <c r="AE12" s="255">
        <f>VLOOKUP(AE11,市町村データ!A2:P106,MATCH(手順書_丁目_世帯数!$F$64, 市町村データ!A1:P1, 0),FALSE)</f>
        <v>88.7</v>
      </c>
      <c r="AF12" s="156"/>
      <c r="AG12" s="156"/>
      <c r="AH12" s="158"/>
      <c r="AI12" s="259">
        <f>VLOOKUP(AI11,市町村データ!A2:P106,MATCH(手順書_丁目_世帯数!$F$64, 市町村データ!A1:P1, 0),FALSE)</f>
        <v>45.8</v>
      </c>
      <c r="AJ12" s="156"/>
      <c r="AK12" s="156"/>
      <c r="AL12" s="158"/>
      <c r="AM12" s="297">
        <f>VLOOKUP(AM11,市町村データ!A2:P106,MATCH(手順書_丁目_世帯数!$F$64, 市町村データ!A1:P1, 0),FALSE)</f>
        <v>73.900000000000006</v>
      </c>
      <c r="AN12" s="156"/>
      <c r="AO12" s="156"/>
      <c r="AP12" s="158"/>
      <c r="AQ12" s="92"/>
      <c r="AR12" s="87"/>
      <c r="AS12" s="87"/>
      <c r="AT12" s="87"/>
      <c r="AU12" s="79"/>
      <c r="AV12" s="79"/>
      <c r="AW12" s="79"/>
      <c r="AX12" s="79"/>
      <c r="AY12" s="79"/>
      <c r="AZ12" s="79"/>
      <c r="BA12" s="79"/>
      <c r="BB12" s="79"/>
      <c r="BC12" s="79"/>
      <c r="BD12" s="79"/>
      <c r="BE12" s="79"/>
      <c r="BF12" s="79"/>
      <c r="BG12" s="79"/>
      <c r="BH12" s="79"/>
      <c r="BI12" s="79"/>
      <c r="BJ12" s="79"/>
      <c r="BK12" s="79"/>
      <c r="BL12" s="79"/>
      <c r="BM12" s="79"/>
      <c r="BN12" s="214">
        <v>3333</v>
      </c>
      <c r="BO12" s="218"/>
      <c r="BP12" s="218"/>
      <c r="BQ12" s="228"/>
      <c r="BR12" s="217"/>
      <c r="BS12" s="88"/>
      <c r="BT12" s="78"/>
    </row>
    <row r="13" spans="1:72" ht="21.15" customHeight="1" x14ac:dyDescent="0.55000000000000004">
      <c r="A13" s="78"/>
      <c r="B13" s="79"/>
      <c r="C13" s="79"/>
      <c r="D13" s="79"/>
      <c r="E13" s="79"/>
      <c r="F13" s="79"/>
      <c r="G13" s="262">
        <f>VLOOKUP(G11,市町村データ!A2:P106,MATCH(手順書_丁目_世帯数!$F$65, 市町村データ!A1:P1, 0),FALSE)</f>
        <v>72</v>
      </c>
      <c r="H13" s="156"/>
      <c r="I13" s="156"/>
      <c r="J13" s="158"/>
      <c r="K13" s="264">
        <f>VLOOKUP(K11,市町村データ!A2:P106,MATCH(手順書_丁目_世帯数!$F$65, 市町村データ!A1:P1, 0),FALSE)</f>
        <v>654</v>
      </c>
      <c r="L13" s="156"/>
      <c r="M13" s="156"/>
      <c r="N13" s="156"/>
      <c r="O13" s="79"/>
      <c r="P13" s="79"/>
      <c r="Q13" s="79"/>
      <c r="R13" s="79"/>
      <c r="S13" s="299">
        <f>VLOOKUP(S11,市町村データ!A2:P106,MATCH(手順書_丁目_世帯数!$F$65, 市町村データ!A1:P1, 0),FALSE)</f>
        <v>1748</v>
      </c>
      <c r="T13" s="156"/>
      <c r="U13" s="156"/>
      <c r="V13" s="158"/>
      <c r="W13" s="254">
        <f>VLOOKUP(W11,市町村データ!A2:P106,MATCH(手順書_丁目_世帯数!$F$65, 市町村データ!A1:P1, 0),FALSE)</f>
        <v>1280</v>
      </c>
      <c r="X13" s="156"/>
      <c r="Y13" s="156"/>
      <c r="Z13" s="158"/>
      <c r="AA13" s="264">
        <f>VLOOKUP(AA11,市町村データ!A2:P106,MATCH(手順書_丁目_世帯数!$F$65, 市町村データ!A1:P1, 0),FALSE)</f>
        <v>444</v>
      </c>
      <c r="AB13" s="156"/>
      <c r="AC13" s="156"/>
      <c r="AD13" s="158"/>
      <c r="AE13" s="254">
        <f>VLOOKUP(AE11,市町村データ!A2:P106,MATCH(手順書_丁目_世帯数!$F$65, 市町村データ!A1:P1, 0),FALSE)</f>
        <v>1331</v>
      </c>
      <c r="AF13" s="156"/>
      <c r="AG13" s="156"/>
      <c r="AH13" s="158"/>
      <c r="AI13" s="264">
        <f>VLOOKUP(AI11,市町村データ!A2:P106,MATCH(手順書_丁目_世帯数!$F$65, 市町村データ!A1:P1, 0),FALSE)</f>
        <v>595</v>
      </c>
      <c r="AJ13" s="156"/>
      <c r="AK13" s="156"/>
      <c r="AL13" s="158"/>
      <c r="AM13" s="295">
        <f>VLOOKUP(AM11,市町村データ!A2:P106,MATCH(手順書_丁目_世帯数!$F$65, 市町村データ!A1:P1, 0),FALSE)</f>
        <v>1404</v>
      </c>
      <c r="AN13" s="156"/>
      <c r="AO13" s="156"/>
      <c r="AP13" s="158"/>
      <c r="AQ13" s="93"/>
      <c r="AR13" s="89"/>
      <c r="AS13" s="89"/>
      <c r="AT13" s="89"/>
      <c r="AU13" s="79"/>
      <c r="AV13" s="79"/>
      <c r="AW13" s="79"/>
      <c r="AX13" s="79"/>
      <c r="AY13" s="79"/>
      <c r="AZ13" s="79"/>
      <c r="BA13" s="79"/>
      <c r="BB13" s="79"/>
      <c r="BC13" s="79"/>
      <c r="BD13" s="79"/>
      <c r="BE13" s="79"/>
      <c r="BF13" s="79"/>
      <c r="BG13" s="79"/>
      <c r="BH13" s="79"/>
      <c r="BI13" s="79"/>
      <c r="BJ13" s="79"/>
      <c r="BK13" s="79"/>
      <c r="BL13" s="79"/>
      <c r="BM13" s="79"/>
      <c r="BN13" s="214">
        <v>3000</v>
      </c>
      <c r="BO13" s="218"/>
      <c r="BP13" s="218"/>
      <c r="BQ13" s="229"/>
      <c r="BR13" s="217"/>
      <c r="BS13" s="88"/>
      <c r="BT13" s="78"/>
    </row>
    <row r="14" spans="1:72" ht="21.15" customHeight="1" thickBot="1" x14ac:dyDescent="0.6">
      <c r="A14" s="78"/>
      <c r="B14" s="79"/>
      <c r="C14" s="79"/>
      <c r="D14" s="79"/>
      <c r="E14" s="79"/>
      <c r="F14" s="79"/>
      <c r="G14" s="256">
        <f>VLOOKUP(G11,市町村データ!A2:P106,MATCH(手順書_丁目_世帯数!$F$66, 市町村データ!A1:P1, 0),FALSE)</f>
        <v>40</v>
      </c>
      <c r="H14" s="153"/>
      <c r="I14" s="153"/>
      <c r="J14" s="240"/>
      <c r="K14" s="258">
        <f>VLOOKUP(K11,市町村データ!A2:P106,MATCH(手順書_丁目_世帯数!$F$66, 市町村データ!A1:P1, 0),FALSE)</f>
        <v>36.799999999999997</v>
      </c>
      <c r="L14" s="153"/>
      <c r="M14" s="153"/>
      <c r="N14" s="153"/>
      <c r="O14" s="79"/>
      <c r="P14" s="79"/>
      <c r="Q14" s="79"/>
      <c r="R14" s="79"/>
      <c r="S14" s="298">
        <f>VLOOKUP(S11,市町村データ!A2:P106,MATCH(手順書_丁目_世帯数!$F$66, 市町村データ!A1:P1, 0),FALSE)</f>
        <v>27</v>
      </c>
      <c r="T14" s="153"/>
      <c r="U14" s="153"/>
      <c r="V14" s="240"/>
      <c r="W14" s="253">
        <f>VLOOKUP(W11,市町村データ!A2:P106,MATCH(手順書_丁目_世帯数!$F$66, 市町村データ!A1:P1, 0),FALSE)</f>
        <v>21</v>
      </c>
      <c r="X14" s="153"/>
      <c r="Y14" s="153"/>
      <c r="Z14" s="240"/>
      <c r="AA14" s="258">
        <f>VLOOKUP(AA11,市町村データ!A2:P106,MATCH(手順書_丁目_世帯数!$F$66, 市町村データ!A1:P1, 0),FALSE)</f>
        <v>24</v>
      </c>
      <c r="AB14" s="153"/>
      <c r="AC14" s="153"/>
      <c r="AD14" s="240"/>
      <c r="AE14" s="253">
        <f>VLOOKUP(AE11,市町村データ!A2:P106,MATCH(手順書_丁目_世帯数!$F$66, 市町村データ!A1:P1, 0),FALSE)</f>
        <v>15</v>
      </c>
      <c r="AF14" s="153"/>
      <c r="AG14" s="153"/>
      <c r="AH14" s="240"/>
      <c r="AI14" s="258">
        <f>VLOOKUP(AI11,市町村データ!A2:P106,MATCH(手順書_丁目_世帯数!$F$66, 市町村データ!A1:P1, 0),FALSE)</f>
        <v>13</v>
      </c>
      <c r="AJ14" s="153"/>
      <c r="AK14" s="153"/>
      <c r="AL14" s="240"/>
      <c r="AM14" s="296">
        <f>VLOOKUP(AM11,市町村データ!A2:P106,MATCH(手順書_丁目_世帯数!$F$66, 市町村データ!A1:P1, 0),FALSE)</f>
        <v>19</v>
      </c>
      <c r="AN14" s="153"/>
      <c r="AO14" s="153"/>
      <c r="AP14" s="240"/>
      <c r="AQ14" s="85"/>
      <c r="AR14" s="79"/>
      <c r="AS14" s="79"/>
      <c r="AT14" s="79"/>
      <c r="AU14" s="79"/>
      <c r="AV14" s="79"/>
      <c r="AW14" s="79"/>
      <c r="AX14" s="79"/>
      <c r="AY14" s="79"/>
      <c r="AZ14" s="79"/>
      <c r="BA14" s="79"/>
      <c r="BB14" s="79"/>
      <c r="BC14" s="79"/>
      <c r="BD14" s="79"/>
      <c r="BE14" s="79"/>
      <c r="BF14" s="79"/>
      <c r="BG14" s="79"/>
      <c r="BH14" s="79"/>
      <c r="BI14" s="79"/>
      <c r="BJ14" s="79"/>
      <c r="BK14" s="79"/>
      <c r="BL14" s="79"/>
      <c r="BM14" s="79"/>
      <c r="BN14" s="221">
        <v>2666</v>
      </c>
      <c r="BO14" s="222"/>
      <c r="BP14" s="222"/>
      <c r="BQ14" s="223"/>
      <c r="BR14" s="217"/>
      <c r="BS14" s="88"/>
      <c r="BT14" s="78"/>
    </row>
    <row r="15" spans="1:72" ht="21.15" customHeight="1" x14ac:dyDescent="0.55000000000000004">
      <c r="A15" s="78"/>
      <c r="B15" s="79"/>
      <c r="C15" s="81" t="s">
        <v>134</v>
      </c>
      <c r="D15" s="79"/>
      <c r="E15" s="79"/>
      <c r="F15" s="79"/>
      <c r="G15" s="82">
        <v>15</v>
      </c>
      <c r="H15" s="142" t="str">
        <f>VLOOKUP(G15,市町村データ!A2:P106,MATCH(手順書_丁目_世帯数!$G$63, 市町村データ!A1:P1, 0),FALSE)</f>
        <v>中野1</v>
      </c>
      <c r="I15" s="154"/>
      <c r="J15" s="159"/>
      <c r="K15" s="82">
        <v>16</v>
      </c>
      <c r="L15" s="142" t="str">
        <f>VLOOKUP(K15,市町村データ!A2:P106,MATCH(手順書_丁目_世帯数!$G$63, 市町村データ!A1:P1, 0),FALSE)</f>
        <v>大和田3</v>
      </c>
      <c r="M15" s="154"/>
      <c r="N15" s="159"/>
      <c r="O15" s="82">
        <v>17</v>
      </c>
      <c r="P15" s="142" t="str">
        <f>VLOOKUP(O15,市町村データ!A2:P106,MATCH(手順書_丁目_世帯数!$G$63, 市町村データ!A1:P1, 0),FALSE)</f>
        <v>大和田2</v>
      </c>
      <c r="Q15" s="154"/>
      <c r="R15" s="159"/>
      <c r="S15" s="82">
        <v>18</v>
      </c>
      <c r="T15" s="142" t="str">
        <f>VLOOKUP(S15,市町村データ!A2:P106,MATCH(手順書_丁目_世帯数!$G$63, 市町村データ!A1:P1, 0),FALSE)</f>
        <v>大和田1</v>
      </c>
      <c r="U15" s="154"/>
      <c r="V15" s="159"/>
      <c r="W15" s="82">
        <v>19</v>
      </c>
      <c r="X15" s="142" t="str">
        <f>VLOOKUP(W15,市町村データ!A2:P106,MATCH(手順書_丁目_世帯数!$G$63, 市町村データ!A1:P1, 0),FALSE)</f>
        <v>野火止5</v>
      </c>
      <c r="Y15" s="154"/>
      <c r="Z15" s="159"/>
      <c r="AA15" s="82">
        <v>20</v>
      </c>
      <c r="AB15" s="142" t="str">
        <f>VLOOKUP(AA15,市町村データ!A2:P106,MATCH(手順書_丁目_世帯数!$G$63, 市町村データ!A1:P1, 0),FALSE)</f>
        <v>野火止6</v>
      </c>
      <c r="AC15" s="154"/>
      <c r="AD15" s="159"/>
      <c r="AE15" s="82">
        <v>21</v>
      </c>
      <c r="AF15" s="142" t="str">
        <f>VLOOKUP(AE15,市町村データ!A2:P106,MATCH(手順書_丁目_世帯数!$G$63, 市町村データ!A1:P1, 0),FALSE)</f>
        <v>野火止7</v>
      </c>
      <c r="AG15" s="154"/>
      <c r="AH15" s="159"/>
      <c r="AI15" s="82">
        <v>22</v>
      </c>
      <c r="AJ15" s="142" t="str">
        <f>VLOOKUP(AI15,市町村データ!A2:P106,MATCH(手順書_丁目_世帯数!$G$63, 市町村データ!A1:P1, 0),FALSE)</f>
        <v>野火止8</v>
      </c>
      <c r="AK15" s="154"/>
      <c r="AL15" s="159"/>
      <c r="AM15" s="82">
        <v>23</v>
      </c>
      <c r="AN15" s="142" t="str">
        <f>VLOOKUP(AM15,市町村データ!A2:P106,MATCH(手順書_丁目_世帯数!$G$63, 市町村データ!A1:P1, 0),FALSE)</f>
        <v>畑中3</v>
      </c>
      <c r="AO15" s="154"/>
      <c r="AP15" s="159"/>
      <c r="AQ15" s="91"/>
      <c r="AR15" s="79"/>
      <c r="AS15" s="79"/>
      <c r="AT15" s="79"/>
      <c r="AU15" s="79"/>
      <c r="AV15" s="79"/>
      <c r="AW15" s="79"/>
      <c r="AX15" s="79"/>
      <c r="AY15" s="79"/>
      <c r="AZ15" s="79"/>
      <c r="BA15" s="79"/>
      <c r="BB15" s="79"/>
      <c r="BC15" s="79"/>
      <c r="BD15" s="79"/>
      <c r="BE15" s="79"/>
      <c r="BF15" s="79"/>
      <c r="BG15" s="79"/>
      <c r="BH15" s="79"/>
      <c r="BI15" s="79"/>
      <c r="BJ15" s="79"/>
      <c r="BK15" s="86"/>
      <c r="BL15" s="79"/>
      <c r="BM15" s="79"/>
      <c r="BN15" s="214">
        <v>2333</v>
      </c>
      <c r="BO15" s="218"/>
      <c r="BP15" s="218"/>
      <c r="BQ15" s="224"/>
      <c r="BR15" s="217"/>
      <c r="BS15" s="88"/>
      <c r="BT15" s="78"/>
    </row>
    <row r="16" spans="1:72" ht="21.15" customHeight="1" x14ac:dyDescent="0.55000000000000004">
      <c r="A16" s="78"/>
      <c r="B16" s="79"/>
      <c r="C16" s="79"/>
      <c r="D16" s="79"/>
      <c r="E16" s="79"/>
      <c r="F16" s="79"/>
      <c r="G16" s="260">
        <f>VLOOKUP(G15,市町村データ!A2:P106,MATCH(手順書_丁目_世帯数!$F$64, 市町村データ!A1:P1, 0),FALSE)</f>
        <v>6.3</v>
      </c>
      <c r="H16" s="156"/>
      <c r="I16" s="156"/>
      <c r="J16" s="158"/>
      <c r="K16" s="260">
        <f>VLOOKUP(K15,市町村データ!A2:P106,MATCH(手順書_丁目_世帯数!$F$64, 市町村データ!A1:P1, 0),FALSE)</f>
        <v>0.4</v>
      </c>
      <c r="L16" s="156"/>
      <c r="M16" s="156"/>
      <c r="N16" s="158"/>
      <c r="O16" s="260">
        <f>VLOOKUP(O15,市町村データ!A2:P106,MATCH(手順書_丁目_世帯数!$F$64, 市町村データ!A1:P1, 0),FALSE)</f>
        <v>3</v>
      </c>
      <c r="P16" s="156"/>
      <c r="Q16" s="156"/>
      <c r="R16" s="158"/>
      <c r="S16" s="300">
        <f>VLOOKUP(S15,市町村データ!A2:P106,MATCH(手順書_丁目_世帯数!$F$64, 市町村データ!A1:P1, 0),FALSE)</f>
        <v>33.799999999999997</v>
      </c>
      <c r="T16" s="156"/>
      <c r="U16" s="156"/>
      <c r="V16" s="158"/>
      <c r="W16" s="237">
        <f>VLOOKUP(W15,市町村データ!A2:P106,MATCH(手順書_丁目_世帯数!$F$64, 市町村データ!A1:P1, 0),FALSE)</f>
        <v>62.2</v>
      </c>
      <c r="X16" s="156"/>
      <c r="Y16" s="156"/>
      <c r="Z16" s="158"/>
      <c r="AA16" s="244">
        <f>VLOOKUP(AA15,市町村データ!A2:P106,MATCH(手順書_丁目_世帯数!$F$64, 市町村データ!A1:P1, 0),FALSE)</f>
        <v>48.3</v>
      </c>
      <c r="AB16" s="156"/>
      <c r="AC16" s="156"/>
      <c r="AD16" s="158"/>
      <c r="AE16" s="297">
        <f>VLOOKUP(AE15,市町村データ!A2:P106,MATCH(手順書_丁目_世帯数!$F$64, 市町村データ!A1:P1, 0),FALSE)</f>
        <v>29.3</v>
      </c>
      <c r="AF16" s="156"/>
      <c r="AG16" s="156"/>
      <c r="AH16" s="158"/>
      <c r="AI16" s="244">
        <f>VLOOKUP(AI15,市町村データ!A2:P106,MATCH(手順書_丁目_世帯数!$F$64, 市町村データ!A1:P1, 0),FALSE)</f>
        <v>35.299999999999997</v>
      </c>
      <c r="AJ16" s="156"/>
      <c r="AK16" s="156"/>
      <c r="AL16" s="158"/>
      <c r="AM16" s="261">
        <f>VLOOKUP(AM15,市町村データ!A2:P106,MATCH(手順書_丁目_世帯数!$F$64, 市町村データ!A1:P1, 0),FALSE)</f>
        <v>53.3</v>
      </c>
      <c r="AN16" s="156"/>
      <c r="AO16" s="156"/>
      <c r="AP16" s="158"/>
      <c r="AQ16" s="92"/>
      <c r="AR16" s="87"/>
      <c r="AS16" s="87"/>
      <c r="AT16" s="87"/>
      <c r="AU16" s="79"/>
      <c r="AV16" s="79"/>
      <c r="AW16" s="79"/>
      <c r="AX16" s="79"/>
      <c r="AY16" s="79"/>
      <c r="AZ16" s="79"/>
      <c r="BA16" s="79"/>
      <c r="BB16" s="79"/>
      <c r="BC16" s="79"/>
      <c r="BD16" s="79"/>
      <c r="BE16" s="79"/>
      <c r="BF16" s="79"/>
      <c r="BG16" s="79"/>
      <c r="BH16" s="79"/>
      <c r="BI16" s="79"/>
      <c r="BJ16" s="79"/>
      <c r="BK16" s="87"/>
      <c r="BL16" s="87"/>
      <c r="BM16" s="87"/>
      <c r="BN16" s="214">
        <v>2000</v>
      </c>
      <c r="BO16" s="225"/>
      <c r="BP16" s="225"/>
      <c r="BQ16" s="226"/>
      <c r="BR16" s="217"/>
      <c r="BS16" s="88"/>
      <c r="BT16" s="78"/>
    </row>
    <row r="17" spans="1:72" ht="21.15" customHeight="1" x14ac:dyDescent="0.55000000000000004">
      <c r="A17" s="78"/>
      <c r="B17" s="79"/>
      <c r="C17" s="79"/>
      <c r="D17" s="79"/>
      <c r="E17" s="79"/>
      <c r="F17" s="79"/>
      <c r="G17" s="262">
        <f>VLOOKUP(G15,市町村データ!A2:P106,MATCH(手順書_丁目_世帯数!$F$65, 市町村データ!A1:P1, 0),FALSE)</f>
        <v>213</v>
      </c>
      <c r="H17" s="156"/>
      <c r="I17" s="156"/>
      <c r="J17" s="158"/>
      <c r="K17" s="262">
        <f>VLOOKUP(K15,市町村データ!A2:P106,MATCH(手順書_丁目_世帯数!$F$65, 市町村データ!A1:P1, 0),FALSE)</f>
        <v>13</v>
      </c>
      <c r="L17" s="156"/>
      <c r="M17" s="156"/>
      <c r="N17" s="158"/>
      <c r="O17" s="262">
        <f>VLOOKUP(O15,市町村データ!A2:P106,MATCH(手順書_丁目_世帯数!$F$65, 市町村データ!A1:P1, 0),FALSE)</f>
        <v>89</v>
      </c>
      <c r="P17" s="156"/>
      <c r="Q17" s="156"/>
      <c r="R17" s="158"/>
      <c r="S17" s="299">
        <f>VLOOKUP(S15,市町村データ!A2:P106,MATCH(手順書_丁目_世帯数!$F$65, 市町村データ!A1:P1, 0),FALSE)</f>
        <v>1824</v>
      </c>
      <c r="T17" s="156"/>
      <c r="U17" s="156"/>
      <c r="V17" s="158"/>
      <c r="W17" s="242">
        <f>VLOOKUP(W15,市町村データ!A2:P106,MATCH(手順書_丁目_世帯数!$F$65, 市町村データ!A1:P1, 0),FALSE)</f>
        <v>3732</v>
      </c>
      <c r="X17" s="156"/>
      <c r="Y17" s="156"/>
      <c r="Z17" s="158"/>
      <c r="AA17" s="248">
        <f>VLOOKUP(AA15,市町村データ!A2:P106,MATCH(手順書_丁目_世帯数!$F$65, 市町村データ!A1:P1, 0),FALSE)</f>
        <v>2270</v>
      </c>
      <c r="AB17" s="156"/>
      <c r="AC17" s="156"/>
      <c r="AD17" s="158"/>
      <c r="AE17" s="295">
        <f>VLOOKUP(AE15,市町村データ!A2:P106,MATCH(手順書_丁目_世帯数!$F$65, 市町村データ!A1:P1, 0),FALSE)</f>
        <v>1609</v>
      </c>
      <c r="AF17" s="156"/>
      <c r="AG17" s="156"/>
      <c r="AH17" s="158"/>
      <c r="AI17" s="248">
        <f>VLOOKUP(AI15,市町村データ!A2:P106,MATCH(手順書_丁目_世帯数!$F$65, 市町村データ!A1:P1, 0),FALSE)</f>
        <v>2120</v>
      </c>
      <c r="AJ17" s="156"/>
      <c r="AK17" s="156"/>
      <c r="AL17" s="158"/>
      <c r="AM17" s="263">
        <f>VLOOKUP(AM15,市町村データ!A2:P106,MATCH(手順書_丁目_世帯数!$F$65, 市町村データ!A1:P1, 0),FALSE)</f>
        <v>799</v>
      </c>
      <c r="AN17" s="156"/>
      <c r="AO17" s="156"/>
      <c r="AP17" s="158"/>
      <c r="AQ17" s="93"/>
      <c r="AR17" s="89"/>
      <c r="AS17" s="89"/>
      <c r="AT17" s="89"/>
      <c r="AU17" s="79"/>
      <c r="AV17" s="79"/>
      <c r="AW17" s="79"/>
      <c r="AX17" s="79"/>
      <c r="AY17" s="79"/>
      <c r="AZ17" s="79"/>
      <c r="BA17" s="79"/>
      <c r="BB17" s="79"/>
      <c r="BC17" s="79"/>
      <c r="BD17" s="79"/>
      <c r="BE17" s="79"/>
      <c r="BF17" s="79"/>
      <c r="BG17" s="79"/>
      <c r="BH17" s="79"/>
      <c r="BI17" s="79"/>
      <c r="BJ17" s="79"/>
      <c r="BK17" s="89"/>
      <c r="BL17" s="89"/>
      <c r="BM17" s="89"/>
      <c r="BN17" s="214">
        <v>1666</v>
      </c>
      <c r="BO17" s="215"/>
      <c r="BP17" s="215"/>
      <c r="BQ17" s="293"/>
      <c r="BR17" s="217"/>
      <c r="BS17" s="79"/>
      <c r="BT17" s="78"/>
    </row>
    <row r="18" spans="1:72" ht="21.15" customHeight="1" thickBot="1" x14ac:dyDescent="0.6">
      <c r="A18" s="78"/>
      <c r="B18" s="79"/>
      <c r="C18" s="79"/>
      <c r="D18" s="79"/>
      <c r="E18" s="79"/>
      <c r="F18" s="79"/>
      <c r="G18" s="256">
        <f>VLOOKUP(G15,市町村データ!A2:P106,MATCH(手順書_丁目_世帯数!$F$66, 市町村データ!A1:P1, 0),FALSE)</f>
        <v>33.700000000000003</v>
      </c>
      <c r="H18" s="153"/>
      <c r="I18" s="153"/>
      <c r="J18" s="240"/>
      <c r="K18" s="256">
        <f>VLOOKUP(K15,市町村データ!A2:P106,MATCH(手順書_丁目_世帯数!$F$66, 市町村データ!A1:P1, 0),FALSE)</f>
        <v>30.7</v>
      </c>
      <c r="L18" s="153"/>
      <c r="M18" s="153"/>
      <c r="N18" s="240"/>
      <c r="O18" s="256">
        <f>VLOOKUP(O15,市町村データ!A2:P106,MATCH(手順書_丁目_世帯数!$F$66, 市町村データ!A1:P1, 0),FALSE)</f>
        <v>29.7</v>
      </c>
      <c r="P18" s="153"/>
      <c r="Q18" s="153"/>
      <c r="R18" s="240"/>
      <c r="S18" s="298">
        <f>VLOOKUP(S15,市町村データ!A2:P106,MATCH(手順書_丁目_世帯数!$F$66, 市町村データ!A1:P1, 0),FALSE)</f>
        <v>54</v>
      </c>
      <c r="T18" s="153"/>
      <c r="U18" s="153"/>
      <c r="V18" s="240"/>
      <c r="W18" s="239">
        <f>VLOOKUP(W15,市町村データ!A2:P106,MATCH(手順書_丁目_世帯数!$F$66, 市町村データ!A1:P1, 0),FALSE)</f>
        <v>60</v>
      </c>
      <c r="X18" s="153"/>
      <c r="Y18" s="153"/>
      <c r="Z18" s="240"/>
      <c r="AA18" s="246">
        <f>VLOOKUP(AA15,市町村データ!A2:P106,MATCH(手順書_丁目_世帯数!$F$66, 市町村データ!A1:P1, 0),FALSE)</f>
        <v>47</v>
      </c>
      <c r="AB18" s="153"/>
      <c r="AC18" s="153"/>
      <c r="AD18" s="240"/>
      <c r="AE18" s="296">
        <f>VLOOKUP(AE15,市町村データ!A2:P106,MATCH(手順書_丁目_世帯数!$F$66, 市町村データ!A1:P1, 0),FALSE)</f>
        <v>55</v>
      </c>
      <c r="AF18" s="153"/>
      <c r="AG18" s="153"/>
      <c r="AH18" s="240"/>
      <c r="AI18" s="246">
        <f>VLOOKUP(AI15,市町村データ!A2:P106,MATCH(手順書_丁目_世帯数!$F$66, 市町村データ!A1:P1, 0),FALSE)</f>
        <v>60</v>
      </c>
      <c r="AJ18" s="153"/>
      <c r="AK18" s="153"/>
      <c r="AL18" s="240"/>
      <c r="AM18" s="257">
        <f>VLOOKUP(AM15,市町村データ!A2:P106,MATCH(手順書_丁目_世帯数!$F$66, 市町村データ!A1:P1, 0),FALSE)</f>
        <v>15</v>
      </c>
      <c r="AN18" s="153"/>
      <c r="AO18" s="153"/>
      <c r="AP18" s="240"/>
      <c r="AQ18" s="85"/>
      <c r="AR18" s="79"/>
      <c r="AS18" s="79"/>
      <c r="AT18" s="79"/>
      <c r="AU18" s="79"/>
      <c r="AV18" s="79"/>
      <c r="AW18" s="79"/>
      <c r="AX18" s="79"/>
      <c r="AY18" s="79"/>
      <c r="AZ18" s="79"/>
      <c r="BA18" s="79"/>
      <c r="BB18" s="79"/>
      <c r="BC18" s="79"/>
      <c r="BD18" s="79"/>
      <c r="BE18" s="79"/>
      <c r="BF18" s="79"/>
      <c r="BG18" s="79"/>
      <c r="BH18" s="79"/>
      <c r="BI18" s="79"/>
      <c r="BJ18" s="79"/>
      <c r="BK18" s="79"/>
      <c r="BL18" s="79"/>
      <c r="BM18" s="79"/>
      <c r="BN18" s="214">
        <v>1333</v>
      </c>
      <c r="BO18" s="218"/>
      <c r="BP18" s="218"/>
      <c r="BQ18" s="294"/>
      <c r="BR18" s="217"/>
      <c r="BS18" s="79"/>
      <c r="BT18" s="78"/>
    </row>
    <row r="19" spans="1:72" ht="21.15" customHeight="1" x14ac:dyDescent="0.55000000000000004">
      <c r="A19" s="78"/>
      <c r="B19" s="79"/>
      <c r="C19" s="81" t="s">
        <v>64</v>
      </c>
      <c r="D19" s="79"/>
      <c r="E19" s="79"/>
      <c r="F19" s="79"/>
      <c r="G19" s="95"/>
      <c r="H19" s="84"/>
      <c r="I19" s="84"/>
      <c r="J19" s="84"/>
      <c r="K19" s="95"/>
      <c r="L19" s="84"/>
      <c r="M19" s="84"/>
      <c r="N19" s="84"/>
      <c r="O19" s="82">
        <v>24</v>
      </c>
      <c r="P19" s="142" t="str">
        <f>VLOOKUP(O19,市町村データ!A2:P106,MATCH(手順書_丁目_世帯数!$G$63, 市町村データ!A1:P1, 0),FALSE)</f>
        <v>菅沢2</v>
      </c>
      <c r="Q19" s="154"/>
      <c r="R19" s="159"/>
      <c r="S19" s="82">
        <v>25</v>
      </c>
      <c r="T19" s="142" t="str">
        <f>VLOOKUP(S19,市町村データ!A2:P106,MATCH(手順書_丁目_世帯数!$G$63, 市町村データ!A1:P1, 0),FALSE)</f>
        <v>菅沢1</v>
      </c>
      <c r="U19" s="154"/>
      <c r="V19" s="159"/>
      <c r="W19" s="82">
        <v>26</v>
      </c>
      <c r="X19" s="142" t="str">
        <f>VLOOKUP(W19,市町村データ!A2:P106,MATCH(手順書_丁目_世帯数!$G$63, 市町村データ!A1:P1, 0),FALSE)</f>
        <v>野火止4</v>
      </c>
      <c r="Y19" s="154"/>
      <c r="Z19" s="159"/>
      <c r="AA19" s="82">
        <v>27</v>
      </c>
      <c r="AB19" s="142" t="str">
        <f>VLOOKUP(AA19,市町村データ!A2:P106,MATCH(手順書_丁目_世帯数!$G$63, 市町村データ!A1:P1, 0),FALSE)</f>
        <v>野火止3</v>
      </c>
      <c r="AC19" s="154"/>
      <c r="AD19" s="159"/>
      <c r="AE19" s="82">
        <v>28</v>
      </c>
      <c r="AF19" s="142" t="str">
        <f>VLOOKUP(AE19,市町村データ!A2:P106,MATCH(手順書_丁目_世帯数!$G$63, 市町村データ!A1:P1, 0),FALSE)</f>
        <v>野火止2</v>
      </c>
      <c r="AG19" s="154"/>
      <c r="AH19" s="159"/>
      <c r="AI19" s="82">
        <v>29</v>
      </c>
      <c r="AJ19" s="142" t="str">
        <f>VLOOKUP(AI19,市町村データ!A2:P106,MATCH(手順書_丁目_世帯数!$G$63, 市町村データ!A1:P1, 0),FALSE)</f>
        <v>野火止1</v>
      </c>
      <c r="AK19" s="154"/>
      <c r="AL19" s="159"/>
      <c r="AM19" s="82">
        <v>30</v>
      </c>
      <c r="AN19" s="142" t="str">
        <f>VLOOKUP(AM19,市町村データ!A2:P106,MATCH(手順書_丁目_世帯数!$G$63, 市町村データ!A1:P1, 0),FALSE)</f>
        <v>畑中1</v>
      </c>
      <c r="AO19" s="154"/>
      <c r="AP19" s="159"/>
      <c r="AQ19" s="82">
        <v>31</v>
      </c>
      <c r="AR19" s="142" t="str">
        <f>VLOOKUP(AQ19,市町村データ!A2:P106,MATCH(手順書_丁目_世帯数!$G$63, 市町村データ!A1:P1, 0),FALSE)</f>
        <v>畑中2</v>
      </c>
      <c r="AS19" s="154"/>
      <c r="AT19" s="159"/>
      <c r="AU19" s="91"/>
      <c r="AV19" s="79"/>
      <c r="AW19" s="79"/>
      <c r="AX19" s="79"/>
      <c r="AY19" s="86"/>
      <c r="AZ19" s="79"/>
      <c r="BA19" s="79"/>
      <c r="BB19" s="79"/>
      <c r="BC19" s="86"/>
      <c r="BD19" s="79"/>
      <c r="BE19" s="79"/>
      <c r="BF19" s="79"/>
      <c r="BG19" s="86"/>
      <c r="BH19" s="79"/>
      <c r="BI19" s="79"/>
      <c r="BJ19" s="79"/>
      <c r="BK19" s="86"/>
      <c r="BL19" s="79"/>
      <c r="BM19" s="79"/>
      <c r="BN19" s="214">
        <v>1000</v>
      </c>
      <c r="BO19" s="218"/>
      <c r="BP19" s="218"/>
      <c r="BQ19" s="216"/>
      <c r="BR19" s="217"/>
      <c r="BS19" s="79"/>
      <c r="BT19" s="78"/>
    </row>
    <row r="20" spans="1:72" ht="21.15" customHeight="1" x14ac:dyDescent="0.55000000000000004">
      <c r="A20" s="78"/>
      <c r="B20" s="79"/>
      <c r="C20" s="79"/>
      <c r="D20" s="79"/>
      <c r="E20" s="79"/>
      <c r="F20" s="79"/>
      <c r="G20" s="87"/>
      <c r="H20" s="87"/>
      <c r="I20" s="87"/>
      <c r="J20" s="87"/>
      <c r="K20" s="87"/>
      <c r="L20" s="87"/>
      <c r="M20" s="87"/>
      <c r="N20" s="87"/>
      <c r="O20" s="259">
        <f>VLOOKUP(O19,市町村データ!A2:P106,MATCH(手順書_丁目_世帯数!$F$64, 市町村データ!A1:P1, 0),FALSE)</f>
        <v>11.5</v>
      </c>
      <c r="P20" s="156"/>
      <c r="Q20" s="156"/>
      <c r="R20" s="158"/>
      <c r="S20" s="260">
        <f>VLOOKUP(S19,市町村データ!A2:P106,MATCH(手順書_丁目_世帯数!$F$64, 市町村データ!A1:P1, 0),FALSE)</f>
        <v>5.0999999999999996</v>
      </c>
      <c r="T20" s="156"/>
      <c r="U20" s="156"/>
      <c r="V20" s="158"/>
      <c r="W20" s="250">
        <f>VLOOKUP(W19,市町村データ!A2:P106,MATCH(手順書_丁目_世帯数!$F$64, 市町村データ!A1:P1, 0),FALSE)</f>
        <v>38.299999999999997</v>
      </c>
      <c r="X20" s="156"/>
      <c r="Y20" s="156"/>
      <c r="Z20" s="158"/>
      <c r="AA20" s="255">
        <f>VLOOKUP(AA19,市町村データ!A2:P106,MATCH(手順書_丁目_世帯数!$F$64, 市町村データ!A1:P1, 0),FALSE)</f>
        <v>10.7</v>
      </c>
      <c r="AB20" s="156"/>
      <c r="AC20" s="156"/>
      <c r="AD20" s="158"/>
      <c r="AE20" s="260">
        <f>VLOOKUP(AE19,市町村データ!A2:P106,MATCH(手順書_丁目_世帯数!$F$64, 市町村データ!A1:P1, 0),FALSE)</f>
        <v>4.9000000000000004</v>
      </c>
      <c r="AF20" s="156"/>
      <c r="AG20" s="156"/>
      <c r="AH20" s="158"/>
      <c r="AI20" s="297">
        <f>VLOOKUP(AI19,市町村データ!A2:P106,MATCH(手順書_丁目_世帯数!$F$64, 市町村データ!A1:P1, 0),FALSE)</f>
        <v>27.8</v>
      </c>
      <c r="AJ20" s="156"/>
      <c r="AK20" s="156"/>
      <c r="AL20" s="158"/>
      <c r="AM20" s="250">
        <f>VLOOKUP(AM19,市町村データ!A2:P106,MATCH(手順書_丁目_世帯数!$F$64, 市町村データ!A1:P1, 0),FALSE)</f>
        <v>41.7</v>
      </c>
      <c r="AN20" s="156"/>
      <c r="AO20" s="156"/>
      <c r="AP20" s="158"/>
      <c r="AQ20" s="255">
        <f>VLOOKUP(AQ19,市町村データ!A2:P106,MATCH(手順書_丁目_世帯数!$F$64, 市町村データ!A1:P1, 0),FALSE)</f>
        <v>31.2</v>
      </c>
      <c r="AR20" s="156"/>
      <c r="AS20" s="156"/>
      <c r="AT20" s="158"/>
      <c r="AU20" s="92"/>
      <c r="AV20" s="87"/>
      <c r="AW20" s="87"/>
      <c r="AX20" s="87"/>
      <c r="AY20" s="87"/>
      <c r="AZ20" s="87"/>
      <c r="BA20" s="87"/>
      <c r="BB20" s="87"/>
      <c r="BC20" s="87"/>
      <c r="BD20" s="87"/>
      <c r="BE20" s="87"/>
      <c r="BF20" s="87"/>
      <c r="BG20" s="87"/>
      <c r="BH20" s="87"/>
      <c r="BI20" s="87"/>
      <c r="BJ20" s="87"/>
      <c r="BK20" s="87"/>
      <c r="BL20" s="87"/>
      <c r="BM20" s="87"/>
      <c r="BN20" s="214">
        <v>666</v>
      </c>
      <c r="BO20" s="225"/>
      <c r="BP20" s="225"/>
      <c r="BQ20" s="219"/>
      <c r="BR20" s="217"/>
      <c r="BS20" s="79"/>
      <c r="BT20" s="78"/>
    </row>
    <row r="21" spans="1:72" ht="21.15" customHeight="1" x14ac:dyDescent="0.55000000000000004">
      <c r="A21" s="78"/>
      <c r="B21" s="79"/>
      <c r="C21" s="79"/>
      <c r="D21" s="79"/>
      <c r="E21" s="79"/>
      <c r="F21" s="79"/>
      <c r="G21" s="89"/>
      <c r="H21" s="89"/>
      <c r="I21" s="89"/>
      <c r="J21" s="89"/>
      <c r="K21" s="89"/>
      <c r="L21" s="89"/>
      <c r="M21" s="89"/>
      <c r="N21" s="89"/>
      <c r="O21" s="264">
        <f>VLOOKUP(O19,市町村データ!A2:P106,MATCH(手順書_丁目_世帯数!$F$65, 市町村データ!A1:P1, 0),FALSE)</f>
        <v>490</v>
      </c>
      <c r="P21" s="156"/>
      <c r="Q21" s="156"/>
      <c r="R21" s="158"/>
      <c r="S21" s="262">
        <f>VLOOKUP(S19,市町村データ!A2:P106,MATCH(手順書_丁目_世帯数!$F$65, 市町村データ!A1:P1, 0),FALSE)</f>
        <v>202</v>
      </c>
      <c r="T21" s="156"/>
      <c r="U21" s="156"/>
      <c r="V21" s="158"/>
      <c r="W21" s="252">
        <f>VLOOKUP(W19,市町村データ!A2:P106,MATCH(手順書_丁目_世帯数!$F$65, 市町村データ!A1:P1, 0),FALSE)</f>
        <v>2515</v>
      </c>
      <c r="X21" s="156"/>
      <c r="Y21" s="156"/>
      <c r="Z21" s="158"/>
      <c r="AA21" s="254">
        <f>VLOOKUP(AA19,市町村データ!A2:P106,MATCH(手順書_丁目_世帯数!$F$65, 市町村データ!A1:P1, 0),FALSE)</f>
        <v>1085</v>
      </c>
      <c r="AB21" s="156"/>
      <c r="AC21" s="156"/>
      <c r="AD21" s="158"/>
      <c r="AE21" s="262">
        <f>VLOOKUP(AE19,市町村データ!A2:P106,MATCH(手順書_丁目_世帯数!$F$65, 市町村データ!A1:P1, 0),FALSE)</f>
        <v>224</v>
      </c>
      <c r="AF21" s="156"/>
      <c r="AG21" s="156"/>
      <c r="AH21" s="158"/>
      <c r="AI21" s="295">
        <f>VLOOKUP(AI19,市町村データ!A2:P106,MATCH(手順書_丁目_世帯数!$F$65, 市町村データ!A1:P1, 0),FALSE)</f>
        <v>1466</v>
      </c>
      <c r="AJ21" s="156"/>
      <c r="AK21" s="156"/>
      <c r="AL21" s="158"/>
      <c r="AM21" s="252">
        <f>VLOOKUP(AM19,市町村データ!A2:P106,MATCH(手順書_丁目_世帯数!$F$65, 市町村データ!A1:P1, 0),FALSE)</f>
        <v>2453</v>
      </c>
      <c r="AN21" s="156"/>
      <c r="AO21" s="156"/>
      <c r="AP21" s="158"/>
      <c r="AQ21" s="254">
        <f>VLOOKUP(AQ19,市町村データ!A2:P106,MATCH(手順書_丁目_世帯数!$F$65, 市町村データ!A1:P1, 0),FALSE)</f>
        <v>1310</v>
      </c>
      <c r="AR21" s="156"/>
      <c r="AS21" s="156"/>
      <c r="AT21" s="158"/>
      <c r="AU21" s="93"/>
      <c r="AV21" s="89"/>
      <c r="AW21" s="89"/>
      <c r="AX21" s="89"/>
      <c r="AY21" s="89"/>
      <c r="AZ21" s="89"/>
      <c r="BA21" s="89"/>
      <c r="BB21" s="89"/>
      <c r="BC21" s="89"/>
      <c r="BD21" s="89"/>
      <c r="BE21" s="89"/>
      <c r="BF21" s="89"/>
      <c r="BG21" s="89"/>
      <c r="BH21" s="89"/>
      <c r="BI21" s="89"/>
      <c r="BJ21" s="89"/>
      <c r="BK21" s="89"/>
      <c r="BL21" s="89"/>
      <c r="BM21" s="89"/>
      <c r="BN21" s="214">
        <v>333</v>
      </c>
      <c r="BO21" s="215"/>
      <c r="BP21" s="215"/>
      <c r="BQ21" s="220"/>
      <c r="BR21" s="217"/>
      <c r="BS21" s="79"/>
      <c r="BT21" s="78"/>
    </row>
    <row r="22" spans="1:72" ht="21.15" customHeight="1" thickBot="1" x14ac:dyDescent="0.6">
      <c r="A22" s="78"/>
      <c r="B22" s="79"/>
      <c r="C22" s="79"/>
      <c r="D22" s="79"/>
      <c r="E22" s="79"/>
      <c r="F22" s="79"/>
      <c r="G22" s="79"/>
      <c r="H22" s="79"/>
      <c r="I22" s="79"/>
      <c r="J22" s="79"/>
      <c r="K22" s="79"/>
      <c r="L22" s="79"/>
      <c r="M22" s="79"/>
      <c r="N22" s="79"/>
      <c r="O22" s="258">
        <f>VLOOKUP(O19,市町村データ!A2:P106,MATCH(手順書_丁目_世帯数!$F$66, 市町村データ!A1:P1, 0),FALSE)</f>
        <v>42.5</v>
      </c>
      <c r="P22" s="153"/>
      <c r="Q22" s="153"/>
      <c r="R22" s="240"/>
      <c r="S22" s="256">
        <f>VLOOKUP(S19,市町村データ!A2:P106,MATCH(手順書_丁目_世帯数!$F$66, 市町村データ!A1:P1, 0),FALSE)</f>
        <v>39.6</v>
      </c>
      <c r="T22" s="153"/>
      <c r="U22" s="153"/>
      <c r="V22" s="240"/>
      <c r="W22" s="251">
        <f>VLOOKUP(W19,市町村データ!A2:P106,MATCH(手順書_丁目_世帯数!$F$66, 市町村データ!A1:P1, 0),FALSE)</f>
        <v>65.7</v>
      </c>
      <c r="X22" s="153"/>
      <c r="Y22" s="153"/>
      <c r="Z22" s="240"/>
      <c r="AA22" s="253">
        <f>VLOOKUP(AA19,市町村データ!A2:P106,MATCH(手順書_丁目_世帯数!$F$66, 市町村データ!A1:P1, 0),FALSE)</f>
        <v>101.1</v>
      </c>
      <c r="AB22" s="153"/>
      <c r="AC22" s="153"/>
      <c r="AD22" s="240"/>
      <c r="AE22" s="256">
        <f>VLOOKUP(AE19,市町村データ!A2:P106,MATCH(手順書_丁目_世帯数!$F$66, 市町村データ!A1:P1, 0),FALSE)</f>
        <v>45.6</v>
      </c>
      <c r="AF22" s="153"/>
      <c r="AG22" s="153"/>
      <c r="AH22" s="240"/>
      <c r="AI22" s="296">
        <f>VLOOKUP(AI19,市町村データ!A2:P106,MATCH(手順書_丁目_世帯数!$F$66, 市町村データ!A1:P1, 0),FALSE)</f>
        <v>52.8</v>
      </c>
      <c r="AJ22" s="153"/>
      <c r="AK22" s="153"/>
      <c r="AL22" s="240"/>
      <c r="AM22" s="251">
        <f>VLOOKUP(AM19,市町村データ!A2:P106,MATCH(手順書_丁目_世帯数!$F$66, 市町村データ!A1:P1, 0),FALSE)</f>
        <v>58.8</v>
      </c>
      <c r="AN22" s="153"/>
      <c r="AO22" s="153"/>
      <c r="AP22" s="240"/>
      <c r="AQ22" s="253">
        <f>VLOOKUP(AQ19,市町村データ!A2:P106,MATCH(手順書_丁目_世帯数!$F$66, 市町村データ!A1:P1, 0),FALSE)</f>
        <v>42</v>
      </c>
      <c r="AR22" s="153"/>
      <c r="AS22" s="153"/>
      <c r="AT22" s="240"/>
      <c r="AU22" s="85"/>
      <c r="AV22" s="79"/>
      <c r="AW22" s="79"/>
      <c r="AX22" s="79"/>
      <c r="AY22" s="79"/>
      <c r="AZ22" s="79"/>
      <c r="BA22" s="79"/>
      <c r="BB22" s="79"/>
      <c r="BC22" s="79"/>
      <c r="BD22" s="79"/>
      <c r="BE22" s="79"/>
      <c r="BF22" s="79"/>
      <c r="BG22" s="79"/>
      <c r="BH22" s="79"/>
      <c r="BI22" s="79"/>
      <c r="BJ22" s="79"/>
      <c r="BK22" s="79"/>
      <c r="BL22" s="79"/>
      <c r="BM22" s="79"/>
      <c r="BN22" s="210">
        <v>0</v>
      </c>
      <c r="BO22" s="148"/>
      <c r="BP22" s="148"/>
      <c r="BQ22" s="107"/>
      <c r="BR22" s="108"/>
      <c r="BS22" s="79"/>
      <c r="BT22" s="78"/>
    </row>
    <row r="23" spans="1:72" ht="21.15" customHeight="1" x14ac:dyDescent="0.55000000000000004">
      <c r="A23" s="78"/>
      <c r="B23" s="79"/>
      <c r="C23" s="81" t="s">
        <v>65</v>
      </c>
      <c r="D23" s="79"/>
      <c r="E23" s="79"/>
      <c r="F23" s="79"/>
      <c r="G23" s="79"/>
      <c r="H23" s="79"/>
      <c r="I23" s="79"/>
      <c r="J23" s="79"/>
      <c r="K23" s="79"/>
      <c r="L23" s="79"/>
      <c r="M23" s="79"/>
      <c r="N23" s="79"/>
      <c r="O23" s="82">
        <v>32</v>
      </c>
      <c r="P23" s="142" t="str">
        <f>VLOOKUP(O23,市町村データ!A2:P106,MATCH(手順書_丁目_世帯数!$G$63, 市町村データ!A1:P1, 0),FALSE)</f>
        <v>あたご3</v>
      </c>
      <c r="Q23" s="154"/>
      <c r="R23" s="159"/>
      <c r="S23" s="82">
        <v>33</v>
      </c>
      <c r="T23" s="142" t="str">
        <f>VLOOKUP(S23,市町村データ!A2:P106,MATCH(手順書_丁目_世帯数!$G$63, 市町村データ!A1:P1, 0),FALSE)</f>
        <v>あたご2</v>
      </c>
      <c r="U23" s="154"/>
      <c r="V23" s="159"/>
      <c r="W23" s="82">
        <v>34</v>
      </c>
      <c r="X23" s="142" t="str">
        <f>VLOOKUP(W23,市町村データ!A2:P106,MATCH(手順書_丁目_世帯数!$G$63, 市町村データ!A1:P1, 0),FALSE)</f>
        <v>あたご1</v>
      </c>
      <c r="Y23" s="154"/>
      <c r="Z23" s="159"/>
      <c r="AA23" s="82">
        <v>35</v>
      </c>
      <c r="AB23" s="142" t="str">
        <f>VLOOKUP(AA23,市町村データ!A2:P106,MATCH(手順書_丁目_世帯数!$G$63, 市町村データ!A1:P1, 0),FALSE)</f>
        <v>本多2</v>
      </c>
      <c r="AC23" s="154"/>
      <c r="AD23" s="159"/>
      <c r="AE23" s="82">
        <v>36</v>
      </c>
      <c r="AF23" s="142" t="str">
        <f>VLOOKUP(AE23,市町村データ!A2:P106,MATCH(手順書_丁目_世帯数!$G$63, 市町村データ!A1:P1, 0),FALSE)</f>
        <v>本多1</v>
      </c>
      <c r="AG23" s="154"/>
      <c r="AH23" s="159"/>
      <c r="AI23" s="82">
        <v>37</v>
      </c>
      <c r="AJ23" s="142" t="str">
        <f>VLOOKUP(AI23,市町村データ!A2:P106,MATCH(手順書_丁目_世帯数!$G$63, 市町村データ!A1:P1, 0),FALSE)</f>
        <v>堀ノ内1</v>
      </c>
      <c r="AK23" s="154"/>
      <c r="AL23" s="159"/>
      <c r="AM23" s="82">
        <v>38</v>
      </c>
      <c r="AN23" s="142" t="str">
        <f>VLOOKUP(AM23,市町村データ!A2:P106,MATCH(手順書_丁目_世帯数!$G$63, 市町村データ!A1:P1, 0),FALSE)</f>
        <v>馬場1</v>
      </c>
      <c r="AO23" s="154"/>
      <c r="AP23" s="159"/>
      <c r="AQ23" s="82">
        <v>39</v>
      </c>
      <c r="AR23" s="142" t="str">
        <f>VLOOKUP(AQ23,市町村データ!A2:P106,MATCH(手順書_丁目_世帯数!$G$63, 市町村データ!A1:P1, 0),FALSE)</f>
        <v>馬場2</v>
      </c>
      <c r="AS23" s="154"/>
      <c r="AT23" s="159"/>
      <c r="AU23" s="82">
        <v>40</v>
      </c>
      <c r="AV23" s="142" t="str">
        <f>VLOOKUP(AU23,市町村データ!A2:P106,MATCH(手順書_丁目_世帯数!$G$63, 市町村データ!A1:P1, 0),FALSE)</f>
        <v>新塚1</v>
      </c>
      <c r="AW23" s="154"/>
      <c r="AX23" s="159"/>
      <c r="AY23" s="82">
        <v>41</v>
      </c>
      <c r="AZ23" s="142" t="str">
        <f>VLOOKUP(AY23,市町村データ!A2:P106,MATCH(手順書_丁目_世帯数!$G$63, 市町村データ!A1:P1, 0),FALSE)</f>
        <v>新塚他の地域</v>
      </c>
      <c r="BA23" s="154"/>
      <c r="BB23" s="159"/>
      <c r="BC23" s="91"/>
      <c r="BD23" s="79"/>
      <c r="BE23" s="79"/>
      <c r="BF23" s="79"/>
      <c r="BG23" s="86"/>
      <c r="BH23" s="79"/>
      <c r="BI23" s="79"/>
      <c r="BJ23" s="79"/>
      <c r="BK23" s="79"/>
      <c r="BL23" s="79"/>
      <c r="BM23" s="79"/>
      <c r="BN23" s="79"/>
      <c r="BO23" s="86"/>
      <c r="BP23" s="79"/>
      <c r="BQ23" s="79"/>
      <c r="BR23" s="79"/>
      <c r="BS23" s="79"/>
      <c r="BT23" s="78"/>
    </row>
    <row r="24" spans="1:72" ht="21.15" customHeight="1" x14ac:dyDescent="0.55000000000000004">
      <c r="A24" s="78"/>
      <c r="B24" s="79"/>
      <c r="C24" s="79"/>
      <c r="D24" s="79"/>
      <c r="E24" s="79"/>
      <c r="F24" s="79"/>
      <c r="G24" s="79"/>
      <c r="H24" s="79"/>
      <c r="I24" s="79"/>
      <c r="J24" s="79"/>
      <c r="K24" s="79"/>
      <c r="L24" s="79"/>
      <c r="M24" s="79"/>
      <c r="N24" s="79"/>
      <c r="O24" s="259">
        <f>VLOOKUP(O23,市町村データ!A2:P106,MATCH(手順書_丁目_世帯数!$F$64, 市町村データ!A1:P1, 0),FALSE)</f>
        <v>25.7</v>
      </c>
      <c r="P24" s="156"/>
      <c r="Q24" s="156"/>
      <c r="R24" s="158"/>
      <c r="S24" s="260">
        <f>VLOOKUP(S23,市町村データ!A2:P106,MATCH(手順書_丁目_世帯数!$F$64, 市町村データ!A1:P1, 0),FALSE)</f>
        <v>3.3</v>
      </c>
      <c r="T24" s="156"/>
      <c r="U24" s="156"/>
      <c r="V24" s="158"/>
      <c r="W24" s="260">
        <f>VLOOKUP(W23,市町村データ!A2:P106,MATCH(手順書_丁目_世帯数!$F$64, 市町村データ!A1:P1, 0),FALSE)</f>
        <v>4.2</v>
      </c>
      <c r="X24" s="156"/>
      <c r="Y24" s="156"/>
      <c r="Z24" s="158"/>
      <c r="AA24" s="260">
        <f>VLOOKUP(AA23,市町村データ!A2:P106,MATCH(手順書_丁目_世帯数!$F$64, 市町村データ!A1:P1, 0),FALSE)</f>
        <v>0.6</v>
      </c>
      <c r="AB24" s="156"/>
      <c r="AC24" s="156"/>
      <c r="AD24" s="158"/>
      <c r="AE24" s="259">
        <f>VLOOKUP(AE23,市町村データ!A2:P106,MATCH(手順書_丁目_世帯数!$F$64, 市町村データ!A1:P1, 0),FALSE)</f>
        <v>11.6</v>
      </c>
      <c r="AF24" s="156"/>
      <c r="AG24" s="156"/>
      <c r="AH24" s="158"/>
      <c r="AI24" s="260">
        <f>VLOOKUP(AI23,市町村データ!A2:P106,MATCH(手順書_丁目_世帯数!$F$64, 市町村データ!A1:P1, 0),FALSE)</f>
        <v>8.5</v>
      </c>
      <c r="AJ24" s="156"/>
      <c r="AK24" s="156"/>
      <c r="AL24" s="158"/>
      <c r="AM24" s="259">
        <f>VLOOKUP(AM23,市町村データ!A2:P106,MATCH(手順書_丁目_世帯数!$F$64, 市町村データ!A1:P1, 0),FALSE)</f>
        <v>15.7</v>
      </c>
      <c r="AN24" s="156"/>
      <c r="AO24" s="156"/>
      <c r="AP24" s="158"/>
      <c r="AQ24" s="261">
        <f>VLOOKUP(AQ23,市町村データ!A2:P106,MATCH(手順書_丁目_世帯数!$F$64, 市町村データ!A1:P1, 0),FALSE)</f>
        <v>38.5</v>
      </c>
      <c r="AR24" s="156"/>
      <c r="AS24" s="156"/>
      <c r="AT24" s="158"/>
      <c r="AU24" s="259">
        <f>VLOOKUP(AU23,市町村データ!A2:P106,MATCH(手順書_丁目_世帯数!$F$64, 市町村データ!A1:P1, 0),FALSE)</f>
        <v>26.9</v>
      </c>
      <c r="AV24" s="156"/>
      <c r="AW24" s="156"/>
      <c r="AX24" s="158"/>
      <c r="AY24" s="260">
        <f>VLOOKUP(AY23,市町村データ!A2:P106,MATCH(手順書_丁目_世帯数!$F$64, 市町村データ!A1:P1, 0),FALSE)</f>
        <v>0</v>
      </c>
      <c r="AZ24" s="156"/>
      <c r="BA24" s="156"/>
      <c r="BB24" s="158"/>
      <c r="BC24" s="92"/>
      <c r="BD24" s="87"/>
      <c r="BE24" s="87"/>
      <c r="BF24" s="87"/>
      <c r="BG24" s="87"/>
      <c r="BH24" s="87"/>
      <c r="BI24" s="87"/>
      <c r="BJ24" s="87"/>
      <c r="BK24" s="79"/>
      <c r="BL24" s="79"/>
      <c r="BM24" s="79"/>
      <c r="BN24" s="79"/>
      <c r="BO24" s="87"/>
      <c r="BP24" s="50"/>
      <c r="BQ24" s="50"/>
      <c r="BR24" s="50"/>
      <c r="BS24" s="79"/>
      <c r="BT24" s="78"/>
    </row>
    <row r="25" spans="1:72" ht="21.15" customHeight="1" x14ac:dyDescent="0.55000000000000004">
      <c r="A25" s="78"/>
      <c r="B25" s="79"/>
      <c r="C25" s="79"/>
      <c r="D25" s="79"/>
      <c r="E25" s="79"/>
      <c r="F25" s="79"/>
      <c r="G25" s="79"/>
      <c r="H25" s="79"/>
      <c r="I25" s="79"/>
      <c r="J25" s="79"/>
      <c r="K25" s="79"/>
      <c r="L25" s="79"/>
      <c r="M25" s="79"/>
      <c r="N25" s="79"/>
      <c r="O25" s="264">
        <f>VLOOKUP(O23,市町村データ!A2:P106,MATCH(手順書_丁目_世帯数!$F$65, 市町村データ!A1:P1, 0),FALSE)</f>
        <v>611</v>
      </c>
      <c r="P25" s="156"/>
      <c r="Q25" s="156"/>
      <c r="R25" s="158"/>
      <c r="S25" s="262">
        <f>VLOOKUP(S23,市町村データ!A2:P106,MATCH(手順書_丁目_世帯数!$F$65, 市町村データ!A1:P1, 0),FALSE)</f>
        <v>52</v>
      </c>
      <c r="T25" s="156"/>
      <c r="U25" s="156"/>
      <c r="V25" s="158"/>
      <c r="W25" s="262">
        <f>VLOOKUP(W23,市町村データ!A2:P106,MATCH(手順書_丁目_世帯数!$F$65, 市町村データ!A1:P1, 0),FALSE)</f>
        <v>67</v>
      </c>
      <c r="X25" s="156"/>
      <c r="Y25" s="156"/>
      <c r="Z25" s="158"/>
      <c r="AA25" s="262">
        <f>VLOOKUP(AA23,市町村データ!A2:P106,MATCH(手順書_丁目_世帯数!$F$65, 市町村データ!A1:P1, 0),FALSE)</f>
        <v>24</v>
      </c>
      <c r="AB25" s="156"/>
      <c r="AC25" s="156"/>
      <c r="AD25" s="158"/>
      <c r="AE25" s="264">
        <f>VLOOKUP(AE23,市町村データ!A2:P106,MATCH(手順書_丁目_世帯数!$F$65, 市町村データ!A1:P1, 0),FALSE)</f>
        <v>598</v>
      </c>
      <c r="AF25" s="156"/>
      <c r="AG25" s="156"/>
      <c r="AH25" s="158"/>
      <c r="AI25" s="262">
        <f>VLOOKUP(AI23,市町村データ!A2:P106,MATCH(手順書_丁目_世帯数!$F$65, 市町村データ!A1:P1, 0),FALSE)</f>
        <v>236</v>
      </c>
      <c r="AJ25" s="156"/>
      <c r="AK25" s="156"/>
      <c r="AL25" s="158"/>
      <c r="AM25" s="264">
        <f>VLOOKUP(AM23,市町村データ!A2:P106,MATCH(手順書_丁目_世帯数!$F$65, 市町村データ!A1:P1, 0),FALSE)</f>
        <v>625</v>
      </c>
      <c r="AN25" s="156"/>
      <c r="AO25" s="156"/>
      <c r="AP25" s="158"/>
      <c r="AQ25" s="263">
        <f>VLOOKUP(AQ23,市町村データ!A2:P106,MATCH(手順書_丁目_世帯数!$F$65, 市町村データ!A1:P1, 0),FALSE)</f>
        <v>731</v>
      </c>
      <c r="AR25" s="156"/>
      <c r="AS25" s="156"/>
      <c r="AT25" s="158"/>
      <c r="AU25" s="264">
        <f>VLOOKUP(AU23,市町村データ!A2:P106,MATCH(手順書_丁目_世帯数!$F$65, 市町村データ!A1:P1, 0),FALSE)</f>
        <v>568</v>
      </c>
      <c r="AV25" s="156"/>
      <c r="AW25" s="156"/>
      <c r="AX25" s="158"/>
      <c r="AY25" s="262">
        <f>VLOOKUP(AY23,市町村データ!A2:P106,MATCH(手順書_丁目_世帯数!$F$65, 市町村データ!A1:P1, 0),FALSE)</f>
        <v>0</v>
      </c>
      <c r="AZ25" s="156"/>
      <c r="BA25" s="156"/>
      <c r="BB25" s="158"/>
      <c r="BC25" s="93"/>
      <c r="BD25" s="89"/>
      <c r="BE25" s="89"/>
      <c r="BF25" s="89"/>
      <c r="BG25" s="89"/>
      <c r="BH25" s="89"/>
      <c r="BI25" s="89"/>
      <c r="BJ25" s="89"/>
      <c r="BK25" s="79"/>
      <c r="BL25" s="79"/>
      <c r="BM25" s="79"/>
      <c r="BN25" s="79"/>
      <c r="BO25" s="89"/>
      <c r="BP25" s="51"/>
      <c r="BQ25" s="51"/>
      <c r="BR25" s="51"/>
      <c r="BS25" s="79"/>
      <c r="BT25" s="78"/>
    </row>
    <row r="26" spans="1:72" ht="21.15" customHeight="1" thickBot="1" x14ac:dyDescent="0.6">
      <c r="A26" s="78"/>
      <c r="B26" s="79"/>
      <c r="C26" s="79"/>
      <c r="D26" s="79"/>
      <c r="E26" s="79"/>
      <c r="F26" s="79"/>
      <c r="G26" s="79"/>
      <c r="H26" s="79"/>
      <c r="I26" s="79"/>
      <c r="J26" s="79"/>
      <c r="K26" s="79"/>
      <c r="L26" s="79"/>
      <c r="M26" s="79"/>
      <c r="N26" s="79"/>
      <c r="O26" s="258">
        <f>VLOOKUP(O23,市町村データ!A2:P106,MATCH(手順書_丁目_世帯数!$F$66, 市町村データ!A1:P1, 0),FALSE)</f>
        <v>23.8</v>
      </c>
      <c r="P26" s="153"/>
      <c r="Q26" s="153"/>
      <c r="R26" s="240"/>
      <c r="S26" s="256">
        <f>VLOOKUP(S23,市町村データ!A2:P106,MATCH(手順書_丁目_世帯数!$F$66, 市町村データ!A1:P1, 0),FALSE)</f>
        <v>15.9</v>
      </c>
      <c r="T26" s="153"/>
      <c r="U26" s="153"/>
      <c r="V26" s="240"/>
      <c r="W26" s="256">
        <f>VLOOKUP(W23,市町村データ!A2:P106,MATCH(手順書_丁目_世帯数!$F$66, 市町村データ!A1:P1, 0),FALSE)</f>
        <v>15.9</v>
      </c>
      <c r="X26" s="153"/>
      <c r="Y26" s="153"/>
      <c r="Z26" s="240"/>
      <c r="AA26" s="256">
        <f>VLOOKUP(AA23,市町村データ!A2:P106,MATCH(手順書_丁目_世帯数!$F$66, 市町村データ!A1:P1, 0),FALSE)</f>
        <v>41.6</v>
      </c>
      <c r="AB26" s="153"/>
      <c r="AC26" s="153"/>
      <c r="AD26" s="240"/>
      <c r="AE26" s="258">
        <f>VLOOKUP(AE23,市町村データ!A2:P106,MATCH(手順書_丁目_世帯数!$F$66, 市町村データ!A1:P1, 0),FALSE)</f>
        <v>51.5</v>
      </c>
      <c r="AF26" s="153"/>
      <c r="AG26" s="153"/>
      <c r="AH26" s="240"/>
      <c r="AI26" s="256">
        <f>VLOOKUP(AI23,市町村データ!A2:P106,MATCH(手順書_丁目_世帯数!$F$66, 市町村データ!A1:P1, 0),FALSE)</f>
        <v>27.7</v>
      </c>
      <c r="AJ26" s="153"/>
      <c r="AK26" s="153"/>
      <c r="AL26" s="240"/>
      <c r="AM26" s="258">
        <f>VLOOKUP(AM23,市町村データ!A2:P106,MATCH(手順書_丁目_世帯数!$F$66, 市町村データ!A1:P1, 0),FALSE)</f>
        <v>39.700000000000003</v>
      </c>
      <c r="AN26" s="153"/>
      <c r="AO26" s="153"/>
      <c r="AP26" s="240"/>
      <c r="AQ26" s="257">
        <f>VLOOKUP(AQ23,市町村データ!A2:P106,MATCH(手順書_丁目_世帯数!$F$66, 市町村データ!A1:P1, 0),FALSE)</f>
        <v>19</v>
      </c>
      <c r="AR26" s="153"/>
      <c r="AS26" s="153"/>
      <c r="AT26" s="240"/>
      <c r="AU26" s="258">
        <f>VLOOKUP(AU23,市町村データ!A2:P106,MATCH(手順書_丁目_世帯数!$F$66, 市町村データ!A1:P1, 0),FALSE)</f>
        <v>21.1</v>
      </c>
      <c r="AV26" s="153"/>
      <c r="AW26" s="153"/>
      <c r="AX26" s="240"/>
      <c r="AY26" s="256">
        <f>VLOOKUP(AY23,市町村データ!A2:P106,MATCH(手順書_丁目_世帯数!$F$66, 市町村データ!A1:P1, 0),FALSE)</f>
        <v>41.8</v>
      </c>
      <c r="AZ26" s="153"/>
      <c r="BA26" s="153"/>
      <c r="BB26" s="240"/>
      <c r="BC26" s="85"/>
      <c r="BD26" s="79"/>
      <c r="BE26" s="79"/>
      <c r="BF26" s="79"/>
      <c r="BG26" s="79"/>
      <c r="BH26" s="79"/>
      <c r="BI26" s="79"/>
      <c r="BJ26" s="79"/>
      <c r="BK26" s="79"/>
      <c r="BL26" s="79"/>
      <c r="BM26" s="79"/>
      <c r="BN26" s="79"/>
      <c r="BO26" s="79"/>
      <c r="BP26" s="52"/>
      <c r="BQ26" s="52"/>
      <c r="BR26" s="52"/>
      <c r="BS26" s="79"/>
      <c r="BT26" s="78"/>
    </row>
    <row r="27" spans="1:72" ht="21.15" customHeight="1" x14ac:dyDescent="0.55000000000000004">
      <c r="A27" s="78"/>
      <c r="B27" s="79"/>
      <c r="C27" s="81" t="s">
        <v>66</v>
      </c>
      <c r="D27" s="79"/>
      <c r="E27" s="79"/>
      <c r="F27" s="79"/>
      <c r="G27" s="79"/>
      <c r="H27" s="79"/>
      <c r="I27" s="79"/>
      <c r="J27" s="79"/>
      <c r="K27" s="79"/>
      <c r="L27" s="79"/>
      <c r="M27" s="79"/>
      <c r="N27" s="79"/>
      <c r="O27" s="84"/>
      <c r="P27" s="84"/>
      <c r="Q27" s="84"/>
      <c r="R27" s="84"/>
      <c r="S27" s="82">
        <v>42</v>
      </c>
      <c r="T27" s="142" t="str">
        <f>VLOOKUP(S27,市町村データ!A2:P106,MATCH(手順書_丁目_世帯数!$G$63, 市町村データ!A1:P1, 0),FALSE)</f>
        <v>西堀2</v>
      </c>
      <c r="U27" s="154"/>
      <c r="V27" s="159"/>
      <c r="W27" s="82">
        <v>43</v>
      </c>
      <c r="X27" s="142" t="str">
        <f>VLOOKUP(W27,市町村データ!A2:P106,MATCH(手順書_丁目_世帯数!$G$63, 市町村データ!A1:P1, 0),FALSE)</f>
        <v>西堀1</v>
      </c>
      <c r="Y27" s="154"/>
      <c r="Z27" s="159"/>
      <c r="AA27" s="82">
        <v>44</v>
      </c>
      <c r="AB27" s="142" t="str">
        <f>VLOOKUP(AA27,市町村データ!A2:P106,MATCH(手順書_丁目_世帯数!$G$63, 市町村データ!A1:P1, 0),FALSE)</f>
        <v>石神5</v>
      </c>
      <c r="AC27" s="154"/>
      <c r="AD27" s="159"/>
      <c r="AE27" s="82">
        <v>45</v>
      </c>
      <c r="AF27" s="142" t="str">
        <f>VLOOKUP(AE27,市町村データ!A2:P106,MATCH(手順書_丁目_世帯数!$G$63, 市町村データ!A1:P1, 0),FALSE)</f>
        <v>堀ノ内3</v>
      </c>
      <c r="AG27" s="154"/>
      <c r="AH27" s="159"/>
      <c r="AI27" s="82">
        <v>46</v>
      </c>
      <c r="AJ27" s="142" t="str">
        <f>VLOOKUP(AI27,市町村データ!A2:P106,MATCH(手順書_丁目_世帯数!$G$63, 市町村データ!A1:P1, 0),FALSE)</f>
        <v>堀ノ内2</v>
      </c>
      <c r="AK27" s="154"/>
      <c r="AL27" s="159"/>
      <c r="AM27" s="82">
        <v>47</v>
      </c>
      <c r="AN27" s="142" t="str">
        <f>VLOOKUP(AM27,市町村データ!A2:P106,MATCH(手順書_丁目_世帯数!$G$63, 市町村データ!A1:P1, 0),FALSE)</f>
        <v>馬場4</v>
      </c>
      <c r="AO27" s="154"/>
      <c r="AP27" s="159"/>
      <c r="AQ27" s="82">
        <v>48</v>
      </c>
      <c r="AR27" s="142" t="str">
        <f>VLOOKUP(AQ27,市町村データ!A2:P106,MATCH(手順書_丁目_世帯数!$G$63, 市町村データ!A1:P1, 0),FALSE)</f>
        <v>馬場3</v>
      </c>
      <c r="AS27" s="154"/>
      <c r="AT27" s="159"/>
      <c r="AU27" s="82">
        <v>49</v>
      </c>
      <c r="AV27" s="142" t="str">
        <f>VLOOKUP(AU27,市町村データ!A2:P106,MATCH(手順書_丁目_世帯数!$G$63, 市町村データ!A1:P1, 0),FALSE)</f>
        <v>栄1</v>
      </c>
      <c r="AW27" s="154"/>
      <c r="AX27" s="159"/>
      <c r="AY27" s="82">
        <v>50</v>
      </c>
      <c r="AZ27" s="142" t="str">
        <f>VLOOKUP(AY27,市町村データ!A2:P106,MATCH(手順書_丁目_世帯数!$G$63, 市町村データ!A1:P1, 0),FALSE)</f>
        <v>栄2</v>
      </c>
      <c r="BA27" s="154"/>
      <c r="BB27" s="159"/>
      <c r="BC27" s="82">
        <v>51</v>
      </c>
      <c r="BD27" s="142" t="str">
        <f>VLOOKUP(BC27,市町村データ!A2:P106,MATCH(手順書_丁目_世帯数!$G$63, 市町村データ!A1:P1, 0),FALSE)</f>
        <v>栄3</v>
      </c>
      <c r="BE27" s="154"/>
      <c r="BF27" s="159"/>
      <c r="BG27" s="82">
        <v>52</v>
      </c>
      <c r="BH27" s="142" t="str">
        <f>VLOOKUP(BG27,市町村データ!A2:P106,MATCH(手順書_丁目_世帯数!$G$63, 市町村データ!A1:P1, 0),FALSE)</f>
        <v>栄4</v>
      </c>
      <c r="BI27" s="154"/>
      <c r="BJ27" s="159"/>
      <c r="BK27" s="82">
        <v>53</v>
      </c>
      <c r="BL27" s="142" t="str">
        <f>VLOOKUP(BK27,市町村データ!A2:P106,MATCH(手順書_丁目_世帯数!$G$63, 市町村データ!A1:P1, 0),FALSE)</f>
        <v>栄5</v>
      </c>
      <c r="BM27" s="154"/>
      <c r="BN27" s="159"/>
      <c r="BO27" s="91"/>
      <c r="BP27" s="79"/>
      <c r="BQ27" s="79"/>
      <c r="BR27" s="79"/>
      <c r="BS27" s="79"/>
      <c r="BT27" s="78"/>
    </row>
    <row r="28" spans="1:72" ht="21.15" customHeight="1" x14ac:dyDescent="0.55000000000000004">
      <c r="A28" s="78"/>
      <c r="B28" s="79"/>
      <c r="C28" s="79"/>
      <c r="D28" s="79"/>
      <c r="E28" s="79"/>
      <c r="F28" s="79"/>
      <c r="G28" s="79"/>
      <c r="H28" s="79"/>
      <c r="I28" s="79"/>
      <c r="J28" s="79"/>
      <c r="K28" s="79"/>
      <c r="L28" s="79"/>
      <c r="M28" s="79"/>
      <c r="N28" s="79"/>
      <c r="O28" s="79"/>
      <c r="P28" s="79"/>
      <c r="Q28" s="79"/>
      <c r="R28" s="79"/>
      <c r="S28" s="300">
        <f>VLOOKUP(S27,市町村データ!A2:P106,MATCH(手順書_丁目_世帯数!$F$64, 市町村データ!A1:P1, 0),FALSE)</f>
        <v>46</v>
      </c>
      <c r="T28" s="156"/>
      <c r="U28" s="156"/>
      <c r="V28" s="158"/>
      <c r="W28" s="261">
        <f>VLOOKUP(W27,市町村データ!A2:P106,MATCH(手順書_丁目_世帯数!$F$64, 市町村データ!A1:P1, 0),FALSE)</f>
        <v>39.299999999999997</v>
      </c>
      <c r="X28" s="156"/>
      <c r="Y28" s="156"/>
      <c r="Z28" s="158"/>
      <c r="AA28" s="261">
        <f>VLOOKUP(AA27,市町村データ!A2:P106,MATCH(手順書_丁目_世帯数!$F$64, 市町村データ!A1:P1, 0),FALSE)</f>
        <v>76.5</v>
      </c>
      <c r="AB28" s="156"/>
      <c r="AC28" s="156"/>
      <c r="AD28" s="158"/>
      <c r="AE28" s="260">
        <f>VLOOKUP(AE27,市町村データ!A2:P106,MATCH(手順書_丁目_世帯数!$F$64, 市町村データ!A1:P1, 0),FALSE)</f>
        <v>5.8</v>
      </c>
      <c r="AF28" s="156"/>
      <c r="AG28" s="156"/>
      <c r="AH28" s="158"/>
      <c r="AI28" s="259">
        <f>VLOOKUP(AI27,市町村データ!A2:P106,MATCH(手順書_丁目_世帯数!$F$64, 市町村データ!A1:P1, 0),FALSE)</f>
        <v>19</v>
      </c>
      <c r="AJ28" s="156"/>
      <c r="AK28" s="156"/>
      <c r="AL28" s="158"/>
      <c r="AM28" s="261">
        <f>VLOOKUP(AM27,市町村データ!A2:P106,MATCH(手順書_丁目_世帯数!$F$64, 市町村データ!A1:P1, 0),FALSE)</f>
        <v>17.100000000000001</v>
      </c>
      <c r="AN28" s="156"/>
      <c r="AO28" s="156"/>
      <c r="AP28" s="158"/>
      <c r="AQ28" s="259">
        <f>VLOOKUP(AQ27,市町村データ!A2:P106,MATCH(手順書_丁目_世帯数!$F$64, 市町村データ!A1:P1, 0),FALSE)</f>
        <v>22.1</v>
      </c>
      <c r="AR28" s="156"/>
      <c r="AS28" s="156"/>
      <c r="AT28" s="158"/>
      <c r="AU28" s="259">
        <f>VLOOKUP(AU27,市町村データ!A2:P106,MATCH(手順書_丁目_世帯数!$F$64, 市町村データ!A1:P1, 0),FALSE)</f>
        <v>46.7</v>
      </c>
      <c r="AV28" s="156"/>
      <c r="AW28" s="156"/>
      <c r="AX28" s="158"/>
      <c r="AY28" s="261">
        <f>VLOOKUP(AY27,市町村データ!A2:P106,MATCH(手順書_丁目_世帯数!$F$64, 市町村データ!A1:P1, 0),FALSE)</f>
        <v>66.099999999999994</v>
      </c>
      <c r="AZ28" s="156"/>
      <c r="BA28" s="156"/>
      <c r="BB28" s="158"/>
      <c r="BC28" s="261">
        <f>VLOOKUP(BC27,市町村データ!A2:P106,MATCH(手順書_丁目_世帯数!$F$64, 市町村データ!A1:P1, 0),FALSE)</f>
        <v>73.3</v>
      </c>
      <c r="BD28" s="156"/>
      <c r="BE28" s="156"/>
      <c r="BF28" s="158"/>
      <c r="BG28" s="255">
        <f>VLOOKUP(BG27,市町村データ!A2:P106,MATCH(手順書_丁目_世帯数!$F$64, 市町村データ!A1:P1, 0),FALSE)</f>
        <v>76.099999999999994</v>
      </c>
      <c r="BH28" s="156"/>
      <c r="BI28" s="156"/>
      <c r="BJ28" s="158"/>
      <c r="BK28" s="255">
        <f>VLOOKUP(BK27,市町村データ!A2:P106,MATCH(手順書_丁目_世帯数!$F$64, 市町村データ!A1:P1, 0),FALSE)</f>
        <v>80.2</v>
      </c>
      <c r="BL28" s="156"/>
      <c r="BM28" s="156"/>
      <c r="BN28" s="158"/>
      <c r="BO28" s="92"/>
      <c r="BP28" s="50"/>
      <c r="BQ28" s="50"/>
      <c r="BR28" s="50"/>
      <c r="BS28" s="79"/>
      <c r="BT28" s="78"/>
    </row>
    <row r="29" spans="1:72" ht="21.15" customHeight="1" x14ac:dyDescent="0.55000000000000004">
      <c r="A29" s="78"/>
      <c r="B29" s="79"/>
      <c r="C29" s="79"/>
      <c r="D29" s="79"/>
      <c r="E29" s="79"/>
      <c r="F29" s="79"/>
      <c r="G29" s="79"/>
      <c r="H29" s="79"/>
      <c r="I29" s="79"/>
      <c r="J29" s="79"/>
      <c r="K29" s="79"/>
      <c r="L29" s="79"/>
      <c r="M29" s="79"/>
      <c r="N29" s="79"/>
      <c r="O29" s="79"/>
      <c r="P29" s="79"/>
      <c r="Q29" s="79"/>
      <c r="R29" s="79"/>
      <c r="S29" s="299">
        <f>VLOOKUP(S27,市町村データ!A2:P106,MATCH(手順書_丁目_世帯数!$F$65, 市町村データ!A1:P1, 0),FALSE)</f>
        <v>1841</v>
      </c>
      <c r="T29" s="156"/>
      <c r="U29" s="156"/>
      <c r="V29" s="158"/>
      <c r="W29" s="263">
        <f>VLOOKUP(W27,市町村データ!A2:P106,MATCH(手順書_丁目_世帯数!$F$65, 市町村データ!A1:P1, 0),FALSE)</f>
        <v>826</v>
      </c>
      <c r="X29" s="156"/>
      <c r="Y29" s="156"/>
      <c r="Z29" s="158"/>
      <c r="AA29" s="263">
        <f>VLOOKUP(AA27,市町村データ!A2:P106,MATCH(手順書_丁目_世帯数!$F$65, 市町村データ!A1:P1, 0),FALSE)</f>
        <v>918</v>
      </c>
      <c r="AB29" s="156"/>
      <c r="AC29" s="156"/>
      <c r="AD29" s="158"/>
      <c r="AE29" s="262">
        <f>VLOOKUP(AE27,市町村データ!A2:P106,MATCH(手順書_丁目_世帯数!$F$65, 市町村データ!A1:P1, 0),FALSE)</f>
        <v>184</v>
      </c>
      <c r="AF29" s="156"/>
      <c r="AG29" s="156"/>
      <c r="AH29" s="158"/>
      <c r="AI29" s="264">
        <f>VLOOKUP(AI27,市町村データ!A2:P106,MATCH(手順書_丁目_世帯数!$F$65, 市町村データ!A1:P1, 0),FALSE)</f>
        <v>358</v>
      </c>
      <c r="AJ29" s="156"/>
      <c r="AK29" s="156"/>
      <c r="AL29" s="158"/>
      <c r="AM29" s="263">
        <f>VLOOKUP(AM27,市町村データ!A2:P106,MATCH(手順書_丁目_世帯数!$F$65, 市町村データ!A1:P1, 0),FALSE)</f>
        <v>704</v>
      </c>
      <c r="AN29" s="156"/>
      <c r="AO29" s="156"/>
      <c r="AP29" s="158"/>
      <c r="AQ29" s="264">
        <f>VLOOKUP(AQ27,市町村データ!A2:P106,MATCH(手順書_丁目_世帯数!$F$65, 市町村データ!A1:P1, 0),FALSE)</f>
        <v>577</v>
      </c>
      <c r="AR29" s="156"/>
      <c r="AS29" s="156"/>
      <c r="AT29" s="158"/>
      <c r="AU29" s="264">
        <f>VLOOKUP(AU27,市町村データ!A2:P106,MATCH(手順書_丁目_世帯数!$F$65, 市町村データ!A1:P1, 0),FALSE)</f>
        <v>467</v>
      </c>
      <c r="AV29" s="156"/>
      <c r="AW29" s="156"/>
      <c r="AX29" s="158"/>
      <c r="AY29" s="263">
        <f>VLOOKUP(AY27,市町村データ!A2:P106,MATCH(手順書_丁目_世帯数!$F$65, 市町村データ!A1:P1, 0),FALSE)</f>
        <v>992</v>
      </c>
      <c r="AZ29" s="156"/>
      <c r="BA29" s="156"/>
      <c r="BB29" s="158"/>
      <c r="BC29" s="263">
        <f>VLOOKUP(BC27,市町村データ!A2:P106,MATCH(手順書_丁目_世帯数!$F$65, 市町村データ!A1:P1, 0),FALSE)</f>
        <v>953</v>
      </c>
      <c r="BD29" s="156"/>
      <c r="BE29" s="156"/>
      <c r="BF29" s="158"/>
      <c r="BG29" s="254">
        <f>VLOOKUP(BG27,市町村データ!A2:P106,MATCH(手順書_丁目_世帯数!$F$65, 市町村データ!A1:P1, 0),FALSE)</f>
        <v>1027</v>
      </c>
      <c r="BH29" s="156"/>
      <c r="BI29" s="156"/>
      <c r="BJ29" s="158"/>
      <c r="BK29" s="254">
        <f>VLOOKUP(BK27,市町村データ!A2:P106,MATCH(手順書_丁目_世帯数!$F$65, 市町村データ!A1:P1, 0),FALSE)</f>
        <v>1323</v>
      </c>
      <c r="BL29" s="156"/>
      <c r="BM29" s="156"/>
      <c r="BN29" s="158"/>
      <c r="BO29" s="93"/>
      <c r="BP29" s="51"/>
      <c r="BQ29" s="51"/>
      <c r="BR29" s="51"/>
      <c r="BS29" s="79"/>
      <c r="BT29" s="78"/>
    </row>
    <row r="30" spans="1:72" ht="21.15" customHeight="1" thickBot="1" x14ac:dyDescent="0.6">
      <c r="A30" s="78"/>
      <c r="B30" s="79"/>
      <c r="C30" s="79"/>
      <c r="D30" s="79"/>
      <c r="E30" s="79"/>
      <c r="F30" s="79"/>
      <c r="G30" s="79"/>
      <c r="H30" s="79"/>
      <c r="I30" s="79"/>
      <c r="J30" s="79"/>
      <c r="K30" s="79"/>
      <c r="L30" s="79"/>
      <c r="M30" s="79"/>
      <c r="N30" s="79"/>
      <c r="O30" s="79"/>
      <c r="P30" s="79"/>
      <c r="Q30" s="79"/>
      <c r="R30" s="79"/>
      <c r="S30" s="298">
        <f>VLOOKUP(S27,市町村データ!A2:P106,MATCH(手順書_丁目_世帯数!$F$66, 市町村データ!A1:P1, 0),FALSE)</f>
        <v>40</v>
      </c>
      <c r="T30" s="153"/>
      <c r="U30" s="153"/>
      <c r="V30" s="240"/>
      <c r="W30" s="257">
        <f>VLOOKUP(W27,市町村データ!A2:P106,MATCH(手順書_丁目_世帯数!$F$66, 市町村データ!A1:P1, 0),FALSE)</f>
        <v>21</v>
      </c>
      <c r="X30" s="153"/>
      <c r="Y30" s="153"/>
      <c r="Z30" s="240"/>
      <c r="AA30" s="257">
        <f>VLOOKUP(AA27,市町村データ!A2:P106,MATCH(手順書_丁目_世帯数!$F$66, 市町村データ!A1:P1, 0),FALSE)</f>
        <v>12</v>
      </c>
      <c r="AB30" s="153"/>
      <c r="AC30" s="153"/>
      <c r="AD30" s="240"/>
      <c r="AE30" s="256">
        <f>VLOOKUP(AE27,市町村データ!A2:P106,MATCH(手順書_丁目_世帯数!$F$66, 市町村データ!A1:P1, 0),FALSE)</f>
        <v>31.7</v>
      </c>
      <c r="AF30" s="153"/>
      <c r="AG30" s="153"/>
      <c r="AH30" s="240"/>
      <c r="AI30" s="258">
        <f>VLOOKUP(AI27,市町村データ!A2:P106,MATCH(手順書_丁目_世帯数!$F$66, 市町村データ!A1:P1, 0),FALSE)</f>
        <v>18.8</v>
      </c>
      <c r="AJ30" s="153"/>
      <c r="AK30" s="153"/>
      <c r="AL30" s="240"/>
      <c r="AM30" s="257">
        <f>VLOOKUP(AM27,市町村データ!A2:P106,MATCH(手順書_丁目_世帯数!$F$66, 市町村データ!A1:P1, 0),FALSE)</f>
        <v>41.1</v>
      </c>
      <c r="AN30" s="153"/>
      <c r="AO30" s="153"/>
      <c r="AP30" s="240"/>
      <c r="AQ30" s="258">
        <f>VLOOKUP(AQ27,市町村データ!A2:P106,MATCH(手順書_丁目_世帯数!$F$66, 市町村データ!A1:P1, 0),FALSE)</f>
        <v>26.1</v>
      </c>
      <c r="AR30" s="153"/>
      <c r="AS30" s="153"/>
      <c r="AT30" s="240"/>
      <c r="AU30" s="258">
        <f>VLOOKUP(AU27,市町村データ!A2:P106,MATCH(手順書_丁目_世帯数!$F$66, 市町村データ!A1:P1, 0),FALSE)</f>
        <v>10</v>
      </c>
      <c r="AV30" s="153"/>
      <c r="AW30" s="153"/>
      <c r="AX30" s="240"/>
      <c r="AY30" s="257">
        <f>VLOOKUP(AY27,市町村データ!A2:P106,MATCH(手順書_丁目_世帯数!$F$66, 市町村データ!A1:P1, 0),FALSE)</f>
        <v>15</v>
      </c>
      <c r="AZ30" s="153"/>
      <c r="BA30" s="153"/>
      <c r="BB30" s="240"/>
      <c r="BC30" s="257">
        <f>VLOOKUP(BC27,市町村データ!A2:P106,MATCH(手順書_丁目_世帯数!$F$66, 市町村データ!A1:P1, 0),FALSE)</f>
        <v>13</v>
      </c>
      <c r="BD30" s="153"/>
      <c r="BE30" s="153"/>
      <c r="BF30" s="240"/>
      <c r="BG30" s="253">
        <f>VLOOKUP(BG27,市町村データ!A2:P106,MATCH(手順書_丁目_世帯数!$F$66, 市町村データ!A1:P1, 0),FALSE)</f>
        <v>13.5</v>
      </c>
      <c r="BH30" s="153"/>
      <c r="BI30" s="153"/>
      <c r="BJ30" s="240"/>
      <c r="BK30" s="253">
        <f>VLOOKUP(BK27,市町村データ!A2:P106,MATCH(手順書_丁目_世帯数!$F$66, 市町村データ!A1:P1, 0),FALSE)</f>
        <v>16.5</v>
      </c>
      <c r="BL30" s="153"/>
      <c r="BM30" s="153"/>
      <c r="BN30" s="240"/>
      <c r="BO30" s="85"/>
      <c r="BP30" s="52"/>
      <c r="BQ30" s="52"/>
      <c r="BR30" s="52"/>
      <c r="BS30" s="79"/>
      <c r="BT30" s="78"/>
    </row>
    <row r="31" spans="1:72" ht="21.15" customHeight="1" x14ac:dyDescent="0.55000000000000004">
      <c r="A31" s="78"/>
      <c r="B31" s="79"/>
      <c r="C31" s="81" t="s">
        <v>67</v>
      </c>
      <c r="D31" s="79"/>
      <c r="E31" s="79"/>
      <c r="F31" s="79"/>
      <c r="G31" s="82">
        <v>54</v>
      </c>
      <c r="H31" s="142" t="str">
        <f>VLOOKUP(G31,市町村データ!A2:P106,MATCH(手順書_丁目_世帯数!$G$63, 市町村データ!A1:P1, 0),FALSE)</f>
        <v>新堀3</v>
      </c>
      <c r="I31" s="154"/>
      <c r="J31" s="159"/>
      <c r="K31" s="82">
        <v>55</v>
      </c>
      <c r="L31" s="142" t="str">
        <f>VLOOKUP(K31,市町村データ!A2:P106,MATCH(手順書_丁目_世帯数!$G$63, 市町村データ!A1:P1, 0),FALSE)</f>
        <v>新堀2</v>
      </c>
      <c r="M31" s="154"/>
      <c r="N31" s="159"/>
      <c r="O31" s="82">
        <v>56</v>
      </c>
      <c r="P31" s="142" t="str">
        <f>VLOOKUP(O31,市町村データ!A2:P106,MATCH(手順書_丁目_世帯数!$G$63, 市町村データ!A1:P1, 0),FALSE)</f>
        <v>新堀1</v>
      </c>
      <c r="Q31" s="154"/>
      <c r="R31" s="159"/>
      <c r="S31" s="82">
        <v>57</v>
      </c>
      <c r="T31" s="142" t="str">
        <f>VLOOKUP(S31,市町村データ!A2:P106,MATCH(手順書_丁目_世帯数!$G$63, 市町村データ!A1:P1, 0),FALSE)</f>
        <v>西堀3</v>
      </c>
      <c r="U31" s="154"/>
      <c r="V31" s="159"/>
      <c r="W31" s="96"/>
      <c r="X31" s="84"/>
      <c r="Y31" s="84"/>
      <c r="Z31" s="84"/>
      <c r="AA31" s="82">
        <v>58</v>
      </c>
      <c r="AB31" s="142" t="str">
        <f>VLOOKUP(AA31,市町村データ!A2:P106,MATCH(手順書_丁目_世帯数!$G$63, 市町村データ!A1:P1, 0),FALSE)</f>
        <v>石神4</v>
      </c>
      <c r="AC31" s="154"/>
      <c r="AD31" s="159"/>
      <c r="AE31" s="82">
        <v>59</v>
      </c>
      <c r="AF31" s="142" t="str">
        <f>VLOOKUP(AE31,市町村データ!A2:P106,MATCH(手順書_丁目_世帯数!$G$63, 市町村データ!A1:P1, 0),FALSE)</f>
        <v>石神1</v>
      </c>
      <c r="AG31" s="154"/>
      <c r="AH31" s="159"/>
      <c r="AI31" s="82">
        <v>60</v>
      </c>
      <c r="AJ31" s="142" t="str">
        <f>VLOOKUP(AI31,市町村データ!A2:P106,MATCH(手順書_丁目_世帯数!$G$63, 市町村データ!A1:P1, 0),FALSE)</f>
        <v>道場2</v>
      </c>
      <c r="AK31" s="154"/>
      <c r="AL31" s="159"/>
      <c r="AM31" s="82">
        <v>61</v>
      </c>
      <c r="AN31" s="142" t="str">
        <f>VLOOKUP(AM31,市町村データ!A2:P106,MATCH(手順書_丁目_世帯数!$G$63, 市町村データ!A1:P1, 0),FALSE)</f>
        <v>道場1</v>
      </c>
      <c r="AO31" s="154"/>
      <c r="AP31" s="159"/>
      <c r="AQ31" s="97"/>
      <c r="AR31" s="84"/>
      <c r="AS31" s="84"/>
      <c r="AT31" s="84"/>
      <c r="AU31" s="82">
        <v>62</v>
      </c>
      <c r="AV31" s="142" t="str">
        <f>VLOOKUP(AU31,市町村データ!A2:P106,MATCH(手順書_丁目_世帯数!$G$63, 市町村データ!A1:P1, 0),FALSE)</f>
        <v>池田1</v>
      </c>
      <c r="AW31" s="154"/>
      <c r="AX31" s="159"/>
      <c r="AY31" s="82">
        <v>63</v>
      </c>
      <c r="AZ31" s="142" t="str">
        <f>VLOOKUP(AY31,市町村データ!A2:P106,MATCH(手順書_丁目_世帯数!$G$63, 市町村データ!A1:P1, 0),FALSE)</f>
        <v>池田2</v>
      </c>
      <c r="BA31" s="154"/>
      <c r="BB31" s="159"/>
      <c r="BC31" s="82">
        <v>64</v>
      </c>
      <c r="BD31" s="142" t="str">
        <f>VLOOKUP(BC31,市町村データ!A2:P106,MATCH(手順書_丁目_世帯数!$G$63, 市町村データ!A1:P1, 0),FALSE)</f>
        <v>池田3</v>
      </c>
      <c r="BE31" s="154"/>
      <c r="BF31" s="159"/>
      <c r="BG31" s="82">
        <v>65</v>
      </c>
      <c r="BH31" s="142" t="str">
        <f>VLOOKUP(BG31,市町村データ!A2:P106,MATCH(手順書_丁目_世帯数!$G$63, 市町村データ!A1:P1, 0),FALSE)</f>
        <v>池田4</v>
      </c>
      <c r="BI31" s="154"/>
      <c r="BJ31" s="159"/>
      <c r="BK31" s="82">
        <v>66</v>
      </c>
      <c r="BL31" s="142" t="str">
        <f>VLOOKUP(BK31,市町村データ!A2:P106,MATCH(手順書_丁目_世帯数!$G$63, 市町村データ!A1:P1, 0),FALSE)</f>
        <v>池田5</v>
      </c>
      <c r="BM31" s="154"/>
      <c r="BN31" s="159"/>
      <c r="BO31" s="91"/>
      <c r="BP31" s="79"/>
      <c r="BQ31" s="79"/>
      <c r="BR31" s="79"/>
      <c r="BS31" s="79"/>
      <c r="BT31" s="78"/>
    </row>
    <row r="32" spans="1:72" ht="21.15" customHeight="1" x14ac:dyDescent="0.55000000000000004">
      <c r="A32" s="78"/>
      <c r="B32" s="79"/>
      <c r="C32" s="79"/>
      <c r="D32" s="79"/>
      <c r="E32" s="79"/>
      <c r="F32" s="79"/>
      <c r="G32" s="300">
        <f>VLOOKUP(G31,市町村データ!A2:P106,MATCH(手順書_丁目_世帯数!$F$64, 市町村データ!A1:P1, 0),FALSE)</f>
        <v>89.9</v>
      </c>
      <c r="H32" s="156"/>
      <c r="I32" s="156"/>
      <c r="J32" s="158"/>
      <c r="K32" s="300">
        <f>VLOOKUP(K31,市町村データ!A2:P106,MATCH(手順書_丁目_世帯数!$F$64, 市町村データ!A1:P1, 0),FALSE)</f>
        <v>68.3</v>
      </c>
      <c r="L32" s="156"/>
      <c r="M32" s="156"/>
      <c r="N32" s="158"/>
      <c r="O32" s="297">
        <f>VLOOKUP(O31,市町村データ!A2:P106,MATCH(手順書_丁目_世帯数!$F$64, 市町村データ!A1:P1, 0),FALSE)</f>
        <v>54.7</v>
      </c>
      <c r="P32" s="156"/>
      <c r="Q32" s="156"/>
      <c r="R32" s="158"/>
      <c r="S32" s="260">
        <f>VLOOKUP(S31,市町村データ!A2:P106,MATCH(手順書_丁目_世帯数!$F$64, 市町村データ!A1:P1, 0),FALSE)</f>
        <v>1.4</v>
      </c>
      <c r="T32" s="156"/>
      <c r="U32" s="156"/>
      <c r="V32" s="158"/>
      <c r="W32" s="85"/>
      <c r="X32" s="79"/>
      <c r="Y32" s="79"/>
      <c r="Z32" s="79"/>
      <c r="AA32" s="261">
        <f>VLOOKUP(AA31,市町村データ!A2:P106,MATCH(手順書_丁目_世帯数!$F$64, 市町村データ!A1:P1, 0),FALSE)</f>
        <v>41.4</v>
      </c>
      <c r="AB32" s="156"/>
      <c r="AC32" s="156"/>
      <c r="AD32" s="158"/>
      <c r="AE32" s="261">
        <f>VLOOKUP(AE31,市町村データ!A2:P106,MATCH(手順書_丁目_世帯数!$F$64, 市町村データ!A1:P1, 0),FALSE)</f>
        <v>39.700000000000003</v>
      </c>
      <c r="AF32" s="156"/>
      <c r="AG32" s="156"/>
      <c r="AH32" s="158"/>
      <c r="AI32" s="260">
        <f>VLOOKUP(AI31,市町村データ!A2:P106,MATCH(手順書_丁目_世帯数!$F$64, 市町村データ!A1:P1, 0),FALSE)</f>
        <v>10.7</v>
      </c>
      <c r="AJ32" s="156"/>
      <c r="AK32" s="156"/>
      <c r="AL32" s="158"/>
      <c r="AM32" s="259">
        <f>VLOOKUP(AM31,市町村データ!A2:P106,MATCH(手順書_丁目_世帯数!$F$64, 市町村データ!A1:P1, 0),FALSE)</f>
        <v>29.5</v>
      </c>
      <c r="AN32" s="156"/>
      <c r="AO32" s="156"/>
      <c r="AP32" s="158"/>
      <c r="AQ32" s="92"/>
      <c r="AR32" s="87"/>
      <c r="AS32" s="87"/>
      <c r="AT32" s="87"/>
      <c r="AU32" s="260">
        <f>VLOOKUP(AU31,市町村データ!A2:P106,MATCH(手順書_丁目_世帯数!$F$64, 市町村データ!A1:P1, 0),FALSE)</f>
        <v>1.1000000000000001</v>
      </c>
      <c r="AV32" s="156"/>
      <c r="AW32" s="156"/>
      <c r="AX32" s="158"/>
      <c r="AY32" s="260">
        <f>VLOOKUP(AY31,市町村データ!A2:P106,MATCH(手順書_丁目_世帯数!$F$64, 市町村データ!A1:P1, 0),FALSE)</f>
        <v>9.6</v>
      </c>
      <c r="AZ32" s="156"/>
      <c r="BA32" s="156"/>
      <c r="BB32" s="158"/>
      <c r="BC32" s="260">
        <f>VLOOKUP(BC31,市町村データ!A2:P106,MATCH(手順書_丁目_世帯数!$F$64, 市町村データ!A1:P1, 0),FALSE)</f>
        <v>23.2</v>
      </c>
      <c r="BD32" s="156"/>
      <c r="BE32" s="156"/>
      <c r="BF32" s="158"/>
      <c r="BG32" s="259">
        <f>VLOOKUP(BG31,市町村データ!A2:P106,MATCH(手順書_丁目_世帯数!$F$64, 市町村データ!A1:P1, 0),FALSE)</f>
        <v>37.5</v>
      </c>
      <c r="BH32" s="156"/>
      <c r="BI32" s="156"/>
      <c r="BJ32" s="158"/>
      <c r="BK32" s="259">
        <f>VLOOKUP(BK31,市町村データ!A2:P106,MATCH(手順書_丁目_世帯数!$F$64, 市町村データ!A1:P1, 0),FALSE)</f>
        <v>67.400000000000006</v>
      </c>
      <c r="BL32" s="156"/>
      <c r="BM32" s="156"/>
      <c r="BN32" s="158"/>
      <c r="BO32" s="92"/>
      <c r="BP32" s="50"/>
      <c r="BQ32" s="50"/>
      <c r="BR32" s="50"/>
      <c r="BS32" s="79"/>
      <c r="BT32" s="78"/>
    </row>
    <row r="33" spans="1:72" ht="21.15" customHeight="1" x14ac:dyDescent="0.55000000000000004">
      <c r="A33" s="78"/>
      <c r="B33" s="79"/>
      <c r="C33" s="79"/>
      <c r="D33" s="79"/>
      <c r="E33" s="79"/>
      <c r="F33" s="79"/>
      <c r="G33" s="299">
        <f>VLOOKUP(G31,市町村データ!A2:P106,MATCH(手順書_丁目_世帯数!$F$65, 市町村データ!A1:P1, 0),FALSE)</f>
        <v>1798</v>
      </c>
      <c r="H33" s="156"/>
      <c r="I33" s="156"/>
      <c r="J33" s="158"/>
      <c r="K33" s="299">
        <f>VLOOKUP(K31,市町村データ!A2:P106,MATCH(手順書_丁目_世帯数!$F$65, 市町村データ!A1:P1, 0),FALSE)</f>
        <v>1981</v>
      </c>
      <c r="L33" s="156"/>
      <c r="M33" s="156"/>
      <c r="N33" s="158"/>
      <c r="O33" s="295">
        <f>VLOOKUP(O31,市町村データ!A2:P106,MATCH(手順書_丁目_世帯数!$F$65, 市町村データ!A1:P1, 0),FALSE)</f>
        <v>1585</v>
      </c>
      <c r="P33" s="156"/>
      <c r="Q33" s="156"/>
      <c r="R33" s="158"/>
      <c r="S33" s="262">
        <f>VLOOKUP(S31,市町村データ!A2:P106,MATCH(手順書_丁目_世帯数!$F$65, 市町村データ!A1:P1, 0),FALSE)</f>
        <v>63</v>
      </c>
      <c r="T33" s="156"/>
      <c r="U33" s="156"/>
      <c r="V33" s="158"/>
      <c r="W33" s="85"/>
      <c r="X33" s="79"/>
      <c r="Y33" s="79"/>
      <c r="Z33" s="79"/>
      <c r="AA33" s="263">
        <f>VLOOKUP(AA31,市町村データ!A2:P106,MATCH(手順書_丁目_世帯数!$F$65, 市町村データ!A1:P1, 0),FALSE)</f>
        <v>745</v>
      </c>
      <c r="AB33" s="156"/>
      <c r="AC33" s="156"/>
      <c r="AD33" s="158"/>
      <c r="AE33" s="263">
        <f>VLOOKUP(AE31,市町村データ!A2:P106,MATCH(手順書_丁目_世帯数!$F$65, 市町村データ!A1:P1, 0),FALSE)</f>
        <v>742</v>
      </c>
      <c r="AF33" s="156"/>
      <c r="AG33" s="156"/>
      <c r="AH33" s="158"/>
      <c r="AI33" s="262">
        <f>VLOOKUP(AI31,市町村データ!A2:P106,MATCH(手順書_丁目_世帯数!$F$65, 市町村データ!A1:P1, 0),FALSE)</f>
        <v>276</v>
      </c>
      <c r="AJ33" s="156"/>
      <c r="AK33" s="156"/>
      <c r="AL33" s="158"/>
      <c r="AM33" s="264">
        <f>VLOOKUP(AM31,市町村データ!A2:P106,MATCH(手順書_丁目_世帯数!$F$65, 市町村データ!A1:P1, 0),FALSE)</f>
        <v>496</v>
      </c>
      <c r="AN33" s="156"/>
      <c r="AO33" s="156"/>
      <c r="AP33" s="158"/>
      <c r="AQ33" s="93"/>
      <c r="AR33" s="89"/>
      <c r="AS33" s="89"/>
      <c r="AT33" s="89"/>
      <c r="AU33" s="262">
        <f>VLOOKUP(AU31,市町村データ!A2:P106,MATCH(手順書_丁目_世帯数!$F$65, 市町村データ!A1:P1, 0),FALSE)</f>
        <v>11</v>
      </c>
      <c r="AV33" s="156"/>
      <c r="AW33" s="156"/>
      <c r="AX33" s="158"/>
      <c r="AY33" s="262">
        <f>VLOOKUP(AY31,市町村データ!A2:P106,MATCH(手順書_丁目_世帯数!$F$65, 市町村データ!A1:P1, 0),FALSE)</f>
        <v>114</v>
      </c>
      <c r="AZ33" s="156"/>
      <c r="BA33" s="156"/>
      <c r="BB33" s="158"/>
      <c r="BC33" s="262">
        <f>VLOOKUP(BC31,市町村データ!A2:P106,MATCH(手順書_丁目_世帯数!$F$65, 市町村データ!A1:P1, 0),FALSE)</f>
        <v>278</v>
      </c>
      <c r="BD33" s="156"/>
      <c r="BE33" s="156"/>
      <c r="BF33" s="158"/>
      <c r="BG33" s="264">
        <f>VLOOKUP(BG31,市町村データ!A2:P106,MATCH(手順書_丁目_世帯数!$F$65, 市町村データ!A1:P1, 0),FALSE)</f>
        <v>506</v>
      </c>
      <c r="BH33" s="156"/>
      <c r="BI33" s="156"/>
      <c r="BJ33" s="158"/>
      <c r="BK33" s="264">
        <f>VLOOKUP(BK31,市町村データ!A2:P106,MATCH(手順書_丁目_世帯数!$F$65, 市町村データ!A1:P1, 0),FALSE)</f>
        <v>539</v>
      </c>
      <c r="BL33" s="156"/>
      <c r="BM33" s="156"/>
      <c r="BN33" s="158"/>
      <c r="BO33" s="93"/>
      <c r="BP33" s="51"/>
      <c r="BQ33" s="51"/>
      <c r="BR33" s="51"/>
      <c r="BS33" s="79"/>
      <c r="BT33" s="78"/>
    </row>
    <row r="34" spans="1:72" ht="21.15" customHeight="1" thickBot="1" x14ac:dyDescent="0.6">
      <c r="A34" s="78"/>
      <c r="B34" s="79"/>
      <c r="C34" s="79"/>
      <c r="D34" s="79"/>
      <c r="E34" s="79"/>
      <c r="F34" s="79"/>
      <c r="G34" s="298">
        <f>VLOOKUP(G31,市町村データ!A2:P106,MATCH(手順書_丁目_世帯数!$F$66, 市町村データ!A1:P1, 0),FALSE)</f>
        <v>20</v>
      </c>
      <c r="H34" s="153"/>
      <c r="I34" s="153"/>
      <c r="J34" s="240"/>
      <c r="K34" s="298">
        <f>VLOOKUP(K31,市町村データ!A2:P106,MATCH(手順書_丁目_世帯数!$F$66, 市町村データ!A1:P1, 0),FALSE)</f>
        <v>29</v>
      </c>
      <c r="L34" s="153"/>
      <c r="M34" s="153"/>
      <c r="N34" s="240"/>
      <c r="O34" s="296">
        <f>VLOOKUP(O31,市町村データ!A2:P106,MATCH(手順書_丁目_世帯数!$F$66, 市町村データ!A1:P1, 0),FALSE)</f>
        <v>29</v>
      </c>
      <c r="P34" s="153"/>
      <c r="Q34" s="153"/>
      <c r="R34" s="240"/>
      <c r="S34" s="256">
        <f>VLOOKUP(S31,市町村データ!A2:P106,MATCH(手順書_丁目_世帯数!$F$66, 市町村データ!A1:P1, 0),FALSE)</f>
        <v>43.6</v>
      </c>
      <c r="T34" s="153"/>
      <c r="U34" s="153"/>
      <c r="V34" s="240"/>
      <c r="W34" s="85"/>
      <c r="X34" s="79"/>
      <c r="Y34" s="79"/>
      <c r="Z34" s="79"/>
      <c r="AA34" s="257">
        <f>VLOOKUP(AA31,市町村データ!A2:P106,MATCH(手順書_丁目_世帯数!$F$66, 市町村データ!A1:P1, 0),FALSE)</f>
        <v>18</v>
      </c>
      <c r="AB34" s="153"/>
      <c r="AC34" s="153"/>
      <c r="AD34" s="240"/>
      <c r="AE34" s="257">
        <f>VLOOKUP(AE31,市町村データ!A2:P106,MATCH(手順書_丁目_世帯数!$F$66, 市町村データ!A1:P1, 0),FALSE)</f>
        <v>18.7</v>
      </c>
      <c r="AF34" s="153"/>
      <c r="AG34" s="153"/>
      <c r="AH34" s="240"/>
      <c r="AI34" s="256">
        <f>VLOOKUP(AI31,市町村データ!A2:P106,MATCH(手順書_丁目_世帯数!$F$66, 市町村データ!A1:P1, 0),FALSE)</f>
        <v>25.8</v>
      </c>
      <c r="AJ34" s="153"/>
      <c r="AK34" s="153"/>
      <c r="AL34" s="240"/>
      <c r="AM34" s="258">
        <f>VLOOKUP(AM31,市町村データ!A2:P106,MATCH(手順書_丁目_世帯数!$F$66, 市町村データ!A1:P1, 0),FALSE)</f>
        <v>16.8</v>
      </c>
      <c r="AN34" s="153"/>
      <c r="AO34" s="153"/>
      <c r="AP34" s="240"/>
      <c r="AQ34" s="85"/>
      <c r="AR34" s="79"/>
      <c r="AS34" s="79"/>
      <c r="AT34" s="79"/>
      <c r="AU34" s="256">
        <f>VLOOKUP(AU31,市町村データ!A2:P106,MATCH(手順書_丁目_世帯数!$F$66, 市町村データ!A1:P1, 0),FALSE)</f>
        <v>9.9</v>
      </c>
      <c r="AV34" s="153"/>
      <c r="AW34" s="153"/>
      <c r="AX34" s="240"/>
      <c r="AY34" s="256">
        <f>VLOOKUP(AY31,市町村データ!A2:P106,MATCH(手順書_丁目_世帯数!$F$66, 市町村データ!A1:P1, 0),FALSE)</f>
        <v>11.9</v>
      </c>
      <c r="AZ34" s="153"/>
      <c r="BA34" s="153"/>
      <c r="BB34" s="240"/>
      <c r="BC34" s="256">
        <f>VLOOKUP(BC31,市町村データ!A2:P106,MATCH(手順書_丁目_世帯数!$F$66, 市町村データ!A1:P1, 0),FALSE)</f>
        <v>12</v>
      </c>
      <c r="BD34" s="153"/>
      <c r="BE34" s="153"/>
      <c r="BF34" s="240"/>
      <c r="BG34" s="258">
        <f>VLOOKUP(BG31,市町村データ!A2:P106,MATCH(手順書_丁目_世帯数!$F$66, 市町村データ!A1:P1, 0),FALSE)</f>
        <v>13.5</v>
      </c>
      <c r="BH34" s="153"/>
      <c r="BI34" s="153"/>
      <c r="BJ34" s="240"/>
      <c r="BK34" s="258">
        <f>VLOOKUP(BK31,市町村データ!A2:P106,MATCH(手順書_丁目_世帯数!$F$66, 市町村データ!A1:P1, 0),FALSE)</f>
        <v>8</v>
      </c>
      <c r="BL34" s="153"/>
      <c r="BM34" s="153"/>
      <c r="BN34" s="240"/>
      <c r="BO34" s="85"/>
      <c r="BP34" s="52"/>
      <c r="BQ34" s="52"/>
      <c r="BR34" s="52"/>
      <c r="BS34" s="79"/>
      <c r="BT34" s="78"/>
    </row>
    <row r="35" spans="1:72" ht="21.15" customHeight="1" x14ac:dyDescent="0.55000000000000004">
      <c r="A35" s="78"/>
      <c r="B35" s="79"/>
      <c r="C35" s="81" t="s">
        <v>68</v>
      </c>
      <c r="D35" s="79"/>
      <c r="E35" s="79"/>
      <c r="F35" s="79"/>
      <c r="G35" s="84"/>
      <c r="H35" s="84"/>
      <c r="I35" s="84"/>
      <c r="J35" s="84"/>
      <c r="K35" s="84"/>
      <c r="L35" s="84"/>
      <c r="M35" s="84"/>
      <c r="N35" s="84"/>
      <c r="O35" s="84"/>
      <c r="P35" s="84"/>
      <c r="Q35" s="84"/>
      <c r="R35" s="84"/>
      <c r="S35" s="84"/>
      <c r="T35" s="84"/>
      <c r="U35" s="84"/>
      <c r="V35" s="84"/>
      <c r="W35" s="79"/>
      <c r="X35" s="79"/>
      <c r="Y35" s="79"/>
      <c r="Z35" s="79"/>
      <c r="AA35" s="82">
        <v>67</v>
      </c>
      <c r="AB35" s="142" t="str">
        <f>VLOOKUP(AA35,市町村データ!A2:P106,MATCH(手順書_丁目_世帯数!$G$63, 市町村データ!A1:P1, 0),FALSE)</f>
        <v>石神3</v>
      </c>
      <c r="AC35" s="154"/>
      <c r="AD35" s="159"/>
      <c r="AE35" s="82">
        <v>68</v>
      </c>
      <c r="AF35" s="142" t="str">
        <f>VLOOKUP(AE35,市町村データ!A2:P106,MATCH(手順書_丁目_世帯数!$G$63, 市町村データ!A1:P1, 0),FALSE)</f>
        <v>石神2</v>
      </c>
      <c r="AG35" s="154"/>
      <c r="AH35" s="159"/>
      <c r="AI35" s="97"/>
      <c r="AJ35" s="84"/>
      <c r="AK35" s="84"/>
      <c r="AL35" s="84"/>
      <c r="AM35" s="95"/>
      <c r="AN35" s="84"/>
      <c r="AO35" s="84"/>
      <c r="AP35" s="84"/>
      <c r="AQ35" s="86"/>
      <c r="AR35" s="79"/>
      <c r="AS35" s="79"/>
      <c r="AT35" s="79"/>
      <c r="AU35" s="95"/>
      <c r="AV35" s="84"/>
      <c r="AW35" s="84"/>
      <c r="AX35" s="84"/>
      <c r="AY35" s="95"/>
      <c r="AZ35" s="84"/>
      <c r="BA35" s="84"/>
      <c r="BB35" s="84"/>
      <c r="BC35" s="82">
        <v>69</v>
      </c>
      <c r="BD35" s="142" t="str">
        <f>VLOOKUP(BC35,市町村データ!A2:P106,MATCH(手順書_丁目_世帯数!$G$63, 市町村データ!A1:P1, 0),FALSE)</f>
        <v>片山1</v>
      </c>
      <c r="BE35" s="154"/>
      <c r="BF35" s="159"/>
      <c r="BG35" s="82">
        <v>70</v>
      </c>
      <c r="BH35" s="142" t="str">
        <f>VLOOKUP(BG35,市町村データ!A2:P106,MATCH(手順書_丁目_世帯数!$G$63, 市町村データ!A1:P1, 0),FALSE)</f>
        <v>片山2</v>
      </c>
      <c r="BI35" s="154"/>
      <c r="BJ35" s="159"/>
      <c r="BK35" s="82">
        <v>71</v>
      </c>
      <c r="BL35" s="142" t="str">
        <f>VLOOKUP(BK35,市町村データ!A2:P106,MATCH(手順書_丁目_世帯数!$G$63, 市町村データ!A1:P1, 0),FALSE)</f>
        <v>片山3</v>
      </c>
      <c r="BM35" s="154"/>
      <c r="BN35" s="159"/>
      <c r="BO35" s="91"/>
      <c r="BP35" s="79"/>
      <c r="BQ35" s="79"/>
      <c r="BR35" s="79"/>
      <c r="BS35" s="79"/>
      <c r="BT35" s="78"/>
    </row>
    <row r="36" spans="1:72" ht="21.15" customHeight="1" x14ac:dyDescent="0.55000000000000004">
      <c r="A36" s="78"/>
      <c r="B36" s="79"/>
      <c r="C36" s="79"/>
      <c r="D36" s="79"/>
      <c r="E36" s="79"/>
      <c r="F36" s="79"/>
      <c r="G36" s="79"/>
      <c r="H36" s="79"/>
      <c r="I36" s="79"/>
      <c r="J36" s="79"/>
      <c r="K36" s="79"/>
      <c r="L36" s="79"/>
      <c r="M36" s="79"/>
      <c r="N36" s="79"/>
      <c r="O36" s="79"/>
      <c r="P36" s="79"/>
      <c r="Q36" s="79"/>
      <c r="R36" s="79"/>
      <c r="S36" s="79"/>
      <c r="T36" s="79"/>
      <c r="U36" s="79"/>
      <c r="V36" s="79"/>
      <c r="W36" s="79"/>
      <c r="X36" s="79"/>
      <c r="Y36" s="79"/>
      <c r="Z36" s="79"/>
      <c r="AA36" s="255">
        <f>VLOOKUP(AA35,市町村データ!A2:P106,MATCH(手順書_丁目_世帯数!$F$64, 市町村データ!A1:P1, 0),FALSE)</f>
        <v>76.599999999999994</v>
      </c>
      <c r="AB36" s="156"/>
      <c r="AC36" s="156"/>
      <c r="AD36" s="158"/>
      <c r="AE36" s="261">
        <f>VLOOKUP(AE35,市町村データ!A2:P106,MATCH(手順書_丁目_世帯数!$F$64, 市町村データ!A1:P1, 0),FALSE)</f>
        <v>51.4</v>
      </c>
      <c r="AF36" s="156"/>
      <c r="AG36" s="156"/>
      <c r="AH36" s="158"/>
      <c r="AI36" s="98"/>
      <c r="AJ36" s="50"/>
      <c r="AK36" s="50"/>
      <c r="AL36" s="50"/>
      <c r="AM36" s="50"/>
      <c r="AN36" s="50"/>
      <c r="AO36" s="50"/>
      <c r="AP36" s="50"/>
      <c r="AQ36" s="50"/>
      <c r="AR36" s="50"/>
      <c r="AS36" s="50"/>
      <c r="AT36" s="50"/>
      <c r="AU36" s="50"/>
      <c r="AV36" s="50"/>
      <c r="AW36" s="50"/>
      <c r="AX36" s="50"/>
      <c r="AY36" s="50"/>
      <c r="AZ36" s="50"/>
      <c r="BA36" s="50"/>
      <c r="BB36" s="50"/>
      <c r="BC36" s="255">
        <f>VLOOKUP(BC35,市町村データ!A2:P106,MATCH(手順書_丁目_世帯数!$F$64, 市町村データ!A1:P1, 0),FALSE)</f>
        <v>46.5</v>
      </c>
      <c r="BD36" s="156"/>
      <c r="BE36" s="156"/>
      <c r="BF36" s="158"/>
      <c r="BG36" s="259">
        <f>VLOOKUP(BG35,市町村データ!A2:P106,MATCH(手順書_丁目_世帯数!$F$64, 市町村データ!A1:P1, 0),FALSE)</f>
        <v>33.4</v>
      </c>
      <c r="BH36" s="156"/>
      <c r="BI36" s="156"/>
      <c r="BJ36" s="158"/>
      <c r="BK36" s="297">
        <f>VLOOKUP(BK35,市町村データ!A2:P106,MATCH(手順書_丁目_世帯数!$F$64, 市町村データ!A1:P1, 0),FALSE)</f>
        <v>49.6</v>
      </c>
      <c r="BL36" s="156"/>
      <c r="BM36" s="156"/>
      <c r="BN36" s="158"/>
      <c r="BO36" s="98"/>
      <c r="BP36" s="50"/>
      <c r="BQ36" s="50"/>
      <c r="BR36" s="50"/>
      <c r="BS36" s="79"/>
      <c r="BT36" s="78"/>
    </row>
    <row r="37" spans="1:72" ht="21.15" customHeight="1" x14ac:dyDescent="0.55000000000000004">
      <c r="A37" s="78"/>
      <c r="B37" s="79"/>
      <c r="C37" s="79"/>
      <c r="D37" s="79"/>
      <c r="E37" s="79"/>
      <c r="F37" s="79"/>
      <c r="G37" s="79"/>
      <c r="H37" s="79"/>
      <c r="I37" s="79"/>
      <c r="J37" s="79"/>
      <c r="K37" s="79"/>
      <c r="L37" s="79"/>
      <c r="M37" s="79"/>
      <c r="N37" s="79"/>
      <c r="O37" s="79"/>
      <c r="P37" s="79"/>
      <c r="Q37" s="79"/>
      <c r="R37" s="79"/>
      <c r="S37" s="79"/>
      <c r="T37" s="79"/>
      <c r="U37" s="79"/>
      <c r="V37" s="79"/>
      <c r="W37" s="79"/>
      <c r="X37" s="79"/>
      <c r="Y37" s="79"/>
      <c r="Z37" s="79"/>
      <c r="AA37" s="254">
        <f>VLOOKUP(AA35,市町村データ!A2:P106,MATCH(手順書_丁目_世帯数!$F$65, 市町村データ!A1:P1, 0),FALSE)</f>
        <v>1049</v>
      </c>
      <c r="AB37" s="156"/>
      <c r="AC37" s="156"/>
      <c r="AD37" s="158"/>
      <c r="AE37" s="263">
        <f>VLOOKUP(AE35,市町村データ!A2:P106,MATCH(手順書_丁目_世帯数!$F$65, 市町村データ!A1:P1, 0),FALSE)</f>
        <v>796</v>
      </c>
      <c r="AF37" s="156"/>
      <c r="AG37" s="156"/>
      <c r="AH37" s="158"/>
      <c r="AI37" s="99"/>
      <c r="AJ37" s="51"/>
      <c r="AK37" s="51"/>
      <c r="AL37" s="51"/>
      <c r="AM37" s="51"/>
      <c r="AN37" s="51"/>
      <c r="AO37" s="51"/>
      <c r="AP37" s="51"/>
      <c r="AQ37" s="51"/>
      <c r="AR37" s="51"/>
      <c r="AS37" s="51"/>
      <c r="AT37" s="51"/>
      <c r="AU37" s="51"/>
      <c r="AV37" s="51"/>
      <c r="AW37" s="51"/>
      <c r="AX37" s="51"/>
      <c r="AY37" s="51"/>
      <c r="AZ37" s="51"/>
      <c r="BA37" s="51"/>
      <c r="BB37" s="51"/>
      <c r="BC37" s="254">
        <f>VLOOKUP(BC35,市町村データ!A2:P106,MATCH(手順書_丁目_世帯数!$F$65, 市町村データ!A1:P1, 0),FALSE)</f>
        <v>1069</v>
      </c>
      <c r="BD37" s="156"/>
      <c r="BE37" s="156"/>
      <c r="BF37" s="158"/>
      <c r="BG37" s="264">
        <f>VLOOKUP(BG35,市町村データ!A2:P106,MATCH(手順書_丁目_世帯数!$F$65, 市町村データ!A1:P1, 0),FALSE)</f>
        <v>601</v>
      </c>
      <c r="BH37" s="156"/>
      <c r="BI37" s="156"/>
      <c r="BJ37" s="158"/>
      <c r="BK37" s="295">
        <f>VLOOKUP(BK35,市町村データ!A2:P106,MATCH(手順書_丁目_世帯数!$F$65, 市町村データ!A1:P1, 0),FALSE)</f>
        <v>1587</v>
      </c>
      <c r="BL37" s="156"/>
      <c r="BM37" s="156"/>
      <c r="BN37" s="158"/>
      <c r="BO37" s="99"/>
      <c r="BP37" s="51"/>
      <c r="BQ37" s="51"/>
      <c r="BR37" s="51"/>
      <c r="BS37" s="79"/>
      <c r="BT37" s="78"/>
    </row>
    <row r="38" spans="1:72" ht="21.15" customHeight="1" thickBot="1" x14ac:dyDescent="0.6">
      <c r="A38" s="78"/>
      <c r="B38" s="79"/>
      <c r="C38" s="79"/>
      <c r="D38" s="79"/>
      <c r="E38" s="79"/>
      <c r="F38" s="79"/>
      <c r="G38" s="79"/>
      <c r="H38" s="79"/>
      <c r="I38" s="79"/>
      <c r="J38" s="79"/>
      <c r="K38" s="79"/>
      <c r="L38" s="79"/>
      <c r="M38" s="79"/>
      <c r="N38" s="79"/>
      <c r="O38" s="79"/>
      <c r="P38" s="79"/>
      <c r="Q38" s="79"/>
      <c r="R38" s="79"/>
      <c r="S38" s="79"/>
      <c r="T38" s="79"/>
      <c r="U38" s="79"/>
      <c r="V38" s="79"/>
      <c r="W38" s="79"/>
      <c r="X38" s="79"/>
      <c r="Y38" s="79"/>
      <c r="Z38" s="79"/>
      <c r="AA38" s="253">
        <f>VLOOKUP(AA35,市町村データ!A2:P106,MATCH(手順書_丁目_世帯数!$F$66, 市町村データ!A1:P1, 0),FALSE)</f>
        <v>13.7</v>
      </c>
      <c r="AB38" s="153"/>
      <c r="AC38" s="153"/>
      <c r="AD38" s="240"/>
      <c r="AE38" s="257">
        <f>VLOOKUP(AE35,市町村データ!A2:P106,MATCH(手順書_丁目_世帯数!$F$66, 市町村データ!A1:P1, 0),FALSE)</f>
        <v>15.5</v>
      </c>
      <c r="AF38" s="153"/>
      <c r="AG38" s="153"/>
      <c r="AH38" s="240"/>
      <c r="AI38" s="99"/>
      <c r="AJ38" s="51"/>
      <c r="AK38" s="51"/>
      <c r="AL38" s="51"/>
      <c r="AM38" s="51"/>
      <c r="AN38" s="51"/>
      <c r="AO38" s="51"/>
      <c r="AP38" s="51"/>
      <c r="AQ38" s="51"/>
      <c r="AR38" s="51"/>
      <c r="AS38" s="51"/>
      <c r="AT38" s="51"/>
      <c r="AU38" s="51"/>
      <c r="AV38" s="51"/>
      <c r="AW38" s="51"/>
      <c r="AX38" s="51"/>
      <c r="AY38" s="51"/>
      <c r="AZ38" s="51"/>
      <c r="BA38" s="51"/>
      <c r="BB38" s="51"/>
      <c r="BC38" s="253">
        <f>VLOOKUP(BC35,市町村データ!A2:P106,MATCH(手順書_丁目_世帯数!$F$66, 市町村データ!A1:P1, 0),FALSE)</f>
        <v>23</v>
      </c>
      <c r="BD38" s="153"/>
      <c r="BE38" s="153"/>
      <c r="BF38" s="240"/>
      <c r="BG38" s="258">
        <f>VLOOKUP(BG35,市町村データ!A2:P106,MATCH(手順書_丁目_世帯数!$F$66, 市町村データ!A1:P1, 0),FALSE)</f>
        <v>18</v>
      </c>
      <c r="BH38" s="153"/>
      <c r="BI38" s="153"/>
      <c r="BJ38" s="240"/>
      <c r="BK38" s="296">
        <f>VLOOKUP(BK35,市町村データ!A2:P106,MATCH(手順書_丁目_世帯数!$F$66, 市町村データ!A1:P1, 0),FALSE)</f>
        <v>32</v>
      </c>
      <c r="BL38" s="153"/>
      <c r="BM38" s="153"/>
      <c r="BN38" s="240"/>
      <c r="BO38" s="99"/>
      <c r="BP38" s="51"/>
      <c r="BQ38" s="51"/>
      <c r="BR38" s="51"/>
      <c r="BS38" s="79"/>
      <c r="BT38" s="78"/>
    </row>
    <row r="39" spans="1:72" ht="21.15" customHeight="1" x14ac:dyDescent="0.55000000000000004">
      <c r="A39" s="78"/>
      <c r="B39" s="79"/>
      <c r="C39" s="81" t="s">
        <v>516</v>
      </c>
      <c r="D39" s="79"/>
      <c r="E39" s="79"/>
      <c r="F39" s="79"/>
      <c r="G39" s="79"/>
      <c r="H39" s="79"/>
      <c r="I39" s="79"/>
      <c r="J39" s="79"/>
      <c r="K39" s="79"/>
      <c r="L39" s="79"/>
      <c r="M39" s="79"/>
      <c r="N39" s="79"/>
      <c r="O39" s="79"/>
      <c r="P39" s="79"/>
      <c r="Q39" s="79"/>
      <c r="R39" s="79"/>
      <c r="S39" s="79"/>
      <c r="T39" s="79"/>
      <c r="U39" s="79"/>
      <c r="V39" s="79"/>
      <c r="W39" s="79"/>
      <c r="X39" s="79"/>
      <c r="Y39" s="79"/>
      <c r="Z39" s="79"/>
      <c r="AA39" s="84"/>
      <c r="AB39" s="84"/>
      <c r="AC39" s="84"/>
      <c r="AD39" s="84"/>
      <c r="AE39" s="84"/>
      <c r="AF39" s="84"/>
      <c r="AG39" s="84"/>
      <c r="AH39" s="84"/>
      <c r="AI39" s="51"/>
      <c r="AJ39" s="51"/>
      <c r="AK39" s="51"/>
      <c r="AL39" s="51"/>
      <c r="AM39" s="51"/>
      <c r="AN39" s="51"/>
      <c r="AO39" s="51"/>
      <c r="AP39" s="51"/>
      <c r="AQ39" s="51"/>
      <c r="AR39" s="51"/>
      <c r="AS39" s="51"/>
      <c r="AT39" s="51"/>
      <c r="AU39" s="51"/>
      <c r="AV39" s="51"/>
      <c r="AW39" s="51"/>
      <c r="AX39" s="51"/>
      <c r="AY39" s="82">
        <v>72</v>
      </c>
      <c r="AZ39" s="142" t="str">
        <f>VLOOKUP(AY39,市町村データ!A2:P106,MATCH(手順書_丁目_世帯数!$G$63, 市町村データ!A1:P1, 0),FALSE)</f>
        <v>野寺1</v>
      </c>
      <c r="BA39" s="154"/>
      <c r="BB39" s="159"/>
      <c r="BC39" s="82">
        <v>73</v>
      </c>
      <c r="BD39" s="142" t="str">
        <f>VLOOKUP(BC39,市町村データ!A2:P106,MATCH(手順書_丁目_世帯数!$G$63, 市町村データ!A1:P1, 0),FALSE)</f>
        <v>野寺2</v>
      </c>
      <c r="BE39" s="154"/>
      <c r="BF39" s="159"/>
      <c r="BG39" s="82">
        <v>74</v>
      </c>
      <c r="BH39" s="142" t="str">
        <f>VLOOKUP(BG39,市町村データ!A2:P106,MATCH(手順書_丁目_世帯数!$G$63, 市町村データ!A1:P1, 0),FALSE)</f>
        <v>野寺3</v>
      </c>
      <c r="BI39" s="154"/>
      <c r="BJ39" s="159"/>
      <c r="BK39" s="82">
        <v>75</v>
      </c>
      <c r="BL39" s="142" t="str">
        <f>VLOOKUP(BK39,市町村データ!A2:P106,MATCH(手順書_丁目_世帯数!$G$63, 市町村データ!A1:P1, 0),FALSE)</f>
        <v>野寺4</v>
      </c>
      <c r="BM39" s="154"/>
      <c r="BN39" s="159"/>
      <c r="BO39" s="82">
        <v>76</v>
      </c>
      <c r="BP39" s="142" t="str">
        <f>VLOOKUP(BO39,市町村データ!A2:P106,MATCH(手順書_丁目_世帯数!$G$63, 市町村データ!A1:P1, 0),FALSE)</f>
        <v>野寺5</v>
      </c>
      <c r="BQ39" s="154"/>
      <c r="BR39" s="159"/>
      <c r="BS39" s="85"/>
      <c r="BT39" s="78"/>
    </row>
    <row r="40" spans="1:72" ht="21.15" customHeight="1" x14ac:dyDescent="0.55000000000000004">
      <c r="A40" s="78"/>
      <c r="B40" s="79"/>
      <c r="C40" s="79"/>
      <c r="D40" s="79"/>
      <c r="E40" s="79"/>
      <c r="F40" s="79"/>
      <c r="G40" s="79"/>
      <c r="H40" s="79"/>
      <c r="I40" s="79"/>
      <c r="J40" s="79"/>
      <c r="K40" s="79"/>
      <c r="L40" s="79"/>
      <c r="M40" s="79"/>
      <c r="N40" s="79"/>
      <c r="O40" s="79"/>
      <c r="P40" s="79"/>
      <c r="Q40" s="79"/>
      <c r="R40" s="79"/>
      <c r="S40" s="79"/>
      <c r="T40" s="79"/>
      <c r="U40" s="79"/>
      <c r="V40" s="79"/>
      <c r="W40" s="79"/>
      <c r="X40" s="79"/>
      <c r="Y40" s="79"/>
      <c r="Z40" s="79"/>
      <c r="AA40" s="79"/>
      <c r="AB40" s="79"/>
      <c r="AC40" s="79"/>
      <c r="AD40" s="79"/>
      <c r="AE40" s="79"/>
      <c r="AF40" s="79"/>
      <c r="AG40" s="79"/>
      <c r="AH40" s="79"/>
      <c r="AI40" s="51"/>
      <c r="AJ40" s="51"/>
      <c r="AK40" s="51"/>
      <c r="AL40" s="51"/>
      <c r="AM40" s="51"/>
      <c r="AN40" s="51"/>
      <c r="AO40" s="51"/>
      <c r="AP40" s="51"/>
      <c r="AQ40" s="51"/>
      <c r="AR40" s="51"/>
      <c r="AS40" s="51"/>
      <c r="AT40" s="51"/>
      <c r="AU40" s="51"/>
      <c r="AV40" s="51"/>
      <c r="AW40" s="51"/>
      <c r="AX40" s="51"/>
      <c r="AY40" s="261">
        <f>VLOOKUP(AY39,市町村データ!A2:P106,MATCH(手順書_丁目_世帯数!$F$64, 市町村データ!A1:P1, 0),FALSE)</f>
        <v>62.8</v>
      </c>
      <c r="AZ40" s="156"/>
      <c r="BA40" s="156"/>
      <c r="BB40" s="158"/>
      <c r="BC40" s="255">
        <f>VLOOKUP(BC39,市町村データ!A2:P106,MATCH(手順書_丁目_世帯数!$F$64, 市町村データ!A1:P1, 0),FALSE)</f>
        <v>44.7</v>
      </c>
      <c r="BD40" s="156"/>
      <c r="BE40" s="156"/>
      <c r="BF40" s="158"/>
      <c r="BG40" s="261">
        <f>VLOOKUP(BG39,市町村データ!A2:P106,MATCH(手順書_丁目_世帯数!$F$64, 市町村データ!A1:P1, 0),FALSE)</f>
        <v>44</v>
      </c>
      <c r="BH40" s="156"/>
      <c r="BI40" s="156"/>
      <c r="BJ40" s="158"/>
      <c r="BK40" s="255">
        <f>VLOOKUP(BK39,市町村データ!A2:P106,MATCH(手順書_丁目_世帯数!$F$64, 市町村データ!A1:P1, 0),FALSE)</f>
        <v>60</v>
      </c>
      <c r="BL40" s="156"/>
      <c r="BM40" s="156"/>
      <c r="BN40" s="158"/>
      <c r="BO40" s="261">
        <f>VLOOKUP(BO39,市町村データ!A2:P106,MATCH(手順書_丁目_世帯数!$F$64, 市町村データ!A1:P1, 0),FALSE)</f>
        <v>65</v>
      </c>
      <c r="BP40" s="156"/>
      <c r="BQ40" s="156"/>
      <c r="BR40" s="158"/>
      <c r="BS40" s="85"/>
      <c r="BT40" s="78"/>
    </row>
    <row r="41" spans="1:72" ht="21.15" customHeight="1" x14ac:dyDescent="0.55000000000000004">
      <c r="A41" s="78"/>
      <c r="B41" s="79"/>
      <c r="C41" s="79"/>
      <c r="D41" s="79"/>
      <c r="E41" s="79"/>
      <c r="F41" s="79"/>
      <c r="G41" s="79"/>
      <c r="H41" s="79"/>
      <c r="I41" s="79"/>
      <c r="J41" s="79"/>
      <c r="K41" s="79"/>
      <c r="L41" s="79"/>
      <c r="M41" s="79"/>
      <c r="N41" s="79"/>
      <c r="O41" s="79"/>
      <c r="P41" s="79"/>
      <c r="Q41" s="79"/>
      <c r="R41" s="79"/>
      <c r="S41" s="79"/>
      <c r="T41" s="79"/>
      <c r="U41" s="79"/>
      <c r="V41" s="79"/>
      <c r="W41" s="79"/>
      <c r="X41" s="79"/>
      <c r="Y41" s="79"/>
      <c r="Z41" s="79"/>
      <c r="AA41" s="79"/>
      <c r="AB41" s="79"/>
      <c r="AC41" s="79"/>
      <c r="AD41" s="79"/>
      <c r="AE41" s="79"/>
      <c r="AF41" s="79"/>
      <c r="AG41" s="79"/>
      <c r="AH41" s="79"/>
      <c r="AI41" s="51"/>
      <c r="AJ41" s="51"/>
      <c r="AK41" s="51"/>
      <c r="AL41" s="51"/>
      <c r="AM41" s="51"/>
      <c r="AN41" s="51"/>
      <c r="AO41" s="51"/>
      <c r="AP41" s="51"/>
      <c r="AQ41" s="51"/>
      <c r="AR41" s="51"/>
      <c r="AS41" s="51"/>
      <c r="AT41" s="51"/>
      <c r="AU41" s="51"/>
      <c r="AV41" s="51"/>
      <c r="AW41" s="51"/>
      <c r="AX41" s="51"/>
      <c r="AY41" s="263">
        <f>VLOOKUP(AY39,市町村データ!A2:P106,MATCH(手順書_丁目_世帯数!$F$65, 市町村データ!A1:P1, 0),FALSE)</f>
        <v>691</v>
      </c>
      <c r="AZ41" s="156"/>
      <c r="BA41" s="156"/>
      <c r="BB41" s="158"/>
      <c r="BC41" s="254">
        <f>VLOOKUP(BC39,市町村データ!A2:P106,MATCH(手順書_丁目_世帯数!$F$65, 市町村データ!A1:P1, 0),FALSE)</f>
        <v>1185</v>
      </c>
      <c r="BD41" s="156"/>
      <c r="BE41" s="156"/>
      <c r="BF41" s="158"/>
      <c r="BG41" s="263">
        <f>VLOOKUP(BG39,市町村データ!A2:P106,MATCH(手順書_丁目_世帯数!$F$65, 市町村データ!A1:P1, 0),FALSE)</f>
        <v>933</v>
      </c>
      <c r="BH41" s="156"/>
      <c r="BI41" s="156"/>
      <c r="BJ41" s="158"/>
      <c r="BK41" s="254">
        <f>VLOOKUP(BK39,市町村データ!A2:P106,MATCH(手順書_丁目_世帯数!$F$65, 市町村データ!A1:P1, 0),FALSE)</f>
        <v>1199</v>
      </c>
      <c r="BL41" s="156"/>
      <c r="BM41" s="156"/>
      <c r="BN41" s="158"/>
      <c r="BO41" s="263">
        <f>VLOOKUP(BO39,市町村データ!A2:P106,MATCH(手順書_丁目_世帯数!$F$65, 市町村データ!A1:P1, 0),FALSE)</f>
        <v>682</v>
      </c>
      <c r="BP41" s="156"/>
      <c r="BQ41" s="156"/>
      <c r="BR41" s="158"/>
      <c r="BS41" s="85"/>
      <c r="BT41" s="78"/>
    </row>
    <row r="42" spans="1:72" ht="21.15" customHeight="1" thickBot="1" x14ac:dyDescent="0.6">
      <c r="A42" s="78"/>
      <c r="B42" s="79"/>
      <c r="C42" s="79"/>
      <c r="D42" s="79"/>
      <c r="E42" s="79"/>
      <c r="F42" s="79"/>
      <c r="G42" s="79"/>
      <c r="H42" s="79"/>
      <c r="I42" s="79"/>
      <c r="J42" s="79"/>
      <c r="K42" s="79"/>
      <c r="L42" s="79"/>
      <c r="M42" s="79"/>
      <c r="N42" s="79"/>
      <c r="O42" s="79"/>
      <c r="P42" s="79"/>
      <c r="Q42" s="79"/>
      <c r="R42" s="79"/>
      <c r="S42" s="79"/>
      <c r="T42" s="79"/>
      <c r="U42" s="79"/>
      <c r="V42" s="79"/>
      <c r="W42" s="79"/>
      <c r="X42" s="79"/>
      <c r="Y42" s="79"/>
      <c r="Z42" s="79"/>
      <c r="AA42" s="79"/>
      <c r="AB42" s="79"/>
      <c r="AC42" s="79"/>
      <c r="AD42" s="79"/>
      <c r="AE42" s="79"/>
      <c r="AF42" s="79"/>
      <c r="AG42" s="79"/>
      <c r="AH42" s="79"/>
      <c r="AI42" s="51"/>
      <c r="AJ42" s="51"/>
      <c r="AK42" s="51"/>
      <c r="AL42" s="51"/>
      <c r="AM42" s="51"/>
      <c r="AN42" s="51"/>
      <c r="AO42" s="51"/>
      <c r="AP42" s="51"/>
      <c r="AQ42" s="51"/>
      <c r="AR42" s="51"/>
      <c r="AS42" s="51"/>
      <c r="AT42" s="51"/>
      <c r="AU42" s="51"/>
      <c r="AV42" s="51"/>
      <c r="AW42" s="51"/>
      <c r="AX42" s="51"/>
      <c r="AY42" s="257">
        <f>VLOOKUP(AY39,市町村データ!A2:P106,MATCH(手順書_丁目_世帯数!$F$66, 市町村データ!A1:P1, 0),FALSE)</f>
        <v>11</v>
      </c>
      <c r="AZ42" s="153"/>
      <c r="BA42" s="153"/>
      <c r="BB42" s="240"/>
      <c r="BC42" s="253">
        <f>VLOOKUP(BC39,市町村データ!A2:P106,MATCH(手順書_丁目_世帯数!$F$66, 市町村データ!A1:P1, 0),FALSE)</f>
        <v>26.5</v>
      </c>
      <c r="BD42" s="153"/>
      <c r="BE42" s="153"/>
      <c r="BF42" s="240"/>
      <c r="BG42" s="257">
        <f>VLOOKUP(BG39,市町村データ!A2:P106,MATCH(手順書_丁目_世帯数!$F$66, 市町村データ!A1:P1, 0),FALSE)</f>
        <v>21.2</v>
      </c>
      <c r="BH42" s="153"/>
      <c r="BI42" s="153"/>
      <c r="BJ42" s="240"/>
      <c r="BK42" s="253">
        <f>VLOOKUP(BK39,市町村データ!A2:P106,MATCH(手順書_丁目_世帯数!$F$66, 市町村データ!A1:P1, 0),FALSE)</f>
        <v>20</v>
      </c>
      <c r="BL42" s="153"/>
      <c r="BM42" s="153"/>
      <c r="BN42" s="240"/>
      <c r="BO42" s="257">
        <f>VLOOKUP(BO39,市町村データ!A2:P106,MATCH(手順書_丁目_世帯数!$F$66, 市町村データ!A1:P1, 0),FALSE)</f>
        <v>10.5</v>
      </c>
      <c r="BP42" s="153"/>
      <c r="BQ42" s="153"/>
      <c r="BR42" s="240"/>
      <c r="BS42" s="85"/>
      <c r="BT42" s="78"/>
    </row>
    <row r="43" spans="1:72" ht="21.15" customHeight="1" x14ac:dyDescent="0.55000000000000004">
      <c r="A43" s="78"/>
      <c r="B43" s="79"/>
      <c r="C43" s="81" t="s">
        <v>518</v>
      </c>
      <c r="D43" s="79"/>
      <c r="E43" s="79"/>
      <c r="F43" s="79"/>
      <c r="G43" s="79"/>
      <c r="H43" s="79"/>
      <c r="I43" s="79"/>
      <c r="J43" s="79"/>
      <c r="K43" s="79"/>
      <c r="L43" s="79"/>
      <c r="M43" s="79"/>
      <c r="N43" s="79"/>
      <c r="O43" s="79"/>
      <c r="P43" s="79"/>
      <c r="Q43" s="79"/>
      <c r="R43" s="79"/>
      <c r="S43" s="79"/>
      <c r="T43" s="79"/>
      <c r="U43" s="79"/>
      <c r="V43" s="79"/>
      <c r="W43" s="79"/>
      <c r="X43" s="79"/>
      <c r="Y43" s="79"/>
      <c r="Z43" s="79"/>
      <c r="AA43" s="79"/>
      <c r="AB43" s="79"/>
      <c r="AC43" s="79"/>
      <c r="AD43" s="79"/>
      <c r="AE43" s="79"/>
      <c r="AF43" s="79"/>
      <c r="AG43" s="79"/>
      <c r="AH43" s="79"/>
      <c r="AI43" s="51"/>
      <c r="AJ43" s="51"/>
      <c r="AK43" s="51"/>
      <c r="AL43" s="51"/>
      <c r="AM43" s="51"/>
      <c r="AN43" s="51"/>
      <c r="AO43" s="51"/>
      <c r="AP43" s="51"/>
      <c r="AQ43" s="51"/>
      <c r="AR43" s="51"/>
      <c r="AS43" s="51"/>
      <c r="AT43" s="51"/>
      <c r="AU43" s="51"/>
      <c r="AV43" s="51"/>
      <c r="AW43" s="51"/>
      <c r="AX43" s="51"/>
      <c r="AY43" s="82">
        <v>77</v>
      </c>
      <c r="AZ43" s="142" t="str">
        <f>VLOOKUP(AY43,市町村データ!A2:P106,MATCH(手順書_丁目_世帯数!$G$63, 市町村データ!A1:P1, 0),FALSE)</f>
        <v>栗原1</v>
      </c>
      <c r="BA43" s="154"/>
      <c r="BB43" s="159"/>
      <c r="BC43" s="82">
        <v>78</v>
      </c>
      <c r="BD43" s="142" t="str">
        <f>VLOOKUP(BC43,市町村データ!A2:P106,MATCH(手順書_丁目_世帯数!$G$63, 市町村データ!A1:P1, 0),FALSE)</f>
        <v>栗原2</v>
      </c>
      <c r="BE43" s="154"/>
      <c r="BF43" s="159"/>
      <c r="BG43" s="82">
        <v>79</v>
      </c>
      <c r="BH43" s="142" t="str">
        <f>VLOOKUP(BG43,市町村データ!A2:P106,MATCH(手順書_丁目_世帯数!$G$63, 市町村データ!A1:P1, 0),FALSE)</f>
        <v>栗原3</v>
      </c>
      <c r="BI43" s="154"/>
      <c r="BJ43" s="159"/>
      <c r="BK43" s="100"/>
      <c r="BL43" s="101"/>
      <c r="BM43" s="101"/>
      <c r="BN43" s="101"/>
      <c r="BO43" s="101"/>
      <c r="BP43" s="101"/>
      <c r="BQ43" s="101"/>
      <c r="BR43" s="101"/>
      <c r="BS43" s="79"/>
      <c r="BT43" s="78"/>
    </row>
    <row r="44" spans="1:72" ht="21.15" customHeight="1" x14ac:dyDescent="0.55000000000000004">
      <c r="A44" s="78"/>
      <c r="B44" s="79"/>
      <c r="C44" s="79"/>
      <c r="D44" s="79"/>
      <c r="E44" s="79"/>
      <c r="F44" s="79"/>
      <c r="G44" s="79"/>
      <c r="H44" s="79"/>
      <c r="I44" s="79"/>
      <c r="J44" s="79"/>
      <c r="K44" s="79"/>
      <c r="L44" s="79"/>
      <c r="M44" s="79"/>
      <c r="N44" s="79"/>
      <c r="O44" s="79"/>
      <c r="P44" s="79"/>
      <c r="Q44" s="79"/>
      <c r="R44" s="79"/>
      <c r="S44" s="79"/>
      <c r="T44" s="79"/>
      <c r="U44" s="79"/>
      <c r="V44" s="79"/>
      <c r="W44" s="79"/>
      <c r="X44" s="79"/>
      <c r="Y44" s="79"/>
      <c r="Z44" s="79"/>
      <c r="AA44" s="79"/>
      <c r="AB44" s="79"/>
      <c r="AC44" s="79"/>
      <c r="AD44" s="79"/>
      <c r="AE44" s="79"/>
      <c r="AF44" s="79"/>
      <c r="AG44" s="79"/>
      <c r="AH44" s="79"/>
      <c r="AI44" s="51"/>
      <c r="AJ44" s="51"/>
      <c r="AK44" s="51"/>
      <c r="AL44" s="51"/>
      <c r="AM44" s="51"/>
      <c r="AN44" s="51"/>
      <c r="AO44" s="51"/>
      <c r="AP44" s="51"/>
      <c r="AQ44" s="51"/>
      <c r="AR44" s="51"/>
      <c r="AS44" s="51"/>
      <c r="AT44" s="51"/>
      <c r="AU44" s="51"/>
      <c r="AV44" s="51"/>
      <c r="AW44" s="51"/>
      <c r="AX44" s="51"/>
      <c r="AY44" s="297">
        <f>VLOOKUP(AY43,市町村データ!A2:P106,MATCH(手順書_丁目_世帯数!$F$64, 市町村データ!A1:P1, 0),FALSE)</f>
        <v>70.7</v>
      </c>
      <c r="AZ44" s="156"/>
      <c r="BA44" s="156"/>
      <c r="BB44" s="158"/>
      <c r="BC44" s="259">
        <f>VLOOKUP(BC43,市町村データ!A2:P106,MATCH(手順書_丁目_世帯数!$F$64, 市町村データ!A1:P1, 0),FALSE)</f>
        <v>44</v>
      </c>
      <c r="BD44" s="156"/>
      <c r="BE44" s="156"/>
      <c r="BF44" s="158"/>
      <c r="BG44" s="255">
        <f>VLOOKUP(BG43,市町村データ!A2:P106,MATCH(手順書_丁目_世帯数!$F$64, 市町村データ!A1:P1, 0),FALSE)</f>
        <v>69.099999999999994</v>
      </c>
      <c r="BH44" s="156"/>
      <c r="BI44" s="156"/>
      <c r="BJ44" s="158"/>
      <c r="BK44" s="99"/>
      <c r="BL44" s="51"/>
      <c r="BM44" s="51"/>
      <c r="BN44" s="51"/>
      <c r="BO44" s="51"/>
      <c r="BP44" s="51"/>
      <c r="BQ44" s="51"/>
      <c r="BR44" s="51"/>
      <c r="BS44" s="79"/>
      <c r="BT44" s="78"/>
    </row>
    <row r="45" spans="1:72" ht="21.15" customHeight="1" x14ac:dyDescent="0.55000000000000004">
      <c r="A45" s="78"/>
      <c r="B45" s="79"/>
      <c r="C45" s="79"/>
      <c r="D45" s="79"/>
      <c r="E45" s="79"/>
      <c r="F45" s="79"/>
      <c r="G45" s="79"/>
      <c r="H45" s="79"/>
      <c r="I45" s="79"/>
      <c r="J45" s="79"/>
      <c r="K45" s="79"/>
      <c r="L45" s="79"/>
      <c r="M45" s="79"/>
      <c r="N45" s="79"/>
      <c r="O45" s="79"/>
      <c r="P45" s="79"/>
      <c r="Q45" s="79"/>
      <c r="R45" s="79"/>
      <c r="S45" s="79"/>
      <c r="T45" s="79"/>
      <c r="U45" s="79"/>
      <c r="V45" s="79"/>
      <c r="W45" s="79"/>
      <c r="X45" s="79"/>
      <c r="Y45" s="79"/>
      <c r="Z45" s="79"/>
      <c r="AA45" s="79"/>
      <c r="AB45" s="79"/>
      <c r="AC45" s="79"/>
      <c r="AD45" s="79"/>
      <c r="AE45" s="79"/>
      <c r="AF45" s="79"/>
      <c r="AG45" s="79"/>
      <c r="AH45" s="79"/>
      <c r="AI45" s="51"/>
      <c r="AJ45" s="51"/>
      <c r="AK45" s="51"/>
      <c r="AL45" s="51"/>
      <c r="AM45" s="51"/>
      <c r="AN45" s="51"/>
      <c r="AO45" s="51"/>
      <c r="AP45" s="51"/>
      <c r="AQ45" s="51"/>
      <c r="AR45" s="51"/>
      <c r="AS45" s="51"/>
      <c r="AT45" s="51"/>
      <c r="AU45" s="51"/>
      <c r="AV45" s="51"/>
      <c r="AW45" s="51"/>
      <c r="AX45" s="51"/>
      <c r="AY45" s="295">
        <f>VLOOKUP(AY43,市町村データ!A2:P106,MATCH(手順書_丁目_世帯数!$F$65, 市町村データ!A1:P1, 0),FALSE)</f>
        <v>1548</v>
      </c>
      <c r="AZ45" s="156"/>
      <c r="BA45" s="156"/>
      <c r="BB45" s="158"/>
      <c r="BC45" s="264">
        <f>VLOOKUP(BC43,市町村データ!A2:P106,MATCH(手順書_丁目_世帯数!$F$65, 市町村データ!A1:P1, 0),FALSE)</f>
        <v>440</v>
      </c>
      <c r="BD45" s="156"/>
      <c r="BE45" s="156"/>
      <c r="BF45" s="158"/>
      <c r="BG45" s="254">
        <f>VLOOKUP(BG43,市町村データ!A2:P106,MATCH(手順書_丁目_世帯数!$F$65, 市町村データ!A1:P1, 0),FALSE)</f>
        <v>1036</v>
      </c>
      <c r="BH45" s="156"/>
      <c r="BI45" s="156"/>
      <c r="BJ45" s="158"/>
      <c r="BK45" s="99"/>
      <c r="BL45" s="51"/>
      <c r="BM45" s="51"/>
      <c r="BN45" s="51"/>
      <c r="BO45" s="51"/>
      <c r="BP45" s="51"/>
      <c r="BQ45" s="51"/>
      <c r="BR45" s="51"/>
      <c r="BS45" s="79"/>
      <c r="BT45" s="78"/>
    </row>
    <row r="46" spans="1:72" ht="21.15" customHeight="1" thickBot="1" x14ac:dyDescent="0.6">
      <c r="A46" s="78"/>
      <c r="B46" s="79"/>
      <c r="C46" s="79"/>
      <c r="D46" s="79"/>
      <c r="E46" s="79"/>
      <c r="F46" s="79"/>
      <c r="G46" s="79"/>
      <c r="H46" s="79"/>
      <c r="I46" s="79"/>
      <c r="J46" s="79"/>
      <c r="K46" s="79"/>
      <c r="L46" s="79"/>
      <c r="M46" s="79"/>
      <c r="N46" s="79"/>
      <c r="O46" s="79"/>
      <c r="P46" s="79"/>
      <c r="Q46" s="79"/>
      <c r="R46" s="79"/>
      <c r="S46" s="79"/>
      <c r="T46" s="79"/>
      <c r="U46" s="79"/>
      <c r="V46" s="79"/>
      <c r="W46" s="79"/>
      <c r="X46" s="79"/>
      <c r="Y46" s="79"/>
      <c r="Z46" s="79"/>
      <c r="AA46" s="79"/>
      <c r="AB46" s="79"/>
      <c r="AC46" s="79"/>
      <c r="AD46" s="79"/>
      <c r="AE46" s="79"/>
      <c r="AF46" s="79"/>
      <c r="AG46" s="79"/>
      <c r="AH46" s="79"/>
      <c r="AI46" s="51"/>
      <c r="AJ46" s="51"/>
      <c r="AK46" s="51"/>
      <c r="AL46" s="51"/>
      <c r="AM46" s="51"/>
      <c r="AN46" s="51"/>
      <c r="AO46" s="51"/>
      <c r="AP46" s="51"/>
      <c r="AQ46" s="51"/>
      <c r="AR46" s="51"/>
      <c r="AS46" s="51"/>
      <c r="AT46" s="51"/>
      <c r="AU46" s="51"/>
      <c r="AV46" s="51"/>
      <c r="AW46" s="51"/>
      <c r="AX46" s="51"/>
      <c r="AY46" s="296">
        <f>VLOOKUP(AY43,市町村データ!A2:P106,MATCH(手順書_丁目_世帯数!$F$66, 市町村データ!A1:P1, 0),FALSE)</f>
        <v>21.9</v>
      </c>
      <c r="AZ46" s="153"/>
      <c r="BA46" s="153"/>
      <c r="BB46" s="240"/>
      <c r="BC46" s="258">
        <f>VLOOKUP(BC43,市町村データ!A2:P106,MATCH(手順書_丁目_世帯数!$F$66, 市町村データ!A1:P1, 0),FALSE)</f>
        <v>10</v>
      </c>
      <c r="BD46" s="153"/>
      <c r="BE46" s="153"/>
      <c r="BF46" s="240"/>
      <c r="BG46" s="253">
        <f>VLOOKUP(BG43,市町村データ!A2:P106,MATCH(手順書_丁目_世帯数!$F$66, 市町村データ!A1:P1, 0),FALSE)</f>
        <v>15</v>
      </c>
      <c r="BH46" s="153"/>
      <c r="BI46" s="153"/>
      <c r="BJ46" s="240"/>
      <c r="BK46" s="99"/>
      <c r="BL46" s="51"/>
      <c r="BM46" s="51"/>
      <c r="BN46" s="51"/>
      <c r="BO46" s="51"/>
      <c r="BP46" s="51"/>
      <c r="BQ46" s="51"/>
      <c r="BR46" s="51"/>
      <c r="BS46" s="79"/>
      <c r="BT46" s="78"/>
    </row>
    <row r="47" spans="1:72" ht="21.15" customHeight="1" x14ac:dyDescent="0.55000000000000004">
      <c r="A47" s="78"/>
      <c r="B47" s="79"/>
      <c r="C47" s="81" t="s">
        <v>520</v>
      </c>
      <c r="D47" s="79"/>
      <c r="E47" s="79"/>
      <c r="F47" s="79"/>
      <c r="G47" s="79"/>
      <c r="H47" s="79"/>
      <c r="I47" s="79"/>
      <c r="J47" s="79"/>
      <c r="K47" s="79"/>
      <c r="L47" s="79"/>
      <c r="M47" s="79"/>
      <c r="N47" s="79"/>
      <c r="O47" s="79"/>
      <c r="P47" s="79"/>
      <c r="Q47" s="79"/>
      <c r="R47" s="79"/>
      <c r="S47" s="79"/>
      <c r="T47" s="79"/>
      <c r="U47" s="79"/>
      <c r="V47" s="79"/>
      <c r="W47" s="79"/>
      <c r="X47" s="79"/>
      <c r="Y47" s="79"/>
      <c r="Z47" s="79"/>
      <c r="AA47" s="79"/>
      <c r="AB47" s="79"/>
      <c r="AC47" s="79"/>
      <c r="AD47" s="79"/>
      <c r="AE47" s="79"/>
      <c r="AF47" s="79"/>
      <c r="AG47" s="79"/>
      <c r="AH47" s="79"/>
      <c r="AI47" s="51"/>
      <c r="AJ47" s="51"/>
      <c r="AK47" s="51"/>
      <c r="AL47" s="51"/>
      <c r="AM47" s="51"/>
      <c r="AN47" s="51"/>
      <c r="AO47" s="51"/>
      <c r="AP47" s="51"/>
      <c r="AQ47" s="51"/>
      <c r="AR47" s="51"/>
      <c r="AS47" s="51"/>
      <c r="AT47" s="51"/>
      <c r="AU47" s="51"/>
      <c r="AV47" s="51"/>
      <c r="AW47" s="51"/>
      <c r="AX47" s="51"/>
      <c r="AY47" s="82">
        <v>80</v>
      </c>
      <c r="AZ47" s="142" t="str">
        <f>VLOOKUP(AY47,市町村データ!A2:P106,MATCH(手順書_丁目_世帯数!$G$63, 市町村データ!A1:P1, 0),FALSE)</f>
        <v>栗原6</v>
      </c>
      <c r="BA47" s="154"/>
      <c r="BB47" s="159"/>
      <c r="BC47" s="82">
        <v>81</v>
      </c>
      <c r="BD47" s="142" t="str">
        <f>VLOOKUP(BC47,市町村データ!A2:P106,MATCH(手順書_丁目_世帯数!$G$63, 市町村データ!A1:P1, 0),FALSE)</f>
        <v>栗原5</v>
      </c>
      <c r="BE47" s="154"/>
      <c r="BF47" s="159"/>
      <c r="BG47" s="82">
        <v>82</v>
      </c>
      <c r="BH47" s="142" t="str">
        <f>VLOOKUP(BG47,市町村データ!A2:P106,MATCH(手順書_丁目_世帯数!$G$63, 市町村データ!A1:P1, 0),FALSE)</f>
        <v>栗原4</v>
      </c>
      <c r="BI47" s="154"/>
      <c r="BJ47" s="159"/>
      <c r="BK47" s="99"/>
      <c r="BL47" s="51"/>
      <c r="BM47" s="51"/>
      <c r="BN47" s="51"/>
      <c r="BO47" s="51"/>
      <c r="BP47" s="51"/>
      <c r="BQ47" s="51"/>
      <c r="BR47" s="51"/>
      <c r="BS47" s="79"/>
      <c r="BT47" s="78"/>
    </row>
    <row r="48" spans="1:72" ht="21.15" customHeight="1" x14ac:dyDescent="0.55000000000000004">
      <c r="A48" s="78"/>
      <c r="B48" s="79"/>
      <c r="C48" s="79"/>
      <c r="D48" s="79"/>
      <c r="E48" s="79"/>
      <c r="F48" s="79"/>
      <c r="G48" s="79"/>
      <c r="H48" s="79"/>
      <c r="I48" s="79"/>
      <c r="J48" s="79"/>
      <c r="K48" s="79"/>
      <c r="L48" s="79"/>
      <c r="M48" s="79"/>
      <c r="N48" s="79"/>
      <c r="O48" s="79"/>
      <c r="P48" s="79"/>
      <c r="Q48" s="79"/>
      <c r="R48" s="79"/>
      <c r="S48" s="79"/>
      <c r="T48" s="79"/>
      <c r="U48" s="79"/>
      <c r="V48" s="79"/>
      <c r="W48" s="79"/>
      <c r="X48" s="79"/>
      <c r="Y48" s="79"/>
      <c r="Z48" s="79"/>
      <c r="AA48" s="79"/>
      <c r="AB48" s="79"/>
      <c r="AC48" s="79"/>
      <c r="AD48" s="79"/>
      <c r="AE48" s="79"/>
      <c r="AF48" s="79"/>
      <c r="AG48" s="79"/>
      <c r="AH48" s="79"/>
      <c r="AI48" s="51"/>
      <c r="AJ48" s="51"/>
      <c r="AK48" s="51"/>
      <c r="AL48" s="51"/>
      <c r="AM48" s="51"/>
      <c r="AN48" s="51"/>
      <c r="AO48" s="51"/>
      <c r="AP48" s="51"/>
      <c r="AQ48" s="51"/>
      <c r="AR48" s="51"/>
      <c r="AS48" s="51"/>
      <c r="AT48" s="51"/>
      <c r="AU48" s="51"/>
      <c r="AV48" s="51"/>
      <c r="AW48" s="51"/>
      <c r="AX48" s="51"/>
      <c r="AY48" s="297">
        <f>VLOOKUP(AY47,市町村データ!A2:P106,MATCH(手順書_丁目_世帯数!$F$64, 市町村データ!A1:P1, 0),FALSE)</f>
        <v>116.8</v>
      </c>
      <c r="AZ48" s="156"/>
      <c r="BA48" s="156"/>
      <c r="BB48" s="158"/>
      <c r="BC48" s="297">
        <f>VLOOKUP(BC47,市町村データ!A2:P106,MATCH(手順書_丁目_世帯数!$F$64, 市町村データ!A1:P1, 0),FALSE)</f>
        <v>111.2</v>
      </c>
      <c r="BD48" s="156"/>
      <c r="BE48" s="156"/>
      <c r="BF48" s="158"/>
      <c r="BG48" s="255">
        <f>VLOOKUP(BG47,市町村データ!A2:P106,MATCH(手順書_丁目_世帯数!$F$64, 市町村データ!A1:P1, 0),FALSE)</f>
        <v>83.3</v>
      </c>
      <c r="BH48" s="156"/>
      <c r="BI48" s="156"/>
      <c r="BJ48" s="158"/>
      <c r="BK48" s="99"/>
      <c r="BL48" s="51"/>
      <c r="BM48" s="51"/>
      <c r="BN48" s="51"/>
      <c r="BO48" s="51"/>
      <c r="BP48" s="51"/>
      <c r="BQ48" s="51"/>
      <c r="BR48" s="51"/>
      <c r="BS48" s="79"/>
      <c r="BT48" s="78"/>
    </row>
    <row r="49" spans="1:72" ht="21.15" customHeight="1" x14ac:dyDescent="0.55000000000000004">
      <c r="A49" s="78"/>
      <c r="B49" s="79"/>
      <c r="C49" s="79"/>
      <c r="D49" s="79"/>
      <c r="E49" s="79"/>
      <c r="F49" s="79"/>
      <c r="G49" s="79"/>
      <c r="H49" s="79"/>
      <c r="I49" s="79"/>
      <c r="J49" s="79"/>
      <c r="K49" s="79"/>
      <c r="L49" s="79"/>
      <c r="M49" s="79"/>
      <c r="N49" s="79"/>
      <c r="O49" s="79"/>
      <c r="P49" s="79"/>
      <c r="Q49" s="79"/>
      <c r="R49" s="79"/>
      <c r="S49" s="79"/>
      <c r="T49" s="79"/>
      <c r="U49" s="79"/>
      <c r="V49" s="79"/>
      <c r="W49" s="79"/>
      <c r="X49" s="79"/>
      <c r="Y49" s="79"/>
      <c r="Z49" s="79"/>
      <c r="AA49" s="79"/>
      <c r="AB49" s="79"/>
      <c r="AC49" s="79"/>
      <c r="AD49" s="79"/>
      <c r="AE49" s="79"/>
      <c r="AF49" s="79"/>
      <c r="AG49" s="79"/>
      <c r="AH49" s="79"/>
      <c r="AI49" s="51"/>
      <c r="AJ49" s="51"/>
      <c r="AK49" s="51"/>
      <c r="AL49" s="51"/>
      <c r="AM49" s="51"/>
      <c r="AN49" s="51"/>
      <c r="AO49" s="51"/>
      <c r="AP49" s="51"/>
      <c r="AQ49" s="51"/>
      <c r="AR49" s="51"/>
      <c r="AS49" s="51"/>
      <c r="AT49" s="51"/>
      <c r="AU49" s="51"/>
      <c r="AV49" s="51"/>
      <c r="AW49" s="51"/>
      <c r="AX49" s="51"/>
      <c r="AY49" s="295">
        <f>VLOOKUP(AY47,市町村データ!A2:P106,MATCH(手順書_丁目_世帯数!$F$65, 市町村データ!A1:P1, 0),FALSE)</f>
        <v>1635</v>
      </c>
      <c r="AZ49" s="156"/>
      <c r="BA49" s="156"/>
      <c r="BB49" s="158"/>
      <c r="BC49" s="295">
        <f>VLOOKUP(BC47,市町村データ!A2:P106,MATCH(手順書_丁目_世帯数!$F$65, 市町村データ!A1:P1, 0),FALSE)</f>
        <v>1613</v>
      </c>
      <c r="BD49" s="156"/>
      <c r="BE49" s="156"/>
      <c r="BF49" s="158"/>
      <c r="BG49" s="254">
        <f>VLOOKUP(BG47,市町村データ!A2:P106,MATCH(手順書_丁目_世帯数!$F$65, 市町村データ!A1:P1, 0),FALSE)</f>
        <v>1083</v>
      </c>
      <c r="BH49" s="156"/>
      <c r="BI49" s="156"/>
      <c r="BJ49" s="158"/>
      <c r="BK49" s="99"/>
      <c r="BL49" s="51"/>
      <c r="BM49" s="51"/>
      <c r="BN49" s="51"/>
      <c r="BO49" s="51"/>
      <c r="BP49" s="51"/>
      <c r="BQ49" s="51"/>
      <c r="BR49" s="51"/>
      <c r="BS49" s="79"/>
      <c r="BT49" s="78"/>
    </row>
    <row r="50" spans="1:72" ht="21.15" customHeight="1" thickBot="1" x14ac:dyDescent="0.6">
      <c r="A50" s="78"/>
      <c r="B50" s="79"/>
      <c r="C50" s="79"/>
      <c r="D50" s="79"/>
      <c r="E50" s="79"/>
      <c r="F50" s="79"/>
      <c r="G50" s="79"/>
      <c r="H50" s="79"/>
      <c r="I50" s="79"/>
      <c r="J50" s="79"/>
      <c r="K50" s="79"/>
      <c r="L50" s="79"/>
      <c r="M50" s="79"/>
      <c r="N50" s="79"/>
      <c r="O50" s="79"/>
      <c r="P50" s="79"/>
      <c r="Q50" s="79"/>
      <c r="R50" s="79"/>
      <c r="S50" s="79"/>
      <c r="T50" s="79"/>
      <c r="U50" s="79"/>
      <c r="V50" s="79"/>
      <c r="W50" s="79"/>
      <c r="X50" s="79"/>
      <c r="Y50" s="79"/>
      <c r="Z50" s="79"/>
      <c r="AA50" s="79"/>
      <c r="AB50" s="79"/>
      <c r="AC50" s="79"/>
      <c r="AD50" s="79"/>
      <c r="AE50" s="79"/>
      <c r="AF50" s="79"/>
      <c r="AG50" s="79"/>
      <c r="AH50" s="79"/>
      <c r="AI50" s="79"/>
      <c r="AJ50" s="79"/>
      <c r="AK50" s="79"/>
      <c r="AL50" s="79"/>
      <c r="AM50" s="79"/>
      <c r="AN50" s="79"/>
      <c r="AO50" s="79"/>
      <c r="AP50" s="79"/>
      <c r="AQ50" s="79"/>
      <c r="AR50" s="79"/>
      <c r="AS50" s="79"/>
      <c r="AT50" s="79"/>
      <c r="AU50" s="79"/>
      <c r="AV50" s="51"/>
      <c r="AW50" s="51"/>
      <c r="AX50" s="51"/>
      <c r="AY50" s="296">
        <f>VLOOKUP(AY47,市町村データ!A2:P106,MATCH(手順書_丁目_世帯数!$F$66, 市町村データ!A1:P1, 0),FALSE)</f>
        <v>14</v>
      </c>
      <c r="AZ50" s="153"/>
      <c r="BA50" s="153"/>
      <c r="BB50" s="240"/>
      <c r="BC50" s="296">
        <f>VLOOKUP(BC47,市町村データ!A2:P106,MATCH(手順書_丁目_世帯数!$F$66, 市町村データ!A1:P1, 0),FALSE)</f>
        <v>14.5</v>
      </c>
      <c r="BD50" s="153"/>
      <c r="BE50" s="153"/>
      <c r="BF50" s="240"/>
      <c r="BG50" s="253">
        <f>VLOOKUP(BG47,市町村データ!A2:P106,MATCH(手順書_丁目_世帯数!$F$66, 市町村データ!A1:P1, 0),FALSE)</f>
        <v>13</v>
      </c>
      <c r="BH50" s="153"/>
      <c r="BI50" s="153"/>
      <c r="BJ50" s="240"/>
      <c r="BK50" s="85"/>
      <c r="BL50" s="79"/>
      <c r="BM50" s="79"/>
      <c r="BN50" s="79"/>
      <c r="BO50" s="51"/>
      <c r="BP50" s="51"/>
      <c r="BQ50" s="51"/>
      <c r="BR50" s="51"/>
      <c r="BS50" s="51"/>
      <c r="BT50" s="78"/>
    </row>
    <row r="51" spans="1:72" ht="21.15" customHeight="1" x14ac:dyDescent="0.55000000000000004">
      <c r="A51" s="78"/>
      <c r="B51" s="79" t="s">
        <v>162</v>
      </c>
      <c r="C51" s="79"/>
      <c r="D51" s="79"/>
      <c r="E51" s="79"/>
      <c r="F51" s="79"/>
      <c r="G51" s="102"/>
      <c r="H51" s="79"/>
      <c r="I51" s="79"/>
      <c r="J51" s="79"/>
      <c r="K51" s="79"/>
      <c r="L51" s="79"/>
      <c r="M51" s="79"/>
      <c r="N51" s="79"/>
      <c r="O51" s="79"/>
      <c r="P51" s="79"/>
      <c r="Q51" s="79"/>
      <c r="R51" s="79"/>
      <c r="S51" s="79"/>
      <c r="T51" s="79"/>
      <c r="U51" s="79"/>
      <c r="V51" s="79"/>
      <c r="W51" s="79"/>
      <c r="X51" s="79"/>
      <c r="Y51" s="79"/>
      <c r="Z51" s="79"/>
      <c r="AA51" s="79"/>
      <c r="AB51" s="79"/>
      <c r="AC51" s="79"/>
      <c r="AD51" s="79"/>
      <c r="AE51" s="79"/>
      <c r="AF51" s="79"/>
      <c r="AG51" s="79"/>
      <c r="AH51" s="79"/>
      <c r="AI51" s="79"/>
      <c r="AJ51" s="79"/>
      <c r="AK51" s="79"/>
      <c r="AL51" s="79"/>
      <c r="AM51" s="52"/>
      <c r="AN51" s="52"/>
      <c r="AO51" s="52"/>
      <c r="AP51" s="52"/>
      <c r="AQ51" s="52"/>
      <c r="AR51" s="52"/>
      <c r="AS51" s="52"/>
      <c r="AT51" s="52"/>
      <c r="AU51" s="52"/>
      <c r="AV51" s="52"/>
      <c r="AW51" s="52"/>
      <c r="AX51" s="52"/>
      <c r="AY51" s="103"/>
      <c r="AZ51" s="103"/>
      <c r="BA51" s="103"/>
      <c r="BB51" s="103"/>
      <c r="BC51" s="103"/>
      <c r="BD51" s="103"/>
      <c r="BE51" s="103"/>
      <c r="BF51" s="103"/>
      <c r="BG51" s="103"/>
      <c r="BH51" s="103"/>
      <c r="BI51" s="103"/>
      <c r="BJ51" s="103"/>
      <c r="BK51" s="52"/>
      <c r="BL51" s="52"/>
      <c r="BM51" s="52"/>
      <c r="BN51" s="52"/>
      <c r="BO51" s="52"/>
      <c r="BP51" s="52"/>
      <c r="BQ51" s="52"/>
      <c r="BR51" s="52"/>
      <c r="BS51" s="52"/>
      <c r="BT51" s="78"/>
    </row>
    <row r="52" spans="1:72" ht="21.15" customHeight="1" x14ac:dyDescent="0.55000000000000004">
      <c r="A52" s="78"/>
      <c r="B52" s="79" t="s">
        <v>161</v>
      </c>
      <c r="C52" s="79"/>
      <c r="D52" s="79"/>
      <c r="E52" s="79"/>
      <c r="F52" s="79"/>
      <c r="G52" s="79"/>
      <c r="H52" s="79"/>
      <c r="I52" s="79"/>
      <c r="J52" s="79"/>
      <c r="K52" s="79"/>
      <c r="L52" s="79"/>
      <c r="M52" s="79"/>
      <c r="N52" s="79"/>
      <c r="O52" s="79"/>
      <c r="P52" s="79"/>
      <c r="Q52" s="79"/>
      <c r="R52" s="79"/>
      <c r="S52" s="79"/>
      <c r="T52" s="79"/>
      <c r="U52" s="79"/>
      <c r="V52" s="79"/>
      <c r="W52" s="79"/>
      <c r="X52" s="79"/>
      <c r="Y52" s="79"/>
      <c r="Z52" s="79"/>
      <c r="AA52" s="79"/>
      <c r="AB52" s="79"/>
      <c r="AC52" s="79"/>
      <c r="AD52" s="79"/>
      <c r="AE52" s="79"/>
      <c r="AF52" s="79"/>
      <c r="AG52" s="79"/>
      <c r="AH52" s="79"/>
      <c r="AI52" s="79"/>
      <c r="AJ52" s="79"/>
      <c r="AK52" s="79"/>
      <c r="AL52" s="79"/>
      <c r="AM52" s="79"/>
      <c r="AN52" s="79"/>
      <c r="AO52" s="79"/>
      <c r="AP52" s="79"/>
      <c r="AQ52" s="79"/>
      <c r="AR52" s="79"/>
      <c r="AS52" s="79"/>
      <c r="AT52" s="79"/>
      <c r="AU52" s="79"/>
      <c r="AV52" s="79"/>
      <c r="AW52" s="79"/>
      <c r="AX52" s="79"/>
      <c r="AY52" s="79"/>
      <c r="AZ52" s="79"/>
      <c r="BA52" s="79"/>
      <c r="BB52" s="79"/>
      <c r="BC52" s="79"/>
      <c r="BD52" s="79"/>
      <c r="BE52" s="79"/>
      <c r="BF52" s="79"/>
      <c r="BG52" s="79"/>
      <c r="BH52" s="79"/>
      <c r="BI52" s="79"/>
      <c r="BJ52" s="79"/>
      <c r="BK52" s="79"/>
      <c r="BL52" s="79"/>
      <c r="BM52" s="79"/>
      <c r="BN52" s="79"/>
      <c r="BO52" s="79"/>
      <c r="BP52" s="79"/>
      <c r="BQ52" s="79"/>
      <c r="BR52" s="79"/>
      <c r="BS52" s="79"/>
      <c r="BT52" s="78"/>
    </row>
    <row r="53" spans="1:72" ht="21.15" customHeight="1" x14ac:dyDescent="0.55000000000000004">
      <c r="A53" s="78"/>
      <c r="B53" s="78"/>
      <c r="C53" s="78"/>
      <c r="D53" s="78"/>
      <c r="E53" s="78"/>
      <c r="F53" s="78"/>
      <c r="G53" s="78"/>
      <c r="H53" s="78"/>
      <c r="I53" s="78"/>
      <c r="J53" s="78"/>
      <c r="K53" s="78"/>
      <c r="L53" s="78"/>
      <c r="M53" s="78"/>
      <c r="N53" s="78"/>
      <c r="O53" s="78"/>
      <c r="P53" s="78"/>
      <c r="Q53" s="78"/>
      <c r="R53" s="78"/>
      <c r="S53" s="78"/>
      <c r="T53" s="78"/>
      <c r="U53" s="78"/>
      <c r="V53" s="78"/>
      <c r="W53" s="78"/>
      <c r="X53" s="78"/>
      <c r="Y53" s="78"/>
      <c r="Z53" s="78"/>
      <c r="AA53" s="78"/>
      <c r="AB53" s="78"/>
      <c r="AC53" s="78"/>
      <c r="AD53" s="78"/>
      <c r="AE53" s="78"/>
      <c r="AF53" s="78"/>
      <c r="AG53" s="78"/>
      <c r="AH53" s="78"/>
      <c r="AI53" s="78"/>
      <c r="AJ53" s="78"/>
      <c r="AK53" s="78"/>
      <c r="AL53" s="78"/>
      <c r="AM53" s="78"/>
      <c r="AN53" s="78"/>
      <c r="AO53" s="78"/>
      <c r="AP53" s="78"/>
      <c r="AQ53" s="78"/>
      <c r="AR53" s="78"/>
      <c r="AS53" s="78"/>
      <c r="AT53" s="78"/>
      <c r="AU53" s="78"/>
      <c r="AV53" s="78"/>
      <c r="AW53" s="78"/>
      <c r="AX53" s="78"/>
      <c r="AY53" s="78"/>
      <c r="AZ53" s="78"/>
      <c r="BA53" s="78"/>
      <c r="BB53" s="78"/>
      <c r="BC53" s="78"/>
      <c r="BD53" s="78"/>
      <c r="BE53" s="78"/>
      <c r="BF53" s="78"/>
      <c r="BG53" s="78"/>
      <c r="BH53" s="78"/>
      <c r="BI53" s="78"/>
      <c r="BJ53" s="78"/>
      <c r="BK53" s="78"/>
      <c r="BL53" s="78"/>
      <c r="BM53" s="78"/>
      <c r="BN53" s="78"/>
      <c r="BO53" s="78"/>
      <c r="BP53" s="78"/>
      <c r="BQ53" s="78"/>
      <c r="BR53" s="78"/>
      <c r="BS53" s="78"/>
      <c r="BT53" s="78"/>
    </row>
  </sheetData>
  <mergeCells count="357">
    <mergeCell ref="K8:N8"/>
    <mergeCell ref="O8:R8"/>
    <mergeCell ref="S8:V8"/>
    <mergeCell ref="W8:Z8"/>
    <mergeCell ref="AA8:AD8"/>
    <mergeCell ref="AE8:AH8"/>
    <mergeCell ref="L7:N7"/>
    <mergeCell ref="P7:R7"/>
    <mergeCell ref="T7:V7"/>
    <mergeCell ref="X7:Z7"/>
    <mergeCell ref="AB7:AD7"/>
    <mergeCell ref="AF7:AH7"/>
    <mergeCell ref="K10:N10"/>
    <mergeCell ref="O10:R10"/>
    <mergeCell ref="S10:V10"/>
    <mergeCell ref="W10:Z10"/>
    <mergeCell ref="AA10:AD10"/>
    <mergeCell ref="AE10:AH10"/>
    <mergeCell ref="K9:N9"/>
    <mergeCell ref="O9:R9"/>
    <mergeCell ref="S9:V9"/>
    <mergeCell ref="W9:Z9"/>
    <mergeCell ref="AA9:AD9"/>
    <mergeCell ref="AE9:AH9"/>
    <mergeCell ref="AJ11:AL11"/>
    <mergeCell ref="AN11:AP11"/>
    <mergeCell ref="G12:J12"/>
    <mergeCell ref="K12:N12"/>
    <mergeCell ref="S12:V12"/>
    <mergeCell ref="W12:Z12"/>
    <mergeCell ref="AA12:AD12"/>
    <mergeCell ref="AE12:AH12"/>
    <mergeCell ref="AI12:AL12"/>
    <mergeCell ref="AM12:AP12"/>
    <mergeCell ref="H11:J11"/>
    <mergeCell ref="L11:N11"/>
    <mergeCell ref="T11:V11"/>
    <mergeCell ref="X11:Z11"/>
    <mergeCell ref="AB11:AD11"/>
    <mergeCell ref="AF11:AH11"/>
    <mergeCell ref="AI13:AL13"/>
    <mergeCell ref="AM13:AP13"/>
    <mergeCell ref="G14:J14"/>
    <mergeCell ref="K14:N14"/>
    <mergeCell ref="S14:V14"/>
    <mergeCell ref="W14:Z14"/>
    <mergeCell ref="AA14:AD14"/>
    <mergeCell ref="AE14:AH14"/>
    <mergeCell ref="AI14:AL14"/>
    <mergeCell ref="AM14:AP14"/>
    <mergeCell ref="G13:J13"/>
    <mergeCell ref="K13:N13"/>
    <mergeCell ref="S13:V13"/>
    <mergeCell ref="W13:Z13"/>
    <mergeCell ref="AA13:AD13"/>
    <mergeCell ref="AE13:AH13"/>
    <mergeCell ref="AF15:AH15"/>
    <mergeCell ref="AJ15:AL15"/>
    <mergeCell ref="AN15:AP15"/>
    <mergeCell ref="G16:J16"/>
    <mergeCell ref="K16:N16"/>
    <mergeCell ref="O16:R16"/>
    <mergeCell ref="S16:V16"/>
    <mergeCell ref="W16:Z16"/>
    <mergeCell ref="AA16:AD16"/>
    <mergeCell ref="AE16:AH16"/>
    <mergeCell ref="H15:J15"/>
    <mergeCell ref="L15:N15"/>
    <mergeCell ref="P15:R15"/>
    <mergeCell ref="T15:V15"/>
    <mergeCell ref="X15:Z15"/>
    <mergeCell ref="AB15:AD15"/>
    <mergeCell ref="AI16:AL16"/>
    <mergeCell ref="AM16:AP16"/>
    <mergeCell ref="G17:J17"/>
    <mergeCell ref="K17:N17"/>
    <mergeCell ref="O17:R17"/>
    <mergeCell ref="S17:V17"/>
    <mergeCell ref="W17:Z17"/>
    <mergeCell ref="AA17:AD17"/>
    <mergeCell ref="AE17:AH17"/>
    <mergeCell ref="AI17:AL17"/>
    <mergeCell ref="AM17:AP17"/>
    <mergeCell ref="G18:J18"/>
    <mergeCell ref="K18:N18"/>
    <mergeCell ref="O18:R18"/>
    <mergeCell ref="S18:V18"/>
    <mergeCell ref="W18:Z18"/>
    <mergeCell ref="AA18:AD18"/>
    <mergeCell ref="AE18:AH18"/>
    <mergeCell ref="AI18:AL18"/>
    <mergeCell ref="AM18:AP18"/>
    <mergeCell ref="AN19:AP19"/>
    <mergeCell ref="AR19:AT19"/>
    <mergeCell ref="O20:R20"/>
    <mergeCell ref="S20:V20"/>
    <mergeCell ref="W20:Z20"/>
    <mergeCell ref="AA20:AD20"/>
    <mergeCell ref="AE20:AH20"/>
    <mergeCell ref="AI20:AL20"/>
    <mergeCell ref="AM20:AP20"/>
    <mergeCell ref="AQ20:AT20"/>
    <mergeCell ref="P19:R19"/>
    <mergeCell ref="T19:V19"/>
    <mergeCell ref="X19:Z19"/>
    <mergeCell ref="AB19:AD19"/>
    <mergeCell ref="AF19:AH19"/>
    <mergeCell ref="AJ19:AL19"/>
    <mergeCell ref="AM21:AP21"/>
    <mergeCell ref="AQ21:AT21"/>
    <mergeCell ref="O22:R22"/>
    <mergeCell ref="S22:V22"/>
    <mergeCell ref="W22:Z22"/>
    <mergeCell ref="AA22:AD22"/>
    <mergeCell ref="AE22:AH22"/>
    <mergeCell ref="AI22:AL22"/>
    <mergeCell ref="AM22:AP22"/>
    <mergeCell ref="AQ22:AT22"/>
    <mergeCell ref="O21:R21"/>
    <mergeCell ref="S21:V21"/>
    <mergeCell ref="W21:Z21"/>
    <mergeCell ref="AA21:AD21"/>
    <mergeCell ref="AE21:AH21"/>
    <mergeCell ref="AI21:AL21"/>
    <mergeCell ref="AN23:AP23"/>
    <mergeCell ref="AR23:AT23"/>
    <mergeCell ref="AV23:AX23"/>
    <mergeCell ref="AZ23:BB23"/>
    <mergeCell ref="O24:R24"/>
    <mergeCell ref="S24:V24"/>
    <mergeCell ref="W24:Z24"/>
    <mergeCell ref="AA24:AD24"/>
    <mergeCell ref="AE24:AH24"/>
    <mergeCell ref="AI24:AL24"/>
    <mergeCell ref="P23:R23"/>
    <mergeCell ref="T23:V23"/>
    <mergeCell ref="X23:Z23"/>
    <mergeCell ref="AB23:AD23"/>
    <mergeCell ref="AF23:AH23"/>
    <mergeCell ref="AJ23:AL23"/>
    <mergeCell ref="AY25:BB25"/>
    <mergeCell ref="O26:R26"/>
    <mergeCell ref="S26:V26"/>
    <mergeCell ref="W26:Z26"/>
    <mergeCell ref="AA26:AD26"/>
    <mergeCell ref="AE26:AH26"/>
    <mergeCell ref="AI26:AL26"/>
    <mergeCell ref="AM24:AP24"/>
    <mergeCell ref="AQ24:AT24"/>
    <mergeCell ref="AU24:AX24"/>
    <mergeCell ref="AY24:BB24"/>
    <mergeCell ref="O25:R25"/>
    <mergeCell ref="S25:V25"/>
    <mergeCell ref="W25:Z25"/>
    <mergeCell ref="AA25:AD25"/>
    <mergeCell ref="AE25:AH25"/>
    <mergeCell ref="AI25:AL25"/>
    <mergeCell ref="T27:V27"/>
    <mergeCell ref="X27:Z27"/>
    <mergeCell ref="AB27:AD27"/>
    <mergeCell ref="AF27:AH27"/>
    <mergeCell ref="AJ27:AL27"/>
    <mergeCell ref="AN27:AP27"/>
    <mergeCell ref="AM25:AP25"/>
    <mergeCell ref="AQ25:AT25"/>
    <mergeCell ref="AU25:AX25"/>
    <mergeCell ref="AR27:AT27"/>
    <mergeCell ref="AV27:AX27"/>
    <mergeCell ref="AZ27:BB27"/>
    <mergeCell ref="BD27:BF27"/>
    <mergeCell ref="BH27:BJ27"/>
    <mergeCell ref="BL27:BN27"/>
    <mergeCell ref="AM26:AP26"/>
    <mergeCell ref="AQ26:AT26"/>
    <mergeCell ref="AU26:AX26"/>
    <mergeCell ref="AY26:BB26"/>
    <mergeCell ref="AQ28:AT28"/>
    <mergeCell ref="AU28:AX28"/>
    <mergeCell ref="AY28:BB28"/>
    <mergeCell ref="BC28:BF28"/>
    <mergeCell ref="BG28:BJ28"/>
    <mergeCell ref="BK28:BN28"/>
    <mergeCell ref="S28:V28"/>
    <mergeCell ref="W28:Z28"/>
    <mergeCell ref="AA28:AD28"/>
    <mergeCell ref="AE28:AH28"/>
    <mergeCell ref="AI28:AL28"/>
    <mergeCell ref="AM28:AP28"/>
    <mergeCell ref="AQ29:AT29"/>
    <mergeCell ref="AU29:AX29"/>
    <mergeCell ref="AY29:BB29"/>
    <mergeCell ref="BC29:BF29"/>
    <mergeCell ref="BG29:BJ29"/>
    <mergeCell ref="BK29:BN29"/>
    <mergeCell ref="S29:V29"/>
    <mergeCell ref="W29:Z29"/>
    <mergeCell ref="AA29:AD29"/>
    <mergeCell ref="AE29:AH29"/>
    <mergeCell ref="AI29:AL29"/>
    <mergeCell ref="AM29:AP29"/>
    <mergeCell ref="AQ30:AT30"/>
    <mergeCell ref="AU30:AX30"/>
    <mergeCell ref="AY30:BB30"/>
    <mergeCell ref="BC30:BF30"/>
    <mergeCell ref="BG30:BJ30"/>
    <mergeCell ref="BK30:BN30"/>
    <mergeCell ref="S30:V30"/>
    <mergeCell ref="W30:Z30"/>
    <mergeCell ref="AA30:AD30"/>
    <mergeCell ref="AE30:AH30"/>
    <mergeCell ref="AI30:AL30"/>
    <mergeCell ref="AM30:AP30"/>
    <mergeCell ref="BL31:BN31"/>
    <mergeCell ref="G32:J32"/>
    <mergeCell ref="K32:N32"/>
    <mergeCell ref="O32:R32"/>
    <mergeCell ref="S32:V32"/>
    <mergeCell ref="AA32:AD32"/>
    <mergeCell ref="AE32:AH32"/>
    <mergeCell ref="AI32:AL32"/>
    <mergeCell ref="AM32:AP32"/>
    <mergeCell ref="AU32:AX32"/>
    <mergeCell ref="AJ31:AL31"/>
    <mergeCell ref="AN31:AP31"/>
    <mergeCell ref="AV31:AX31"/>
    <mergeCell ref="AZ31:BB31"/>
    <mergeCell ref="BD31:BF31"/>
    <mergeCell ref="BH31:BJ31"/>
    <mergeCell ref="H31:J31"/>
    <mergeCell ref="L31:N31"/>
    <mergeCell ref="P31:R31"/>
    <mergeCell ref="T31:V31"/>
    <mergeCell ref="AB31:AD31"/>
    <mergeCell ref="AF31:AH31"/>
    <mergeCell ref="AY32:BB32"/>
    <mergeCell ref="BC32:BF32"/>
    <mergeCell ref="BG32:BJ32"/>
    <mergeCell ref="BK32:BN32"/>
    <mergeCell ref="G33:J33"/>
    <mergeCell ref="K33:N33"/>
    <mergeCell ref="O33:R33"/>
    <mergeCell ref="S33:V33"/>
    <mergeCell ref="AA33:AD33"/>
    <mergeCell ref="AE33:AH33"/>
    <mergeCell ref="BK33:BN33"/>
    <mergeCell ref="G34:J34"/>
    <mergeCell ref="K34:N34"/>
    <mergeCell ref="O34:R34"/>
    <mergeCell ref="S34:V34"/>
    <mergeCell ref="AA34:AD34"/>
    <mergeCell ref="AE34:AH34"/>
    <mergeCell ref="AI34:AL34"/>
    <mergeCell ref="AM34:AP34"/>
    <mergeCell ref="AU34:AX34"/>
    <mergeCell ref="AI33:AL33"/>
    <mergeCell ref="AM33:AP33"/>
    <mergeCell ref="AU33:AX33"/>
    <mergeCell ref="AY33:BB33"/>
    <mergeCell ref="BC33:BF33"/>
    <mergeCell ref="BG33:BJ33"/>
    <mergeCell ref="AY34:BB34"/>
    <mergeCell ref="BC34:BF34"/>
    <mergeCell ref="BG34:BJ34"/>
    <mergeCell ref="BK34:BN34"/>
    <mergeCell ref="AB35:AD35"/>
    <mergeCell ref="AF35:AH35"/>
    <mergeCell ref="BD35:BF35"/>
    <mergeCell ref="BH35:BJ35"/>
    <mergeCell ref="BL35:BN35"/>
    <mergeCell ref="AA36:AD36"/>
    <mergeCell ref="AE36:AH36"/>
    <mergeCell ref="BC36:BF36"/>
    <mergeCell ref="BG36:BJ36"/>
    <mergeCell ref="BK36:BN36"/>
    <mergeCell ref="AA37:AD37"/>
    <mergeCell ref="AE37:AH37"/>
    <mergeCell ref="BC37:BF37"/>
    <mergeCell ref="BG37:BJ37"/>
    <mergeCell ref="BK37:BN37"/>
    <mergeCell ref="AA38:AD38"/>
    <mergeCell ref="AE38:AH38"/>
    <mergeCell ref="BC38:BF38"/>
    <mergeCell ref="BG38:BJ38"/>
    <mergeCell ref="BK38:BN38"/>
    <mergeCell ref="AZ39:BB39"/>
    <mergeCell ref="BD39:BF39"/>
    <mergeCell ref="BH39:BJ39"/>
    <mergeCell ref="BL39:BN39"/>
    <mergeCell ref="BK41:BN41"/>
    <mergeCell ref="BO41:BR41"/>
    <mergeCell ref="AY42:BB42"/>
    <mergeCell ref="BC42:BF42"/>
    <mergeCell ref="BG42:BJ42"/>
    <mergeCell ref="BK42:BN42"/>
    <mergeCell ref="BO42:BR42"/>
    <mergeCell ref="BP39:BR39"/>
    <mergeCell ref="AY40:BB40"/>
    <mergeCell ref="BC40:BF40"/>
    <mergeCell ref="BG40:BJ40"/>
    <mergeCell ref="BK40:BN40"/>
    <mergeCell ref="BO40:BR40"/>
    <mergeCell ref="AY50:BB50"/>
    <mergeCell ref="BC50:BF50"/>
    <mergeCell ref="BG50:BJ50"/>
    <mergeCell ref="AZ47:BB47"/>
    <mergeCell ref="BD47:BF47"/>
    <mergeCell ref="BH47:BJ47"/>
    <mergeCell ref="AY48:BB48"/>
    <mergeCell ref="BC48:BF48"/>
    <mergeCell ref="BG48:BJ48"/>
    <mergeCell ref="BO5:BQ5"/>
    <mergeCell ref="BN6:BQ6"/>
    <mergeCell ref="BN7:BQ7"/>
    <mergeCell ref="BN8:BQ8"/>
    <mergeCell ref="BN10:BP10"/>
    <mergeCell ref="BQ10:BR10"/>
    <mergeCell ref="AY49:BB49"/>
    <mergeCell ref="BC49:BF49"/>
    <mergeCell ref="BG49:BJ49"/>
    <mergeCell ref="AY45:BB45"/>
    <mergeCell ref="BC45:BF45"/>
    <mergeCell ref="BG45:BJ45"/>
    <mergeCell ref="AY46:BB46"/>
    <mergeCell ref="BC46:BF46"/>
    <mergeCell ref="BG46:BJ46"/>
    <mergeCell ref="AZ43:BB43"/>
    <mergeCell ref="BD43:BF43"/>
    <mergeCell ref="BH43:BJ43"/>
    <mergeCell ref="AY44:BB44"/>
    <mergeCell ref="BC44:BF44"/>
    <mergeCell ref="BG44:BJ44"/>
    <mergeCell ref="AY41:BB41"/>
    <mergeCell ref="BC41:BF41"/>
    <mergeCell ref="BG41:BJ41"/>
    <mergeCell ref="BN14:BP14"/>
    <mergeCell ref="BQ14:BR14"/>
    <mergeCell ref="BN15:BP15"/>
    <mergeCell ref="BQ15:BR15"/>
    <mergeCell ref="BN16:BP16"/>
    <mergeCell ref="BQ16:BR16"/>
    <mergeCell ref="BN11:BP11"/>
    <mergeCell ref="BQ11:BR11"/>
    <mergeCell ref="BN12:BP12"/>
    <mergeCell ref="BQ12:BR12"/>
    <mergeCell ref="BN13:BP13"/>
    <mergeCell ref="BQ13:BR13"/>
    <mergeCell ref="BN20:BP20"/>
    <mergeCell ref="BQ20:BR20"/>
    <mergeCell ref="BN21:BP21"/>
    <mergeCell ref="BQ21:BR21"/>
    <mergeCell ref="BN22:BP22"/>
    <mergeCell ref="BN17:BP17"/>
    <mergeCell ref="BQ17:BR17"/>
    <mergeCell ref="BN18:BP18"/>
    <mergeCell ref="BQ18:BR18"/>
    <mergeCell ref="BN19:BP19"/>
    <mergeCell ref="BQ19:BR19"/>
  </mergeCells>
  <phoneticPr fontId="1"/>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72C0E-8FB0-4F52-9868-CE482B227D23}">
  <sheetPr codeName="Sheet14">
    <tabColor rgb="FF0F8472"/>
  </sheetPr>
  <dimension ref="A1:AG152"/>
  <sheetViews>
    <sheetView zoomScaleNormal="100" workbookViewId="0"/>
  </sheetViews>
  <sheetFormatPr defaultColWidth="3.5" defaultRowHeight="21" customHeight="1" x14ac:dyDescent="0.55000000000000004"/>
  <cols>
    <col min="1" max="16384" width="3.5" style="11"/>
  </cols>
  <sheetData>
    <row r="1" spans="1:33" ht="21" customHeight="1" x14ac:dyDescent="0.55000000000000004">
      <c r="A1" s="37"/>
      <c r="F1" s="37" t="s">
        <v>171</v>
      </c>
      <c r="G1" s="37"/>
      <c r="I1" s="37"/>
      <c r="M1" s="37"/>
      <c r="Q1" s="37" t="s">
        <v>172</v>
      </c>
      <c r="V1" s="37"/>
      <c r="AF1" s="37" t="s">
        <v>170</v>
      </c>
    </row>
    <row r="2" spans="1:33" ht="21" customHeight="1" x14ac:dyDescent="0.55000000000000004">
      <c r="B2" s="13" t="s">
        <v>766</v>
      </c>
      <c r="C2" s="12"/>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row>
    <row r="10" spans="1:33" ht="21" customHeight="1" x14ac:dyDescent="0.55000000000000004">
      <c r="G10" s="35" t="s">
        <v>767</v>
      </c>
      <c r="H10" s="27"/>
      <c r="I10" s="27"/>
      <c r="J10" s="27"/>
      <c r="K10" s="27"/>
      <c r="L10" s="11" t="s">
        <v>768</v>
      </c>
    </row>
    <row r="13" spans="1:33" ht="21" customHeight="1" x14ac:dyDescent="0.55000000000000004">
      <c r="D13" s="13" t="s">
        <v>32</v>
      </c>
      <c r="E13" s="12"/>
      <c r="F13" s="12"/>
      <c r="G13" s="12"/>
      <c r="H13" s="12"/>
      <c r="I13" s="12"/>
      <c r="J13" s="12"/>
      <c r="K13" s="12"/>
      <c r="L13" s="12"/>
      <c r="M13" s="12"/>
      <c r="N13" s="12"/>
      <c r="O13" s="12"/>
      <c r="P13" s="12"/>
      <c r="Q13" s="12"/>
      <c r="R13" s="12"/>
      <c r="S13" s="12"/>
      <c r="T13" s="12"/>
      <c r="U13" s="12"/>
      <c r="V13" s="12"/>
      <c r="W13" s="12"/>
      <c r="X13" s="12"/>
      <c r="Y13" s="12"/>
      <c r="Z13" s="12"/>
      <c r="AA13" s="12"/>
      <c r="AB13" s="12"/>
      <c r="AC13" s="12"/>
      <c r="AD13" s="12"/>
      <c r="AE13" s="12"/>
      <c r="AF13" s="12"/>
      <c r="AG13" s="12"/>
    </row>
    <row r="21" spans="1:33" ht="21" customHeight="1" x14ac:dyDescent="0.55000000000000004">
      <c r="G21" s="11" t="s">
        <v>141</v>
      </c>
    </row>
    <row r="22" spans="1:33" ht="21" customHeight="1" x14ac:dyDescent="0.55000000000000004">
      <c r="F22" s="14" t="s">
        <v>30</v>
      </c>
      <c r="G22" s="11" t="s">
        <v>140</v>
      </c>
    </row>
    <row r="23" spans="1:33" ht="21" customHeight="1" x14ac:dyDescent="0.55000000000000004">
      <c r="F23" s="14"/>
    </row>
    <row r="24" spans="1:33" ht="21" customHeight="1" thickBot="1" x14ac:dyDescent="0.45">
      <c r="F24" s="26" t="s">
        <v>40</v>
      </c>
      <c r="Q24" s="26" t="s">
        <v>41</v>
      </c>
    </row>
    <row r="25" spans="1:33" ht="21" customHeight="1" thickTop="1" thickBot="1" x14ac:dyDescent="0.6">
      <c r="A25" s="37" t="s">
        <v>147</v>
      </c>
      <c r="F25" s="111" t="s">
        <v>755</v>
      </c>
      <c r="G25" s="112"/>
      <c r="H25" s="112"/>
      <c r="I25" s="112"/>
      <c r="J25" s="112"/>
      <c r="K25" s="112"/>
      <c r="L25" s="112"/>
      <c r="M25" s="112"/>
      <c r="N25" s="112"/>
      <c r="O25" s="113"/>
      <c r="Q25" s="111" t="s">
        <v>583</v>
      </c>
      <c r="R25" s="112"/>
      <c r="S25" s="112"/>
      <c r="T25" s="113"/>
    </row>
    <row r="26" spans="1:33" ht="21" customHeight="1" thickTop="1" x14ac:dyDescent="0.55000000000000004"/>
    <row r="28" spans="1:33" ht="21" customHeight="1" x14ac:dyDescent="0.55000000000000004">
      <c r="D28" s="13" t="s">
        <v>33</v>
      </c>
      <c r="E28" s="12"/>
      <c r="F28" s="12"/>
      <c r="G28" s="12"/>
      <c r="H28" s="12"/>
      <c r="I28" s="12"/>
      <c r="J28" s="12"/>
      <c r="K28" s="12"/>
      <c r="L28" s="12"/>
      <c r="M28" s="12"/>
      <c r="N28" s="12"/>
      <c r="O28" s="12"/>
      <c r="P28" s="12"/>
      <c r="Q28" s="12"/>
      <c r="R28" s="12"/>
      <c r="S28" s="12"/>
      <c r="T28" s="12"/>
      <c r="U28" s="12"/>
      <c r="V28" s="12"/>
      <c r="W28" s="12"/>
      <c r="X28" s="12"/>
      <c r="Y28" s="12"/>
      <c r="Z28" s="12"/>
      <c r="AA28" s="12"/>
      <c r="AB28" s="12"/>
      <c r="AC28" s="12"/>
      <c r="AD28" s="12"/>
      <c r="AE28" s="12"/>
      <c r="AF28" s="12"/>
      <c r="AG28" s="12"/>
    </row>
    <row r="35" spans="1:33" ht="21" customHeight="1" x14ac:dyDescent="0.55000000000000004">
      <c r="H35" s="11" t="s">
        <v>142</v>
      </c>
    </row>
    <row r="36" spans="1:33" ht="21" customHeight="1" x14ac:dyDescent="0.55000000000000004">
      <c r="F36" s="14"/>
      <c r="G36" s="14" t="s">
        <v>30</v>
      </c>
      <c r="H36" s="11" t="s">
        <v>143</v>
      </c>
    </row>
    <row r="37" spans="1:33" ht="21" customHeight="1" x14ac:dyDescent="0.55000000000000004">
      <c r="F37" s="14"/>
    </row>
    <row r="38" spans="1:33" ht="21" customHeight="1" x14ac:dyDescent="0.55000000000000004">
      <c r="F38" s="14"/>
      <c r="G38" s="11" t="s">
        <v>79</v>
      </c>
    </row>
    <row r="39" spans="1:33" ht="21" customHeight="1" thickBot="1" x14ac:dyDescent="0.45">
      <c r="F39" s="26" t="s">
        <v>40</v>
      </c>
      <c r="Q39" s="26" t="s">
        <v>42</v>
      </c>
    </row>
    <row r="40" spans="1:33" ht="21" customHeight="1" thickTop="1" thickBot="1" x14ac:dyDescent="0.6">
      <c r="A40" s="37" t="s">
        <v>159</v>
      </c>
      <c r="F40" s="111" t="s">
        <v>764</v>
      </c>
      <c r="G40" s="112"/>
      <c r="H40" s="112"/>
      <c r="I40" s="112"/>
      <c r="J40" s="112"/>
      <c r="K40" s="112"/>
      <c r="L40" s="112"/>
      <c r="M40" s="112"/>
      <c r="N40" s="112"/>
      <c r="O40" s="113"/>
      <c r="Q40" s="111" t="s">
        <v>132</v>
      </c>
      <c r="R40" s="113"/>
    </row>
    <row r="41" spans="1:33" ht="21" customHeight="1" thickTop="1" x14ac:dyDescent="0.55000000000000004"/>
    <row r="43" spans="1:33" ht="21" customHeight="1" x14ac:dyDescent="0.55000000000000004">
      <c r="D43" s="13" t="s">
        <v>34</v>
      </c>
      <c r="E43" s="12"/>
      <c r="F43" s="12"/>
      <c r="G43" s="12"/>
      <c r="H43" s="12"/>
      <c r="I43" s="12"/>
      <c r="J43" s="12"/>
      <c r="K43" s="12"/>
      <c r="L43" s="12"/>
      <c r="M43" s="12"/>
      <c r="N43" s="12"/>
      <c r="O43" s="12"/>
      <c r="P43" s="12"/>
      <c r="Q43" s="12"/>
      <c r="R43" s="12"/>
      <c r="S43" s="12"/>
      <c r="T43" s="12"/>
      <c r="U43" s="12"/>
      <c r="V43" s="12"/>
      <c r="W43" s="12"/>
      <c r="X43" s="12"/>
      <c r="Y43" s="12"/>
      <c r="Z43" s="12"/>
      <c r="AA43" s="12"/>
      <c r="AB43" s="12"/>
      <c r="AC43" s="12"/>
      <c r="AD43" s="12"/>
      <c r="AE43" s="12"/>
      <c r="AF43" s="12"/>
      <c r="AG43" s="12"/>
    </row>
    <row r="55" spans="1:20" ht="21" customHeight="1" x14ac:dyDescent="0.55000000000000004">
      <c r="F55" s="14" t="s">
        <v>30</v>
      </c>
      <c r="G55" s="11" t="s">
        <v>36</v>
      </c>
    </row>
    <row r="56" spans="1:20" ht="21" customHeight="1" x14ac:dyDescent="0.55000000000000004">
      <c r="P56" s="29" t="s">
        <v>85</v>
      </c>
      <c r="Q56" s="29"/>
      <c r="R56" s="29"/>
      <c r="S56" s="29"/>
      <c r="T56" s="11" t="s">
        <v>145</v>
      </c>
    </row>
    <row r="57" spans="1:20" ht="21" customHeight="1" x14ac:dyDescent="0.55000000000000004">
      <c r="F57" s="14"/>
      <c r="P57" s="14" t="s">
        <v>30</v>
      </c>
      <c r="Q57" s="11" t="s">
        <v>144</v>
      </c>
    </row>
    <row r="58" spans="1:20" ht="21" customHeight="1" x14ac:dyDescent="0.55000000000000004">
      <c r="F58" s="14"/>
    </row>
    <row r="59" spans="1:20" ht="21" customHeight="1" thickBot="1" x14ac:dyDescent="0.45">
      <c r="F59" s="14"/>
      <c r="Q59" s="26" t="s">
        <v>43</v>
      </c>
    </row>
    <row r="60" spans="1:20" ht="21" customHeight="1" thickTop="1" thickBot="1" x14ac:dyDescent="0.6">
      <c r="A60" s="37" t="s">
        <v>194</v>
      </c>
      <c r="F60" s="14"/>
      <c r="Q60" s="111" t="s">
        <v>778</v>
      </c>
      <c r="R60" s="113"/>
    </row>
    <row r="61" spans="1:20" ht="21" customHeight="1" thickTop="1" x14ac:dyDescent="0.55000000000000004">
      <c r="E61" s="11" t="s">
        <v>197</v>
      </c>
    </row>
    <row r="62" spans="1:20" ht="21" customHeight="1" thickBot="1" x14ac:dyDescent="0.6">
      <c r="E62" s="24"/>
      <c r="F62" s="39" t="s">
        <v>16</v>
      </c>
      <c r="G62" s="40" t="s">
        <v>17</v>
      </c>
      <c r="H62" s="40" t="s">
        <v>18</v>
      </c>
      <c r="I62" s="40" t="s">
        <v>19</v>
      </c>
      <c r="J62" s="24"/>
    </row>
    <row r="63" spans="1:20" ht="21" customHeight="1" x14ac:dyDescent="0.55000000000000004">
      <c r="A63" s="37" t="s">
        <v>158</v>
      </c>
      <c r="E63" s="24"/>
      <c r="F63" s="8"/>
      <c r="G63" s="114" t="s">
        <v>24</v>
      </c>
      <c r="H63" s="114"/>
      <c r="I63" s="115"/>
      <c r="J63" s="24"/>
    </row>
    <row r="64" spans="1:20" ht="21" customHeight="1" x14ac:dyDescent="0.55000000000000004">
      <c r="E64" s="24"/>
      <c r="F64" s="207" t="s">
        <v>751</v>
      </c>
      <c r="G64" s="208"/>
      <c r="H64" s="208"/>
      <c r="I64" s="209"/>
      <c r="J64" s="24"/>
    </row>
    <row r="65" spans="1:33" ht="21" customHeight="1" x14ac:dyDescent="0.55000000000000004">
      <c r="E65" s="24"/>
      <c r="F65" s="204" t="s">
        <v>200</v>
      </c>
      <c r="G65" s="205"/>
      <c r="H65" s="205"/>
      <c r="I65" s="206"/>
      <c r="J65" s="24"/>
    </row>
    <row r="66" spans="1:33" ht="21" customHeight="1" thickBot="1" x14ac:dyDescent="0.6">
      <c r="A66" s="37"/>
      <c r="E66" s="24"/>
      <c r="F66" s="130" t="s">
        <v>630</v>
      </c>
      <c r="G66" s="131"/>
      <c r="H66" s="131"/>
      <c r="I66" s="132"/>
      <c r="J66" s="24"/>
    </row>
    <row r="67" spans="1:33" ht="21" customHeight="1" x14ac:dyDescent="0.55000000000000004">
      <c r="E67" s="24"/>
      <c r="F67" s="24"/>
      <c r="G67" s="24"/>
      <c r="H67" s="24"/>
      <c r="I67" s="24"/>
      <c r="J67" s="24"/>
    </row>
    <row r="68" spans="1:33" ht="21" customHeight="1" thickBot="1" x14ac:dyDescent="0.45">
      <c r="Q68" s="26" t="s">
        <v>191</v>
      </c>
    </row>
    <row r="69" spans="1:33" ht="21" customHeight="1" thickTop="1" thickBot="1" x14ac:dyDescent="0.6">
      <c r="A69" s="37" t="s">
        <v>196</v>
      </c>
      <c r="Q69" s="111" t="s">
        <v>195</v>
      </c>
      <c r="R69" s="112"/>
      <c r="S69" s="112"/>
      <c r="T69" s="113"/>
    </row>
    <row r="70" spans="1:33" ht="21" customHeight="1" thickTop="1" x14ac:dyDescent="0.55000000000000004">
      <c r="Q70" s="45" t="s">
        <v>187</v>
      </c>
    </row>
    <row r="72" spans="1:33" ht="21" customHeight="1" x14ac:dyDescent="0.55000000000000004">
      <c r="G72" s="11" t="s">
        <v>37</v>
      </c>
    </row>
    <row r="75" spans="1:33" ht="21" customHeight="1" x14ac:dyDescent="0.55000000000000004">
      <c r="D75" s="13" t="s">
        <v>35</v>
      </c>
      <c r="E75" s="12"/>
      <c r="F75" s="12"/>
      <c r="G75" s="12"/>
      <c r="H75" s="12"/>
      <c r="I75" s="12"/>
      <c r="J75" s="12"/>
      <c r="K75" s="12"/>
      <c r="L75" s="12"/>
      <c r="M75" s="12"/>
      <c r="N75" s="12"/>
      <c r="O75" s="12"/>
      <c r="P75" s="12"/>
      <c r="Q75" s="12"/>
      <c r="R75" s="12"/>
      <c r="S75" s="12"/>
      <c r="T75" s="12"/>
      <c r="U75" s="12"/>
      <c r="V75" s="12"/>
      <c r="W75" s="12"/>
      <c r="X75" s="12"/>
      <c r="Y75" s="12"/>
      <c r="Z75" s="12"/>
      <c r="AA75" s="12"/>
      <c r="AB75" s="12"/>
      <c r="AC75" s="12"/>
      <c r="AD75" s="12"/>
      <c r="AE75" s="12"/>
      <c r="AF75" s="12"/>
      <c r="AG75" s="12"/>
    </row>
    <row r="95" spans="8:8" ht="21" customHeight="1" x14ac:dyDescent="0.55000000000000004">
      <c r="H95" s="11" t="s">
        <v>146</v>
      </c>
    </row>
    <row r="97" spans="1:18" ht="21" customHeight="1" thickBot="1" x14ac:dyDescent="0.45">
      <c r="Q97" s="26" t="s">
        <v>160</v>
      </c>
    </row>
    <row r="98" spans="1:18" ht="21" customHeight="1" thickTop="1" thickBot="1" x14ac:dyDescent="0.6">
      <c r="A98" s="37" t="s">
        <v>185</v>
      </c>
      <c r="Q98" s="111" t="s">
        <v>779</v>
      </c>
      <c r="R98" s="113"/>
    </row>
    <row r="99" spans="1:18" ht="21" customHeight="1" thickTop="1" x14ac:dyDescent="0.55000000000000004"/>
    <row r="100" spans="1:18" ht="21" customHeight="1" x14ac:dyDescent="0.55000000000000004">
      <c r="G100" s="14" t="s">
        <v>30</v>
      </c>
      <c r="H100" s="11" t="s">
        <v>184</v>
      </c>
    </row>
    <row r="102" spans="1:18" ht="21" customHeight="1" thickBot="1" x14ac:dyDescent="0.6">
      <c r="E102" s="38"/>
      <c r="F102" s="39" t="s">
        <v>16</v>
      </c>
      <c r="G102" s="40" t="s">
        <v>17</v>
      </c>
      <c r="H102" s="40" t="s">
        <v>18</v>
      </c>
      <c r="I102" s="40" t="s">
        <v>19</v>
      </c>
      <c r="J102" s="40" t="s">
        <v>20</v>
      </c>
      <c r="K102" s="40" t="s">
        <v>21</v>
      </c>
      <c r="L102" s="40" t="s">
        <v>22</v>
      </c>
      <c r="M102" s="40" t="s">
        <v>23</v>
      </c>
      <c r="N102" s="41"/>
    </row>
    <row r="103" spans="1:18" ht="21" customHeight="1" x14ac:dyDescent="0.55000000000000004">
      <c r="A103" s="37" t="s">
        <v>157</v>
      </c>
      <c r="E103" s="38">
        <v>1</v>
      </c>
      <c r="F103" s="11" t="s">
        <v>39</v>
      </c>
      <c r="G103" s="198" t="s">
        <v>28</v>
      </c>
      <c r="H103" s="199"/>
      <c r="I103" s="199"/>
      <c r="J103" s="200" t="s">
        <v>27</v>
      </c>
      <c r="K103" s="201"/>
      <c r="L103" s="138" t="s">
        <v>29</v>
      </c>
      <c r="M103" s="138"/>
      <c r="N103" s="25"/>
    </row>
    <row r="104" spans="1:18" ht="21" customHeight="1" x14ac:dyDescent="0.55000000000000004">
      <c r="E104" s="38">
        <v>2</v>
      </c>
      <c r="F104" s="11">
        <v>1</v>
      </c>
      <c r="G104" s="176">
        <v>7500</v>
      </c>
      <c r="H104" s="139"/>
      <c r="I104" s="139"/>
      <c r="J104" s="202"/>
      <c r="K104" s="203"/>
      <c r="L104" s="187"/>
      <c r="M104" s="187"/>
      <c r="N104" s="25"/>
    </row>
    <row r="105" spans="1:18" ht="21" customHeight="1" x14ac:dyDescent="0.55000000000000004">
      <c r="E105" s="38">
        <v>3</v>
      </c>
      <c r="F105" s="11">
        <v>2</v>
      </c>
      <c r="G105" s="176">
        <v>5000</v>
      </c>
      <c r="H105" s="139"/>
      <c r="I105" s="139"/>
      <c r="J105" s="185"/>
      <c r="K105" s="186"/>
      <c r="L105" s="187"/>
      <c r="M105" s="187"/>
      <c r="N105" s="25"/>
    </row>
    <row r="106" spans="1:18" ht="21" customHeight="1" x14ac:dyDescent="0.55000000000000004">
      <c r="E106" s="38">
        <v>4</v>
      </c>
      <c r="F106" s="11">
        <v>3</v>
      </c>
      <c r="G106" s="176">
        <v>4000</v>
      </c>
      <c r="H106" s="139"/>
      <c r="I106" s="139"/>
      <c r="J106" s="188"/>
      <c r="K106" s="189"/>
      <c r="L106" s="175"/>
      <c r="M106" s="175"/>
      <c r="N106" s="25"/>
    </row>
    <row r="107" spans="1:18" ht="21" customHeight="1" x14ac:dyDescent="0.55000000000000004">
      <c r="E107" s="38">
        <v>5</v>
      </c>
      <c r="F107" s="11">
        <v>4</v>
      </c>
      <c r="G107" s="194">
        <v>3000</v>
      </c>
      <c r="H107" s="195"/>
      <c r="I107" s="195"/>
      <c r="J107" s="183"/>
      <c r="K107" s="184"/>
      <c r="L107" s="175"/>
      <c r="M107" s="175"/>
      <c r="N107" s="25"/>
    </row>
    <row r="108" spans="1:18" ht="21" customHeight="1" x14ac:dyDescent="0.55000000000000004">
      <c r="E108" s="38">
        <v>6</v>
      </c>
      <c r="F108" s="11">
        <v>5</v>
      </c>
      <c r="G108" s="176">
        <v>2000</v>
      </c>
      <c r="H108" s="139"/>
      <c r="I108" s="139"/>
      <c r="J108" s="196"/>
      <c r="K108" s="197"/>
      <c r="L108" s="175"/>
      <c r="M108" s="175"/>
      <c r="N108" s="25"/>
    </row>
    <row r="109" spans="1:18" ht="21" customHeight="1" x14ac:dyDescent="0.55000000000000004">
      <c r="E109" s="38">
        <v>7</v>
      </c>
      <c r="F109" s="11">
        <v>6</v>
      </c>
      <c r="G109" s="176">
        <v>1000</v>
      </c>
      <c r="H109" s="139"/>
      <c r="I109" s="139"/>
      <c r="J109" s="270"/>
      <c r="K109" s="271"/>
      <c r="L109" s="175"/>
      <c r="M109" s="175"/>
      <c r="N109" s="25"/>
    </row>
    <row r="110" spans="1:18" ht="21" customHeight="1" x14ac:dyDescent="0.55000000000000004">
      <c r="E110" s="38">
        <v>8</v>
      </c>
      <c r="F110" s="11">
        <v>7</v>
      </c>
      <c r="G110" s="176">
        <v>750</v>
      </c>
      <c r="H110" s="139"/>
      <c r="I110" s="139"/>
      <c r="J110" s="77"/>
      <c r="K110" s="73"/>
      <c r="L110" s="175"/>
      <c r="M110" s="175"/>
      <c r="N110" s="25"/>
    </row>
    <row r="111" spans="1:18" ht="21" customHeight="1" x14ac:dyDescent="0.55000000000000004">
      <c r="E111" s="38">
        <v>9</v>
      </c>
      <c r="F111" s="11">
        <v>8</v>
      </c>
      <c r="G111" s="176">
        <v>500</v>
      </c>
      <c r="H111" s="139"/>
      <c r="I111" s="139"/>
      <c r="J111" s="76"/>
      <c r="K111" s="72"/>
      <c r="L111" s="175"/>
      <c r="M111" s="175"/>
      <c r="N111" s="25"/>
    </row>
    <row r="112" spans="1:18" ht="21" customHeight="1" x14ac:dyDescent="0.55000000000000004">
      <c r="E112" s="38">
        <v>10</v>
      </c>
      <c r="F112" s="11">
        <v>9</v>
      </c>
      <c r="G112" s="176">
        <v>250</v>
      </c>
      <c r="H112" s="139"/>
      <c r="I112" s="139"/>
      <c r="J112" s="177"/>
      <c r="K112" s="178"/>
      <c r="L112" s="175"/>
      <c r="M112" s="175"/>
      <c r="N112" s="25"/>
    </row>
    <row r="113" spans="1:33" ht="21" customHeight="1" thickBot="1" x14ac:dyDescent="0.6">
      <c r="E113" s="38">
        <v>11</v>
      </c>
      <c r="F113" s="11">
        <v>10</v>
      </c>
      <c r="G113" s="173">
        <v>0</v>
      </c>
      <c r="H113" s="174"/>
      <c r="I113" s="174"/>
      <c r="J113" s="74"/>
      <c r="K113" s="75"/>
      <c r="L113" s="175"/>
      <c r="M113" s="175"/>
      <c r="N113" s="25"/>
    </row>
    <row r="114" spans="1:33" ht="21" customHeight="1" x14ac:dyDescent="0.55000000000000004">
      <c r="E114" s="38"/>
      <c r="F114" s="25"/>
      <c r="G114" s="25"/>
      <c r="H114" s="25"/>
      <c r="I114" s="25"/>
      <c r="J114" s="25"/>
      <c r="K114" s="25"/>
      <c r="L114" s="25"/>
      <c r="M114" s="25"/>
      <c r="N114" s="25"/>
    </row>
    <row r="116" spans="1:33" ht="21" customHeight="1" thickBot="1" x14ac:dyDescent="0.45">
      <c r="Q116" s="26" t="s">
        <v>191</v>
      </c>
    </row>
    <row r="117" spans="1:33" ht="21" customHeight="1" thickTop="1" thickBot="1" x14ac:dyDescent="0.6">
      <c r="A117" s="37" t="s">
        <v>190</v>
      </c>
      <c r="Q117" s="111" t="s">
        <v>631</v>
      </c>
      <c r="R117" s="112"/>
      <c r="S117" s="112"/>
      <c r="T117" s="113"/>
    </row>
    <row r="118" spans="1:33" ht="21" customHeight="1" thickTop="1" x14ac:dyDescent="0.55000000000000004">
      <c r="Q118" s="45" t="s">
        <v>187</v>
      </c>
    </row>
    <row r="119" spans="1:33" ht="21" customHeight="1" thickBot="1" x14ac:dyDescent="0.45">
      <c r="F119" s="26" t="s">
        <v>44</v>
      </c>
    </row>
    <row r="120" spans="1:33" ht="21" customHeight="1" thickTop="1" thickBot="1" x14ac:dyDescent="0.6">
      <c r="A120" s="37" t="s">
        <v>188</v>
      </c>
      <c r="F120" s="111" t="s">
        <v>632</v>
      </c>
      <c r="G120" s="112"/>
      <c r="H120" s="112"/>
      <c r="I120" s="113"/>
    </row>
    <row r="121" spans="1:33" ht="21" customHeight="1" thickTop="1" x14ac:dyDescent="0.55000000000000004">
      <c r="F121" s="45" t="s">
        <v>187</v>
      </c>
    </row>
    <row r="124" spans="1:33" ht="21" customHeight="1" x14ac:dyDescent="0.55000000000000004">
      <c r="D124" s="13" t="s">
        <v>35</v>
      </c>
      <c r="E124" s="12"/>
      <c r="F124" s="12"/>
      <c r="G124" s="12"/>
      <c r="H124" s="12"/>
      <c r="I124" s="12"/>
      <c r="J124" s="12"/>
      <c r="K124" s="12"/>
      <c r="L124" s="12"/>
      <c r="M124" s="12"/>
      <c r="N124" s="12"/>
      <c r="O124" s="12"/>
      <c r="P124" s="12"/>
      <c r="Q124" s="12"/>
      <c r="R124" s="12"/>
      <c r="S124" s="12"/>
      <c r="T124" s="12"/>
      <c r="U124" s="12"/>
      <c r="V124" s="12"/>
      <c r="W124" s="12"/>
      <c r="X124" s="12"/>
      <c r="Y124" s="12"/>
      <c r="Z124" s="12"/>
      <c r="AA124" s="12"/>
      <c r="AB124" s="12"/>
      <c r="AC124" s="12"/>
      <c r="AD124" s="12"/>
      <c r="AE124" s="12"/>
      <c r="AF124" s="12"/>
      <c r="AG124" s="12"/>
    </row>
    <row r="126" spans="1:33" ht="21" customHeight="1" thickBot="1" x14ac:dyDescent="0.6">
      <c r="F126" s="14" t="s">
        <v>30</v>
      </c>
      <c r="G126" s="11" t="s">
        <v>31</v>
      </c>
    </row>
    <row r="127" spans="1:33" ht="21" customHeight="1" x14ac:dyDescent="0.55000000000000004">
      <c r="F127" s="15"/>
      <c r="G127" s="16"/>
      <c r="H127" s="16"/>
      <c r="I127" s="16"/>
      <c r="J127" s="16"/>
      <c r="K127" s="16"/>
      <c r="L127" s="16"/>
      <c r="M127" s="16"/>
      <c r="N127" s="17"/>
    </row>
    <row r="128" spans="1:33" ht="21" customHeight="1" x14ac:dyDescent="0.55000000000000004">
      <c r="F128" s="18"/>
      <c r="N128" s="19"/>
    </row>
    <row r="129" spans="6:14" ht="21" customHeight="1" x14ac:dyDescent="0.55000000000000004">
      <c r="F129" s="18"/>
      <c r="N129" s="19"/>
    </row>
    <row r="130" spans="6:14" ht="21" customHeight="1" thickBot="1" x14ac:dyDescent="0.6">
      <c r="F130" s="20"/>
      <c r="G130" s="21"/>
      <c r="H130" s="21"/>
      <c r="I130" s="21"/>
      <c r="J130" s="21"/>
      <c r="K130" s="21"/>
      <c r="L130" s="21"/>
      <c r="M130" s="21"/>
      <c r="N130" s="22"/>
    </row>
    <row r="149" spans="1:8" ht="21" customHeight="1" x14ac:dyDescent="0.55000000000000004">
      <c r="H149" s="11" t="s">
        <v>81</v>
      </c>
    </row>
    <row r="151" spans="1:8" ht="21" customHeight="1" x14ac:dyDescent="0.55000000000000004">
      <c r="B151" s="11" t="s">
        <v>28</v>
      </c>
    </row>
    <row r="152" spans="1:8" ht="21" customHeight="1" x14ac:dyDescent="0.55000000000000004">
      <c r="A152" s="37" t="s">
        <v>133</v>
      </c>
    </row>
  </sheetData>
  <mergeCells count="43">
    <mergeCell ref="G103:I103"/>
    <mergeCell ref="J103:K103"/>
    <mergeCell ref="L103:M103"/>
    <mergeCell ref="F25:O25"/>
    <mergeCell ref="Q25:T25"/>
    <mergeCell ref="F40:O40"/>
    <mergeCell ref="Q40:R40"/>
    <mergeCell ref="Q60:R60"/>
    <mergeCell ref="G63:I63"/>
    <mergeCell ref="F64:I64"/>
    <mergeCell ref="F65:I65"/>
    <mergeCell ref="F66:I66"/>
    <mergeCell ref="Q69:T69"/>
    <mergeCell ref="Q98:R98"/>
    <mergeCell ref="G104:I104"/>
    <mergeCell ref="J104:K104"/>
    <mergeCell ref="L104:M104"/>
    <mergeCell ref="G105:I105"/>
    <mergeCell ref="J105:K105"/>
    <mergeCell ref="L105:M105"/>
    <mergeCell ref="G106:I106"/>
    <mergeCell ref="J106:K106"/>
    <mergeCell ref="L106:M106"/>
    <mergeCell ref="G107:I107"/>
    <mergeCell ref="J107:K107"/>
    <mergeCell ref="L107:M107"/>
    <mergeCell ref="G110:I110"/>
    <mergeCell ref="L110:M110"/>
    <mergeCell ref="G111:I111"/>
    <mergeCell ref="L111:M111"/>
    <mergeCell ref="G108:I108"/>
    <mergeCell ref="J108:K108"/>
    <mergeCell ref="L108:M108"/>
    <mergeCell ref="G109:I109"/>
    <mergeCell ref="J109:K109"/>
    <mergeCell ref="L109:M109"/>
    <mergeCell ref="Q117:T117"/>
    <mergeCell ref="F120:I120"/>
    <mergeCell ref="G112:I112"/>
    <mergeCell ref="J112:K112"/>
    <mergeCell ref="L112:M112"/>
    <mergeCell ref="G113:I113"/>
    <mergeCell ref="L113:M113"/>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61" r:id="rId3" name="Button 1">
              <controlPr defaultSize="0" print="0" autoFill="0" autoPict="0" macro="[0]!設定_人口_ボタン1_Click">
                <anchor moveWithCells="1" sizeWithCells="1">
                  <from>
                    <xdr:col>6</xdr:col>
                    <xdr:colOff>82550</xdr:colOff>
                    <xdr:row>126</xdr:row>
                    <xdr:rowOff>184150</xdr:rowOff>
                  </from>
                  <to>
                    <xdr:col>12</xdr:col>
                    <xdr:colOff>139700</xdr:colOff>
                    <xdr:row>129</xdr:row>
                    <xdr:rowOff>57150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6E7F7A-3943-47BD-B4EB-29937122791C}">
  <sheetPr codeName="Sheet2"/>
  <dimension ref="A1:BT53"/>
  <sheetViews>
    <sheetView zoomScale="80" zoomScaleNormal="80" workbookViewId="0"/>
  </sheetViews>
  <sheetFormatPr defaultColWidth="3.5" defaultRowHeight="21.15" customHeight="1" x14ac:dyDescent="0.55000000000000004"/>
  <sheetData>
    <row r="1" spans="1:72" ht="21.15" customHeight="1" x14ac:dyDescent="0.55000000000000004">
      <c r="A1" s="78"/>
      <c r="B1" s="78"/>
      <c r="C1" s="78"/>
      <c r="D1" s="78"/>
      <c r="E1" s="78"/>
      <c r="F1" s="78"/>
      <c r="G1" s="78"/>
      <c r="H1" s="78"/>
      <c r="I1" s="78"/>
      <c r="J1" s="78"/>
      <c r="K1" s="78"/>
      <c r="L1" s="78"/>
      <c r="M1" s="78"/>
      <c r="N1" s="78"/>
      <c r="O1" s="78"/>
      <c r="P1" s="78"/>
      <c r="Q1" s="78"/>
      <c r="R1" s="78"/>
      <c r="S1" s="78"/>
      <c r="T1" s="78"/>
      <c r="U1" s="78"/>
      <c r="V1" s="78"/>
      <c r="W1" s="78"/>
      <c r="X1" s="78"/>
      <c r="Y1" s="78"/>
      <c r="Z1" s="78"/>
      <c r="AA1" s="78"/>
      <c r="AB1" s="78"/>
      <c r="AC1" s="78"/>
      <c r="AD1" s="78"/>
      <c r="AE1" s="78"/>
      <c r="AF1" s="78"/>
      <c r="AG1" s="78"/>
      <c r="AH1" s="78"/>
      <c r="AI1" s="78"/>
      <c r="AJ1" s="78"/>
      <c r="AK1" s="78"/>
      <c r="AL1" s="78"/>
      <c r="AM1" s="78"/>
      <c r="AN1" s="78"/>
      <c r="AO1" s="78"/>
      <c r="AP1" s="78"/>
      <c r="AQ1" s="78"/>
      <c r="AR1" s="78"/>
      <c r="AS1" s="78"/>
      <c r="AT1" s="78"/>
      <c r="AU1" s="78"/>
      <c r="AV1" s="78"/>
      <c r="AW1" s="78"/>
      <c r="AX1" s="78"/>
      <c r="AY1" s="78"/>
      <c r="AZ1" s="78"/>
      <c r="BA1" s="78"/>
      <c r="BB1" s="78"/>
      <c r="BC1" s="78"/>
      <c r="BD1" s="78"/>
      <c r="BE1" s="78"/>
      <c r="BF1" s="78"/>
      <c r="BG1" s="78"/>
      <c r="BH1" s="78"/>
      <c r="BI1" s="78"/>
      <c r="BJ1" s="78"/>
      <c r="BK1" s="78"/>
      <c r="BL1" s="78"/>
      <c r="BM1" s="78"/>
      <c r="BN1" s="78"/>
      <c r="BO1" s="78"/>
      <c r="BP1" s="78"/>
      <c r="BQ1" s="78"/>
      <c r="BR1" s="78"/>
      <c r="BS1" s="78"/>
      <c r="BT1" s="78"/>
    </row>
    <row r="2" spans="1:72" ht="21.15" customHeight="1" x14ac:dyDescent="0.55000000000000004">
      <c r="A2" s="78"/>
      <c r="B2" s="79"/>
      <c r="C2" s="79"/>
      <c r="D2" s="79"/>
      <c r="E2" s="79"/>
      <c r="F2" s="79"/>
      <c r="G2" s="79"/>
      <c r="H2" s="79"/>
      <c r="I2" s="79"/>
      <c r="J2" s="79"/>
      <c r="K2" s="79"/>
      <c r="L2" s="79"/>
      <c r="M2" s="79"/>
      <c r="N2" s="79"/>
      <c r="O2" s="79"/>
      <c r="P2" s="79"/>
      <c r="Q2" s="79"/>
      <c r="R2" s="79"/>
      <c r="S2" s="79"/>
      <c r="T2" s="79"/>
      <c r="U2" s="79"/>
      <c r="V2" s="79"/>
      <c r="W2" s="79"/>
      <c r="X2" s="79"/>
      <c r="Y2" s="79"/>
      <c r="Z2" s="79"/>
      <c r="AA2" s="79"/>
      <c r="AB2" s="79"/>
      <c r="AC2" s="79"/>
      <c r="AD2" s="79"/>
      <c r="AE2" s="79"/>
      <c r="AF2" s="79"/>
      <c r="AG2" s="79"/>
      <c r="AH2" s="79"/>
      <c r="AI2" s="79"/>
      <c r="AJ2" s="79"/>
      <c r="AK2" s="79"/>
      <c r="AL2" s="79"/>
      <c r="AM2" s="79"/>
      <c r="AN2" s="79"/>
      <c r="AO2" s="79"/>
      <c r="AP2" s="79"/>
      <c r="AQ2" s="79"/>
      <c r="AR2" s="79"/>
      <c r="AS2" s="79"/>
      <c r="AT2" s="79"/>
      <c r="AU2" s="79"/>
      <c r="AV2" s="79"/>
      <c r="AW2" s="79"/>
      <c r="AX2" s="79"/>
      <c r="AY2" s="79"/>
      <c r="AZ2" s="79"/>
      <c r="BA2" s="79"/>
      <c r="BB2" s="79"/>
      <c r="BC2" s="79"/>
      <c r="BD2" s="79"/>
      <c r="BE2" s="79"/>
      <c r="BF2" s="79"/>
      <c r="BG2" s="79"/>
      <c r="BH2" s="79"/>
      <c r="BI2" s="79"/>
      <c r="BJ2" s="79"/>
      <c r="BK2" s="79"/>
      <c r="BL2" s="79"/>
      <c r="BM2" s="79"/>
      <c r="BN2" s="79"/>
      <c r="BO2" s="79"/>
      <c r="BP2" s="79"/>
      <c r="BQ2" s="79"/>
      <c r="BR2" s="79"/>
      <c r="BS2" s="79"/>
      <c r="BT2" s="78"/>
    </row>
    <row r="3" spans="1:72" ht="21.15" customHeight="1" x14ac:dyDescent="0.55000000000000004">
      <c r="A3" s="78"/>
      <c r="B3" s="79"/>
      <c r="C3" s="79"/>
      <c r="D3" s="80"/>
      <c r="E3" s="80"/>
      <c r="F3" s="80"/>
      <c r="G3" s="81" t="s">
        <v>62</v>
      </c>
      <c r="H3" s="79"/>
      <c r="I3" s="79"/>
      <c r="J3" s="79"/>
      <c r="K3" s="81" t="s">
        <v>61</v>
      </c>
      <c r="L3" s="79"/>
      <c r="M3" s="79"/>
      <c r="N3" s="79"/>
      <c r="O3" s="81" t="s">
        <v>60</v>
      </c>
      <c r="P3" s="79"/>
      <c r="Q3" s="79"/>
      <c r="R3" s="79"/>
      <c r="S3" s="81" t="s">
        <v>59</v>
      </c>
      <c r="T3" s="79"/>
      <c r="U3" s="79"/>
      <c r="V3" s="79"/>
      <c r="W3" s="81" t="s">
        <v>58</v>
      </c>
      <c r="X3" s="79"/>
      <c r="Y3" s="79"/>
      <c r="Z3" s="79"/>
      <c r="AA3" s="81" t="s">
        <v>57</v>
      </c>
      <c r="AB3" s="79"/>
      <c r="AC3" s="79"/>
      <c r="AD3" s="79"/>
      <c r="AE3" s="81" t="s">
        <v>56</v>
      </c>
      <c r="AF3" s="79"/>
      <c r="AG3" s="79"/>
      <c r="AH3" s="79"/>
      <c r="AI3" s="81" t="s">
        <v>55</v>
      </c>
      <c r="AJ3" s="79"/>
      <c r="AK3" s="79"/>
      <c r="AL3" s="79"/>
      <c r="AM3" s="81" t="s">
        <v>54</v>
      </c>
      <c r="AN3" s="79"/>
      <c r="AO3" s="79"/>
      <c r="AP3" s="79"/>
      <c r="AQ3" s="81" t="s">
        <v>53</v>
      </c>
      <c r="AR3" s="79"/>
      <c r="AS3" s="79"/>
      <c r="AT3" s="79"/>
      <c r="AU3" s="81" t="s">
        <v>52</v>
      </c>
      <c r="AV3" s="79"/>
      <c r="AW3" s="79"/>
      <c r="AX3" s="79"/>
      <c r="AY3" s="81" t="s">
        <v>51</v>
      </c>
      <c r="AZ3" s="79"/>
      <c r="BA3" s="79"/>
      <c r="BB3" s="79"/>
      <c r="BC3" s="81" t="s">
        <v>50</v>
      </c>
      <c r="BD3" s="79"/>
      <c r="BE3" s="79"/>
      <c r="BF3" s="79"/>
      <c r="BG3" s="81" t="s">
        <v>49</v>
      </c>
      <c r="BH3" s="79"/>
      <c r="BI3" s="79"/>
      <c r="BJ3" s="79"/>
      <c r="BK3" s="81" t="s">
        <v>48</v>
      </c>
      <c r="BL3" s="79"/>
      <c r="BM3" s="79"/>
      <c r="BN3" s="79"/>
      <c r="BO3" s="81" t="s">
        <v>47</v>
      </c>
      <c r="BP3" s="79"/>
      <c r="BQ3" s="79"/>
      <c r="BR3" s="79"/>
      <c r="BS3" s="79"/>
      <c r="BT3" s="78"/>
    </row>
    <row r="4" spans="1:72" ht="21.15" customHeight="1" thickBot="1" x14ac:dyDescent="0.6">
      <c r="A4" s="78"/>
      <c r="B4" s="79"/>
      <c r="C4" s="80"/>
      <c r="D4" s="80"/>
      <c r="E4" s="80"/>
      <c r="F4" s="80"/>
      <c r="G4" s="79"/>
      <c r="H4" s="79"/>
      <c r="I4" s="79"/>
      <c r="J4" s="79"/>
      <c r="K4" s="79"/>
      <c r="L4" s="79"/>
      <c r="M4" s="79"/>
      <c r="N4" s="79"/>
      <c r="O4" s="79"/>
      <c r="P4" s="79"/>
      <c r="Q4" s="79"/>
      <c r="R4" s="79"/>
      <c r="S4" s="79"/>
      <c r="T4" s="79"/>
      <c r="U4" s="79"/>
      <c r="V4" s="79"/>
      <c r="W4" s="79"/>
      <c r="X4" s="79"/>
      <c r="Y4" s="79"/>
      <c r="Z4" s="79"/>
      <c r="AA4" s="79"/>
      <c r="AB4" s="79"/>
      <c r="AC4" s="79"/>
      <c r="AD4" s="79"/>
      <c r="AE4" s="79"/>
      <c r="AF4" s="79"/>
      <c r="AG4" s="79"/>
      <c r="AH4" s="79"/>
      <c r="AI4" s="79"/>
      <c r="AJ4" s="79"/>
      <c r="AK4" s="79"/>
      <c r="AL4" s="79"/>
      <c r="AM4" s="79"/>
      <c r="AN4" s="79"/>
      <c r="AO4" s="79"/>
      <c r="AP4" s="79"/>
      <c r="AQ4" s="79"/>
      <c r="AR4" s="79"/>
      <c r="AS4" s="79"/>
      <c r="AT4" s="79"/>
      <c r="AU4" s="79"/>
      <c r="AV4" s="79"/>
      <c r="AW4" s="79"/>
      <c r="AX4" s="79"/>
      <c r="AY4" s="79"/>
      <c r="AZ4" s="79"/>
      <c r="BA4" s="79"/>
      <c r="BB4" s="79"/>
      <c r="BC4" s="79"/>
      <c r="BD4" s="79"/>
      <c r="BE4" s="79"/>
      <c r="BF4" s="79"/>
      <c r="BG4" s="79"/>
      <c r="BH4" s="79"/>
      <c r="BI4" s="79"/>
      <c r="BJ4" s="79"/>
      <c r="BK4" s="79"/>
      <c r="BL4" s="79"/>
      <c r="BM4" s="79"/>
      <c r="BN4" s="79"/>
      <c r="BO4" s="79"/>
      <c r="BP4" s="79"/>
      <c r="BQ4" s="79"/>
      <c r="BR4" s="79"/>
      <c r="BS4" s="79"/>
      <c r="BT4" s="78"/>
    </row>
    <row r="5" spans="1:72" ht="21.15" customHeight="1" x14ac:dyDescent="0.55000000000000004">
      <c r="A5" s="78"/>
      <c r="B5" s="79"/>
      <c r="C5" s="80"/>
      <c r="D5" s="80"/>
      <c r="E5" s="80"/>
      <c r="F5" s="80"/>
      <c r="G5" s="79"/>
      <c r="H5" s="79"/>
      <c r="I5" s="79"/>
      <c r="J5" s="79"/>
      <c r="K5" s="79"/>
      <c r="L5" s="79"/>
      <c r="M5" s="79"/>
      <c r="N5" s="79"/>
      <c r="O5" s="79"/>
      <c r="P5" s="79"/>
      <c r="Q5" s="79"/>
      <c r="R5" s="79"/>
      <c r="S5" s="79"/>
      <c r="T5" s="79"/>
      <c r="U5" s="79"/>
      <c r="V5" s="79"/>
      <c r="W5" s="79"/>
      <c r="X5" s="79"/>
      <c r="Y5" s="79"/>
      <c r="Z5" s="79"/>
      <c r="AA5" s="79"/>
      <c r="AB5" s="79"/>
      <c r="AC5" s="79"/>
      <c r="AD5" s="79"/>
      <c r="AE5" s="79"/>
      <c r="AF5" s="79"/>
      <c r="AG5" s="79"/>
      <c r="AH5" s="79"/>
      <c r="AI5" s="79"/>
      <c r="AJ5" s="79"/>
      <c r="AK5" s="79"/>
      <c r="AL5" s="79"/>
      <c r="AM5" s="79"/>
      <c r="AN5" s="79"/>
      <c r="AO5" s="79"/>
      <c r="AP5" s="79"/>
      <c r="AQ5" s="79"/>
      <c r="AR5" s="79"/>
      <c r="AS5" s="79"/>
      <c r="AT5" s="79"/>
      <c r="AU5" s="79"/>
      <c r="AV5" s="79"/>
      <c r="AW5" s="79"/>
      <c r="AX5" s="79"/>
      <c r="AY5" s="79"/>
      <c r="AZ5" s="79"/>
      <c r="BA5" s="79"/>
      <c r="BB5" s="79"/>
      <c r="BC5" s="79"/>
      <c r="BD5" s="79"/>
      <c r="BE5" s="79"/>
      <c r="BF5" s="79"/>
      <c r="BG5" s="79"/>
      <c r="BH5" s="79"/>
      <c r="BI5" s="79"/>
      <c r="BJ5" s="79"/>
      <c r="BK5" s="104"/>
      <c r="BL5" s="142" t="s">
        <v>69</v>
      </c>
      <c r="BM5" s="142"/>
      <c r="BN5" s="143"/>
      <c r="BO5" s="79"/>
      <c r="BP5" s="79"/>
      <c r="BQ5" s="79"/>
      <c r="BR5" s="79"/>
      <c r="BS5" s="79"/>
      <c r="BT5" s="78"/>
    </row>
    <row r="6" spans="1:72" ht="21.15" customHeight="1" thickBot="1" x14ac:dyDescent="0.6">
      <c r="A6" s="78"/>
      <c r="B6" s="79"/>
      <c r="C6" s="80"/>
      <c r="D6" s="80"/>
      <c r="E6" s="80"/>
      <c r="F6" s="80"/>
      <c r="G6" s="79"/>
      <c r="H6" s="79"/>
      <c r="I6" s="79"/>
      <c r="J6" s="79"/>
      <c r="K6" s="79"/>
      <c r="L6" s="79"/>
      <c r="M6" s="79"/>
      <c r="N6" s="79"/>
      <c r="O6" s="79"/>
      <c r="P6" s="79"/>
      <c r="Q6" s="79"/>
      <c r="R6" s="79"/>
      <c r="S6" s="79"/>
      <c r="T6" s="79"/>
      <c r="U6" s="79"/>
      <c r="V6" s="79"/>
      <c r="W6" s="79"/>
      <c r="X6" s="79"/>
      <c r="Y6" s="79"/>
      <c r="Z6" s="79"/>
      <c r="AA6" s="79"/>
      <c r="AB6" s="79"/>
      <c r="AC6" s="79"/>
      <c r="AD6" s="79"/>
      <c r="AE6" s="79"/>
      <c r="AF6" s="79"/>
      <c r="AG6" s="79"/>
      <c r="AH6" s="79"/>
      <c r="AI6" s="79"/>
      <c r="AJ6" s="79"/>
      <c r="AK6" s="79"/>
      <c r="AL6" s="79"/>
      <c r="AM6" s="79"/>
      <c r="AN6" s="79"/>
      <c r="AO6" s="79"/>
      <c r="AP6" s="79"/>
      <c r="AQ6" s="79"/>
      <c r="AR6" s="79"/>
      <c r="AS6" s="79"/>
      <c r="AT6" s="79"/>
      <c r="AU6" s="79"/>
      <c r="AV6" s="79"/>
      <c r="AW6" s="79"/>
      <c r="AX6" s="79"/>
      <c r="AY6" s="79"/>
      <c r="AZ6" s="79"/>
      <c r="BA6" s="79"/>
      <c r="BB6" s="79"/>
      <c r="BC6" s="79"/>
      <c r="BD6" s="79"/>
      <c r="BE6" s="79"/>
      <c r="BF6" s="79"/>
      <c r="BG6" s="79"/>
      <c r="BH6" s="79"/>
      <c r="BI6" s="79"/>
      <c r="BJ6" s="79"/>
      <c r="BK6" s="232" t="s">
        <v>749</v>
      </c>
      <c r="BL6" s="218"/>
      <c r="BM6" s="218"/>
      <c r="BN6" s="231"/>
      <c r="BO6" s="79"/>
      <c r="BP6" s="79"/>
      <c r="BQ6" s="79"/>
      <c r="BR6" s="79"/>
      <c r="BS6" s="79"/>
      <c r="BT6" s="78"/>
    </row>
    <row r="7" spans="1:72" ht="21.15" customHeight="1" x14ac:dyDescent="0.55000000000000004">
      <c r="A7" s="78"/>
      <c r="B7" s="79"/>
      <c r="C7" s="81" t="s">
        <v>46</v>
      </c>
      <c r="D7" s="79"/>
      <c r="E7" s="79"/>
      <c r="F7" s="79"/>
      <c r="G7" s="79"/>
      <c r="H7" s="79"/>
      <c r="I7" s="79"/>
      <c r="J7" s="79"/>
      <c r="K7" s="82" t="s">
        <v>46</v>
      </c>
      <c r="L7" s="142" t="str">
        <f>VLOOKUP(K7,市町村データ!A2:P106,MATCH(手順書_大字_世帯数!$G$63, 市町村データ!A1:P1, 0),FALSE)</f>
        <v>新座</v>
      </c>
      <c r="M7" s="154"/>
      <c r="N7" s="154"/>
      <c r="O7" s="83"/>
      <c r="P7" s="84"/>
      <c r="Q7" s="84"/>
      <c r="R7" s="84"/>
      <c r="S7" s="83"/>
      <c r="T7" s="84"/>
      <c r="U7" s="84"/>
      <c r="V7" s="84"/>
      <c r="W7" s="82" t="s">
        <v>63</v>
      </c>
      <c r="X7" s="142" t="str">
        <f>VLOOKUP(W7,市町村データ!A2:P106,MATCH(手順書_大字_世帯数!$G$63, 市町村データ!A1:P1, 0),FALSE)</f>
        <v>北野</v>
      </c>
      <c r="Y7" s="154"/>
      <c r="Z7" s="159"/>
      <c r="AA7" s="82" t="s">
        <v>134</v>
      </c>
      <c r="AB7" s="142" t="str">
        <f>VLOOKUP(AA7,市町村データ!A2:P106,MATCH(手順書_大字_世帯数!$G$63, 市町村データ!A1:P1, 0),FALSE)</f>
        <v>東北</v>
      </c>
      <c r="AC7" s="154"/>
      <c r="AD7" s="154"/>
      <c r="AE7" s="84"/>
      <c r="AF7" s="84"/>
      <c r="AG7" s="84"/>
      <c r="AH7" s="84"/>
      <c r="AI7" s="85"/>
      <c r="AJ7" s="79"/>
      <c r="AK7" s="79"/>
      <c r="AL7" s="79"/>
      <c r="AM7" s="86"/>
      <c r="AN7" s="79"/>
      <c r="AO7" s="79"/>
      <c r="AP7" s="79"/>
      <c r="AQ7" s="86"/>
      <c r="AR7" s="79"/>
      <c r="AS7" s="79"/>
      <c r="AT7" s="79"/>
      <c r="AU7" s="79"/>
      <c r="AV7" s="79"/>
      <c r="AW7" s="79"/>
      <c r="AX7" s="79"/>
      <c r="AY7" s="79"/>
      <c r="AZ7" s="79"/>
      <c r="BA7" s="79"/>
      <c r="BB7" s="79"/>
      <c r="BC7" s="79"/>
      <c r="BD7" s="79"/>
      <c r="BE7" s="79"/>
      <c r="BF7" s="79"/>
      <c r="BG7" s="79"/>
      <c r="BH7" s="79"/>
      <c r="BI7" s="79"/>
      <c r="BJ7" s="79"/>
      <c r="BK7" s="230" t="s">
        <v>752</v>
      </c>
      <c r="BL7" s="301"/>
      <c r="BM7" s="301"/>
      <c r="BN7" s="303"/>
      <c r="BO7" s="79"/>
      <c r="BP7" s="79"/>
      <c r="BQ7" s="79"/>
      <c r="BR7" s="79"/>
      <c r="BS7" s="79"/>
      <c r="BT7" s="78"/>
    </row>
    <row r="8" spans="1:72" ht="21.15" customHeight="1" thickBot="1" x14ac:dyDescent="0.6">
      <c r="A8" s="78"/>
      <c r="B8" s="79"/>
      <c r="C8" s="79"/>
      <c r="D8" s="79"/>
      <c r="E8" s="79"/>
      <c r="F8" s="79"/>
      <c r="G8" s="79"/>
      <c r="H8" s="79"/>
      <c r="I8" s="79"/>
      <c r="J8" s="79"/>
      <c r="K8" s="238">
        <f>VLOOKUP(K7,市町村データ!A2:P106,MATCH(手順書_大字_世帯数!$F$64, 市町村データ!A1:P1, 0),FALSE)</f>
        <v>89.4</v>
      </c>
      <c r="L8" s="156"/>
      <c r="M8" s="156"/>
      <c r="N8" s="156"/>
      <c r="O8" s="87"/>
      <c r="P8" s="87"/>
      <c r="Q8" s="87"/>
      <c r="R8" s="87"/>
      <c r="S8" s="87"/>
      <c r="T8" s="87"/>
      <c r="U8" s="87"/>
      <c r="V8" s="87"/>
      <c r="W8" s="245">
        <f>VLOOKUP(W7,市町村データ!A2:P106,MATCH(手順書_大字_世帯数!$F$64, 市町村データ!A1:P1, 0),FALSE)</f>
        <v>56.3</v>
      </c>
      <c r="X8" s="156"/>
      <c r="Y8" s="156"/>
      <c r="Z8" s="158"/>
      <c r="AA8" s="238">
        <f>VLOOKUP(AA7,市町村データ!A2:P106,MATCH(手順書_大字_世帯数!$F$64, 市町村データ!A1:P1, 0),FALSE)</f>
        <v>88.1</v>
      </c>
      <c r="AB8" s="156"/>
      <c r="AC8" s="156"/>
      <c r="AD8" s="156"/>
      <c r="AE8" s="87"/>
      <c r="AF8" s="87"/>
      <c r="AG8" s="87"/>
      <c r="AH8" s="87"/>
      <c r="AI8" s="85"/>
      <c r="AJ8" s="79"/>
      <c r="AK8" s="79"/>
      <c r="AL8" s="79"/>
      <c r="AM8" s="87"/>
      <c r="AN8" s="87"/>
      <c r="AO8" s="87"/>
      <c r="AP8" s="87"/>
      <c r="AQ8" s="87"/>
      <c r="AR8" s="87"/>
      <c r="AS8" s="87"/>
      <c r="AT8" s="87"/>
      <c r="AU8" s="79"/>
      <c r="AV8" s="79"/>
      <c r="AW8" s="79"/>
      <c r="AX8" s="79"/>
      <c r="AY8" s="79"/>
      <c r="AZ8" s="79"/>
      <c r="BA8" s="79"/>
      <c r="BB8" s="79"/>
      <c r="BC8" s="79"/>
      <c r="BD8" s="79"/>
      <c r="BE8" s="79"/>
      <c r="BF8" s="79"/>
      <c r="BG8" s="79"/>
      <c r="BH8" s="79"/>
      <c r="BI8" s="79"/>
      <c r="BJ8" s="79"/>
      <c r="BK8" s="147" t="s">
        <v>625</v>
      </c>
      <c r="BL8" s="148"/>
      <c r="BM8" s="148"/>
      <c r="BN8" s="149"/>
      <c r="BO8" s="79"/>
      <c r="BP8" s="79"/>
      <c r="BQ8" s="79"/>
      <c r="BR8" s="79"/>
      <c r="BS8" s="88"/>
      <c r="BT8" s="78"/>
    </row>
    <row r="9" spans="1:72" ht="21.15" customHeight="1" thickBot="1" x14ac:dyDescent="0.6">
      <c r="A9" s="78"/>
      <c r="B9" s="79"/>
      <c r="C9" s="79"/>
      <c r="D9" s="79"/>
      <c r="E9" s="79"/>
      <c r="F9" s="79"/>
      <c r="G9" s="79"/>
      <c r="H9" s="79"/>
      <c r="I9" s="79"/>
      <c r="J9" s="79"/>
      <c r="K9" s="243">
        <f>VLOOKUP(K7,市町村データ!A2:P106,MATCH(手順書_大字_世帯数!$F$65, 市町村データ!A1:P1, 0),FALSE)</f>
        <v>4202</v>
      </c>
      <c r="L9" s="156"/>
      <c r="M9" s="156"/>
      <c r="N9" s="156"/>
      <c r="O9" s="89"/>
      <c r="P9" s="89"/>
      <c r="Q9" s="89"/>
      <c r="R9" s="89"/>
      <c r="S9" s="89"/>
      <c r="T9" s="89"/>
      <c r="U9" s="89"/>
      <c r="V9" s="89"/>
      <c r="W9" s="249">
        <f>VLOOKUP(W7,市町村データ!A2:P106,MATCH(手順書_大字_世帯数!$F$65, 市町村データ!A1:P1, 0),FALSE)</f>
        <v>3601</v>
      </c>
      <c r="X9" s="156"/>
      <c r="Y9" s="156"/>
      <c r="Z9" s="158"/>
      <c r="AA9" s="243">
        <f>VLOOKUP(AA7,市町村データ!A2:P106,MATCH(手順書_大字_世帯数!$F$65, 市町村データ!A1:P1, 0),FALSE)</f>
        <v>4493</v>
      </c>
      <c r="AB9" s="156"/>
      <c r="AC9" s="156"/>
      <c r="AD9" s="156"/>
      <c r="AE9" s="87"/>
      <c r="AF9" s="87"/>
      <c r="AG9" s="87"/>
      <c r="AH9" s="87"/>
      <c r="AI9" s="85"/>
      <c r="AJ9" s="79"/>
      <c r="AK9" s="79"/>
      <c r="AL9" s="79"/>
      <c r="AM9" s="89"/>
      <c r="AN9" s="89"/>
      <c r="AO9" s="89"/>
      <c r="AP9" s="89"/>
      <c r="AQ9" s="89"/>
      <c r="AR9" s="89"/>
      <c r="AS9" s="89"/>
      <c r="AT9" s="89"/>
      <c r="AU9" s="79"/>
      <c r="AV9" s="79"/>
      <c r="AW9" s="79"/>
      <c r="AX9" s="79"/>
      <c r="AY9" s="79"/>
      <c r="AZ9" s="79"/>
      <c r="BA9" s="79"/>
      <c r="BB9" s="79"/>
      <c r="BC9" s="79"/>
      <c r="BD9" s="79"/>
      <c r="BE9" s="79"/>
      <c r="BF9" s="79"/>
      <c r="BG9" s="79"/>
      <c r="BH9" s="79"/>
      <c r="BI9" s="79"/>
      <c r="BJ9" s="79"/>
      <c r="BK9" s="79"/>
      <c r="BL9" s="79"/>
      <c r="BM9" s="79"/>
      <c r="BN9" s="79"/>
      <c r="BO9" s="79"/>
      <c r="BP9" s="79"/>
      <c r="BQ9" s="79"/>
      <c r="BR9" s="79"/>
      <c r="BS9" s="88"/>
      <c r="BT9" s="78"/>
    </row>
    <row r="10" spans="1:72" ht="21.15" customHeight="1" thickBot="1" x14ac:dyDescent="0.6">
      <c r="A10" s="78"/>
      <c r="B10" s="79"/>
      <c r="C10" s="79"/>
      <c r="D10" s="79"/>
      <c r="E10" s="79"/>
      <c r="F10" s="79"/>
      <c r="G10" s="79"/>
      <c r="H10" s="79"/>
      <c r="I10" s="79"/>
      <c r="J10" s="79"/>
      <c r="K10" s="241">
        <f>VLOOKUP(K7,市町村データ!A2:P106,MATCH(手順書_大字_世帯数!$F$66, 市町村データ!A1:P1, 0),FALSE)</f>
        <v>47</v>
      </c>
      <c r="L10" s="153"/>
      <c r="M10" s="153"/>
      <c r="N10" s="153"/>
      <c r="O10" s="79"/>
      <c r="P10" s="79"/>
      <c r="Q10" s="79"/>
      <c r="R10" s="79"/>
      <c r="S10" s="79"/>
      <c r="T10" s="79"/>
      <c r="U10" s="79"/>
      <c r="V10" s="79"/>
      <c r="W10" s="310">
        <f>VLOOKUP(W7,市町村データ!A2:P106,MATCH(手順書_大字_世帯数!$F$66, 市町村データ!A1:P1, 0),FALSE)</f>
        <v>64</v>
      </c>
      <c r="X10" s="156"/>
      <c r="Y10" s="156"/>
      <c r="Z10" s="158"/>
      <c r="AA10" s="241">
        <f>VLOOKUP(AA7,市町村データ!A2:P106,MATCH(手順書_大字_世帯数!$F$66, 市町村データ!A1:P1, 0),FALSE)</f>
        <v>51</v>
      </c>
      <c r="AB10" s="153"/>
      <c r="AC10" s="153"/>
      <c r="AD10" s="153"/>
      <c r="AE10" s="79"/>
      <c r="AF10" s="79"/>
      <c r="AG10" s="79"/>
      <c r="AH10" s="79"/>
      <c r="AI10" s="85"/>
      <c r="AJ10" s="79"/>
      <c r="AK10" s="79"/>
      <c r="AL10" s="79"/>
      <c r="AM10" s="79"/>
      <c r="AN10" s="79"/>
      <c r="AO10" s="79"/>
      <c r="AP10" s="79"/>
      <c r="AQ10" s="79"/>
      <c r="AR10" s="79"/>
      <c r="AS10" s="79"/>
      <c r="AT10" s="79"/>
      <c r="AU10" s="79"/>
      <c r="AV10" s="79"/>
      <c r="AW10" s="79"/>
      <c r="AX10" s="79"/>
      <c r="AY10" s="79"/>
      <c r="AZ10" s="79"/>
      <c r="BA10" s="79"/>
      <c r="BB10" s="79"/>
      <c r="BC10" s="79"/>
      <c r="BD10" s="79"/>
      <c r="BE10" s="79"/>
      <c r="BF10" s="79"/>
      <c r="BG10" s="79"/>
      <c r="BH10" s="79"/>
      <c r="BI10" s="79"/>
      <c r="BJ10" s="79"/>
      <c r="BK10" s="233" t="s">
        <v>71</v>
      </c>
      <c r="BL10" s="234"/>
      <c r="BM10" s="234"/>
      <c r="BN10" s="235" t="s">
        <v>70</v>
      </c>
      <c r="BO10" s="236"/>
      <c r="BP10" s="79"/>
      <c r="BQ10" s="79"/>
      <c r="BR10" s="79"/>
      <c r="BS10" s="88"/>
      <c r="BT10" s="78"/>
    </row>
    <row r="11" spans="1:72" ht="21.15" customHeight="1" x14ac:dyDescent="0.55000000000000004">
      <c r="A11" s="78"/>
      <c r="B11" s="79"/>
      <c r="C11" s="81" t="s">
        <v>63</v>
      </c>
      <c r="D11" s="79"/>
      <c r="E11" s="79"/>
      <c r="F11" s="79"/>
      <c r="G11" s="82" t="s">
        <v>64</v>
      </c>
      <c r="H11" s="142" t="str">
        <f>VLOOKUP(G11,市町村データ!A2:P106,MATCH(手順書_大字_世帯数!$G$63, 市町村データ!A1:P1, 0),FALSE)</f>
        <v>中野</v>
      </c>
      <c r="I11" s="154"/>
      <c r="J11" s="159"/>
      <c r="K11" s="82" t="s">
        <v>65</v>
      </c>
      <c r="L11" s="142" t="str">
        <f>VLOOKUP(K11,市町村データ!A2:P106,MATCH(手順書_大字_世帯数!$G$63, 市町村データ!A1:P1, 0),FALSE)</f>
        <v>大和田</v>
      </c>
      <c r="M11" s="154"/>
      <c r="N11" s="154"/>
      <c r="O11" s="84"/>
      <c r="P11" s="84"/>
      <c r="Q11" s="84"/>
      <c r="R11" s="84"/>
      <c r="S11" s="90"/>
      <c r="T11" s="84"/>
      <c r="U11" s="84"/>
      <c r="V11" s="84"/>
      <c r="W11" s="85"/>
      <c r="X11" s="79"/>
      <c r="Y11" s="79"/>
      <c r="Z11" s="79"/>
      <c r="AA11" s="84"/>
      <c r="AB11" s="84"/>
      <c r="AC11" s="84"/>
      <c r="AD11" s="84"/>
      <c r="AE11" s="82" t="s">
        <v>66</v>
      </c>
      <c r="AF11" s="142" t="str">
        <f>VLOOKUP(AE11,市町村データ!A2:P106,MATCH(手順書_大字_世帯数!$G$63, 市町村データ!A1:P1, 0),FALSE)</f>
        <v>東</v>
      </c>
      <c r="AG11" s="154"/>
      <c r="AH11" s="154"/>
      <c r="AI11" s="84"/>
      <c r="AJ11" s="84"/>
      <c r="AK11" s="84"/>
      <c r="AL11" s="84"/>
      <c r="AM11" s="84"/>
      <c r="AN11" s="84"/>
      <c r="AO11" s="84"/>
      <c r="AP11" s="84"/>
      <c r="AQ11" s="91"/>
      <c r="AR11" s="79"/>
      <c r="AS11" s="79"/>
      <c r="AT11" s="79"/>
      <c r="AU11" s="79"/>
      <c r="AV11" s="79"/>
      <c r="AW11" s="79"/>
      <c r="AX11" s="79"/>
      <c r="AY11" s="79"/>
      <c r="AZ11" s="79"/>
      <c r="BA11" s="79"/>
      <c r="BB11" s="79"/>
      <c r="BC11" s="79"/>
      <c r="BD11" s="79"/>
      <c r="BE11" s="79"/>
      <c r="BF11" s="79"/>
      <c r="BG11" s="79"/>
      <c r="BH11" s="79"/>
      <c r="BI11" s="79"/>
      <c r="BJ11" s="79"/>
      <c r="BK11" s="214">
        <v>7500</v>
      </c>
      <c r="BL11" s="218"/>
      <c r="BM11" s="218"/>
      <c r="BN11" s="227"/>
      <c r="BO11" s="217"/>
      <c r="BP11" s="79"/>
      <c r="BQ11" s="79"/>
      <c r="BR11" s="79"/>
      <c r="BS11" s="88"/>
      <c r="BT11" s="78"/>
    </row>
    <row r="12" spans="1:72" ht="21.15" customHeight="1" x14ac:dyDescent="0.55000000000000004">
      <c r="A12" s="78"/>
      <c r="B12" s="79"/>
      <c r="C12" s="79"/>
      <c r="D12" s="79"/>
      <c r="E12" s="79"/>
      <c r="F12" s="79"/>
      <c r="G12" s="259">
        <f>VLOOKUP(G11,市町村データ!A2:P106,MATCH(手順書_大字_世帯数!$F$64, 市町村データ!A1:P1, 0),FALSE)</f>
        <v>3.9</v>
      </c>
      <c r="H12" s="156"/>
      <c r="I12" s="156"/>
      <c r="J12" s="158"/>
      <c r="K12" s="238">
        <f>VLOOKUP(K11,市町村データ!A2:P106,MATCH(手順書_大字_世帯数!$F$64, 市町村データ!A1:P1, 0),FALSE)</f>
        <v>24.3</v>
      </c>
      <c r="L12" s="156"/>
      <c r="M12" s="156"/>
      <c r="N12" s="156"/>
      <c r="O12" s="79"/>
      <c r="P12" s="79"/>
      <c r="Q12" s="79"/>
      <c r="R12" s="79"/>
      <c r="S12" s="87"/>
      <c r="T12" s="87"/>
      <c r="U12" s="87"/>
      <c r="V12" s="87"/>
      <c r="W12" s="92"/>
      <c r="X12" s="87"/>
      <c r="Y12" s="87"/>
      <c r="Z12" s="87"/>
      <c r="AA12" s="87"/>
      <c r="AB12" s="87"/>
      <c r="AC12" s="87"/>
      <c r="AD12" s="87"/>
      <c r="AE12" s="245">
        <f>VLOOKUP(AE11,市町村データ!A2:P106,MATCH(手順書_大字_世帯数!$F$64, 市町村データ!A1:P1, 0),FALSE)</f>
        <v>70.900000000000006</v>
      </c>
      <c r="AF12" s="156"/>
      <c r="AG12" s="156"/>
      <c r="AH12" s="156"/>
      <c r="AI12" s="87"/>
      <c r="AJ12" s="87"/>
      <c r="AK12" s="87"/>
      <c r="AL12" s="87"/>
      <c r="AM12" s="87"/>
      <c r="AN12" s="87"/>
      <c r="AO12" s="87"/>
      <c r="AP12" s="87"/>
      <c r="AQ12" s="92"/>
      <c r="AR12" s="87"/>
      <c r="AS12" s="87"/>
      <c r="AT12" s="87"/>
      <c r="AU12" s="79"/>
      <c r="AV12" s="79"/>
      <c r="AW12" s="79"/>
      <c r="AX12" s="79"/>
      <c r="AY12" s="79"/>
      <c r="AZ12" s="79"/>
      <c r="BA12" s="79"/>
      <c r="BB12" s="79"/>
      <c r="BC12" s="79"/>
      <c r="BD12" s="79"/>
      <c r="BE12" s="79"/>
      <c r="BF12" s="79"/>
      <c r="BG12" s="79"/>
      <c r="BH12" s="79"/>
      <c r="BI12" s="79"/>
      <c r="BJ12" s="79"/>
      <c r="BK12" s="214">
        <v>5000</v>
      </c>
      <c r="BL12" s="218"/>
      <c r="BM12" s="218"/>
      <c r="BN12" s="228"/>
      <c r="BO12" s="217"/>
      <c r="BP12" s="79"/>
      <c r="BQ12" s="79"/>
      <c r="BR12" s="79"/>
      <c r="BS12" s="88"/>
      <c r="BT12" s="78"/>
    </row>
    <row r="13" spans="1:72" ht="21.15" customHeight="1" x14ac:dyDescent="0.55000000000000004">
      <c r="A13" s="78"/>
      <c r="B13" s="79"/>
      <c r="C13" s="79"/>
      <c r="D13" s="79"/>
      <c r="E13" s="79"/>
      <c r="F13" s="79"/>
      <c r="G13" s="264">
        <f>VLOOKUP(G11,市町村データ!A2:P106,MATCH(手順書_大字_世帯数!$F$65, 市町村データ!A1:P1, 0),FALSE)</f>
        <v>285</v>
      </c>
      <c r="H13" s="156"/>
      <c r="I13" s="156"/>
      <c r="J13" s="158"/>
      <c r="K13" s="243">
        <f>VLOOKUP(K11,市町村データ!A2:P106,MATCH(手順書_大字_世帯数!$F$65, 市町村データ!A1:P1, 0),FALSE)</f>
        <v>4328</v>
      </c>
      <c r="L13" s="156"/>
      <c r="M13" s="156"/>
      <c r="N13" s="156"/>
      <c r="O13" s="79"/>
      <c r="P13" s="79"/>
      <c r="Q13" s="79"/>
      <c r="R13" s="79"/>
      <c r="S13" s="87"/>
      <c r="T13" s="87"/>
      <c r="U13" s="87"/>
      <c r="V13" s="87"/>
      <c r="W13" s="92"/>
      <c r="X13" s="87"/>
      <c r="Y13" s="87"/>
      <c r="Z13" s="87"/>
      <c r="AA13" s="87"/>
      <c r="AB13" s="87"/>
      <c r="AC13" s="87"/>
      <c r="AD13" s="87"/>
      <c r="AE13" s="249">
        <f>VLOOKUP(AE11,市町村データ!A2:P106,MATCH(手順書_大字_世帯数!$F$65, 市町村データ!A1:P1, 0),FALSE)</f>
        <v>3330</v>
      </c>
      <c r="AF13" s="156"/>
      <c r="AG13" s="156"/>
      <c r="AH13" s="156"/>
      <c r="AI13" s="87"/>
      <c r="AJ13" s="87"/>
      <c r="AK13" s="87"/>
      <c r="AL13" s="87"/>
      <c r="AM13" s="87"/>
      <c r="AN13" s="87"/>
      <c r="AO13" s="87"/>
      <c r="AP13" s="87"/>
      <c r="AQ13" s="93"/>
      <c r="AR13" s="89"/>
      <c r="AS13" s="89"/>
      <c r="AT13" s="89"/>
      <c r="AU13" s="79"/>
      <c r="AV13" s="79"/>
      <c r="AW13" s="79"/>
      <c r="AX13" s="79"/>
      <c r="AY13" s="79"/>
      <c r="AZ13" s="79"/>
      <c r="BA13" s="79"/>
      <c r="BB13" s="79"/>
      <c r="BC13" s="79"/>
      <c r="BD13" s="79"/>
      <c r="BE13" s="79"/>
      <c r="BF13" s="79"/>
      <c r="BG13" s="79"/>
      <c r="BH13" s="79"/>
      <c r="BI13" s="79"/>
      <c r="BJ13" s="79"/>
      <c r="BK13" s="214">
        <v>4000</v>
      </c>
      <c r="BL13" s="218"/>
      <c r="BM13" s="218"/>
      <c r="BN13" s="229"/>
      <c r="BO13" s="217"/>
      <c r="BP13" s="79"/>
      <c r="BQ13" s="79"/>
      <c r="BR13" s="79"/>
      <c r="BS13" s="88"/>
      <c r="BT13" s="78"/>
    </row>
    <row r="14" spans="1:72" ht="21.15" customHeight="1" thickBot="1" x14ac:dyDescent="0.6">
      <c r="A14" s="78"/>
      <c r="B14" s="79"/>
      <c r="C14" s="79"/>
      <c r="D14" s="79"/>
      <c r="E14" s="79"/>
      <c r="F14" s="79"/>
      <c r="G14" s="309">
        <f>VLOOKUP(G11,市町村データ!A2:P106,MATCH(手順書_大字_世帯数!$F$66, 市町村データ!A1:P1, 0),FALSE)</f>
        <v>73.7</v>
      </c>
      <c r="H14" s="156"/>
      <c r="I14" s="156"/>
      <c r="J14" s="158"/>
      <c r="K14" s="306">
        <f>VLOOKUP(K11,市町村データ!A2:P106,MATCH(手順書_大字_世帯数!$F$66, 市町村データ!A1:P1, 0),FALSE)</f>
        <v>178.2</v>
      </c>
      <c r="L14" s="156"/>
      <c r="M14" s="156"/>
      <c r="N14" s="156"/>
      <c r="O14" s="79"/>
      <c r="P14" s="79"/>
      <c r="Q14" s="79"/>
      <c r="R14" s="79"/>
      <c r="S14" s="79"/>
      <c r="T14" s="79"/>
      <c r="U14" s="79"/>
      <c r="V14" s="79"/>
      <c r="W14" s="85"/>
      <c r="X14" s="79"/>
      <c r="Y14" s="79"/>
      <c r="Z14" s="79"/>
      <c r="AA14" s="79"/>
      <c r="AB14" s="79"/>
      <c r="AC14" s="79"/>
      <c r="AD14" s="79"/>
      <c r="AE14" s="247">
        <f>VLOOKUP(AE11,市町村データ!A2:P106,MATCH(手順書_大字_世帯数!$F$66, 市町村データ!A1:P1, 0),FALSE)</f>
        <v>47</v>
      </c>
      <c r="AF14" s="153"/>
      <c r="AG14" s="153"/>
      <c r="AH14" s="153"/>
      <c r="AI14" s="79"/>
      <c r="AJ14" s="79"/>
      <c r="AK14" s="79"/>
      <c r="AL14" s="79"/>
      <c r="AM14" s="79"/>
      <c r="AN14" s="79"/>
      <c r="AO14" s="79"/>
      <c r="AP14" s="79"/>
      <c r="AQ14" s="85"/>
      <c r="AR14" s="79"/>
      <c r="AS14" s="79"/>
      <c r="AT14" s="79"/>
      <c r="AU14" s="79"/>
      <c r="AV14" s="79"/>
      <c r="AW14" s="79"/>
      <c r="AX14" s="79"/>
      <c r="AY14" s="79"/>
      <c r="AZ14" s="79"/>
      <c r="BA14" s="79"/>
      <c r="BB14" s="79"/>
      <c r="BC14" s="79"/>
      <c r="BD14" s="79"/>
      <c r="BE14" s="79"/>
      <c r="BF14" s="79"/>
      <c r="BG14" s="79"/>
      <c r="BH14" s="79"/>
      <c r="BI14" s="79"/>
      <c r="BJ14" s="79"/>
      <c r="BK14" s="221">
        <v>3000</v>
      </c>
      <c r="BL14" s="222"/>
      <c r="BM14" s="222"/>
      <c r="BN14" s="223"/>
      <c r="BO14" s="217"/>
      <c r="BP14" s="79"/>
      <c r="BQ14" s="79"/>
      <c r="BR14" s="79"/>
      <c r="BS14" s="88"/>
      <c r="BT14" s="78"/>
    </row>
    <row r="15" spans="1:72" ht="21.15" customHeight="1" x14ac:dyDescent="0.55000000000000004">
      <c r="A15" s="78"/>
      <c r="B15" s="79"/>
      <c r="C15" s="81" t="s">
        <v>134</v>
      </c>
      <c r="D15" s="79"/>
      <c r="E15" s="79"/>
      <c r="F15" s="79"/>
      <c r="G15" s="85"/>
      <c r="H15" s="79"/>
      <c r="I15" s="79"/>
      <c r="J15" s="79"/>
      <c r="K15" s="85"/>
      <c r="L15" s="79"/>
      <c r="M15" s="79"/>
      <c r="N15" s="79"/>
      <c r="O15" s="94"/>
      <c r="P15" s="79"/>
      <c r="Q15" s="79"/>
      <c r="R15" s="79"/>
      <c r="S15" s="94"/>
      <c r="T15" s="79"/>
      <c r="U15" s="79"/>
      <c r="V15" s="79"/>
      <c r="W15" s="82" t="s">
        <v>67</v>
      </c>
      <c r="X15" s="142" t="str">
        <f>VLOOKUP(W15,市町村データ!A2:P106,MATCH(手順書_大字_世帯数!$G$63, 市町村データ!A1:P1, 0),FALSE)</f>
        <v>野火止</v>
      </c>
      <c r="Y15" s="154"/>
      <c r="Z15" s="154"/>
      <c r="AA15" s="84"/>
      <c r="AB15" s="84"/>
      <c r="AC15" s="84"/>
      <c r="AD15" s="84"/>
      <c r="AE15" s="84"/>
      <c r="AF15" s="84"/>
      <c r="AG15" s="84"/>
      <c r="AH15" s="84"/>
      <c r="AI15" s="84"/>
      <c r="AJ15" s="84"/>
      <c r="AK15" s="84"/>
      <c r="AL15" s="84"/>
      <c r="AM15" s="82" t="s">
        <v>68</v>
      </c>
      <c r="AN15" s="142" t="str">
        <f>VLOOKUP(AM15,市町村データ!A2:P106,MATCH(手順書_大字_世帯数!$G$63, 市町村データ!A1:P1, 0),FALSE)</f>
        <v>畑中</v>
      </c>
      <c r="AO15" s="154"/>
      <c r="AP15" s="159"/>
      <c r="AQ15" s="91"/>
      <c r="AR15" s="79"/>
      <c r="AS15" s="79"/>
      <c r="AT15" s="79"/>
      <c r="AU15" s="79"/>
      <c r="AV15" s="79"/>
      <c r="AW15" s="79"/>
      <c r="AX15" s="79"/>
      <c r="AY15" s="79"/>
      <c r="AZ15" s="79"/>
      <c r="BA15" s="79"/>
      <c r="BB15" s="79"/>
      <c r="BC15" s="79"/>
      <c r="BD15" s="79"/>
      <c r="BE15" s="79"/>
      <c r="BF15" s="79"/>
      <c r="BG15" s="79"/>
      <c r="BH15" s="79"/>
      <c r="BI15" s="79"/>
      <c r="BJ15" s="79"/>
      <c r="BK15" s="214">
        <v>2000</v>
      </c>
      <c r="BL15" s="301"/>
      <c r="BM15" s="301"/>
      <c r="BN15" s="224"/>
      <c r="BO15" s="217"/>
      <c r="BP15" s="79"/>
      <c r="BQ15" s="79"/>
      <c r="BR15" s="79"/>
      <c r="BS15" s="88"/>
      <c r="BT15" s="78"/>
    </row>
    <row r="16" spans="1:72" ht="21.15" customHeight="1" x14ac:dyDescent="0.55000000000000004">
      <c r="A16" s="78"/>
      <c r="B16" s="79"/>
      <c r="C16" s="79"/>
      <c r="D16" s="79"/>
      <c r="E16" s="79"/>
      <c r="F16" s="79"/>
      <c r="G16" s="92"/>
      <c r="H16" s="87"/>
      <c r="I16" s="87"/>
      <c r="J16" s="87"/>
      <c r="K16" s="92"/>
      <c r="L16" s="87"/>
      <c r="M16" s="87"/>
      <c r="N16" s="87"/>
      <c r="O16" s="87"/>
      <c r="P16" s="87"/>
      <c r="Q16" s="87"/>
      <c r="R16" s="87"/>
      <c r="S16" s="87"/>
      <c r="T16" s="87"/>
      <c r="U16" s="87"/>
      <c r="V16" s="87"/>
      <c r="W16" s="237">
        <f>VLOOKUP(W15,市町村データ!A2:P106,MATCH(手順書_大字_世帯数!$F$64, 市町村データ!A1:P1, 0),FALSE)</f>
        <v>30.8</v>
      </c>
      <c r="X16" s="156"/>
      <c r="Y16" s="156"/>
      <c r="Z16" s="156"/>
      <c r="AA16" s="87"/>
      <c r="AB16" s="87"/>
      <c r="AC16" s="87"/>
      <c r="AD16" s="87"/>
      <c r="AE16" s="87"/>
      <c r="AF16" s="87"/>
      <c r="AG16" s="87"/>
      <c r="AH16" s="87"/>
      <c r="AI16" s="87"/>
      <c r="AJ16" s="87"/>
      <c r="AK16" s="87"/>
      <c r="AL16" s="87"/>
      <c r="AM16" s="238">
        <f>VLOOKUP(AM15,市町村データ!A2:P106,MATCH(手順書_大字_世帯数!$F$64, 市町村データ!A1:P1, 0),FALSE)</f>
        <v>39.4</v>
      </c>
      <c r="AN16" s="156"/>
      <c r="AO16" s="156"/>
      <c r="AP16" s="158"/>
      <c r="AQ16" s="92"/>
      <c r="AR16" s="87"/>
      <c r="AS16" s="87"/>
      <c r="AT16" s="87"/>
      <c r="AU16" s="79"/>
      <c r="AV16" s="79"/>
      <c r="AW16" s="79"/>
      <c r="AX16" s="79"/>
      <c r="AY16" s="79"/>
      <c r="AZ16" s="79"/>
      <c r="BA16" s="79"/>
      <c r="BB16" s="79"/>
      <c r="BC16" s="79"/>
      <c r="BD16" s="79"/>
      <c r="BE16" s="79"/>
      <c r="BF16" s="79"/>
      <c r="BG16" s="79"/>
      <c r="BH16" s="79"/>
      <c r="BI16" s="79"/>
      <c r="BJ16" s="79"/>
      <c r="BK16" s="214">
        <v>1000</v>
      </c>
      <c r="BL16" s="225"/>
      <c r="BM16" s="225"/>
      <c r="BN16" s="277"/>
      <c r="BO16" s="302"/>
      <c r="BP16" s="79"/>
      <c r="BQ16" s="79"/>
      <c r="BR16" s="79"/>
      <c r="BS16" s="88"/>
      <c r="BT16" s="78"/>
    </row>
    <row r="17" spans="1:72" ht="21.15" customHeight="1" x14ac:dyDescent="0.55000000000000004">
      <c r="A17" s="78"/>
      <c r="B17" s="79"/>
      <c r="C17" s="79"/>
      <c r="D17" s="79"/>
      <c r="E17" s="79"/>
      <c r="F17" s="79"/>
      <c r="G17" s="92"/>
      <c r="H17" s="87"/>
      <c r="I17" s="87"/>
      <c r="J17" s="87"/>
      <c r="K17" s="92"/>
      <c r="L17" s="87"/>
      <c r="M17" s="87"/>
      <c r="N17" s="87"/>
      <c r="O17" s="87"/>
      <c r="P17" s="87"/>
      <c r="Q17" s="87"/>
      <c r="R17" s="87"/>
      <c r="S17" s="87"/>
      <c r="T17" s="87"/>
      <c r="U17" s="87"/>
      <c r="V17" s="87"/>
      <c r="W17" s="242">
        <f>VLOOKUP(W15,市町村データ!A2:P106,MATCH(手順書_大字_世帯数!$F$65, 市町村データ!A1:P1, 0),FALSE)</f>
        <v>15021</v>
      </c>
      <c r="X17" s="156"/>
      <c r="Y17" s="156"/>
      <c r="Z17" s="156"/>
      <c r="AA17" s="87"/>
      <c r="AB17" s="87"/>
      <c r="AC17" s="87"/>
      <c r="AD17" s="87"/>
      <c r="AE17" s="87"/>
      <c r="AF17" s="87"/>
      <c r="AG17" s="87"/>
      <c r="AH17" s="87"/>
      <c r="AI17" s="87"/>
      <c r="AJ17" s="87"/>
      <c r="AK17" s="87"/>
      <c r="AL17" s="87"/>
      <c r="AM17" s="243">
        <f>VLOOKUP(AM15,市町村データ!A2:P106,MATCH(手順書_大字_世帯数!$F$65, 市町村データ!A1:P1, 0),FALSE)</f>
        <v>4562</v>
      </c>
      <c r="AN17" s="156"/>
      <c r="AO17" s="156"/>
      <c r="AP17" s="158"/>
      <c r="AQ17" s="93"/>
      <c r="AR17" s="89"/>
      <c r="AS17" s="89"/>
      <c r="AT17" s="89"/>
      <c r="AU17" s="79"/>
      <c r="AV17" s="79"/>
      <c r="AW17" s="79"/>
      <c r="AX17" s="79"/>
      <c r="AY17" s="79"/>
      <c r="AZ17" s="79"/>
      <c r="BA17" s="79"/>
      <c r="BB17" s="79"/>
      <c r="BC17" s="79"/>
      <c r="BD17" s="79"/>
      <c r="BE17" s="79"/>
      <c r="BF17" s="79"/>
      <c r="BG17" s="79"/>
      <c r="BH17" s="79"/>
      <c r="BI17" s="79"/>
      <c r="BJ17" s="79"/>
      <c r="BK17" s="214">
        <v>750</v>
      </c>
      <c r="BL17" s="215"/>
      <c r="BM17" s="215"/>
      <c r="BN17" s="105"/>
      <c r="BO17" s="109"/>
      <c r="BP17" s="79"/>
      <c r="BQ17" s="79"/>
      <c r="BR17" s="79"/>
      <c r="BS17" s="79"/>
      <c r="BT17" s="78"/>
    </row>
    <row r="18" spans="1:72" ht="21.15" customHeight="1" thickBot="1" x14ac:dyDescent="0.6">
      <c r="A18" s="78"/>
      <c r="B18" s="79"/>
      <c r="C18" s="79"/>
      <c r="D18" s="79"/>
      <c r="E18" s="79"/>
      <c r="F18" s="79"/>
      <c r="G18" s="85"/>
      <c r="H18" s="79"/>
      <c r="I18" s="79"/>
      <c r="J18" s="79"/>
      <c r="K18" s="85"/>
      <c r="L18" s="79"/>
      <c r="M18" s="79"/>
      <c r="N18" s="79"/>
      <c r="O18" s="79"/>
      <c r="P18" s="79"/>
      <c r="Q18" s="79"/>
      <c r="R18" s="79"/>
      <c r="S18" s="79"/>
      <c r="T18" s="79"/>
      <c r="U18" s="79"/>
      <c r="V18" s="79"/>
      <c r="W18" s="308">
        <f>VLOOKUP(W15,市町村データ!A2:P106,MATCH(手順書_大字_世帯数!$F$66, 市町村データ!A1:P1, 0),FALSE)</f>
        <v>487.2</v>
      </c>
      <c r="X18" s="156"/>
      <c r="Y18" s="156"/>
      <c r="Z18" s="156"/>
      <c r="AA18" s="79"/>
      <c r="AB18" s="79"/>
      <c r="AC18" s="79"/>
      <c r="AD18" s="79"/>
      <c r="AE18" s="79"/>
      <c r="AF18" s="79"/>
      <c r="AG18" s="79"/>
      <c r="AH18" s="79"/>
      <c r="AI18" s="79"/>
      <c r="AJ18" s="79"/>
      <c r="AK18" s="79"/>
      <c r="AL18" s="79"/>
      <c r="AM18" s="306">
        <f>VLOOKUP(AM15,市町村データ!A2:P106,MATCH(手順書_大字_世帯数!$F$66, 市町村データ!A1:P1, 0),FALSE)</f>
        <v>115.8</v>
      </c>
      <c r="AN18" s="156"/>
      <c r="AO18" s="156"/>
      <c r="AP18" s="158"/>
      <c r="AQ18" s="85"/>
      <c r="AR18" s="79"/>
      <c r="AS18" s="79"/>
      <c r="AT18" s="79"/>
      <c r="AU18" s="79"/>
      <c r="AV18" s="79"/>
      <c r="AW18" s="79"/>
      <c r="AX18" s="79"/>
      <c r="AY18" s="79"/>
      <c r="AZ18" s="79"/>
      <c r="BA18" s="79"/>
      <c r="BB18" s="79"/>
      <c r="BC18" s="79"/>
      <c r="BD18" s="79"/>
      <c r="BE18" s="79"/>
      <c r="BF18" s="79"/>
      <c r="BG18" s="79"/>
      <c r="BH18" s="79"/>
      <c r="BI18" s="79"/>
      <c r="BJ18" s="79"/>
      <c r="BK18" s="214">
        <v>500</v>
      </c>
      <c r="BL18" s="218"/>
      <c r="BM18" s="218"/>
      <c r="BN18" s="106"/>
      <c r="BO18" s="110"/>
      <c r="BP18" s="79"/>
      <c r="BQ18" s="79"/>
      <c r="BR18" s="79"/>
      <c r="BS18" s="79"/>
      <c r="BT18" s="78"/>
    </row>
    <row r="19" spans="1:72" ht="21.15" customHeight="1" x14ac:dyDescent="0.55000000000000004">
      <c r="A19" s="78"/>
      <c r="B19" s="79"/>
      <c r="C19" s="81" t="s">
        <v>64</v>
      </c>
      <c r="D19" s="79"/>
      <c r="E19" s="79"/>
      <c r="F19" s="79"/>
      <c r="G19" s="95"/>
      <c r="H19" s="84"/>
      <c r="I19" s="84"/>
      <c r="J19" s="84"/>
      <c r="K19" s="95"/>
      <c r="L19" s="84"/>
      <c r="M19" s="84"/>
      <c r="N19" s="84"/>
      <c r="O19" s="82" t="s">
        <v>516</v>
      </c>
      <c r="P19" s="142" t="str">
        <f>VLOOKUP(O19,市町村データ!A2:P106,MATCH(手順書_大字_世帯数!$G$63, 市町村データ!A1:P1, 0),FALSE)</f>
        <v>菅沢</v>
      </c>
      <c r="Q19" s="154"/>
      <c r="R19" s="154"/>
      <c r="S19" s="84"/>
      <c r="T19" s="84"/>
      <c r="U19" s="84"/>
      <c r="V19" s="84"/>
      <c r="W19" s="85"/>
      <c r="X19" s="79"/>
      <c r="Y19" s="79"/>
      <c r="Z19" s="79"/>
      <c r="AA19" s="79"/>
      <c r="AB19" s="79"/>
      <c r="AC19" s="79"/>
      <c r="AD19" s="79"/>
      <c r="AE19" s="79"/>
      <c r="AF19" s="79"/>
      <c r="AG19" s="79"/>
      <c r="AH19" s="79"/>
      <c r="AI19" s="79"/>
      <c r="AJ19" s="79"/>
      <c r="AK19" s="79"/>
      <c r="AL19" s="79"/>
      <c r="AM19" s="85"/>
      <c r="AN19" s="79"/>
      <c r="AO19" s="79"/>
      <c r="AP19" s="79"/>
      <c r="AQ19" s="84"/>
      <c r="AR19" s="84"/>
      <c r="AS19" s="84"/>
      <c r="AT19" s="84"/>
      <c r="AU19" s="91"/>
      <c r="AV19" s="79"/>
      <c r="AW19" s="79"/>
      <c r="AX19" s="79"/>
      <c r="AY19" s="86"/>
      <c r="AZ19" s="79"/>
      <c r="BA19" s="79"/>
      <c r="BB19" s="79"/>
      <c r="BC19" s="86"/>
      <c r="BD19" s="79"/>
      <c r="BE19" s="79"/>
      <c r="BF19" s="79"/>
      <c r="BG19" s="86"/>
      <c r="BH19" s="79"/>
      <c r="BI19" s="79"/>
      <c r="BJ19" s="79"/>
      <c r="BK19" s="214">
        <v>250</v>
      </c>
      <c r="BL19" s="301"/>
      <c r="BM19" s="301"/>
      <c r="BN19" s="220"/>
      <c r="BO19" s="217"/>
      <c r="BP19" s="79"/>
      <c r="BQ19" s="79"/>
      <c r="BR19" s="79"/>
      <c r="BS19" s="79"/>
      <c r="BT19" s="78"/>
    </row>
    <row r="20" spans="1:72" ht="21.15" customHeight="1" thickBot="1" x14ac:dyDescent="0.6">
      <c r="A20" s="78"/>
      <c r="B20" s="79"/>
      <c r="C20" s="79"/>
      <c r="D20" s="79"/>
      <c r="E20" s="79"/>
      <c r="F20" s="79"/>
      <c r="G20" s="87"/>
      <c r="H20" s="87"/>
      <c r="I20" s="87"/>
      <c r="J20" s="87"/>
      <c r="K20" s="87"/>
      <c r="L20" s="87"/>
      <c r="M20" s="87"/>
      <c r="N20" s="87"/>
      <c r="O20" s="261">
        <f>VLOOKUP(O19,市町村データ!A2:P106,MATCH(手順書_大字_世帯数!$F$64, 市町村データ!A1:P1, 0),FALSE)</f>
        <v>8.4</v>
      </c>
      <c r="P20" s="156"/>
      <c r="Q20" s="156"/>
      <c r="R20" s="156"/>
      <c r="S20" s="87"/>
      <c r="T20" s="87"/>
      <c r="U20" s="87"/>
      <c r="V20" s="87"/>
      <c r="W20" s="92"/>
      <c r="X20" s="87"/>
      <c r="Y20" s="87"/>
      <c r="Z20" s="87"/>
      <c r="AA20" s="87"/>
      <c r="AB20" s="87"/>
      <c r="AC20" s="87"/>
      <c r="AD20" s="87"/>
      <c r="AE20" s="87"/>
      <c r="AF20" s="87"/>
      <c r="AG20" s="87"/>
      <c r="AH20" s="87"/>
      <c r="AI20" s="87"/>
      <c r="AJ20" s="87"/>
      <c r="AK20" s="87"/>
      <c r="AL20" s="87"/>
      <c r="AM20" s="92"/>
      <c r="AN20" s="87"/>
      <c r="AO20" s="87"/>
      <c r="AP20" s="87"/>
      <c r="AQ20" s="87"/>
      <c r="AR20" s="87"/>
      <c r="AS20" s="87"/>
      <c r="AT20" s="87"/>
      <c r="AU20" s="92"/>
      <c r="AV20" s="87"/>
      <c r="AW20" s="87"/>
      <c r="AX20" s="87"/>
      <c r="AY20" s="87"/>
      <c r="AZ20" s="87"/>
      <c r="BA20" s="87"/>
      <c r="BB20" s="87"/>
      <c r="BC20" s="87"/>
      <c r="BD20" s="87"/>
      <c r="BE20" s="87"/>
      <c r="BF20" s="87"/>
      <c r="BG20" s="87"/>
      <c r="BH20" s="87"/>
      <c r="BI20" s="87"/>
      <c r="BJ20" s="87"/>
      <c r="BK20" s="210">
        <v>0</v>
      </c>
      <c r="BL20" s="211"/>
      <c r="BM20" s="211"/>
      <c r="BN20" s="107"/>
      <c r="BO20" s="108"/>
      <c r="BP20" s="79"/>
      <c r="BQ20" s="79"/>
      <c r="BR20" s="79"/>
      <c r="BS20" s="79"/>
      <c r="BT20" s="78"/>
    </row>
    <row r="21" spans="1:72" ht="21.15" customHeight="1" x14ac:dyDescent="0.55000000000000004">
      <c r="A21" s="78"/>
      <c r="B21" s="79"/>
      <c r="C21" s="79"/>
      <c r="D21" s="79"/>
      <c r="E21" s="79"/>
      <c r="F21" s="79"/>
      <c r="G21" s="89"/>
      <c r="H21" s="89"/>
      <c r="I21" s="89"/>
      <c r="J21" s="89"/>
      <c r="K21" s="89"/>
      <c r="L21" s="89"/>
      <c r="M21" s="89"/>
      <c r="N21" s="89"/>
      <c r="O21" s="263">
        <f>VLOOKUP(O19,市町村データ!A2:P106,MATCH(手順書_大字_世帯数!$F$65, 市町村データ!A1:P1, 0),FALSE)</f>
        <v>692</v>
      </c>
      <c r="P21" s="156"/>
      <c r="Q21" s="156"/>
      <c r="R21" s="156"/>
      <c r="S21" s="87"/>
      <c r="T21" s="87"/>
      <c r="U21" s="87"/>
      <c r="V21" s="87"/>
      <c r="W21" s="92"/>
      <c r="X21" s="87"/>
      <c r="Y21" s="87"/>
      <c r="Z21" s="87"/>
      <c r="AA21" s="87"/>
      <c r="AB21" s="87"/>
      <c r="AC21" s="87"/>
      <c r="AD21" s="87"/>
      <c r="AE21" s="87"/>
      <c r="AF21" s="87"/>
      <c r="AG21" s="87"/>
      <c r="AH21" s="87"/>
      <c r="AI21" s="87"/>
      <c r="AJ21" s="87"/>
      <c r="AK21" s="87"/>
      <c r="AL21" s="87"/>
      <c r="AM21" s="92"/>
      <c r="AN21" s="87"/>
      <c r="AO21" s="87"/>
      <c r="AP21" s="87"/>
      <c r="AQ21" s="87"/>
      <c r="AR21" s="87"/>
      <c r="AS21" s="87"/>
      <c r="AT21" s="87"/>
      <c r="AU21" s="93"/>
      <c r="AV21" s="89"/>
      <c r="AW21" s="89"/>
      <c r="AX21" s="89"/>
      <c r="AY21" s="89"/>
      <c r="AZ21" s="89"/>
      <c r="BA21" s="89"/>
      <c r="BB21" s="89"/>
      <c r="BC21" s="89"/>
      <c r="BD21" s="89"/>
      <c r="BE21" s="89"/>
      <c r="BF21" s="89"/>
      <c r="BG21" s="89"/>
      <c r="BH21" s="89"/>
      <c r="BI21" s="89"/>
      <c r="BJ21" s="89"/>
      <c r="BK21" s="89"/>
      <c r="BL21" s="89"/>
      <c r="BM21" s="89"/>
      <c r="BN21" s="89"/>
      <c r="BO21" s="79"/>
      <c r="BP21" s="79"/>
      <c r="BQ21" s="79"/>
      <c r="BR21" s="79"/>
      <c r="BS21" s="79"/>
      <c r="BT21" s="78"/>
    </row>
    <row r="22" spans="1:72" ht="21.15" customHeight="1" thickBot="1" x14ac:dyDescent="0.6">
      <c r="A22" s="78"/>
      <c r="B22" s="79"/>
      <c r="C22" s="79"/>
      <c r="D22" s="79"/>
      <c r="E22" s="79"/>
      <c r="F22" s="79"/>
      <c r="G22" s="79"/>
      <c r="H22" s="79"/>
      <c r="I22" s="79"/>
      <c r="J22" s="79"/>
      <c r="K22" s="79"/>
      <c r="L22" s="79"/>
      <c r="M22" s="79"/>
      <c r="N22" s="79"/>
      <c r="O22" s="257">
        <f>VLOOKUP(O19,市町村データ!A2:P106,MATCH(手順書_大字_世帯数!$F$66, 市町村データ!A1:P1, 0),FALSE)</f>
        <v>82.1</v>
      </c>
      <c r="P22" s="153"/>
      <c r="Q22" s="153"/>
      <c r="R22" s="153"/>
      <c r="S22" s="79"/>
      <c r="T22" s="79"/>
      <c r="U22" s="79"/>
      <c r="V22" s="79"/>
      <c r="W22" s="85"/>
      <c r="X22" s="79"/>
      <c r="Y22" s="79"/>
      <c r="Z22" s="79"/>
      <c r="AA22" s="79"/>
      <c r="AB22" s="79"/>
      <c r="AC22" s="79"/>
      <c r="AD22" s="79"/>
      <c r="AE22" s="79"/>
      <c r="AF22" s="79"/>
      <c r="AG22" s="79"/>
      <c r="AH22" s="79"/>
      <c r="AI22" s="79"/>
      <c r="AJ22" s="79"/>
      <c r="AK22" s="79"/>
      <c r="AL22" s="79"/>
      <c r="AM22" s="85"/>
      <c r="AN22" s="79"/>
      <c r="AO22" s="79"/>
      <c r="AP22" s="79"/>
      <c r="AQ22" s="79"/>
      <c r="AR22" s="79"/>
      <c r="AS22" s="79"/>
      <c r="AT22" s="79"/>
      <c r="AU22" s="85"/>
      <c r="AV22" s="79"/>
      <c r="AW22" s="79"/>
      <c r="AX22" s="79"/>
      <c r="AY22" s="79"/>
      <c r="AZ22" s="79"/>
      <c r="BA22" s="79"/>
      <c r="BB22" s="79"/>
      <c r="BC22" s="79"/>
      <c r="BD22" s="79"/>
      <c r="BE22" s="79"/>
      <c r="BF22" s="79"/>
      <c r="BG22" s="79"/>
      <c r="BH22" s="79"/>
      <c r="BI22" s="79"/>
      <c r="BJ22" s="79"/>
      <c r="BK22" s="79"/>
      <c r="BL22" s="79"/>
      <c r="BM22" s="79"/>
      <c r="BN22" s="79"/>
      <c r="BO22" s="79"/>
      <c r="BP22" s="79"/>
      <c r="BQ22" s="79"/>
      <c r="BR22" s="79"/>
      <c r="BS22" s="79"/>
      <c r="BT22" s="78"/>
    </row>
    <row r="23" spans="1:72" ht="21.15" customHeight="1" x14ac:dyDescent="0.55000000000000004">
      <c r="A23" s="78"/>
      <c r="B23" s="79"/>
      <c r="C23" s="81" t="s">
        <v>65</v>
      </c>
      <c r="D23" s="79"/>
      <c r="E23" s="79"/>
      <c r="F23" s="79"/>
      <c r="G23" s="79"/>
      <c r="H23" s="79"/>
      <c r="I23" s="79"/>
      <c r="J23" s="79"/>
      <c r="K23" s="79"/>
      <c r="L23" s="79"/>
      <c r="M23" s="79"/>
      <c r="N23" s="79"/>
      <c r="O23" s="82" t="s">
        <v>518</v>
      </c>
      <c r="P23" s="142" t="str">
        <f>VLOOKUP(O23,市町村データ!A2:P106,MATCH(手順書_大字_世帯数!$G$63, 市町村データ!A1:P1, 0),FALSE)</f>
        <v>あたご</v>
      </c>
      <c r="Q23" s="154"/>
      <c r="R23" s="154"/>
      <c r="S23" s="84"/>
      <c r="T23" s="84"/>
      <c r="U23" s="84"/>
      <c r="V23" s="84"/>
      <c r="W23" s="84"/>
      <c r="X23" s="84"/>
      <c r="Y23" s="84"/>
      <c r="Z23" s="84"/>
      <c r="AA23" s="82" t="s">
        <v>520</v>
      </c>
      <c r="AB23" s="142" t="str">
        <f>VLOOKUP(AA23,市町村データ!A2:P106,MATCH(手順書_大字_世帯数!$G$63, 市町村データ!A1:P1, 0),FALSE)</f>
        <v>本多</v>
      </c>
      <c r="AC23" s="154"/>
      <c r="AD23" s="154"/>
      <c r="AE23" s="84"/>
      <c r="AF23" s="84"/>
      <c r="AG23" s="84"/>
      <c r="AH23" s="84"/>
      <c r="AI23" s="82" t="s">
        <v>533</v>
      </c>
      <c r="AJ23" s="142" t="str">
        <f>VLOOKUP(AI23,市町村データ!A2:P106,MATCH(手順書_大字_世帯数!$G$63, 市町村データ!A1:P1, 0),FALSE)</f>
        <v>堀ノ内</v>
      </c>
      <c r="AK23" s="154"/>
      <c r="AL23" s="159"/>
      <c r="AM23" s="82" t="s">
        <v>536</v>
      </c>
      <c r="AN23" s="142" t="str">
        <f>VLOOKUP(AM23,市町村データ!A2:P106,MATCH(手順書_大字_世帯数!$G$63, 市町村データ!A1:P1, 0),FALSE)</f>
        <v>馬場</v>
      </c>
      <c r="AO23" s="154"/>
      <c r="AP23" s="154"/>
      <c r="AQ23" s="84"/>
      <c r="AR23" s="84"/>
      <c r="AS23" s="84"/>
      <c r="AT23" s="84"/>
      <c r="AU23" s="82" t="s">
        <v>539</v>
      </c>
      <c r="AV23" s="142" t="str">
        <f>VLOOKUP(AU23,市町村データ!A2:P106,MATCH(手順書_大字_世帯数!$G$63, 市町村データ!A1:P1, 0),FALSE)</f>
        <v>新塚</v>
      </c>
      <c r="AW23" s="154"/>
      <c r="AX23" s="154"/>
      <c r="AY23" s="84"/>
      <c r="AZ23" s="84"/>
      <c r="BA23" s="84"/>
      <c r="BB23" s="84"/>
      <c r="BC23" s="91"/>
      <c r="BD23" s="79"/>
      <c r="BE23" s="79"/>
      <c r="BF23" s="79"/>
      <c r="BG23" s="86"/>
      <c r="BH23" s="79"/>
      <c r="BI23" s="79"/>
      <c r="BJ23" s="79"/>
      <c r="BK23" s="79"/>
      <c r="BL23" s="79"/>
      <c r="BM23" s="79"/>
      <c r="BN23" s="79"/>
      <c r="BO23" s="86"/>
      <c r="BP23" s="79"/>
      <c r="BQ23" s="79"/>
      <c r="BR23" s="79"/>
      <c r="BS23" s="79"/>
      <c r="BT23" s="78"/>
    </row>
    <row r="24" spans="1:72" ht="21.15" customHeight="1" x14ac:dyDescent="0.55000000000000004">
      <c r="A24" s="78"/>
      <c r="B24" s="79"/>
      <c r="C24" s="79"/>
      <c r="D24" s="79"/>
      <c r="E24" s="79"/>
      <c r="F24" s="79"/>
      <c r="G24" s="79"/>
      <c r="H24" s="79"/>
      <c r="I24" s="79"/>
      <c r="J24" s="79"/>
      <c r="K24" s="79"/>
      <c r="L24" s="79"/>
      <c r="M24" s="79"/>
      <c r="N24" s="79"/>
      <c r="O24" s="261">
        <f>VLOOKUP(O23,市町村データ!A2:P106,MATCH(手順書_大字_世帯数!$F$64, 市町村データ!A1:P1, 0),FALSE)</f>
        <v>13.1</v>
      </c>
      <c r="P24" s="156"/>
      <c r="Q24" s="156"/>
      <c r="R24" s="156"/>
      <c r="S24" s="87"/>
      <c r="T24" s="87"/>
      <c r="U24" s="87"/>
      <c r="V24" s="87"/>
      <c r="W24" s="87"/>
      <c r="X24" s="87"/>
      <c r="Y24" s="87"/>
      <c r="Z24" s="87"/>
      <c r="AA24" s="261">
        <f>VLOOKUP(AA23,市町村データ!A2:P106,MATCH(手順書_大字_世帯数!$F$64, 市町村データ!A1:P1, 0),FALSE)</f>
        <v>6.7</v>
      </c>
      <c r="AB24" s="156"/>
      <c r="AC24" s="156"/>
      <c r="AD24" s="156"/>
      <c r="AE24" s="87"/>
      <c r="AF24" s="87"/>
      <c r="AG24" s="87"/>
      <c r="AH24" s="87"/>
      <c r="AI24" s="255">
        <f>VLOOKUP(AI23,市町村データ!A2:P106,MATCH(手順書_大字_世帯数!$F$64, 市町村データ!A1:P1, 0),FALSE)</f>
        <v>9.9</v>
      </c>
      <c r="AJ24" s="156"/>
      <c r="AK24" s="156"/>
      <c r="AL24" s="158"/>
      <c r="AM24" s="250">
        <f>VLOOKUP(AM23,市町村データ!A2:P106,MATCH(手順書_大字_世帯数!$F$64, 市町村データ!A1:P1, 0),FALSE)</f>
        <v>20.9</v>
      </c>
      <c r="AN24" s="156"/>
      <c r="AO24" s="156"/>
      <c r="AP24" s="156"/>
      <c r="AQ24" s="87"/>
      <c r="AR24" s="87"/>
      <c r="AS24" s="87"/>
      <c r="AT24" s="87"/>
      <c r="AU24" s="261">
        <f>VLOOKUP(AU23,市町村データ!A2:P106,MATCH(手順書_大字_世帯数!$F$64, 市町村データ!A1:P1, 0),FALSE)</f>
        <v>9</v>
      </c>
      <c r="AV24" s="156"/>
      <c r="AW24" s="156"/>
      <c r="AX24" s="156"/>
      <c r="AY24" s="87"/>
      <c r="AZ24" s="87"/>
      <c r="BA24" s="87"/>
      <c r="BB24" s="87"/>
      <c r="BC24" s="92"/>
      <c r="BD24" s="87"/>
      <c r="BE24" s="87"/>
      <c r="BF24" s="87"/>
      <c r="BG24" s="87"/>
      <c r="BH24" s="87"/>
      <c r="BI24" s="87"/>
      <c r="BJ24" s="87"/>
      <c r="BK24" s="79"/>
      <c r="BL24" s="79"/>
      <c r="BM24" s="79"/>
      <c r="BN24" s="79"/>
      <c r="BO24" s="87"/>
      <c r="BP24" s="50"/>
      <c r="BQ24" s="50"/>
      <c r="BR24" s="50"/>
      <c r="BS24" s="79"/>
      <c r="BT24" s="78"/>
    </row>
    <row r="25" spans="1:72" ht="21.15" customHeight="1" x14ac:dyDescent="0.55000000000000004">
      <c r="A25" s="78"/>
      <c r="B25" s="79"/>
      <c r="C25" s="79"/>
      <c r="D25" s="79"/>
      <c r="E25" s="79"/>
      <c r="F25" s="79"/>
      <c r="G25" s="79"/>
      <c r="H25" s="79"/>
      <c r="I25" s="79"/>
      <c r="J25" s="79"/>
      <c r="K25" s="79"/>
      <c r="L25" s="79"/>
      <c r="M25" s="79"/>
      <c r="N25" s="79"/>
      <c r="O25" s="263">
        <f>VLOOKUP(O23,市町村データ!A2:P106,MATCH(手順書_大字_世帯数!$F$65, 市町村データ!A1:P1, 0),FALSE)</f>
        <v>730</v>
      </c>
      <c r="P25" s="156"/>
      <c r="Q25" s="156"/>
      <c r="R25" s="156"/>
      <c r="S25" s="87"/>
      <c r="T25" s="87"/>
      <c r="U25" s="87"/>
      <c r="V25" s="87"/>
      <c r="W25" s="87"/>
      <c r="X25" s="87"/>
      <c r="Y25" s="87"/>
      <c r="Z25" s="87"/>
      <c r="AA25" s="263">
        <f>VLOOKUP(AA23,市町村データ!A2:P106,MATCH(手順書_大字_世帯数!$F$65, 市町村データ!A1:P1, 0),FALSE)</f>
        <v>622</v>
      </c>
      <c r="AB25" s="156"/>
      <c r="AC25" s="156"/>
      <c r="AD25" s="156"/>
      <c r="AE25" s="87"/>
      <c r="AF25" s="87"/>
      <c r="AG25" s="87"/>
      <c r="AH25" s="87"/>
      <c r="AI25" s="254">
        <f>VLOOKUP(AI23,市町村データ!A2:P106,MATCH(手順書_大字_世帯数!$F$65, 市町村データ!A1:P1, 0),FALSE)</f>
        <v>778</v>
      </c>
      <c r="AJ25" s="156"/>
      <c r="AK25" s="156"/>
      <c r="AL25" s="158"/>
      <c r="AM25" s="252">
        <f>VLOOKUP(AM23,市町村データ!A2:P106,MATCH(手順書_大字_世帯数!$F$65, 市町村データ!A1:P1, 0),FALSE)</f>
        <v>2637</v>
      </c>
      <c r="AN25" s="156"/>
      <c r="AO25" s="156"/>
      <c r="AP25" s="156"/>
      <c r="AQ25" s="87"/>
      <c r="AR25" s="87"/>
      <c r="AS25" s="87"/>
      <c r="AT25" s="87"/>
      <c r="AU25" s="263">
        <f>VLOOKUP(AU23,市町村データ!A2:P106,MATCH(手順書_大字_世帯数!$F$65, 市町村データ!A1:P1, 0),FALSE)</f>
        <v>568</v>
      </c>
      <c r="AV25" s="156"/>
      <c r="AW25" s="156"/>
      <c r="AX25" s="156"/>
      <c r="AY25" s="87"/>
      <c r="AZ25" s="87"/>
      <c r="BA25" s="87"/>
      <c r="BB25" s="87"/>
      <c r="BC25" s="93"/>
      <c r="BD25" s="89"/>
      <c r="BE25" s="89"/>
      <c r="BF25" s="89"/>
      <c r="BG25" s="89"/>
      <c r="BH25" s="89"/>
      <c r="BI25" s="89"/>
      <c r="BJ25" s="89"/>
      <c r="BK25" s="79"/>
      <c r="BL25" s="79"/>
      <c r="BM25" s="79"/>
      <c r="BN25" s="79"/>
      <c r="BO25" s="89"/>
      <c r="BP25" s="51"/>
      <c r="BQ25" s="51"/>
      <c r="BR25" s="51"/>
      <c r="BS25" s="79"/>
      <c r="BT25" s="78"/>
    </row>
    <row r="26" spans="1:72" ht="21.15" customHeight="1" thickBot="1" x14ac:dyDescent="0.6">
      <c r="A26" s="78"/>
      <c r="B26" s="79"/>
      <c r="C26" s="79"/>
      <c r="D26" s="79"/>
      <c r="E26" s="79"/>
      <c r="F26" s="79"/>
      <c r="G26" s="79"/>
      <c r="H26" s="79"/>
      <c r="I26" s="79"/>
      <c r="J26" s="79"/>
      <c r="K26" s="79"/>
      <c r="L26" s="79"/>
      <c r="M26" s="79"/>
      <c r="N26" s="79"/>
      <c r="O26" s="257">
        <f>VLOOKUP(O23,市町村データ!A2:P106,MATCH(手順書_大字_世帯数!$F$66, 市町村データ!A1:P1, 0),FALSE)</f>
        <v>55.6</v>
      </c>
      <c r="P26" s="153"/>
      <c r="Q26" s="153"/>
      <c r="R26" s="153"/>
      <c r="S26" s="79"/>
      <c r="T26" s="79"/>
      <c r="U26" s="79"/>
      <c r="V26" s="79"/>
      <c r="W26" s="79"/>
      <c r="X26" s="79"/>
      <c r="Y26" s="79"/>
      <c r="Z26" s="79"/>
      <c r="AA26" s="257">
        <f>VLOOKUP(AA23,市町村データ!A2:P106,MATCH(手順書_大字_世帯数!$F$66, 市町村データ!A1:P1, 0),FALSE)</f>
        <v>93.1</v>
      </c>
      <c r="AB26" s="153"/>
      <c r="AC26" s="153"/>
      <c r="AD26" s="153"/>
      <c r="AE26" s="79"/>
      <c r="AF26" s="79"/>
      <c r="AG26" s="79"/>
      <c r="AH26" s="79"/>
      <c r="AI26" s="307">
        <f>VLOOKUP(AI23,市町村データ!A2:P106,MATCH(手順書_大字_世帯数!$F$66, 市町村データ!A1:P1, 0),FALSE)</f>
        <v>78.2</v>
      </c>
      <c r="AJ26" s="156"/>
      <c r="AK26" s="156"/>
      <c r="AL26" s="158"/>
      <c r="AM26" s="305">
        <f>VLOOKUP(AM23,市町村データ!A2:P106,MATCH(手順書_大字_世帯数!$F$66, 市町村データ!A1:P1, 0),FALSE)</f>
        <v>125.9</v>
      </c>
      <c r="AN26" s="156"/>
      <c r="AO26" s="156"/>
      <c r="AP26" s="156"/>
      <c r="AQ26" s="79"/>
      <c r="AR26" s="79"/>
      <c r="AS26" s="79"/>
      <c r="AT26" s="79"/>
      <c r="AU26" s="257">
        <f>VLOOKUP(AU23,市町村データ!A2:P106,MATCH(手順書_大字_世帯数!$F$66, 市町村データ!A1:P1, 0),FALSE)</f>
        <v>62.9</v>
      </c>
      <c r="AV26" s="153"/>
      <c r="AW26" s="153"/>
      <c r="AX26" s="153"/>
      <c r="AY26" s="79"/>
      <c r="AZ26" s="79"/>
      <c r="BA26" s="79"/>
      <c r="BB26" s="79"/>
      <c r="BC26" s="85"/>
      <c r="BD26" s="79"/>
      <c r="BE26" s="79"/>
      <c r="BF26" s="79"/>
      <c r="BG26" s="79"/>
      <c r="BH26" s="79"/>
      <c r="BI26" s="79"/>
      <c r="BJ26" s="79"/>
      <c r="BK26" s="79"/>
      <c r="BL26" s="79"/>
      <c r="BM26" s="79"/>
      <c r="BN26" s="79"/>
      <c r="BO26" s="79"/>
      <c r="BP26" s="52"/>
      <c r="BQ26" s="52"/>
      <c r="BR26" s="52"/>
      <c r="BS26" s="79"/>
      <c r="BT26" s="78"/>
    </row>
    <row r="27" spans="1:72" ht="21.15" customHeight="1" x14ac:dyDescent="0.55000000000000004">
      <c r="A27" s="78"/>
      <c r="B27" s="79"/>
      <c r="C27" s="81" t="s">
        <v>66</v>
      </c>
      <c r="D27" s="79"/>
      <c r="E27" s="79"/>
      <c r="F27" s="79"/>
      <c r="G27" s="79"/>
      <c r="H27" s="79"/>
      <c r="I27" s="79"/>
      <c r="J27" s="79"/>
      <c r="K27" s="79"/>
      <c r="L27" s="79"/>
      <c r="M27" s="79"/>
      <c r="N27" s="79"/>
      <c r="O27" s="84"/>
      <c r="P27" s="84"/>
      <c r="Q27" s="84"/>
      <c r="R27" s="84"/>
      <c r="S27" s="82" t="s">
        <v>542</v>
      </c>
      <c r="T27" s="142" t="str">
        <f>VLOOKUP(S27,市町村データ!A2:P106,MATCH(手順書_大字_世帯数!$G$63, 市町村データ!A1:P1, 0),FALSE)</f>
        <v>西堀</v>
      </c>
      <c r="U27" s="154"/>
      <c r="V27" s="154"/>
      <c r="W27" s="84"/>
      <c r="X27" s="84"/>
      <c r="Y27" s="84"/>
      <c r="Z27" s="84"/>
      <c r="AA27" s="82" t="s">
        <v>544</v>
      </c>
      <c r="AB27" s="142" t="str">
        <f>VLOOKUP(AA27,市町村データ!A2:P106,MATCH(手順書_大字_世帯数!$G$63, 市町村データ!A1:P1, 0),FALSE)</f>
        <v>石神</v>
      </c>
      <c r="AC27" s="154"/>
      <c r="AD27" s="159"/>
      <c r="AE27" s="96"/>
      <c r="AF27" s="84"/>
      <c r="AG27" s="84"/>
      <c r="AH27" s="84"/>
      <c r="AI27" s="79"/>
      <c r="AJ27" s="79"/>
      <c r="AK27" s="79"/>
      <c r="AL27" s="79"/>
      <c r="AM27" s="85"/>
      <c r="AN27" s="79"/>
      <c r="AO27" s="79"/>
      <c r="AP27" s="79"/>
      <c r="AQ27" s="79"/>
      <c r="AR27" s="79"/>
      <c r="AS27" s="79"/>
      <c r="AT27" s="79"/>
      <c r="AU27" s="82" t="s">
        <v>546</v>
      </c>
      <c r="AV27" s="142" t="str">
        <f>VLOOKUP(AU27,市町村データ!A2:P106,MATCH(手順書_大字_世帯数!$G$63, 市町村データ!A1:P1, 0),FALSE)</f>
        <v>栄</v>
      </c>
      <c r="AW27" s="154"/>
      <c r="AX27" s="154"/>
      <c r="AY27" s="84"/>
      <c r="AZ27" s="84"/>
      <c r="BA27" s="84"/>
      <c r="BB27" s="84"/>
      <c r="BC27" s="84"/>
      <c r="BD27" s="84"/>
      <c r="BE27" s="84"/>
      <c r="BF27" s="84"/>
      <c r="BG27" s="84"/>
      <c r="BH27" s="84"/>
      <c r="BI27" s="84"/>
      <c r="BJ27" s="84"/>
      <c r="BK27" s="84"/>
      <c r="BL27" s="84"/>
      <c r="BM27" s="84"/>
      <c r="BN27" s="84"/>
      <c r="BO27" s="91"/>
      <c r="BP27" s="79"/>
      <c r="BQ27" s="79"/>
      <c r="BR27" s="79"/>
      <c r="BS27" s="79"/>
      <c r="BT27" s="78"/>
    </row>
    <row r="28" spans="1:72" ht="21.15" customHeight="1" x14ac:dyDescent="0.55000000000000004">
      <c r="A28" s="78"/>
      <c r="B28" s="79"/>
      <c r="C28" s="79"/>
      <c r="D28" s="79"/>
      <c r="E28" s="79"/>
      <c r="F28" s="79"/>
      <c r="G28" s="79"/>
      <c r="H28" s="79"/>
      <c r="I28" s="79"/>
      <c r="J28" s="79"/>
      <c r="K28" s="79"/>
      <c r="L28" s="79"/>
      <c r="M28" s="79"/>
      <c r="N28" s="79"/>
      <c r="O28" s="79"/>
      <c r="P28" s="79"/>
      <c r="Q28" s="79"/>
      <c r="R28" s="79"/>
      <c r="S28" s="250">
        <f>VLOOKUP(S27,市町村データ!A2:P106,MATCH(手順書_大字_世帯数!$F$64, 市町村データ!A1:P1, 0),FALSE)</f>
        <v>26.1</v>
      </c>
      <c r="T28" s="156"/>
      <c r="U28" s="156"/>
      <c r="V28" s="156"/>
      <c r="W28" s="87"/>
      <c r="X28" s="87"/>
      <c r="Y28" s="87"/>
      <c r="Z28" s="87"/>
      <c r="AA28" s="238">
        <f>VLOOKUP(AA27,市町村データ!A2:P106,MATCH(手順書_大字_世帯数!$F$64, 市町村データ!A1:P1, 0),FALSE)</f>
        <v>54.6</v>
      </c>
      <c r="AB28" s="156"/>
      <c r="AC28" s="156"/>
      <c r="AD28" s="158"/>
      <c r="AE28" s="92"/>
      <c r="AF28" s="87"/>
      <c r="AG28" s="87"/>
      <c r="AH28" s="87"/>
      <c r="AI28" s="87"/>
      <c r="AJ28" s="87"/>
      <c r="AK28" s="87"/>
      <c r="AL28" s="87"/>
      <c r="AM28" s="92"/>
      <c r="AN28" s="87"/>
      <c r="AO28" s="87"/>
      <c r="AP28" s="87"/>
      <c r="AQ28" s="87"/>
      <c r="AR28" s="87"/>
      <c r="AS28" s="87"/>
      <c r="AT28" s="87"/>
      <c r="AU28" s="238">
        <f>VLOOKUP(AU27,市町村データ!A2:P106,MATCH(手順書_大字_世帯数!$F$64, 市町村データ!A1:P1, 0),FALSE)</f>
        <v>70</v>
      </c>
      <c r="AV28" s="156"/>
      <c r="AW28" s="156"/>
      <c r="AX28" s="156"/>
      <c r="AY28" s="87"/>
      <c r="AZ28" s="87"/>
      <c r="BA28" s="87"/>
      <c r="BB28" s="87"/>
      <c r="BC28" s="87"/>
      <c r="BD28" s="87"/>
      <c r="BE28" s="87"/>
      <c r="BF28" s="87"/>
      <c r="BG28" s="87"/>
      <c r="BH28" s="87"/>
      <c r="BI28" s="87"/>
      <c r="BJ28" s="87"/>
      <c r="BK28" s="87"/>
      <c r="BL28" s="87"/>
      <c r="BM28" s="87"/>
      <c r="BN28" s="87"/>
      <c r="BO28" s="92"/>
      <c r="BP28" s="50"/>
      <c r="BQ28" s="50"/>
      <c r="BR28" s="50"/>
      <c r="BS28" s="79"/>
      <c r="BT28" s="78"/>
    </row>
    <row r="29" spans="1:72" ht="21.15" customHeight="1" x14ac:dyDescent="0.55000000000000004">
      <c r="A29" s="78"/>
      <c r="B29" s="79"/>
      <c r="C29" s="79"/>
      <c r="D29" s="79"/>
      <c r="E29" s="79"/>
      <c r="F29" s="79"/>
      <c r="G29" s="79"/>
      <c r="H29" s="79"/>
      <c r="I29" s="79"/>
      <c r="J29" s="79"/>
      <c r="K29" s="79"/>
      <c r="L29" s="79"/>
      <c r="M29" s="79"/>
      <c r="N29" s="79"/>
      <c r="O29" s="79"/>
      <c r="P29" s="79"/>
      <c r="Q29" s="79"/>
      <c r="R29" s="79"/>
      <c r="S29" s="252">
        <f>VLOOKUP(S27,市町村データ!A2:P106,MATCH(手順書_大字_世帯数!$F$65, 市町村データ!A1:P1, 0),FALSE)</f>
        <v>2730</v>
      </c>
      <c r="T29" s="156"/>
      <c r="U29" s="156"/>
      <c r="V29" s="156"/>
      <c r="W29" s="87"/>
      <c r="X29" s="87"/>
      <c r="Y29" s="87"/>
      <c r="Z29" s="87"/>
      <c r="AA29" s="243">
        <f>VLOOKUP(AA27,市町村データ!A2:P106,MATCH(手順書_大字_世帯数!$F$65, 市町村データ!A1:P1, 0),FALSE)</f>
        <v>4250</v>
      </c>
      <c r="AB29" s="156"/>
      <c r="AC29" s="156"/>
      <c r="AD29" s="158"/>
      <c r="AE29" s="92"/>
      <c r="AF29" s="87"/>
      <c r="AG29" s="87"/>
      <c r="AH29" s="87"/>
      <c r="AI29" s="87"/>
      <c r="AJ29" s="87"/>
      <c r="AK29" s="87"/>
      <c r="AL29" s="87"/>
      <c r="AM29" s="92"/>
      <c r="AN29" s="87"/>
      <c r="AO29" s="87"/>
      <c r="AP29" s="87"/>
      <c r="AQ29" s="87"/>
      <c r="AR29" s="87"/>
      <c r="AS29" s="87"/>
      <c r="AT29" s="87"/>
      <c r="AU29" s="243">
        <f>VLOOKUP(AU27,市町村データ!A2:P106,MATCH(手順書_大字_世帯数!$F$65, 市町村データ!A1:P1, 0),FALSE)</f>
        <v>4762</v>
      </c>
      <c r="AV29" s="156"/>
      <c r="AW29" s="156"/>
      <c r="AX29" s="156"/>
      <c r="AY29" s="87"/>
      <c r="AZ29" s="87"/>
      <c r="BA29" s="87"/>
      <c r="BB29" s="87"/>
      <c r="BC29" s="87"/>
      <c r="BD29" s="87"/>
      <c r="BE29" s="87"/>
      <c r="BF29" s="87"/>
      <c r="BG29" s="87"/>
      <c r="BH29" s="87"/>
      <c r="BI29" s="87"/>
      <c r="BJ29" s="87"/>
      <c r="BK29" s="87"/>
      <c r="BL29" s="87"/>
      <c r="BM29" s="87"/>
      <c r="BN29" s="87"/>
      <c r="BO29" s="93"/>
      <c r="BP29" s="51"/>
      <c r="BQ29" s="51"/>
      <c r="BR29" s="51"/>
      <c r="BS29" s="79"/>
      <c r="BT29" s="78"/>
    </row>
    <row r="30" spans="1:72" ht="21.15" customHeight="1" thickBot="1" x14ac:dyDescent="0.6">
      <c r="A30" s="78"/>
      <c r="B30" s="79"/>
      <c r="C30" s="79"/>
      <c r="D30" s="79"/>
      <c r="E30" s="79"/>
      <c r="F30" s="79"/>
      <c r="G30" s="79"/>
      <c r="H30" s="79"/>
      <c r="I30" s="79"/>
      <c r="J30" s="79"/>
      <c r="K30" s="79"/>
      <c r="L30" s="79"/>
      <c r="M30" s="79"/>
      <c r="N30" s="79"/>
      <c r="O30" s="79"/>
      <c r="P30" s="79"/>
      <c r="Q30" s="79"/>
      <c r="R30" s="79"/>
      <c r="S30" s="305">
        <f>VLOOKUP(S27,市町村データ!A2:P106,MATCH(手順書_大字_世帯数!$F$66, 市町村データ!A1:P1, 0),FALSE)</f>
        <v>104.6</v>
      </c>
      <c r="T30" s="156"/>
      <c r="U30" s="156"/>
      <c r="V30" s="156"/>
      <c r="W30" s="79"/>
      <c r="X30" s="79"/>
      <c r="Y30" s="79"/>
      <c r="Z30" s="79"/>
      <c r="AA30" s="306">
        <f>VLOOKUP(AA27,市町村データ!A2:P106,MATCH(手順書_大字_世帯数!$F$66, 市町村データ!A1:P1, 0),FALSE)</f>
        <v>77.900000000000006</v>
      </c>
      <c r="AB30" s="156"/>
      <c r="AC30" s="156"/>
      <c r="AD30" s="158"/>
      <c r="AE30" s="85"/>
      <c r="AF30" s="79"/>
      <c r="AG30" s="79"/>
      <c r="AH30" s="79"/>
      <c r="AI30" s="79"/>
      <c r="AJ30" s="79"/>
      <c r="AK30" s="79"/>
      <c r="AL30" s="79"/>
      <c r="AM30" s="85"/>
      <c r="AN30" s="79"/>
      <c r="AO30" s="79"/>
      <c r="AP30" s="79"/>
      <c r="AQ30" s="79"/>
      <c r="AR30" s="79"/>
      <c r="AS30" s="79"/>
      <c r="AT30" s="79"/>
      <c r="AU30" s="241">
        <f>VLOOKUP(AU27,市町村データ!A2:P106,MATCH(手順書_大字_世帯数!$F$66, 市町村データ!A1:P1, 0),FALSE)</f>
        <v>68</v>
      </c>
      <c r="AV30" s="153"/>
      <c r="AW30" s="153"/>
      <c r="AX30" s="153"/>
      <c r="AY30" s="79"/>
      <c r="AZ30" s="79"/>
      <c r="BA30" s="79"/>
      <c r="BB30" s="79"/>
      <c r="BC30" s="79"/>
      <c r="BD30" s="79"/>
      <c r="BE30" s="79"/>
      <c r="BF30" s="79"/>
      <c r="BG30" s="79"/>
      <c r="BH30" s="79"/>
      <c r="BI30" s="79"/>
      <c r="BJ30" s="79"/>
      <c r="BK30" s="79"/>
      <c r="BL30" s="79"/>
      <c r="BM30" s="79"/>
      <c r="BN30" s="79"/>
      <c r="BO30" s="85"/>
      <c r="BP30" s="52"/>
      <c r="BQ30" s="52"/>
      <c r="BR30" s="52"/>
      <c r="BS30" s="79"/>
      <c r="BT30" s="78"/>
    </row>
    <row r="31" spans="1:72" ht="21.15" customHeight="1" x14ac:dyDescent="0.55000000000000004">
      <c r="A31" s="78"/>
      <c r="B31" s="79"/>
      <c r="C31" s="81" t="s">
        <v>67</v>
      </c>
      <c r="D31" s="79"/>
      <c r="E31" s="79"/>
      <c r="F31" s="79"/>
      <c r="G31" s="82" t="s">
        <v>548</v>
      </c>
      <c r="H31" s="142" t="str">
        <f>VLOOKUP(G31,市町村データ!A2:P106,MATCH(手順書_大字_世帯数!$G$63, 市町村データ!A1:P1, 0),FALSE)</f>
        <v>新堀</v>
      </c>
      <c r="I31" s="154"/>
      <c r="J31" s="154"/>
      <c r="K31" s="84"/>
      <c r="L31" s="84"/>
      <c r="M31" s="84"/>
      <c r="N31" s="84"/>
      <c r="O31" s="84"/>
      <c r="P31" s="84"/>
      <c r="Q31" s="84"/>
      <c r="R31" s="84"/>
      <c r="S31" s="85"/>
      <c r="T31" s="79"/>
      <c r="U31" s="79"/>
      <c r="V31" s="79"/>
      <c r="W31" s="96"/>
      <c r="X31" s="84"/>
      <c r="Y31" s="84"/>
      <c r="Z31" s="84"/>
      <c r="AA31" s="85"/>
      <c r="AB31" s="79"/>
      <c r="AC31" s="79"/>
      <c r="AD31" s="79"/>
      <c r="AE31" s="84"/>
      <c r="AF31" s="84"/>
      <c r="AG31" s="84"/>
      <c r="AH31" s="84"/>
      <c r="AI31" s="82" t="s">
        <v>550</v>
      </c>
      <c r="AJ31" s="142" t="str">
        <f>VLOOKUP(AI31,市町村データ!A2:P106,MATCH(手順書_大字_世帯数!$G$63, 市町村データ!A1:P1, 0),FALSE)</f>
        <v>道場</v>
      </c>
      <c r="AK31" s="154"/>
      <c r="AL31" s="154"/>
      <c r="AM31" s="84"/>
      <c r="AN31" s="84"/>
      <c r="AO31" s="84"/>
      <c r="AP31" s="84"/>
      <c r="AQ31" s="97"/>
      <c r="AR31" s="84"/>
      <c r="AS31" s="84"/>
      <c r="AT31" s="84"/>
      <c r="AU31" s="82" t="s">
        <v>552</v>
      </c>
      <c r="AV31" s="142" t="str">
        <f>VLOOKUP(AU31,市町村データ!A2:P106,MATCH(手順書_大字_世帯数!$G$63, 市町村データ!A1:P1, 0),FALSE)</f>
        <v>池田</v>
      </c>
      <c r="AW31" s="154"/>
      <c r="AX31" s="154"/>
      <c r="AY31" s="84"/>
      <c r="AZ31" s="84"/>
      <c r="BA31" s="84"/>
      <c r="BB31" s="84"/>
      <c r="BC31" s="84"/>
      <c r="BD31" s="84"/>
      <c r="BE31" s="84"/>
      <c r="BF31" s="84"/>
      <c r="BG31" s="84"/>
      <c r="BH31" s="84"/>
      <c r="BI31" s="84"/>
      <c r="BJ31" s="84"/>
      <c r="BK31" s="84"/>
      <c r="BL31" s="84"/>
      <c r="BM31" s="84"/>
      <c r="BN31" s="84"/>
      <c r="BO31" s="91"/>
      <c r="BP31" s="79"/>
      <c r="BQ31" s="79"/>
      <c r="BR31" s="79"/>
      <c r="BS31" s="79"/>
      <c r="BT31" s="78"/>
    </row>
    <row r="32" spans="1:72" ht="21.15" customHeight="1" x14ac:dyDescent="0.55000000000000004">
      <c r="A32" s="78"/>
      <c r="B32" s="79"/>
      <c r="C32" s="79"/>
      <c r="D32" s="79"/>
      <c r="E32" s="79"/>
      <c r="F32" s="79"/>
      <c r="G32" s="266">
        <f>VLOOKUP(G31,市町村データ!A2:P106,MATCH(手順書_大字_世帯数!$F$64, 市町村データ!A1:P1, 0),FALSE)</f>
        <v>68.8</v>
      </c>
      <c r="H32" s="156"/>
      <c r="I32" s="156"/>
      <c r="J32" s="156"/>
      <c r="K32" s="87"/>
      <c r="L32" s="87"/>
      <c r="M32" s="87"/>
      <c r="N32" s="87"/>
      <c r="O32" s="87"/>
      <c r="P32" s="87"/>
      <c r="Q32" s="87"/>
      <c r="R32" s="87"/>
      <c r="S32" s="92"/>
      <c r="T32" s="87"/>
      <c r="U32" s="87"/>
      <c r="V32" s="87"/>
      <c r="W32" s="85"/>
      <c r="X32" s="79"/>
      <c r="Y32" s="79"/>
      <c r="Z32" s="79"/>
      <c r="AA32" s="92"/>
      <c r="AB32" s="87"/>
      <c r="AC32" s="87"/>
      <c r="AD32" s="87"/>
      <c r="AE32" s="87"/>
      <c r="AF32" s="87"/>
      <c r="AG32" s="87"/>
      <c r="AH32" s="87"/>
      <c r="AI32" s="255">
        <f>VLOOKUP(AI31,市町村データ!A2:P106,MATCH(手順書_大字_世帯数!$F$64, 市町村データ!A1:P1, 0),FALSE)</f>
        <v>18.100000000000001</v>
      </c>
      <c r="AJ32" s="156"/>
      <c r="AK32" s="156"/>
      <c r="AL32" s="156"/>
      <c r="AM32" s="87"/>
      <c r="AN32" s="87"/>
      <c r="AO32" s="87"/>
      <c r="AP32" s="87"/>
      <c r="AQ32" s="92"/>
      <c r="AR32" s="87"/>
      <c r="AS32" s="87"/>
      <c r="AT32" s="87"/>
      <c r="AU32" s="288">
        <f>VLOOKUP(AU31,市町村データ!A2:P106,MATCH(手順書_大字_世帯数!$F$64, 市町村データ!A1:P1, 0),FALSE)</f>
        <v>26.2</v>
      </c>
      <c r="AV32" s="156"/>
      <c r="AW32" s="156"/>
      <c r="AX32" s="156"/>
      <c r="AY32" s="87"/>
      <c r="AZ32" s="87"/>
      <c r="BA32" s="87"/>
      <c r="BB32" s="87"/>
      <c r="BC32" s="87"/>
      <c r="BD32" s="87"/>
      <c r="BE32" s="87"/>
      <c r="BF32" s="87"/>
      <c r="BG32" s="87"/>
      <c r="BH32" s="87"/>
      <c r="BI32" s="87"/>
      <c r="BJ32" s="87"/>
      <c r="BK32" s="87"/>
      <c r="BL32" s="87"/>
      <c r="BM32" s="87"/>
      <c r="BN32" s="87"/>
      <c r="BO32" s="92"/>
      <c r="BP32" s="50"/>
      <c r="BQ32" s="50"/>
      <c r="BR32" s="50"/>
      <c r="BS32" s="79"/>
      <c r="BT32" s="78"/>
    </row>
    <row r="33" spans="1:72" ht="21.15" customHeight="1" x14ac:dyDescent="0.55000000000000004">
      <c r="A33" s="78"/>
      <c r="B33" s="79"/>
      <c r="C33" s="79"/>
      <c r="D33" s="79"/>
      <c r="E33" s="79"/>
      <c r="F33" s="79"/>
      <c r="G33" s="267">
        <f>VLOOKUP(G31,市町村データ!A2:P106,MATCH(手順書_大字_世帯数!$F$65, 市町村データ!A1:P1, 0),FALSE)</f>
        <v>5364</v>
      </c>
      <c r="H33" s="156"/>
      <c r="I33" s="156"/>
      <c r="J33" s="156"/>
      <c r="K33" s="87"/>
      <c r="L33" s="87"/>
      <c r="M33" s="87"/>
      <c r="N33" s="87"/>
      <c r="O33" s="87"/>
      <c r="P33" s="87"/>
      <c r="Q33" s="87"/>
      <c r="R33" s="87"/>
      <c r="S33" s="92"/>
      <c r="T33" s="87"/>
      <c r="U33" s="87"/>
      <c r="V33" s="87"/>
      <c r="W33" s="85"/>
      <c r="X33" s="79"/>
      <c r="Y33" s="79"/>
      <c r="Z33" s="79"/>
      <c r="AA33" s="92"/>
      <c r="AB33" s="87"/>
      <c r="AC33" s="87"/>
      <c r="AD33" s="87"/>
      <c r="AE33" s="87"/>
      <c r="AF33" s="87"/>
      <c r="AG33" s="87"/>
      <c r="AH33" s="87"/>
      <c r="AI33" s="254">
        <f>VLOOKUP(AI31,市町村データ!A2:P106,MATCH(手順書_大字_世帯数!$F$65, 市町村データ!A1:P1, 0),FALSE)</f>
        <v>772</v>
      </c>
      <c r="AJ33" s="156"/>
      <c r="AK33" s="156"/>
      <c r="AL33" s="156"/>
      <c r="AM33" s="87"/>
      <c r="AN33" s="87"/>
      <c r="AO33" s="87"/>
      <c r="AP33" s="87"/>
      <c r="AQ33" s="93"/>
      <c r="AR33" s="89"/>
      <c r="AS33" s="89"/>
      <c r="AT33" s="89"/>
      <c r="AU33" s="287">
        <f>VLOOKUP(AU31,市町村データ!A2:P106,MATCH(手順書_大字_世帯数!$F$65, 市町村データ!A1:P1, 0),FALSE)</f>
        <v>1448</v>
      </c>
      <c r="AV33" s="156"/>
      <c r="AW33" s="156"/>
      <c r="AX33" s="156"/>
      <c r="AY33" s="87"/>
      <c r="AZ33" s="87"/>
      <c r="BA33" s="87"/>
      <c r="BB33" s="87"/>
      <c r="BC33" s="87"/>
      <c r="BD33" s="87"/>
      <c r="BE33" s="87"/>
      <c r="BF33" s="87"/>
      <c r="BG33" s="87"/>
      <c r="BH33" s="87"/>
      <c r="BI33" s="87"/>
      <c r="BJ33" s="87"/>
      <c r="BK33" s="87"/>
      <c r="BL33" s="87"/>
      <c r="BM33" s="87"/>
      <c r="BN33" s="87"/>
      <c r="BO33" s="93"/>
      <c r="BP33" s="51"/>
      <c r="BQ33" s="51"/>
      <c r="BR33" s="51"/>
      <c r="BS33" s="79"/>
      <c r="BT33" s="78"/>
    </row>
    <row r="34" spans="1:72" ht="21.15" customHeight="1" thickBot="1" x14ac:dyDescent="0.6">
      <c r="A34" s="78"/>
      <c r="B34" s="79"/>
      <c r="C34" s="79"/>
      <c r="D34" s="79"/>
      <c r="E34" s="79"/>
      <c r="F34" s="79"/>
      <c r="G34" s="265">
        <f>VLOOKUP(G31,市町村データ!A2:P106,MATCH(手順書_大字_世帯数!$F$66, 市町村データ!A1:P1, 0),FALSE)</f>
        <v>78</v>
      </c>
      <c r="H34" s="153"/>
      <c r="I34" s="153"/>
      <c r="J34" s="153"/>
      <c r="K34" s="79"/>
      <c r="L34" s="79"/>
      <c r="M34" s="79"/>
      <c r="N34" s="79"/>
      <c r="O34" s="79"/>
      <c r="P34" s="79"/>
      <c r="Q34" s="79"/>
      <c r="R34" s="79"/>
      <c r="S34" s="85"/>
      <c r="T34" s="79"/>
      <c r="U34" s="79"/>
      <c r="V34" s="79"/>
      <c r="W34" s="85"/>
      <c r="X34" s="79"/>
      <c r="Y34" s="79"/>
      <c r="Z34" s="79"/>
      <c r="AA34" s="85"/>
      <c r="AB34" s="79"/>
      <c r="AC34" s="79"/>
      <c r="AD34" s="79"/>
      <c r="AE34" s="79"/>
      <c r="AF34" s="79"/>
      <c r="AG34" s="79"/>
      <c r="AH34" s="79"/>
      <c r="AI34" s="253">
        <f>VLOOKUP(AI31,市町村データ!A2:P106,MATCH(手順書_大字_世帯数!$F$66, 市町村データ!A1:P1, 0),FALSE)</f>
        <v>42.6</v>
      </c>
      <c r="AJ34" s="153"/>
      <c r="AK34" s="153"/>
      <c r="AL34" s="153"/>
      <c r="AM34" s="79"/>
      <c r="AN34" s="79"/>
      <c r="AO34" s="79"/>
      <c r="AP34" s="79"/>
      <c r="AQ34" s="85"/>
      <c r="AR34" s="79"/>
      <c r="AS34" s="79"/>
      <c r="AT34" s="79"/>
      <c r="AU34" s="286">
        <f>VLOOKUP(AU31,市町村データ!A2:P106,MATCH(手順書_大字_世帯数!$F$66, 市町村データ!A1:P1, 0),FALSE)</f>
        <v>55.3</v>
      </c>
      <c r="AV34" s="153"/>
      <c r="AW34" s="153"/>
      <c r="AX34" s="153"/>
      <c r="AY34" s="79"/>
      <c r="AZ34" s="79"/>
      <c r="BA34" s="79"/>
      <c r="BB34" s="79"/>
      <c r="BC34" s="79"/>
      <c r="BD34" s="79"/>
      <c r="BE34" s="79"/>
      <c r="BF34" s="79"/>
      <c r="BG34" s="79"/>
      <c r="BH34" s="79"/>
      <c r="BI34" s="79"/>
      <c r="BJ34" s="79"/>
      <c r="BK34" s="79"/>
      <c r="BL34" s="79"/>
      <c r="BM34" s="79"/>
      <c r="BN34" s="79"/>
      <c r="BO34" s="85"/>
      <c r="BP34" s="52"/>
      <c r="BQ34" s="52"/>
      <c r="BR34" s="52"/>
      <c r="BS34" s="79"/>
      <c r="BT34" s="78"/>
    </row>
    <row r="35" spans="1:72" ht="21.15" customHeight="1" x14ac:dyDescent="0.55000000000000004">
      <c r="A35" s="78"/>
      <c r="B35" s="79"/>
      <c r="C35" s="81" t="s">
        <v>68</v>
      </c>
      <c r="D35" s="79"/>
      <c r="E35" s="79"/>
      <c r="F35" s="79"/>
      <c r="G35" s="84"/>
      <c r="H35" s="84"/>
      <c r="I35" s="84"/>
      <c r="J35" s="84"/>
      <c r="K35" s="84"/>
      <c r="L35" s="84"/>
      <c r="M35" s="84"/>
      <c r="N35" s="84"/>
      <c r="O35" s="84"/>
      <c r="P35" s="84"/>
      <c r="Q35" s="84"/>
      <c r="R35" s="84"/>
      <c r="S35" s="84"/>
      <c r="T35" s="84"/>
      <c r="U35" s="84"/>
      <c r="V35" s="84"/>
      <c r="W35" s="79"/>
      <c r="X35" s="79"/>
      <c r="Y35" s="79"/>
      <c r="Z35" s="79"/>
      <c r="AA35" s="85"/>
      <c r="AB35" s="79"/>
      <c r="AC35" s="79"/>
      <c r="AD35" s="79"/>
      <c r="AE35" s="79"/>
      <c r="AF35" s="79"/>
      <c r="AG35" s="79"/>
      <c r="AH35" s="79"/>
      <c r="AI35" s="97"/>
      <c r="AJ35" s="84"/>
      <c r="AK35" s="84"/>
      <c r="AL35" s="84"/>
      <c r="AM35" s="95"/>
      <c r="AN35" s="84"/>
      <c r="AO35" s="84"/>
      <c r="AP35" s="84"/>
      <c r="AQ35" s="86"/>
      <c r="AR35" s="79"/>
      <c r="AS35" s="79"/>
      <c r="AT35" s="79"/>
      <c r="AU35" s="95"/>
      <c r="AV35" s="84"/>
      <c r="AW35" s="84"/>
      <c r="AX35" s="84"/>
      <c r="AY35" s="95"/>
      <c r="AZ35" s="84"/>
      <c r="BA35" s="84"/>
      <c r="BB35" s="84"/>
      <c r="BC35" s="82" t="s">
        <v>554</v>
      </c>
      <c r="BD35" s="142" t="str">
        <f>VLOOKUP(BC35,市町村データ!A2:P106,MATCH(手順書_大字_世帯数!$G$63, 市町村データ!A1:P1, 0),FALSE)</f>
        <v>片山</v>
      </c>
      <c r="BE35" s="154"/>
      <c r="BF35" s="154"/>
      <c r="BG35" s="84"/>
      <c r="BH35" s="84"/>
      <c r="BI35" s="84"/>
      <c r="BJ35" s="84"/>
      <c r="BK35" s="84"/>
      <c r="BL35" s="84"/>
      <c r="BM35" s="84"/>
      <c r="BN35" s="84"/>
      <c r="BO35" s="91"/>
      <c r="BP35" s="79"/>
      <c r="BQ35" s="79"/>
      <c r="BR35" s="79"/>
      <c r="BS35" s="79"/>
      <c r="BT35" s="78"/>
    </row>
    <row r="36" spans="1:72" ht="21.15" customHeight="1" x14ac:dyDescent="0.55000000000000004">
      <c r="A36" s="78"/>
      <c r="B36" s="79"/>
      <c r="C36" s="79"/>
      <c r="D36" s="79"/>
      <c r="E36" s="79"/>
      <c r="F36" s="79"/>
      <c r="G36" s="79"/>
      <c r="H36" s="79"/>
      <c r="I36" s="79"/>
      <c r="J36" s="79"/>
      <c r="K36" s="79"/>
      <c r="L36" s="79"/>
      <c r="M36" s="79"/>
      <c r="N36" s="79"/>
      <c r="O36" s="79"/>
      <c r="P36" s="79"/>
      <c r="Q36" s="79"/>
      <c r="R36" s="79"/>
      <c r="S36" s="79"/>
      <c r="T36" s="79"/>
      <c r="U36" s="79"/>
      <c r="V36" s="79"/>
      <c r="W36" s="79"/>
      <c r="X36" s="79"/>
      <c r="Y36" s="79"/>
      <c r="Z36" s="79"/>
      <c r="AA36" s="92"/>
      <c r="AB36" s="87"/>
      <c r="AC36" s="87"/>
      <c r="AD36" s="87"/>
      <c r="AE36" s="87"/>
      <c r="AF36" s="87"/>
      <c r="AG36" s="87"/>
      <c r="AH36" s="87"/>
      <c r="AI36" s="98"/>
      <c r="AJ36" s="50"/>
      <c r="AK36" s="50"/>
      <c r="AL36" s="50"/>
      <c r="AM36" s="50"/>
      <c r="AN36" s="50"/>
      <c r="AO36" s="50"/>
      <c r="AP36" s="50"/>
      <c r="AQ36" s="50"/>
      <c r="AR36" s="50"/>
      <c r="AS36" s="50"/>
      <c r="AT36" s="50"/>
      <c r="AU36" s="50"/>
      <c r="AV36" s="50"/>
      <c r="AW36" s="50"/>
      <c r="AX36" s="50"/>
      <c r="AY36" s="50"/>
      <c r="AZ36" s="50"/>
      <c r="BA36" s="50"/>
      <c r="BB36" s="50"/>
      <c r="BC36" s="245">
        <f>VLOOKUP(BC35,市町村データ!A2:P106,MATCH(手順書_大字_世帯数!$F$64, 市町村データ!A1:P1, 0),FALSE)</f>
        <v>44.6</v>
      </c>
      <c r="BD36" s="156"/>
      <c r="BE36" s="156"/>
      <c r="BF36" s="156"/>
      <c r="BG36" s="87"/>
      <c r="BH36" s="87"/>
      <c r="BI36" s="87"/>
      <c r="BJ36" s="87"/>
      <c r="BK36" s="87"/>
      <c r="BL36" s="87"/>
      <c r="BM36" s="87"/>
      <c r="BN36" s="87"/>
      <c r="BO36" s="98"/>
      <c r="BP36" s="50"/>
      <c r="BQ36" s="50"/>
      <c r="BR36" s="50"/>
      <c r="BS36" s="79"/>
      <c r="BT36" s="78"/>
    </row>
    <row r="37" spans="1:72" ht="21.15" customHeight="1" x14ac:dyDescent="0.55000000000000004">
      <c r="A37" s="78"/>
      <c r="B37" s="79"/>
      <c r="C37" s="79"/>
      <c r="D37" s="79"/>
      <c r="E37" s="79"/>
      <c r="F37" s="79"/>
      <c r="G37" s="79"/>
      <c r="H37" s="79"/>
      <c r="I37" s="79"/>
      <c r="J37" s="79"/>
      <c r="K37" s="79"/>
      <c r="L37" s="79"/>
      <c r="M37" s="79"/>
      <c r="N37" s="79"/>
      <c r="O37" s="79"/>
      <c r="P37" s="79"/>
      <c r="Q37" s="79"/>
      <c r="R37" s="79"/>
      <c r="S37" s="79"/>
      <c r="T37" s="79"/>
      <c r="U37" s="79"/>
      <c r="V37" s="79"/>
      <c r="W37" s="79"/>
      <c r="X37" s="79"/>
      <c r="Y37" s="79"/>
      <c r="Z37" s="79"/>
      <c r="AA37" s="92"/>
      <c r="AB37" s="87"/>
      <c r="AC37" s="87"/>
      <c r="AD37" s="87"/>
      <c r="AE37" s="87"/>
      <c r="AF37" s="87"/>
      <c r="AG37" s="87"/>
      <c r="AH37" s="87"/>
      <c r="AI37" s="99"/>
      <c r="AJ37" s="51"/>
      <c r="AK37" s="51"/>
      <c r="AL37" s="51"/>
      <c r="AM37" s="51"/>
      <c r="AN37" s="51"/>
      <c r="AO37" s="51"/>
      <c r="AP37" s="51"/>
      <c r="AQ37" s="51"/>
      <c r="AR37" s="51"/>
      <c r="AS37" s="51"/>
      <c r="AT37" s="51"/>
      <c r="AU37" s="51"/>
      <c r="AV37" s="51"/>
      <c r="AW37" s="51"/>
      <c r="AX37" s="51"/>
      <c r="AY37" s="51"/>
      <c r="AZ37" s="51"/>
      <c r="BA37" s="51"/>
      <c r="BB37" s="51"/>
      <c r="BC37" s="249">
        <f>VLOOKUP(BC35,市町村データ!A2:P106,MATCH(手順書_大字_世帯数!$F$65, 市町村データ!A1:P1, 0),FALSE)</f>
        <v>3257</v>
      </c>
      <c r="BD37" s="156"/>
      <c r="BE37" s="156"/>
      <c r="BF37" s="156"/>
      <c r="BG37" s="87"/>
      <c r="BH37" s="87"/>
      <c r="BI37" s="87"/>
      <c r="BJ37" s="87"/>
      <c r="BK37" s="87"/>
      <c r="BL37" s="87"/>
      <c r="BM37" s="87"/>
      <c r="BN37" s="87"/>
      <c r="BO37" s="99"/>
      <c r="BP37" s="51"/>
      <c r="BQ37" s="51"/>
      <c r="BR37" s="51"/>
      <c r="BS37" s="79"/>
      <c r="BT37" s="78"/>
    </row>
    <row r="38" spans="1:72" ht="21.15" customHeight="1" thickBot="1" x14ac:dyDescent="0.6">
      <c r="A38" s="78"/>
      <c r="B38" s="79"/>
      <c r="C38" s="79"/>
      <c r="D38" s="79"/>
      <c r="E38" s="79"/>
      <c r="F38" s="79"/>
      <c r="G38" s="79"/>
      <c r="H38" s="79"/>
      <c r="I38" s="79"/>
      <c r="J38" s="79"/>
      <c r="K38" s="79"/>
      <c r="L38" s="79"/>
      <c r="M38" s="79"/>
      <c r="N38" s="79"/>
      <c r="O38" s="79"/>
      <c r="P38" s="79"/>
      <c r="Q38" s="79"/>
      <c r="R38" s="79"/>
      <c r="S38" s="79"/>
      <c r="T38" s="79"/>
      <c r="U38" s="79"/>
      <c r="V38" s="79"/>
      <c r="W38" s="79"/>
      <c r="X38" s="79"/>
      <c r="Y38" s="79"/>
      <c r="Z38" s="79"/>
      <c r="AA38" s="85"/>
      <c r="AB38" s="79"/>
      <c r="AC38" s="79"/>
      <c r="AD38" s="79"/>
      <c r="AE38" s="79"/>
      <c r="AF38" s="79"/>
      <c r="AG38" s="79"/>
      <c r="AH38" s="79"/>
      <c r="AI38" s="99"/>
      <c r="AJ38" s="51"/>
      <c r="AK38" s="51"/>
      <c r="AL38" s="51"/>
      <c r="AM38" s="51"/>
      <c r="AN38" s="51"/>
      <c r="AO38" s="51"/>
      <c r="AP38" s="51"/>
      <c r="AQ38" s="51"/>
      <c r="AR38" s="51"/>
      <c r="AS38" s="51"/>
      <c r="AT38" s="51"/>
      <c r="AU38" s="51"/>
      <c r="AV38" s="51"/>
      <c r="AW38" s="51"/>
      <c r="AX38" s="51"/>
      <c r="AY38" s="51"/>
      <c r="AZ38" s="51"/>
      <c r="BA38" s="51"/>
      <c r="BB38" s="51"/>
      <c r="BC38" s="247">
        <f>VLOOKUP(BC35,市町村データ!A2:P106,MATCH(手順書_大字_世帯数!$F$66, 市町村データ!A1:P1, 0),FALSE)</f>
        <v>73</v>
      </c>
      <c r="BD38" s="153"/>
      <c r="BE38" s="153"/>
      <c r="BF38" s="153"/>
      <c r="BG38" s="79"/>
      <c r="BH38" s="79"/>
      <c r="BI38" s="79"/>
      <c r="BJ38" s="79"/>
      <c r="BK38" s="79"/>
      <c r="BL38" s="79"/>
      <c r="BM38" s="79"/>
      <c r="BN38" s="79"/>
      <c r="BO38" s="99"/>
      <c r="BP38" s="51"/>
      <c r="BQ38" s="51"/>
      <c r="BR38" s="51"/>
      <c r="BS38" s="79"/>
      <c r="BT38" s="78"/>
    </row>
    <row r="39" spans="1:72" ht="21.15" customHeight="1" x14ac:dyDescent="0.55000000000000004">
      <c r="A39" s="78"/>
      <c r="B39" s="79"/>
      <c r="C39" s="81" t="s">
        <v>516</v>
      </c>
      <c r="D39" s="79"/>
      <c r="E39" s="79"/>
      <c r="F39" s="79"/>
      <c r="G39" s="79"/>
      <c r="H39" s="79"/>
      <c r="I39" s="79"/>
      <c r="J39" s="79"/>
      <c r="K39" s="79"/>
      <c r="L39" s="79"/>
      <c r="M39" s="79"/>
      <c r="N39" s="79"/>
      <c r="O39" s="79"/>
      <c r="P39" s="79"/>
      <c r="Q39" s="79"/>
      <c r="R39" s="79"/>
      <c r="S39" s="79"/>
      <c r="T39" s="79"/>
      <c r="U39" s="79"/>
      <c r="V39" s="79"/>
      <c r="W39" s="79"/>
      <c r="X39" s="79"/>
      <c r="Y39" s="79"/>
      <c r="Z39" s="79"/>
      <c r="AA39" s="84"/>
      <c r="AB39" s="84"/>
      <c r="AC39" s="84"/>
      <c r="AD39" s="84"/>
      <c r="AE39" s="84"/>
      <c r="AF39" s="84"/>
      <c r="AG39" s="84"/>
      <c r="AH39" s="84"/>
      <c r="AI39" s="51"/>
      <c r="AJ39" s="51"/>
      <c r="AK39" s="51"/>
      <c r="AL39" s="51"/>
      <c r="AM39" s="51"/>
      <c r="AN39" s="51"/>
      <c r="AO39" s="51"/>
      <c r="AP39" s="51"/>
      <c r="AQ39" s="51"/>
      <c r="AR39" s="51"/>
      <c r="AS39" s="51"/>
      <c r="AT39" s="51"/>
      <c r="AU39" s="51"/>
      <c r="AV39" s="51"/>
      <c r="AW39" s="51"/>
      <c r="AX39" s="51"/>
      <c r="AY39" s="82" t="s">
        <v>556</v>
      </c>
      <c r="AZ39" s="142" t="str">
        <f>VLOOKUP(AY39,市町村データ!A2:P106,MATCH(手順書_大字_世帯数!$G$63, 市町村データ!A1:P1, 0),FALSE)</f>
        <v>野寺</v>
      </c>
      <c r="BA39" s="154"/>
      <c r="BB39" s="154"/>
      <c r="BC39" s="84"/>
      <c r="BD39" s="84"/>
      <c r="BE39" s="84"/>
      <c r="BF39" s="84"/>
      <c r="BG39" s="84"/>
      <c r="BH39" s="84"/>
      <c r="BI39" s="84"/>
      <c r="BJ39" s="84"/>
      <c r="BK39" s="84"/>
      <c r="BL39" s="84"/>
      <c r="BM39" s="84"/>
      <c r="BN39" s="84"/>
      <c r="BO39" s="84"/>
      <c r="BP39" s="84"/>
      <c r="BQ39" s="84"/>
      <c r="BR39" s="84"/>
      <c r="BS39" s="85"/>
      <c r="BT39" s="78"/>
    </row>
    <row r="40" spans="1:72" ht="21.15" customHeight="1" x14ac:dyDescent="0.55000000000000004">
      <c r="A40" s="78"/>
      <c r="B40" s="79"/>
      <c r="C40" s="79"/>
      <c r="D40" s="79"/>
      <c r="E40" s="79"/>
      <c r="F40" s="79"/>
      <c r="G40" s="79"/>
      <c r="H40" s="79"/>
      <c r="I40" s="79"/>
      <c r="J40" s="79"/>
      <c r="K40" s="79"/>
      <c r="L40" s="79"/>
      <c r="M40" s="79"/>
      <c r="N40" s="79"/>
      <c r="O40" s="79"/>
      <c r="P40" s="79"/>
      <c r="Q40" s="79"/>
      <c r="R40" s="79"/>
      <c r="S40" s="79"/>
      <c r="T40" s="79"/>
      <c r="U40" s="79"/>
      <c r="V40" s="79"/>
      <c r="W40" s="79"/>
      <c r="X40" s="79"/>
      <c r="Y40" s="79"/>
      <c r="Z40" s="79"/>
      <c r="AA40" s="79"/>
      <c r="AB40" s="79"/>
      <c r="AC40" s="79"/>
      <c r="AD40" s="79"/>
      <c r="AE40" s="79"/>
      <c r="AF40" s="79"/>
      <c r="AG40" s="79"/>
      <c r="AH40" s="79"/>
      <c r="AI40" s="51"/>
      <c r="AJ40" s="51"/>
      <c r="AK40" s="51"/>
      <c r="AL40" s="51"/>
      <c r="AM40" s="51"/>
      <c r="AN40" s="51"/>
      <c r="AO40" s="51"/>
      <c r="AP40" s="51"/>
      <c r="AQ40" s="51"/>
      <c r="AR40" s="51"/>
      <c r="AS40" s="51"/>
      <c r="AT40" s="51"/>
      <c r="AU40" s="51"/>
      <c r="AV40" s="51"/>
      <c r="AW40" s="51"/>
      <c r="AX40" s="51"/>
      <c r="AY40" s="238">
        <f>VLOOKUP(AY39,市町村データ!A2:P106,MATCH(手順書_大字_世帯数!$F$64, 市町村データ!A1:P1, 0),FALSE)</f>
        <v>52.6</v>
      </c>
      <c r="AZ40" s="156"/>
      <c r="BA40" s="156"/>
      <c r="BB40" s="156"/>
      <c r="BC40" s="87"/>
      <c r="BD40" s="87"/>
      <c r="BE40" s="87"/>
      <c r="BF40" s="87"/>
      <c r="BG40" s="87"/>
      <c r="BH40" s="87"/>
      <c r="BI40" s="87"/>
      <c r="BJ40" s="87"/>
      <c r="BK40" s="87"/>
      <c r="BL40" s="87"/>
      <c r="BM40" s="87"/>
      <c r="BN40" s="87"/>
      <c r="BO40" s="87"/>
      <c r="BP40" s="87"/>
      <c r="BQ40" s="87"/>
      <c r="BR40" s="87"/>
      <c r="BS40" s="85"/>
      <c r="BT40" s="78"/>
    </row>
    <row r="41" spans="1:72" ht="21.15" customHeight="1" x14ac:dyDescent="0.55000000000000004">
      <c r="A41" s="78"/>
      <c r="B41" s="79"/>
      <c r="C41" s="79"/>
      <c r="D41" s="79"/>
      <c r="E41" s="79"/>
      <c r="F41" s="79"/>
      <c r="G41" s="79"/>
      <c r="H41" s="79"/>
      <c r="I41" s="79"/>
      <c r="J41" s="79"/>
      <c r="K41" s="79"/>
      <c r="L41" s="79"/>
      <c r="M41" s="79"/>
      <c r="N41" s="79"/>
      <c r="O41" s="79"/>
      <c r="P41" s="79"/>
      <c r="Q41" s="79"/>
      <c r="R41" s="79"/>
      <c r="S41" s="79"/>
      <c r="T41" s="79"/>
      <c r="U41" s="79"/>
      <c r="V41" s="79"/>
      <c r="W41" s="79"/>
      <c r="X41" s="79"/>
      <c r="Y41" s="79"/>
      <c r="Z41" s="79"/>
      <c r="AA41" s="79"/>
      <c r="AB41" s="79"/>
      <c r="AC41" s="79"/>
      <c r="AD41" s="79"/>
      <c r="AE41" s="79"/>
      <c r="AF41" s="79"/>
      <c r="AG41" s="79"/>
      <c r="AH41" s="79"/>
      <c r="AI41" s="51"/>
      <c r="AJ41" s="51"/>
      <c r="AK41" s="51"/>
      <c r="AL41" s="51"/>
      <c r="AM41" s="51"/>
      <c r="AN41" s="51"/>
      <c r="AO41" s="51"/>
      <c r="AP41" s="51"/>
      <c r="AQ41" s="51"/>
      <c r="AR41" s="51"/>
      <c r="AS41" s="51"/>
      <c r="AT41" s="51"/>
      <c r="AU41" s="51"/>
      <c r="AV41" s="51"/>
      <c r="AW41" s="51"/>
      <c r="AX41" s="51"/>
      <c r="AY41" s="243">
        <f>VLOOKUP(AY39,市町村データ!A2:P106,MATCH(手順書_大字_世帯数!$F$65, 市町村データ!A1:P1, 0),FALSE)</f>
        <v>4690</v>
      </c>
      <c r="AZ41" s="156"/>
      <c r="BA41" s="156"/>
      <c r="BB41" s="156"/>
      <c r="BC41" s="87"/>
      <c r="BD41" s="87"/>
      <c r="BE41" s="87"/>
      <c r="BF41" s="87"/>
      <c r="BG41" s="87"/>
      <c r="BH41" s="87"/>
      <c r="BI41" s="87"/>
      <c r="BJ41" s="87"/>
      <c r="BK41" s="87"/>
      <c r="BL41" s="87"/>
      <c r="BM41" s="87"/>
      <c r="BN41" s="87"/>
      <c r="BO41" s="87"/>
      <c r="BP41" s="87"/>
      <c r="BQ41" s="87"/>
      <c r="BR41" s="87"/>
      <c r="BS41" s="85"/>
      <c r="BT41" s="78"/>
    </row>
    <row r="42" spans="1:72" ht="21.15" customHeight="1" thickBot="1" x14ac:dyDescent="0.6">
      <c r="A42" s="78"/>
      <c r="B42" s="79"/>
      <c r="C42" s="79"/>
      <c r="D42" s="79"/>
      <c r="E42" s="79"/>
      <c r="F42" s="79"/>
      <c r="G42" s="79"/>
      <c r="H42" s="79"/>
      <c r="I42" s="79"/>
      <c r="J42" s="79"/>
      <c r="K42" s="79"/>
      <c r="L42" s="79"/>
      <c r="M42" s="79"/>
      <c r="N42" s="79"/>
      <c r="O42" s="79"/>
      <c r="P42" s="79"/>
      <c r="Q42" s="79"/>
      <c r="R42" s="79"/>
      <c r="S42" s="79"/>
      <c r="T42" s="79"/>
      <c r="U42" s="79"/>
      <c r="V42" s="79"/>
      <c r="W42" s="79"/>
      <c r="X42" s="79"/>
      <c r="Y42" s="79"/>
      <c r="Z42" s="79"/>
      <c r="AA42" s="79"/>
      <c r="AB42" s="79"/>
      <c r="AC42" s="79"/>
      <c r="AD42" s="79"/>
      <c r="AE42" s="79"/>
      <c r="AF42" s="79"/>
      <c r="AG42" s="79"/>
      <c r="AH42" s="79"/>
      <c r="AI42" s="51"/>
      <c r="AJ42" s="51"/>
      <c r="AK42" s="51"/>
      <c r="AL42" s="51"/>
      <c r="AM42" s="51"/>
      <c r="AN42" s="51"/>
      <c r="AO42" s="51"/>
      <c r="AP42" s="51"/>
      <c r="AQ42" s="51"/>
      <c r="AR42" s="51"/>
      <c r="AS42" s="51"/>
      <c r="AT42" s="51"/>
      <c r="AU42" s="51"/>
      <c r="AV42" s="51"/>
      <c r="AW42" s="51"/>
      <c r="AX42" s="51"/>
      <c r="AY42" s="241">
        <f>VLOOKUP(AY39,市町村データ!A2:P106,MATCH(手順書_大字_世帯数!$F$66, 市町村データ!A1:P1, 0),FALSE)</f>
        <v>89.2</v>
      </c>
      <c r="AZ42" s="153"/>
      <c r="BA42" s="153"/>
      <c r="BB42" s="153"/>
      <c r="BC42" s="79"/>
      <c r="BD42" s="79"/>
      <c r="BE42" s="79"/>
      <c r="BF42" s="79"/>
      <c r="BG42" s="79"/>
      <c r="BH42" s="79"/>
      <c r="BI42" s="79"/>
      <c r="BJ42" s="79"/>
      <c r="BK42" s="79"/>
      <c r="BL42" s="79"/>
      <c r="BM42" s="79"/>
      <c r="BN42" s="79"/>
      <c r="BO42" s="79"/>
      <c r="BP42" s="79"/>
      <c r="BQ42" s="79"/>
      <c r="BR42" s="79"/>
      <c r="BS42" s="85"/>
      <c r="BT42" s="78"/>
    </row>
    <row r="43" spans="1:72" ht="21.15" customHeight="1" x14ac:dyDescent="0.55000000000000004">
      <c r="A43" s="78"/>
      <c r="B43" s="79"/>
      <c r="C43" s="81" t="s">
        <v>518</v>
      </c>
      <c r="D43" s="79"/>
      <c r="E43" s="79"/>
      <c r="F43" s="79"/>
      <c r="G43" s="79"/>
      <c r="H43" s="79"/>
      <c r="I43" s="79"/>
      <c r="J43" s="79"/>
      <c r="K43" s="79"/>
      <c r="L43" s="79"/>
      <c r="M43" s="79"/>
      <c r="N43" s="79"/>
      <c r="O43" s="79"/>
      <c r="P43" s="79"/>
      <c r="Q43" s="79"/>
      <c r="R43" s="79"/>
      <c r="S43" s="79"/>
      <c r="T43" s="79"/>
      <c r="U43" s="79"/>
      <c r="V43" s="79"/>
      <c r="W43" s="79"/>
      <c r="X43" s="79"/>
      <c r="Y43" s="79"/>
      <c r="Z43" s="79"/>
      <c r="AA43" s="79"/>
      <c r="AB43" s="79"/>
      <c r="AC43" s="79"/>
      <c r="AD43" s="79"/>
      <c r="AE43" s="79"/>
      <c r="AF43" s="79"/>
      <c r="AG43" s="79"/>
      <c r="AH43" s="79"/>
      <c r="AI43" s="51"/>
      <c r="AJ43" s="51"/>
      <c r="AK43" s="51"/>
      <c r="AL43" s="51"/>
      <c r="AM43" s="51"/>
      <c r="AN43" s="51"/>
      <c r="AO43" s="51"/>
      <c r="AP43" s="51"/>
      <c r="AQ43" s="51"/>
      <c r="AR43" s="51"/>
      <c r="AS43" s="51"/>
      <c r="AT43" s="51"/>
      <c r="AU43" s="51"/>
      <c r="AV43" s="51"/>
      <c r="AW43" s="51"/>
      <c r="AX43" s="51"/>
      <c r="AY43" s="82" t="s">
        <v>558</v>
      </c>
      <c r="AZ43" s="142" t="str">
        <f>VLOOKUP(AY43,市町村データ!A2:P106,MATCH(手順書_大字_世帯数!$G$63, 市町村データ!A1:P1, 0),FALSE)</f>
        <v>栗原</v>
      </c>
      <c r="BA43" s="154"/>
      <c r="BB43" s="154"/>
      <c r="BC43" s="84"/>
      <c r="BD43" s="84"/>
      <c r="BE43" s="84"/>
      <c r="BF43" s="84"/>
      <c r="BG43" s="84"/>
      <c r="BH43" s="84"/>
      <c r="BI43" s="84"/>
      <c r="BJ43" s="84"/>
      <c r="BK43" s="100"/>
      <c r="BL43" s="101"/>
      <c r="BM43" s="101"/>
      <c r="BN43" s="101"/>
      <c r="BO43" s="101"/>
      <c r="BP43" s="101"/>
      <c r="BQ43" s="101"/>
      <c r="BR43" s="101"/>
      <c r="BS43" s="79"/>
      <c r="BT43" s="78"/>
    </row>
    <row r="44" spans="1:72" ht="21.15" customHeight="1" x14ac:dyDescent="0.55000000000000004">
      <c r="A44" s="78"/>
      <c r="B44" s="79"/>
      <c r="C44" s="79"/>
      <c r="D44" s="79"/>
      <c r="E44" s="79"/>
      <c r="F44" s="79"/>
      <c r="G44" s="79"/>
      <c r="H44" s="79"/>
      <c r="I44" s="79"/>
      <c r="J44" s="79"/>
      <c r="K44" s="79"/>
      <c r="L44" s="79"/>
      <c r="M44" s="79"/>
      <c r="N44" s="79"/>
      <c r="O44" s="79"/>
      <c r="P44" s="79"/>
      <c r="Q44" s="79"/>
      <c r="R44" s="79"/>
      <c r="S44" s="79"/>
      <c r="T44" s="79"/>
      <c r="U44" s="79"/>
      <c r="V44" s="79"/>
      <c r="W44" s="79"/>
      <c r="X44" s="79"/>
      <c r="Y44" s="79"/>
      <c r="Z44" s="79"/>
      <c r="AA44" s="79"/>
      <c r="AB44" s="79"/>
      <c r="AC44" s="79"/>
      <c r="AD44" s="79"/>
      <c r="AE44" s="79"/>
      <c r="AF44" s="79"/>
      <c r="AG44" s="79"/>
      <c r="AH44" s="79"/>
      <c r="AI44" s="51"/>
      <c r="AJ44" s="51"/>
      <c r="AK44" s="51"/>
      <c r="AL44" s="51"/>
      <c r="AM44" s="51"/>
      <c r="AN44" s="51"/>
      <c r="AO44" s="51"/>
      <c r="AP44" s="51"/>
      <c r="AQ44" s="51"/>
      <c r="AR44" s="51"/>
      <c r="AS44" s="51"/>
      <c r="AT44" s="51"/>
      <c r="AU44" s="51"/>
      <c r="AV44" s="51"/>
      <c r="AW44" s="51"/>
      <c r="AX44" s="51"/>
      <c r="AY44" s="266">
        <f>VLOOKUP(AY43,市町村データ!A2:P106,MATCH(手順書_大字_世帯数!$F$64, 市町村データ!A1:P1, 0),FALSE)</f>
        <v>83.2</v>
      </c>
      <c r="AZ44" s="156"/>
      <c r="BA44" s="156"/>
      <c r="BB44" s="156"/>
      <c r="BC44" s="87"/>
      <c r="BD44" s="87"/>
      <c r="BE44" s="87"/>
      <c r="BF44" s="87"/>
      <c r="BG44" s="87"/>
      <c r="BH44" s="87"/>
      <c r="BI44" s="87"/>
      <c r="BJ44" s="87"/>
      <c r="BK44" s="99"/>
      <c r="BL44" s="51"/>
      <c r="BM44" s="51"/>
      <c r="BN44" s="51"/>
      <c r="BO44" s="51"/>
      <c r="BP44" s="51"/>
      <c r="BQ44" s="51"/>
      <c r="BR44" s="51"/>
      <c r="BS44" s="79"/>
      <c r="BT44" s="78"/>
    </row>
    <row r="45" spans="1:72" ht="21.15" customHeight="1" x14ac:dyDescent="0.55000000000000004">
      <c r="A45" s="78"/>
      <c r="B45" s="79"/>
      <c r="C45" s="79"/>
      <c r="D45" s="79"/>
      <c r="E45" s="79"/>
      <c r="F45" s="79"/>
      <c r="G45" s="79"/>
      <c r="H45" s="79"/>
      <c r="I45" s="79"/>
      <c r="J45" s="79"/>
      <c r="K45" s="79"/>
      <c r="L45" s="79"/>
      <c r="M45" s="79"/>
      <c r="N45" s="79"/>
      <c r="O45" s="79"/>
      <c r="P45" s="79"/>
      <c r="Q45" s="79"/>
      <c r="R45" s="79"/>
      <c r="S45" s="79"/>
      <c r="T45" s="79"/>
      <c r="U45" s="79"/>
      <c r="V45" s="79"/>
      <c r="W45" s="79"/>
      <c r="X45" s="79"/>
      <c r="Y45" s="79"/>
      <c r="Z45" s="79"/>
      <c r="AA45" s="79"/>
      <c r="AB45" s="79"/>
      <c r="AC45" s="79"/>
      <c r="AD45" s="79"/>
      <c r="AE45" s="79"/>
      <c r="AF45" s="79"/>
      <c r="AG45" s="79"/>
      <c r="AH45" s="79"/>
      <c r="AI45" s="51"/>
      <c r="AJ45" s="51"/>
      <c r="AK45" s="51"/>
      <c r="AL45" s="51"/>
      <c r="AM45" s="51"/>
      <c r="AN45" s="51"/>
      <c r="AO45" s="51"/>
      <c r="AP45" s="51"/>
      <c r="AQ45" s="51"/>
      <c r="AR45" s="51"/>
      <c r="AS45" s="51"/>
      <c r="AT45" s="51"/>
      <c r="AU45" s="51"/>
      <c r="AV45" s="51"/>
      <c r="AW45" s="51"/>
      <c r="AX45" s="51"/>
      <c r="AY45" s="267">
        <f>VLOOKUP(AY43,市町村データ!A2:P106,MATCH(手順書_大字_世帯数!$F$65, 市町村データ!A1:P1, 0),FALSE)</f>
        <v>7355</v>
      </c>
      <c r="AZ45" s="156"/>
      <c r="BA45" s="156"/>
      <c r="BB45" s="156"/>
      <c r="BC45" s="87"/>
      <c r="BD45" s="87"/>
      <c r="BE45" s="87"/>
      <c r="BF45" s="87"/>
      <c r="BG45" s="87"/>
      <c r="BH45" s="87"/>
      <c r="BI45" s="87"/>
      <c r="BJ45" s="87"/>
      <c r="BK45" s="99"/>
      <c r="BL45" s="51"/>
      <c r="BM45" s="51"/>
      <c r="BN45" s="51"/>
      <c r="BO45" s="51"/>
      <c r="BP45" s="51"/>
      <c r="BQ45" s="51"/>
      <c r="BR45" s="51"/>
      <c r="BS45" s="79"/>
      <c r="BT45" s="78"/>
    </row>
    <row r="46" spans="1:72" ht="21.15" customHeight="1" x14ac:dyDescent="0.55000000000000004">
      <c r="A46" s="78"/>
      <c r="B46" s="79"/>
      <c r="C46" s="79"/>
      <c r="D46" s="79"/>
      <c r="E46" s="79"/>
      <c r="F46" s="79"/>
      <c r="G46" s="79"/>
      <c r="H46" s="79"/>
      <c r="I46" s="79"/>
      <c r="J46" s="79"/>
      <c r="K46" s="79"/>
      <c r="L46" s="79"/>
      <c r="M46" s="79"/>
      <c r="N46" s="79"/>
      <c r="O46" s="79"/>
      <c r="P46" s="79"/>
      <c r="Q46" s="79"/>
      <c r="R46" s="79"/>
      <c r="S46" s="79"/>
      <c r="T46" s="79"/>
      <c r="U46" s="79"/>
      <c r="V46" s="79"/>
      <c r="W46" s="79"/>
      <c r="X46" s="79"/>
      <c r="Y46" s="79"/>
      <c r="Z46" s="79"/>
      <c r="AA46" s="79"/>
      <c r="AB46" s="79"/>
      <c r="AC46" s="79"/>
      <c r="AD46" s="79"/>
      <c r="AE46" s="79"/>
      <c r="AF46" s="79"/>
      <c r="AG46" s="79"/>
      <c r="AH46" s="79"/>
      <c r="AI46" s="51"/>
      <c r="AJ46" s="51"/>
      <c r="AK46" s="51"/>
      <c r="AL46" s="51"/>
      <c r="AM46" s="51"/>
      <c r="AN46" s="51"/>
      <c r="AO46" s="51"/>
      <c r="AP46" s="51"/>
      <c r="AQ46" s="51"/>
      <c r="AR46" s="51"/>
      <c r="AS46" s="51"/>
      <c r="AT46" s="51"/>
      <c r="AU46" s="51"/>
      <c r="AV46" s="51"/>
      <c r="AW46" s="51"/>
      <c r="AX46" s="51"/>
      <c r="AY46" s="304">
        <f>VLOOKUP(AY43,市町村データ!A2:P106,MATCH(手順書_大字_世帯数!$F$66, 市町村データ!A1:P1, 0),FALSE)</f>
        <v>88.4</v>
      </c>
      <c r="AZ46" s="156"/>
      <c r="BA46" s="156"/>
      <c r="BB46" s="156"/>
      <c r="BC46" s="79"/>
      <c r="BD46" s="79"/>
      <c r="BE46" s="79"/>
      <c r="BF46" s="79"/>
      <c r="BG46" s="79"/>
      <c r="BH46" s="79"/>
      <c r="BI46" s="79"/>
      <c r="BJ46" s="79"/>
      <c r="BK46" s="99"/>
      <c r="BL46" s="51"/>
      <c r="BM46" s="51"/>
      <c r="BN46" s="51"/>
      <c r="BO46" s="51"/>
      <c r="BP46" s="51"/>
      <c r="BQ46" s="51"/>
      <c r="BR46" s="51"/>
      <c r="BS46" s="79"/>
      <c r="BT46" s="78"/>
    </row>
    <row r="47" spans="1:72" ht="21.15" customHeight="1" x14ac:dyDescent="0.55000000000000004">
      <c r="A47" s="78"/>
      <c r="B47" s="79"/>
      <c r="C47" s="81" t="s">
        <v>520</v>
      </c>
      <c r="D47" s="79"/>
      <c r="E47" s="79"/>
      <c r="F47" s="79"/>
      <c r="G47" s="79"/>
      <c r="H47" s="79"/>
      <c r="I47" s="79"/>
      <c r="J47" s="79"/>
      <c r="K47" s="79"/>
      <c r="L47" s="79"/>
      <c r="M47" s="79"/>
      <c r="N47" s="79"/>
      <c r="O47" s="79"/>
      <c r="P47" s="79"/>
      <c r="Q47" s="79"/>
      <c r="R47" s="79"/>
      <c r="S47" s="79"/>
      <c r="T47" s="79"/>
      <c r="U47" s="79"/>
      <c r="V47" s="79"/>
      <c r="W47" s="79"/>
      <c r="X47" s="79"/>
      <c r="Y47" s="79"/>
      <c r="Z47" s="79"/>
      <c r="AA47" s="79"/>
      <c r="AB47" s="79"/>
      <c r="AC47" s="79"/>
      <c r="AD47" s="79"/>
      <c r="AE47" s="79"/>
      <c r="AF47" s="79"/>
      <c r="AG47" s="79"/>
      <c r="AH47" s="79"/>
      <c r="AI47" s="51"/>
      <c r="AJ47" s="51"/>
      <c r="AK47" s="51"/>
      <c r="AL47" s="51"/>
      <c r="AM47" s="51"/>
      <c r="AN47" s="51"/>
      <c r="AO47" s="51"/>
      <c r="AP47" s="51"/>
      <c r="AQ47" s="51"/>
      <c r="AR47" s="51"/>
      <c r="AS47" s="51"/>
      <c r="AT47" s="51"/>
      <c r="AU47" s="51"/>
      <c r="AV47" s="51"/>
      <c r="AW47" s="51"/>
      <c r="AX47" s="51"/>
      <c r="AY47" s="85"/>
      <c r="AZ47" s="79"/>
      <c r="BA47" s="79"/>
      <c r="BB47" s="79"/>
      <c r="BC47" s="79"/>
      <c r="BD47" s="79"/>
      <c r="BE47" s="79"/>
      <c r="BF47" s="79"/>
      <c r="BG47" s="79"/>
      <c r="BH47" s="79"/>
      <c r="BI47" s="79"/>
      <c r="BJ47" s="79"/>
      <c r="BK47" s="99"/>
      <c r="BL47" s="51"/>
      <c r="BM47" s="51"/>
      <c r="BN47" s="51"/>
      <c r="BO47" s="51"/>
      <c r="BP47" s="51"/>
      <c r="BQ47" s="51"/>
      <c r="BR47" s="51"/>
      <c r="BS47" s="79"/>
      <c r="BT47" s="78"/>
    </row>
    <row r="48" spans="1:72" ht="21.15" customHeight="1" x14ac:dyDescent="0.55000000000000004">
      <c r="A48" s="78"/>
      <c r="B48" s="79"/>
      <c r="C48" s="79"/>
      <c r="D48" s="79"/>
      <c r="E48" s="79"/>
      <c r="F48" s="79"/>
      <c r="G48" s="79"/>
      <c r="H48" s="79"/>
      <c r="I48" s="79"/>
      <c r="J48" s="79"/>
      <c r="K48" s="79"/>
      <c r="L48" s="79"/>
      <c r="M48" s="79"/>
      <c r="N48" s="79"/>
      <c r="O48" s="79"/>
      <c r="P48" s="79"/>
      <c r="Q48" s="79"/>
      <c r="R48" s="79"/>
      <c r="S48" s="79"/>
      <c r="T48" s="79"/>
      <c r="U48" s="79"/>
      <c r="V48" s="79"/>
      <c r="W48" s="79"/>
      <c r="X48" s="79"/>
      <c r="Y48" s="79"/>
      <c r="Z48" s="79"/>
      <c r="AA48" s="79"/>
      <c r="AB48" s="79"/>
      <c r="AC48" s="79"/>
      <c r="AD48" s="79"/>
      <c r="AE48" s="79"/>
      <c r="AF48" s="79"/>
      <c r="AG48" s="79"/>
      <c r="AH48" s="79"/>
      <c r="AI48" s="51"/>
      <c r="AJ48" s="51"/>
      <c r="AK48" s="51"/>
      <c r="AL48" s="51"/>
      <c r="AM48" s="51"/>
      <c r="AN48" s="51"/>
      <c r="AO48" s="51"/>
      <c r="AP48" s="51"/>
      <c r="AQ48" s="51"/>
      <c r="AR48" s="51"/>
      <c r="AS48" s="51"/>
      <c r="AT48" s="51"/>
      <c r="AU48" s="51"/>
      <c r="AV48" s="51"/>
      <c r="AW48" s="51"/>
      <c r="AX48" s="51"/>
      <c r="AY48" s="92"/>
      <c r="AZ48" s="87"/>
      <c r="BA48" s="87"/>
      <c r="BB48" s="87"/>
      <c r="BC48" s="87"/>
      <c r="BD48" s="87"/>
      <c r="BE48" s="87"/>
      <c r="BF48" s="87"/>
      <c r="BG48" s="87"/>
      <c r="BH48" s="87"/>
      <c r="BI48" s="87"/>
      <c r="BJ48" s="87"/>
      <c r="BK48" s="99"/>
      <c r="BL48" s="51"/>
      <c r="BM48" s="51"/>
      <c r="BN48" s="51"/>
      <c r="BO48" s="51"/>
      <c r="BP48" s="51"/>
      <c r="BQ48" s="51"/>
      <c r="BR48" s="51"/>
      <c r="BS48" s="79"/>
      <c r="BT48" s="78"/>
    </row>
    <row r="49" spans="1:72" ht="21.15" customHeight="1" x14ac:dyDescent="0.55000000000000004">
      <c r="A49" s="78"/>
      <c r="B49" s="79"/>
      <c r="C49" s="79"/>
      <c r="D49" s="79"/>
      <c r="E49" s="79"/>
      <c r="F49" s="79"/>
      <c r="G49" s="79"/>
      <c r="H49" s="79"/>
      <c r="I49" s="79"/>
      <c r="J49" s="79"/>
      <c r="K49" s="79"/>
      <c r="L49" s="79"/>
      <c r="M49" s="79"/>
      <c r="N49" s="79"/>
      <c r="O49" s="79"/>
      <c r="P49" s="79"/>
      <c r="Q49" s="79"/>
      <c r="R49" s="79"/>
      <c r="S49" s="79"/>
      <c r="T49" s="79"/>
      <c r="U49" s="79"/>
      <c r="V49" s="79"/>
      <c r="W49" s="79"/>
      <c r="X49" s="79"/>
      <c r="Y49" s="79"/>
      <c r="Z49" s="79"/>
      <c r="AA49" s="79"/>
      <c r="AB49" s="79"/>
      <c r="AC49" s="79"/>
      <c r="AD49" s="79"/>
      <c r="AE49" s="79"/>
      <c r="AF49" s="79"/>
      <c r="AG49" s="79"/>
      <c r="AH49" s="79"/>
      <c r="AI49" s="51"/>
      <c r="AJ49" s="51"/>
      <c r="AK49" s="51"/>
      <c r="AL49" s="51"/>
      <c r="AM49" s="51"/>
      <c r="AN49" s="51"/>
      <c r="AO49" s="51"/>
      <c r="AP49" s="51"/>
      <c r="AQ49" s="51"/>
      <c r="AR49" s="51"/>
      <c r="AS49" s="51"/>
      <c r="AT49" s="51"/>
      <c r="AU49" s="51"/>
      <c r="AV49" s="51"/>
      <c r="AW49" s="51"/>
      <c r="AX49" s="51"/>
      <c r="AY49" s="92"/>
      <c r="AZ49" s="87"/>
      <c r="BA49" s="87"/>
      <c r="BB49" s="87"/>
      <c r="BC49" s="87"/>
      <c r="BD49" s="87"/>
      <c r="BE49" s="87"/>
      <c r="BF49" s="87"/>
      <c r="BG49" s="87"/>
      <c r="BH49" s="87"/>
      <c r="BI49" s="87"/>
      <c r="BJ49" s="87"/>
      <c r="BK49" s="99"/>
      <c r="BL49" s="51"/>
      <c r="BM49" s="51"/>
      <c r="BN49" s="51"/>
      <c r="BO49" s="51"/>
      <c r="BP49" s="51"/>
      <c r="BQ49" s="51"/>
      <c r="BR49" s="51"/>
      <c r="BS49" s="79"/>
      <c r="BT49" s="78"/>
    </row>
    <row r="50" spans="1:72" ht="21.15" customHeight="1" thickBot="1" x14ac:dyDescent="0.6">
      <c r="A50" s="78"/>
      <c r="B50" s="79"/>
      <c r="C50" s="79"/>
      <c r="D50" s="79"/>
      <c r="E50" s="79"/>
      <c r="F50" s="79"/>
      <c r="G50" s="79"/>
      <c r="H50" s="79"/>
      <c r="I50" s="79"/>
      <c r="J50" s="79"/>
      <c r="K50" s="79"/>
      <c r="L50" s="79"/>
      <c r="M50" s="79"/>
      <c r="N50" s="79"/>
      <c r="O50" s="79"/>
      <c r="P50" s="79"/>
      <c r="Q50" s="79"/>
      <c r="R50" s="79"/>
      <c r="S50" s="79"/>
      <c r="T50" s="79"/>
      <c r="U50" s="79"/>
      <c r="V50" s="79"/>
      <c r="W50" s="79"/>
      <c r="X50" s="79"/>
      <c r="Y50" s="79"/>
      <c r="Z50" s="79"/>
      <c r="AA50" s="79"/>
      <c r="AB50" s="79"/>
      <c r="AC50" s="79"/>
      <c r="AD50" s="79"/>
      <c r="AE50" s="79"/>
      <c r="AF50" s="79"/>
      <c r="AG50" s="79"/>
      <c r="AH50" s="79"/>
      <c r="AI50" s="79"/>
      <c r="AJ50" s="79"/>
      <c r="AK50" s="79"/>
      <c r="AL50" s="79"/>
      <c r="AM50" s="79"/>
      <c r="AN50" s="79"/>
      <c r="AO50" s="79"/>
      <c r="AP50" s="79"/>
      <c r="AQ50" s="79"/>
      <c r="AR50" s="79"/>
      <c r="AS50" s="79"/>
      <c r="AT50" s="79"/>
      <c r="AU50" s="79"/>
      <c r="AV50" s="51"/>
      <c r="AW50" s="51"/>
      <c r="AX50" s="51"/>
      <c r="AY50" s="85"/>
      <c r="AZ50" s="79"/>
      <c r="BA50" s="79"/>
      <c r="BB50" s="79"/>
      <c r="BC50" s="79"/>
      <c r="BD50" s="79"/>
      <c r="BE50" s="79"/>
      <c r="BF50" s="79"/>
      <c r="BG50" s="79"/>
      <c r="BH50" s="79"/>
      <c r="BI50" s="79"/>
      <c r="BJ50" s="79"/>
      <c r="BK50" s="85"/>
      <c r="BL50" s="79"/>
      <c r="BM50" s="79"/>
      <c r="BN50" s="79"/>
      <c r="BO50" s="51"/>
      <c r="BP50" s="51"/>
      <c r="BQ50" s="51"/>
      <c r="BR50" s="51"/>
      <c r="BS50" s="51"/>
      <c r="BT50" s="78"/>
    </row>
    <row r="51" spans="1:72" ht="21.15" customHeight="1" x14ac:dyDescent="0.55000000000000004">
      <c r="A51" s="78"/>
      <c r="B51" s="79" t="s">
        <v>162</v>
      </c>
      <c r="C51" s="79"/>
      <c r="D51" s="79"/>
      <c r="E51" s="79"/>
      <c r="F51" s="79"/>
      <c r="G51" s="102"/>
      <c r="H51" s="79"/>
      <c r="I51" s="79"/>
      <c r="J51" s="79"/>
      <c r="K51" s="79"/>
      <c r="L51" s="79"/>
      <c r="M51" s="79"/>
      <c r="N51" s="79"/>
      <c r="O51" s="79"/>
      <c r="P51" s="79"/>
      <c r="Q51" s="79"/>
      <c r="R51" s="79"/>
      <c r="S51" s="79"/>
      <c r="T51" s="79"/>
      <c r="U51" s="79"/>
      <c r="V51" s="79"/>
      <c r="W51" s="79"/>
      <c r="X51" s="79"/>
      <c r="Y51" s="79"/>
      <c r="Z51" s="79"/>
      <c r="AA51" s="79"/>
      <c r="AB51" s="79"/>
      <c r="AC51" s="79"/>
      <c r="AD51" s="79"/>
      <c r="AE51" s="79"/>
      <c r="AF51" s="79"/>
      <c r="AG51" s="79"/>
      <c r="AH51" s="79"/>
      <c r="AI51" s="79"/>
      <c r="AJ51" s="79"/>
      <c r="AK51" s="79"/>
      <c r="AL51" s="79"/>
      <c r="AM51" s="52"/>
      <c r="AN51" s="52"/>
      <c r="AO51" s="52"/>
      <c r="AP51" s="52"/>
      <c r="AQ51" s="52"/>
      <c r="AR51" s="52"/>
      <c r="AS51" s="52"/>
      <c r="AT51" s="52"/>
      <c r="AU51" s="52"/>
      <c r="AV51" s="52"/>
      <c r="AW51" s="52"/>
      <c r="AX51" s="52"/>
      <c r="AY51" s="103"/>
      <c r="AZ51" s="103"/>
      <c r="BA51" s="103"/>
      <c r="BB51" s="103"/>
      <c r="BC51" s="103"/>
      <c r="BD51" s="103"/>
      <c r="BE51" s="103"/>
      <c r="BF51" s="103"/>
      <c r="BG51" s="103"/>
      <c r="BH51" s="103"/>
      <c r="BI51" s="103"/>
      <c r="BJ51" s="103"/>
      <c r="BK51" s="52"/>
      <c r="BL51" s="52"/>
      <c r="BM51" s="52"/>
      <c r="BN51" s="52"/>
      <c r="BO51" s="52"/>
      <c r="BP51" s="52"/>
      <c r="BQ51" s="52"/>
      <c r="BR51" s="52"/>
      <c r="BS51" s="52"/>
      <c r="BT51" s="78"/>
    </row>
    <row r="52" spans="1:72" ht="21.15" customHeight="1" x14ac:dyDescent="0.55000000000000004">
      <c r="A52" s="78"/>
      <c r="B52" s="79" t="s">
        <v>161</v>
      </c>
      <c r="C52" s="79"/>
      <c r="D52" s="79"/>
      <c r="E52" s="79"/>
      <c r="F52" s="79"/>
      <c r="G52" s="79"/>
      <c r="H52" s="79"/>
      <c r="I52" s="79"/>
      <c r="J52" s="79"/>
      <c r="K52" s="79"/>
      <c r="L52" s="79"/>
      <c r="M52" s="79"/>
      <c r="N52" s="79"/>
      <c r="O52" s="79"/>
      <c r="P52" s="79"/>
      <c r="Q52" s="79"/>
      <c r="R52" s="79"/>
      <c r="S52" s="79"/>
      <c r="T52" s="79"/>
      <c r="U52" s="79"/>
      <c r="V52" s="79"/>
      <c r="W52" s="79"/>
      <c r="X52" s="79"/>
      <c r="Y52" s="79"/>
      <c r="Z52" s="79"/>
      <c r="AA52" s="79"/>
      <c r="AB52" s="79"/>
      <c r="AC52" s="79"/>
      <c r="AD52" s="79"/>
      <c r="AE52" s="79"/>
      <c r="AF52" s="79"/>
      <c r="AG52" s="79"/>
      <c r="AH52" s="79"/>
      <c r="AI52" s="79"/>
      <c r="AJ52" s="79"/>
      <c r="AK52" s="79"/>
      <c r="AL52" s="79"/>
      <c r="AM52" s="79"/>
      <c r="AN52" s="79"/>
      <c r="AO52" s="79"/>
      <c r="AP52" s="79"/>
      <c r="AQ52" s="79"/>
      <c r="AR52" s="79"/>
      <c r="AS52" s="79"/>
      <c r="AT52" s="79"/>
      <c r="AU52" s="79"/>
      <c r="AV52" s="79"/>
      <c r="AW52" s="79"/>
      <c r="AX52" s="79"/>
      <c r="AY52" s="79"/>
      <c r="AZ52" s="79"/>
      <c r="BA52" s="79"/>
      <c r="BB52" s="79"/>
      <c r="BC52" s="79"/>
      <c r="BD52" s="79"/>
      <c r="BE52" s="79"/>
      <c r="BF52" s="79"/>
      <c r="BG52" s="79"/>
      <c r="BH52" s="79"/>
      <c r="BI52" s="79"/>
      <c r="BJ52" s="79"/>
      <c r="BK52" s="79"/>
      <c r="BL52" s="79"/>
      <c r="BM52" s="79"/>
      <c r="BN52" s="79"/>
      <c r="BO52" s="79"/>
      <c r="BP52" s="79"/>
      <c r="BQ52" s="79"/>
      <c r="BR52" s="79"/>
      <c r="BS52" s="79"/>
      <c r="BT52" s="78"/>
    </row>
    <row r="53" spans="1:72" ht="21.15" customHeight="1" x14ac:dyDescent="0.55000000000000004">
      <c r="A53" s="78"/>
      <c r="B53" s="78"/>
      <c r="C53" s="78"/>
      <c r="D53" s="78"/>
      <c r="E53" s="78"/>
      <c r="F53" s="78"/>
      <c r="G53" s="78"/>
      <c r="H53" s="78"/>
      <c r="I53" s="78"/>
      <c r="J53" s="78"/>
      <c r="K53" s="78"/>
      <c r="L53" s="78"/>
      <c r="M53" s="78"/>
      <c r="N53" s="78"/>
      <c r="O53" s="78"/>
      <c r="P53" s="78"/>
      <c r="Q53" s="78"/>
      <c r="R53" s="78"/>
      <c r="S53" s="78"/>
      <c r="T53" s="78"/>
      <c r="U53" s="78"/>
      <c r="V53" s="78"/>
      <c r="W53" s="78"/>
      <c r="X53" s="78"/>
      <c r="Y53" s="78"/>
      <c r="Z53" s="78"/>
      <c r="AA53" s="78"/>
      <c r="AB53" s="78"/>
      <c r="AC53" s="78"/>
      <c r="AD53" s="78"/>
      <c r="AE53" s="78"/>
      <c r="AF53" s="78"/>
      <c r="AG53" s="78"/>
      <c r="AH53" s="78"/>
      <c r="AI53" s="78"/>
      <c r="AJ53" s="78"/>
      <c r="AK53" s="78"/>
      <c r="AL53" s="78"/>
      <c r="AM53" s="78"/>
      <c r="AN53" s="78"/>
      <c r="AO53" s="78"/>
      <c r="AP53" s="78"/>
      <c r="AQ53" s="78"/>
      <c r="AR53" s="78"/>
      <c r="AS53" s="78"/>
      <c r="AT53" s="78"/>
      <c r="AU53" s="78"/>
      <c r="AV53" s="78"/>
      <c r="AW53" s="78"/>
      <c r="AX53" s="78"/>
      <c r="AY53" s="78"/>
      <c r="AZ53" s="78"/>
      <c r="BA53" s="78"/>
      <c r="BB53" s="78"/>
      <c r="BC53" s="78"/>
      <c r="BD53" s="78"/>
      <c r="BE53" s="78"/>
      <c r="BF53" s="78"/>
      <c r="BG53" s="78"/>
      <c r="BH53" s="78"/>
      <c r="BI53" s="78"/>
      <c r="BJ53" s="78"/>
      <c r="BK53" s="78"/>
      <c r="BL53" s="78"/>
      <c r="BM53" s="78"/>
      <c r="BN53" s="78"/>
      <c r="BO53" s="78"/>
      <c r="BP53" s="78"/>
      <c r="BQ53" s="78"/>
      <c r="BR53" s="78"/>
      <c r="BS53" s="78"/>
      <c r="BT53" s="78"/>
    </row>
  </sheetData>
  <mergeCells count="115">
    <mergeCell ref="K9:N9"/>
    <mergeCell ref="W9:Z9"/>
    <mergeCell ref="AA9:AD9"/>
    <mergeCell ref="K10:N10"/>
    <mergeCell ref="W10:Z10"/>
    <mergeCell ref="AA10:AD10"/>
    <mergeCell ref="L7:N7"/>
    <mergeCell ref="X7:Z7"/>
    <mergeCell ref="AB7:AD7"/>
    <mergeCell ref="K8:N8"/>
    <mergeCell ref="W8:Z8"/>
    <mergeCell ref="AA8:AD8"/>
    <mergeCell ref="G13:J13"/>
    <mergeCell ref="K13:N13"/>
    <mergeCell ref="AE13:AH13"/>
    <mergeCell ref="G14:J14"/>
    <mergeCell ref="K14:N14"/>
    <mergeCell ref="AE14:AH14"/>
    <mergeCell ref="H11:J11"/>
    <mergeCell ref="L11:N11"/>
    <mergeCell ref="AF11:AH11"/>
    <mergeCell ref="G12:J12"/>
    <mergeCell ref="K12:N12"/>
    <mergeCell ref="AE12:AH12"/>
    <mergeCell ref="W18:Z18"/>
    <mergeCell ref="AM18:AP18"/>
    <mergeCell ref="P19:R19"/>
    <mergeCell ref="O20:R20"/>
    <mergeCell ref="O21:R21"/>
    <mergeCell ref="O22:R22"/>
    <mergeCell ref="X15:Z15"/>
    <mergeCell ref="AN15:AP15"/>
    <mergeCell ref="W16:Z16"/>
    <mergeCell ref="AM16:AP16"/>
    <mergeCell ref="W17:Z17"/>
    <mergeCell ref="AM17:AP17"/>
    <mergeCell ref="P23:R23"/>
    <mergeCell ref="AB23:AD23"/>
    <mergeCell ref="AJ23:AL23"/>
    <mergeCell ref="AN23:AP23"/>
    <mergeCell ref="AV23:AX23"/>
    <mergeCell ref="O24:R24"/>
    <mergeCell ref="AA24:AD24"/>
    <mergeCell ref="AI24:AL24"/>
    <mergeCell ref="AM24:AP24"/>
    <mergeCell ref="AU24:AX24"/>
    <mergeCell ref="O25:R25"/>
    <mergeCell ref="AA25:AD25"/>
    <mergeCell ref="AI25:AL25"/>
    <mergeCell ref="AM25:AP25"/>
    <mergeCell ref="AU25:AX25"/>
    <mergeCell ref="O26:R26"/>
    <mergeCell ref="AA26:AD26"/>
    <mergeCell ref="AI26:AL26"/>
    <mergeCell ref="AM26:AP26"/>
    <mergeCell ref="AU26:AX26"/>
    <mergeCell ref="S29:V29"/>
    <mergeCell ref="AA29:AD29"/>
    <mergeCell ref="AU29:AX29"/>
    <mergeCell ref="S30:V30"/>
    <mergeCell ref="AA30:AD30"/>
    <mergeCell ref="AU30:AX30"/>
    <mergeCell ref="T27:V27"/>
    <mergeCell ref="AB27:AD27"/>
    <mergeCell ref="AV27:AX27"/>
    <mergeCell ref="S28:V28"/>
    <mergeCell ref="AA28:AD28"/>
    <mergeCell ref="AU28:AX28"/>
    <mergeCell ref="G33:J33"/>
    <mergeCell ref="AI33:AL33"/>
    <mergeCell ref="AU33:AX33"/>
    <mergeCell ref="G34:J34"/>
    <mergeCell ref="AI34:AL34"/>
    <mergeCell ref="AU34:AX34"/>
    <mergeCell ref="H31:J31"/>
    <mergeCell ref="AJ31:AL31"/>
    <mergeCell ref="AV31:AX31"/>
    <mergeCell ref="G32:J32"/>
    <mergeCell ref="AI32:AL32"/>
    <mergeCell ref="AU32:AX32"/>
    <mergeCell ref="AY41:BB41"/>
    <mergeCell ref="AY42:BB42"/>
    <mergeCell ref="AZ43:BB43"/>
    <mergeCell ref="AY44:BB44"/>
    <mergeCell ref="AY45:BB45"/>
    <mergeCell ref="AY46:BB46"/>
    <mergeCell ref="BD35:BF35"/>
    <mergeCell ref="BC36:BF36"/>
    <mergeCell ref="BC37:BF37"/>
    <mergeCell ref="BC38:BF38"/>
    <mergeCell ref="AZ39:BB39"/>
    <mergeCell ref="AY40:BB40"/>
    <mergeCell ref="BK11:BM11"/>
    <mergeCell ref="BN11:BO11"/>
    <mergeCell ref="BK12:BM12"/>
    <mergeCell ref="BN12:BO12"/>
    <mergeCell ref="BK13:BM13"/>
    <mergeCell ref="BN13:BO13"/>
    <mergeCell ref="BL5:BN5"/>
    <mergeCell ref="BK6:BN6"/>
    <mergeCell ref="BK7:BN7"/>
    <mergeCell ref="BK8:BN8"/>
    <mergeCell ref="BK10:BM10"/>
    <mergeCell ref="BN10:BO10"/>
    <mergeCell ref="BK17:BM17"/>
    <mergeCell ref="BK18:BM18"/>
    <mergeCell ref="BK19:BM19"/>
    <mergeCell ref="BN19:BO19"/>
    <mergeCell ref="BK20:BM20"/>
    <mergeCell ref="BK14:BM14"/>
    <mergeCell ref="BN14:BO14"/>
    <mergeCell ref="BK15:BM15"/>
    <mergeCell ref="BN15:BO15"/>
    <mergeCell ref="BK16:BM16"/>
    <mergeCell ref="BN16:BO16"/>
  </mergeCells>
  <phoneticPr fontId="1"/>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329A57-9159-4229-BAF8-8DB5EDBF8DA3}">
  <sheetPr codeName="Sheet8">
    <tabColor rgb="FF0F8472"/>
  </sheetPr>
  <dimension ref="A1:AG154"/>
  <sheetViews>
    <sheetView zoomScaleNormal="100" workbookViewId="0"/>
  </sheetViews>
  <sheetFormatPr defaultColWidth="3.5" defaultRowHeight="21" customHeight="1" x14ac:dyDescent="0.55000000000000004"/>
  <cols>
    <col min="1" max="16384" width="3.5" style="11"/>
  </cols>
  <sheetData>
    <row r="1" spans="1:33" ht="21" customHeight="1" x14ac:dyDescent="0.55000000000000004">
      <c r="A1" s="37"/>
      <c r="F1" s="37" t="s">
        <v>171</v>
      </c>
      <c r="G1" s="37"/>
      <c r="I1" s="37"/>
      <c r="M1" s="37"/>
      <c r="Q1" s="37" t="s">
        <v>172</v>
      </c>
      <c r="V1" s="37"/>
      <c r="AF1" s="37" t="s">
        <v>170</v>
      </c>
    </row>
    <row r="2" spans="1:33" ht="21" customHeight="1" x14ac:dyDescent="0.55000000000000004">
      <c r="B2" s="13" t="s">
        <v>766</v>
      </c>
      <c r="C2" s="12"/>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row>
    <row r="10" spans="1:33" ht="21" customHeight="1" x14ac:dyDescent="0.55000000000000004">
      <c r="G10" s="35" t="s">
        <v>767</v>
      </c>
      <c r="H10" s="27"/>
      <c r="I10" s="27"/>
      <c r="J10" s="27"/>
      <c r="K10" s="27"/>
      <c r="L10" s="11" t="s">
        <v>768</v>
      </c>
    </row>
    <row r="13" spans="1:33" ht="21" customHeight="1" x14ac:dyDescent="0.55000000000000004">
      <c r="D13" s="13" t="s">
        <v>32</v>
      </c>
      <c r="E13" s="12"/>
      <c r="F13" s="12"/>
      <c r="G13" s="12"/>
      <c r="H13" s="12"/>
      <c r="I13" s="12"/>
      <c r="J13" s="12"/>
      <c r="K13" s="12"/>
      <c r="L13" s="12"/>
      <c r="M13" s="12"/>
      <c r="N13" s="12"/>
      <c r="O13" s="12"/>
      <c r="P13" s="12"/>
      <c r="Q13" s="12"/>
      <c r="R13" s="12"/>
      <c r="S13" s="12"/>
      <c r="T13" s="12"/>
      <c r="U13" s="12"/>
      <c r="V13" s="12"/>
      <c r="W13" s="12"/>
      <c r="X13" s="12"/>
      <c r="Y13" s="12"/>
      <c r="Z13" s="12"/>
      <c r="AA13" s="12"/>
      <c r="AB13" s="12"/>
      <c r="AC13" s="12"/>
      <c r="AD13" s="12"/>
      <c r="AE13" s="12"/>
      <c r="AF13" s="12"/>
      <c r="AG13" s="12"/>
    </row>
    <row r="21" spans="1:33" ht="21" customHeight="1" x14ac:dyDescent="0.55000000000000004">
      <c r="G21" s="11" t="s">
        <v>141</v>
      </c>
    </row>
    <row r="22" spans="1:33" ht="21" customHeight="1" x14ac:dyDescent="0.55000000000000004">
      <c r="F22" s="14" t="s">
        <v>30</v>
      </c>
      <c r="G22" s="11" t="s">
        <v>140</v>
      </c>
    </row>
    <row r="23" spans="1:33" ht="21" customHeight="1" x14ac:dyDescent="0.55000000000000004">
      <c r="F23" s="14"/>
    </row>
    <row r="24" spans="1:33" ht="21" customHeight="1" thickBot="1" x14ac:dyDescent="0.45">
      <c r="F24" s="26" t="s">
        <v>40</v>
      </c>
      <c r="Q24" s="26" t="s">
        <v>41</v>
      </c>
    </row>
    <row r="25" spans="1:33" ht="21" customHeight="1" thickTop="1" thickBot="1" x14ac:dyDescent="0.6">
      <c r="A25" s="37" t="s">
        <v>147</v>
      </c>
      <c r="F25" s="111" t="s">
        <v>758</v>
      </c>
      <c r="G25" s="112"/>
      <c r="H25" s="112"/>
      <c r="I25" s="112"/>
      <c r="J25" s="112"/>
      <c r="K25" s="112"/>
      <c r="L25" s="112"/>
      <c r="M25" s="112"/>
      <c r="N25" s="112"/>
      <c r="O25" s="113"/>
      <c r="Q25" s="111" t="s">
        <v>583</v>
      </c>
      <c r="R25" s="112"/>
      <c r="S25" s="112"/>
      <c r="T25" s="113"/>
    </row>
    <row r="26" spans="1:33" ht="21" customHeight="1" thickTop="1" x14ac:dyDescent="0.55000000000000004"/>
    <row r="28" spans="1:33" ht="21" customHeight="1" x14ac:dyDescent="0.55000000000000004">
      <c r="D28" s="13" t="s">
        <v>33</v>
      </c>
      <c r="E28" s="12"/>
      <c r="F28" s="12"/>
      <c r="G28" s="12"/>
      <c r="H28" s="12"/>
      <c r="I28" s="12"/>
      <c r="J28" s="12"/>
      <c r="K28" s="12"/>
      <c r="L28" s="12"/>
      <c r="M28" s="12"/>
      <c r="N28" s="12"/>
      <c r="O28" s="12"/>
      <c r="P28" s="12"/>
      <c r="Q28" s="12"/>
      <c r="R28" s="12"/>
      <c r="S28" s="12"/>
      <c r="T28" s="12"/>
      <c r="U28" s="12"/>
      <c r="V28" s="12"/>
      <c r="W28" s="12"/>
      <c r="X28" s="12"/>
      <c r="Y28" s="12"/>
      <c r="Z28" s="12"/>
      <c r="AA28" s="12"/>
      <c r="AB28" s="12"/>
      <c r="AC28" s="12"/>
      <c r="AD28" s="12"/>
      <c r="AE28" s="12"/>
      <c r="AF28" s="12"/>
      <c r="AG28" s="12"/>
    </row>
    <row r="35" spans="1:33" ht="21" customHeight="1" x14ac:dyDescent="0.55000000000000004">
      <c r="H35" s="11" t="s">
        <v>142</v>
      </c>
    </row>
    <row r="36" spans="1:33" ht="21" customHeight="1" x14ac:dyDescent="0.55000000000000004">
      <c r="F36" s="14"/>
      <c r="G36" s="14" t="s">
        <v>30</v>
      </c>
      <c r="H36" s="11" t="s">
        <v>143</v>
      </c>
    </row>
    <row r="37" spans="1:33" ht="21" customHeight="1" x14ac:dyDescent="0.55000000000000004">
      <c r="F37" s="14"/>
    </row>
    <row r="38" spans="1:33" ht="21" customHeight="1" x14ac:dyDescent="0.55000000000000004">
      <c r="F38" s="14"/>
      <c r="G38" s="11" t="s">
        <v>79</v>
      </c>
    </row>
    <row r="39" spans="1:33" ht="21" customHeight="1" thickBot="1" x14ac:dyDescent="0.45">
      <c r="F39" s="26" t="s">
        <v>40</v>
      </c>
      <c r="Q39" s="26" t="s">
        <v>42</v>
      </c>
    </row>
    <row r="40" spans="1:33" ht="21" customHeight="1" thickTop="1" thickBot="1" x14ac:dyDescent="0.6">
      <c r="A40" s="37" t="s">
        <v>159</v>
      </c>
      <c r="F40" s="111" t="s">
        <v>762</v>
      </c>
      <c r="G40" s="112"/>
      <c r="H40" s="112"/>
      <c r="I40" s="112"/>
      <c r="J40" s="112"/>
      <c r="K40" s="112"/>
      <c r="L40" s="112"/>
      <c r="M40" s="112"/>
      <c r="N40" s="112"/>
      <c r="O40" s="113"/>
      <c r="Q40" s="111" t="s">
        <v>132</v>
      </c>
      <c r="R40" s="113"/>
    </row>
    <row r="41" spans="1:33" ht="21" customHeight="1" thickTop="1" x14ac:dyDescent="0.55000000000000004"/>
    <row r="43" spans="1:33" ht="21" customHeight="1" x14ac:dyDescent="0.55000000000000004">
      <c r="D43" s="13" t="s">
        <v>34</v>
      </c>
      <c r="E43" s="12"/>
      <c r="F43" s="12"/>
      <c r="G43" s="12"/>
      <c r="H43" s="12"/>
      <c r="I43" s="12"/>
      <c r="J43" s="12"/>
      <c r="K43" s="12"/>
      <c r="L43" s="12"/>
      <c r="M43" s="12"/>
      <c r="N43" s="12"/>
      <c r="O43" s="12"/>
      <c r="P43" s="12"/>
      <c r="Q43" s="12"/>
      <c r="R43" s="12"/>
      <c r="S43" s="12"/>
      <c r="T43" s="12"/>
      <c r="U43" s="12"/>
      <c r="V43" s="12"/>
      <c r="W43" s="12"/>
      <c r="X43" s="12"/>
      <c r="Y43" s="12"/>
      <c r="Z43" s="12"/>
      <c r="AA43" s="12"/>
      <c r="AB43" s="12"/>
      <c r="AC43" s="12"/>
      <c r="AD43" s="12"/>
      <c r="AE43" s="12"/>
      <c r="AF43" s="12"/>
      <c r="AG43" s="12"/>
    </row>
    <row r="55" spans="1:20" ht="21" customHeight="1" x14ac:dyDescent="0.55000000000000004">
      <c r="F55" s="14" t="s">
        <v>30</v>
      </c>
      <c r="G55" s="11" t="s">
        <v>36</v>
      </c>
    </row>
    <row r="56" spans="1:20" ht="21" customHeight="1" x14ac:dyDescent="0.55000000000000004">
      <c r="P56" s="29" t="s">
        <v>85</v>
      </c>
      <c r="Q56" s="29"/>
      <c r="R56" s="29"/>
      <c r="S56" s="29"/>
      <c r="T56" s="11" t="s">
        <v>145</v>
      </c>
    </row>
    <row r="57" spans="1:20" ht="21" customHeight="1" x14ac:dyDescent="0.55000000000000004">
      <c r="F57" s="14"/>
      <c r="P57" s="14" t="s">
        <v>30</v>
      </c>
      <c r="Q57" s="11" t="s">
        <v>144</v>
      </c>
    </row>
    <row r="58" spans="1:20" ht="21" customHeight="1" x14ac:dyDescent="0.55000000000000004">
      <c r="F58" s="14"/>
    </row>
    <row r="59" spans="1:20" ht="21" customHeight="1" thickBot="1" x14ac:dyDescent="0.45">
      <c r="F59" s="14"/>
      <c r="Q59" s="26" t="s">
        <v>43</v>
      </c>
    </row>
    <row r="60" spans="1:20" ht="21" customHeight="1" thickTop="1" thickBot="1" x14ac:dyDescent="0.6">
      <c r="A60" s="37" t="s">
        <v>194</v>
      </c>
      <c r="F60" s="14"/>
      <c r="Q60" s="111" t="s">
        <v>778</v>
      </c>
      <c r="R60" s="113"/>
    </row>
    <row r="61" spans="1:20" ht="21" customHeight="1" thickTop="1" x14ac:dyDescent="0.55000000000000004">
      <c r="E61" s="11" t="s">
        <v>197</v>
      </c>
    </row>
    <row r="62" spans="1:20" ht="21" customHeight="1" thickBot="1" x14ac:dyDescent="0.6">
      <c r="E62" s="24"/>
      <c r="F62" s="39" t="s">
        <v>16</v>
      </c>
      <c r="G62" s="40" t="s">
        <v>17</v>
      </c>
      <c r="H62" s="40" t="s">
        <v>18</v>
      </c>
      <c r="I62" s="40" t="s">
        <v>19</v>
      </c>
      <c r="J62" s="24"/>
    </row>
    <row r="63" spans="1:20" ht="21" customHeight="1" x14ac:dyDescent="0.55000000000000004">
      <c r="A63" s="37" t="s">
        <v>158</v>
      </c>
      <c r="E63" s="24"/>
      <c r="F63" s="8"/>
      <c r="G63" s="114" t="s">
        <v>24</v>
      </c>
      <c r="H63" s="114"/>
      <c r="I63" s="115"/>
      <c r="J63" s="24"/>
    </row>
    <row r="64" spans="1:20" ht="21" customHeight="1" x14ac:dyDescent="0.55000000000000004">
      <c r="E64" s="24"/>
      <c r="F64" s="204" t="s">
        <v>751</v>
      </c>
      <c r="G64" s="205"/>
      <c r="H64" s="205"/>
      <c r="I64" s="206"/>
      <c r="J64" s="24"/>
    </row>
    <row r="65" spans="1:33" ht="21" customHeight="1" x14ac:dyDescent="0.55000000000000004">
      <c r="E65" s="24"/>
      <c r="F65" s="207" t="s">
        <v>200</v>
      </c>
      <c r="G65" s="208"/>
      <c r="H65" s="208"/>
      <c r="I65" s="209"/>
      <c r="J65" s="24"/>
    </row>
    <row r="66" spans="1:33" ht="21" customHeight="1" thickBot="1" x14ac:dyDescent="0.6">
      <c r="A66" s="37"/>
      <c r="E66" s="24"/>
      <c r="F66" s="130" t="s">
        <v>630</v>
      </c>
      <c r="G66" s="131"/>
      <c r="H66" s="131"/>
      <c r="I66" s="132"/>
      <c r="J66" s="24"/>
    </row>
    <row r="67" spans="1:33" ht="21" customHeight="1" x14ac:dyDescent="0.55000000000000004">
      <c r="E67" s="24"/>
      <c r="F67" s="24"/>
      <c r="G67" s="24"/>
      <c r="H67" s="24"/>
      <c r="I67" s="24"/>
      <c r="J67" s="24"/>
    </row>
    <row r="68" spans="1:33" ht="21" customHeight="1" thickBot="1" x14ac:dyDescent="0.45">
      <c r="Q68" s="26" t="s">
        <v>191</v>
      </c>
    </row>
    <row r="69" spans="1:33" ht="21" customHeight="1" thickTop="1" thickBot="1" x14ac:dyDescent="0.6">
      <c r="A69" s="37" t="s">
        <v>196</v>
      </c>
      <c r="Q69" s="111" t="s">
        <v>195</v>
      </c>
      <c r="R69" s="112"/>
      <c r="S69" s="112"/>
      <c r="T69" s="113"/>
    </row>
    <row r="70" spans="1:33" ht="21" customHeight="1" thickTop="1" x14ac:dyDescent="0.55000000000000004">
      <c r="Q70" s="45" t="s">
        <v>187</v>
      </c>
    </row>
    <row r="72" spans="1:33" ht="21" customHeight="1" x14ac:dyDescent="0.55000000000000004">
      <c r="G72" s="11" t="s">
        <v>37</v>
      </c>
    </row>
    <row r="75" spans="1:33" ht="21" customHeight="1" x14ac:dyDescent="0.55000000000000004">
      <c r="D75" s="13" t="s">
        <v>35</v>
      </c>
      <c r="E75" s="12"/>
      <c r="F75" s="12"/>
      <c r="G75" s="12"/>
      <c r="H75" s="12"/>
      <c r="I75" s="12"/>
      <c r="J75" s="12"/>
      <c r="K75" s="12"/>
      <c r="L75" s="12"/>
      <c r="M75" s="12"/>
      <c r="N75" s="12"/>
      <c r="O75" s="12"/>
      <c r="P75" s="12"/>
      <c r="Q75" s="12"/>
      <c r="R75" s="12"/>
      <c r="S75" s="12"/>
      <c r="T75" s="12"/>
      <c r="U75" s="12"/>
      <c r="V75" s="12"/>
      <c r="W75" s="12"/>
      <c r="X75" s="12"/>
      <c r="Y75" s="12"/>
      <c r="Z75" s="12"/>
      <c r="AA75" s="12"/>
      <c r="AB75" s="12"/>
      <c r="AC75" s="12"/>
      <c r="AD75" s="12"/>
      <c r="AE75" s="12"/>
      <c r="AF75" s="12"/>
      <c r="AG75" s="12"/>
    </row>
    <row r="95" spans="8:8" ht="21" customHeight="1" x14ac:dyDescent="0.55000000000000004">
      <c r="H95" s="11" t="s">
        <v>146</v>
      </c>
    </row>
    <row r="97" spans="1:18" ht="21" customHeight="1" thickBot="1" x14ac:dyDescent="0.45">
      <c r="Q97" s="26" t="s">
        <v>160</v>
      </c>
    </row>
    <row r="98" spans="1:18" ht="21" customHeight="1" thickTop="1" thickBot="1" x14ac:dyDescent="0.6">
      <c r="A98" s="37" t="s">
        <v>185</v>
      </c>
      <c r="Q98" s="111" t="s">
        <v>779</v>
      </c>
      <c r="R98" s="113"/>
    </row>
    <row r="99" spans="1:18" ht="21" customHeight="1" thickTop="1" x14ac:dyDescent="0.55000000000000004"/>
    <row r="100" spans="1:18" ht="21" customHeight="1" x14ac:dyDescent="0.55000000000000004">
      <c r="G100" s="14" t="s">
        <v>30</v>
      </c>
      <c r="H100" s="11" t="s">
        <v>184</v>
      </c>
    </row>
    <row r="102" spans="1:18" ht="21" customHeight="1" thickBot="1" x14ac:dyDescent="0.6">
      <c r="E102" s="38"/>
      <c r="F102" s="39" t="s">
        <v>16</v>
      </c>
      <c r="G102" s="40" t="s">
        <v>17</v>
      </c>
      <c r="H102" s="40" t="s">
        <v>18</v>
      </c>
      <c r="I102" s="40" t="s">
        <v>19</v>
      </c>
      <c r="J102" s="40" t="s">
        <v>20</v>
      </c>
      <c r="K102" s="40" t="s">
        <v>21</v>
      </c>
      <c r="L102" s="40" t="s">
        <v>22</v>
      </c>
      <c r="M102" s="40" t="s">
        <v>23</v>
      </c>
      <c r="N102" s="41"/>
    </row>
    <row r="103" spans="1:18" ht="21" customHeight="1" x14ac:dyDescent="0.55000000000000004">
      <c r="A103" s="37" t="s">
        <v>157</v>
      </c>
      <c r="E103" s="38">
        <v>1</v>
      </c>
      <c r="F103" s="11" t="s">
        <v>39</v>
      </c>
      <c r="G103" s="198" t="s">
        <v>28</v>
      </c>
      <c r="H103" s="199"/>
      <c r="I103" s="199"/>
      <c r="J103" s="200" t="s">
        <v>27</v>
      </c>
      <c r="K103" s="201"/>
      <c r="L103" s="138" t="s">
        <v>29</v>
      </c>
      <c r="M103" s="138"/>
      <c r="N103" s="25"/>
    </row>
    <row r="104" spans="1:18" ht="21" customHeight="1" x14ac:dyDescent="0.55000000000000004">
      <c r="E104" s="38">
        <v>2</v>
      </c>
      <c r="F104" s="11">
        <v>1</v>
      </c>
      <c r="G104" s="176">
        <v>110</v>
      </c>
      <c r="H104" s="139"/>
      <c r="I104" s="139"/>
      <c r="J104" s="202"/>
      <c r="K104" s="203"/>
      <c r="L104" s="187"/>
      <c r="M104" s="187"/>
      <c r="N104" s="25"/>
    </row>
    <row r="105" spans="1:18" ht="21" customHeight="1" x14ac:dyDescent="0.55000000000000004">
      <c r="E105" s="38">
        <v>3</v>
      </c>
      <c r="F105" s="11">
        <v>2</v>
      </c>
      <c r="G105" s="176">
        <v>100</v>
      </c>
      <c r="H105" s="139"/>
      <c r="I105" s="139"/>
      <c r="J105" s="185"/>
      <c r="K105" s="186"/>
      <c r="L105" s="187"/>
      <c r="M105" s="187"/>
      <c r="N105" s="25"/>
    </row>
    <row r="106" spans="1:18" ht="21" customHeight="1" x14ac:dyDescent="0.55000000000000004">
      <c r="E106" s="38">
        <v>4</v>
      </c>
      <c r="F106" s="11">
        <v>3</v>
      </c>
      <c r="G106" s="176">
        <v>90</v>
      </c>
      <c r="H106" s="139"/>
      <c r="I106" s="139"/>
      <c r="J106" s="188"/>
      <c r="K106" s="189"/>
      <c r="L106" s="175"/>
      <c r="M106" s="175"/>
      <c r="N106" s="25"/>
    </row>
    <row r="107" spans="1:18" ht="21" customHeight="1" x14ac:dyDescent="0.55000000000000004">
      <c r="E107" s="38">
        <v>5</v>
      </c>
      <c r="F107" s="11">
        <v>4</v>
      </c>
      <c r="G107" s="194">
        <v>80</v>
      </c>
      <c r="H107" s="195"/>
      <c r="I107" s="195"/>
      <c r="J107" s="183"/>
      <c r="K107" s="184"/>
      <c r="L107" s="175"/>
      <c r="M107" s="175"/>
      <c r="N107" s="25"/>
    </row>
    <row r="108" spans="1:18" ht="21" customHeight="1" x14ac:dyDescent="0.55000000000000004">
      <c r="E108" s="38">
        <v>6</v>
      </c>
      <c r="F108" s="11">
        <v>5</v>
      </c>
      <c r="G108" s="176">
        <v>70</v>
      </c>
      <c r="H108" s="139"/>
      <c r="I108" s="139"/>
      <c r="J108" s="196"/>
      <c r="K108" s="197"/>
      <c r="L108" s="175"/>
      <c r="M108" s="175"/>
      <c r="N108" s="25"/>
    </row>
    <row r="109" spans="1:18" ht="21" customHeight="1" x14ac:dyDescent="0.55000000000000004">
      <c r="E109" s="38">
        <v>7</v>
      </c>
      <c r="F109" s="11">
        <v>6</v>
      </c>
      <c r="G109" s="176">
        <v>60</v>
      </c>
      <c r="H109" s="139"/>
      <c r="I109" s="139"/>
      <c r="J109" s="192"/>
      <c r="K109" s="193"/>
      <c r="L109" s="175"/>
      <c r="M109" s="175"/>
      <c r="N109" s="25"/>
    </row>
    <row r="110" spans="1:18" ht="21" customHeight="1" x14ac:dyDescent="0.55000000000000004">
      <c r="E110" s="38">
        <v>8</v>
      </c>
      <c r="F110" s="11">
        <v>7</v>
      </c>
      <c r="G110" s="176">
        <v>50</v>
      </c>
      <c r="H110" s="139"/>
      <c r="I110" s="139"/>
      <c r="J110" s="289"/>
      <c r="K110" s="290"/>
      <c r="L110" s="175"/>
      <c r="M110" s="175"/>
      <c r="N110" s="25"/>
    </row>
    <row r="111" spans="1:18" ht="21" customHeight="1" x14ac:dyDescent="0.55000000000000004">
      <c r="E111" s="38">
        <v>9</v>
      </c>
      <c r="F111" s="11">
        <v>8</v>
      </c>
      <c r="G111" s="176">
        <v>40</v>
      </c>
      <c r="H111" s="139"/>
      <c r="I111" s="139"/>
      <c r="J111" s="291"/>
      <c r="K111" s="292"/>
      <c r="L111" s="175"/>
      <c r="M111" s="175"/>
      <c r="N111" s="25"/>
    </row>
    <row r="112" spans="1:18" ht="21" customHeight="1" x14ac:dyDescent="0.55000000000000004">
      <c r="E112" s="38">
        <v>10</v>
      </c>
      <c r="F112" s="11">
        <v>9</v>
      </c>
      <c r="G112" s="176">
        <v>30</v>
      </c>
      <c r="H112" s="139"/>
      <c r="I112" s="139"/>
      <c r="J112" s="190"/>
      <c r="K112" s="191"/>
      <c r="L112" s="175"/>
      <c r="M112" s="175"/>
      <c r="N112" s="25"/>
    </row>
    <row r="113" spans="1:33" ht="21" customHeight="1" x14ac:dyDescent="0.55000000000000004">
      <c r="E113" s="38">
        <v>11</v>
      </c>
      <c r="F113" s="11">
        <v>10</v>
      </c>
      <c r="G113" s="176">
        <v>20</v>
      </c>
      <c r="H113" s="139"/>
      <c r="I113" s="139"/>
      <c r="J113" s="181"/>
      <c r="K113" s="182"/>
      <c r="L113" s="175"/>
      <c r="M113" s="175"/>
      <c r="N113" s="25"/>
    </row>
    <row r="114" spans="1:33" ht="21" customHeight="1" x14ac:dyDescent="0.55000000000000004">
      <c r="E114" s="38">
        <v>12</v>
      </c>
      <c r="F114" s="11">
        <v>11</v>
      </c>
      <c r="G114" s="176">
        <v>10</v>
      </c>
      <c r="H114" s="139"/>
      <c r="I114" s="139"/>
      <c r="J114" s="177"/>
      <c r="K114" s="178"/>
      <c r="L114" s="70"/>
      <c r="M114" s="70"/>
      <c r="N114" s="25"/>
    </row>
    <row r="115" spans="1:33" ht="21" customHeight="1" thickBot="1" x14ac:dyDescent="0.6">
      <c r="E115" s="38">
        <v>13</v>
      </c>
      <c r="F115" s="11">
        <v>12</v>
      </c>
      <c r="G115" s="173">
        <v>0</v>
      </c>
      <c r="H115" s="174"/>
      <c r="I115" s="174"/>
      <c r="J115" s="74"/>
      <c r="K115" s="75"/>
      <c r="L115" s="70"/>
      <c r="M115" s="70"/>
      <c r="N115" s="25"/>
    </row>
    <row r="116" spans="1:33" ht="21" customHeight="1" x14ac:dyDescent="0.55000000000000004">
      <c r="E116" s="38"/>
      <c r="F116" s="25"/>
      <c r="G116" s="25"/>
      <c r="H116" s="25"/>
      <c r="I116" s="25"/>
      <c r="J116" s="25"/>
      <c r="K116" s="25"/>
      <c r="L116" s="25"/>
      <c r="M116" s="25"/>
      <c r="N116" s="25"/>
    </row>
    <row r="118" spans="1:33" ht="21" customHeight="1" thickBot="1" x14ac:dyDescent="0.45">
      <c r="Q118" s="26" t="s">
        <v>191</v>
      </c>
    </row>
    <row r="119" spans="1:33" ht="21" customHeight="1" thickTop="1" thickBot="1" x14ac:dyDescent="0.6">
      <c r="A119" s="37" t="s">
        <v>190</v>
      </c>
      <c r="Q119" s="111" t="s">
        <v>753</v>
      </c>
      <c r="R119" s="112"/>
      <c r="S119" s="112"/>
      <c r="T119" s="113"/>
    </row>
    <row r="120" spans="1:33" ht="21" customHeight="1" thickTop="1" x14ac:dyDescent="0.55000000000000004">
      <c r="Q120" s="45" t="s">
        <v>187</v>
      </c>
    </row>
    <row r="121" spans="1:33" ht="21" customHeight="1" thickBot="1" x14ac:dyDescent="0.45">
      <c r="F121" s="26" t="s">
        <v>44</v>
      </c>
    </row>
    <row r="122" spans="1:33" ht="21" customHeight="1" thickTop="1" thickBot="1" x14ac:dyDescent="0.6">
      <c r="A122" s="37" t="s">
        <v>188</v>
      </c>
      <c r="F122" s="111" t="s">
        <v>754</v>
      </c>
      <c r="G122" s="112"/>
      <c r="H122" s="112"/>
      <c r="I122" s="113"/>
    </row>
    <row r="123" spans="1:33" ht="21" customHeight="1" thickTop="1" x14ac:dyDescent="0.55000000000000004">
      <c r="F123" s="45" t="s">
        <v>187</v>
      </c>
    </row>
    <row r="126" spans="1:33" ht="21" customHeight="1" x14ac:dyDescent="0.55000000000000004">
      <c r="D126" s="13" t="s">
        <v>35</v>
      </c>
      <c r="E126" s="12"/>
      <c r="F126" s="12"/>
      <c r="G126" s="12"/>
      <c r="H126" s="12"/>
      <c r="I126" s="12"/>
      <c r="J126" s="12"/>
      <c r="K126" s="12"/>
      <c r="L126" s="12"/>
      <c r="M126" s="12"/>
      <c r="N126" s="12"/>
      <c r="O126" s="12"/>
      <c r="P126" s="12"/>
      <c r="Q126" s="12"/>
      <c r="R126" s="12"/>
      <c r="S126" s="12"/>
      <c r="T126" s="12"/>
      <c r="U126" s="12"/>
      <c r="V126" s="12"/>
      <c r="W126" s="12"/>
      <c r="X126" s="12"/>
      <c r="Y126" s="12"/>
      <c r="Z126" s="12"/>
      <c r="AA126" s="12"/>
      <c r="AB126" s="12"/>
      <c r="AC126" s="12"/>
      <c r="AD126" s="12"/>
      <c r="AE126" s="12"/>
      <c r="AF126" s="12"/>
      <c r="AG126" s="12"/>
    </row>
    <row r="128" spans="1:33" ht="21" customHeight="1" thickBot="1" x14ac:dyDescent="0.6">
      <c r="F128" s="14" t="s">
        <v>30</v>
      </c>
      <c r="G128" s="11" t="s">
        <v>31</v>
      </c>
    </row>
    <row r="129" spans="6:14" ht="21" customHeight="1" x14ac:dyDescent="0.55000000000000004">
      <c r="F129" s="15"/>
      <c r="G129" s="16"/>
      <c r="H129" s="16"/>
      <c r="I129" s="16"/>
      <c r="J129" s="16"/>
      <c r="K129" s="16"/>
      <c r="L129" s="16"/>
      <c r="M129" s="16"/>
      <c r="N129" s="17"/>
    </row>
    <row r="130" spans="6:14" ht="21" customHeight="1" x14ac:dyDescent="0.55000000000000004">
      <c r="F130" s="18"/>
      <c r="N130" s="19"/>
    </row>
    <row r="131" spans="6:14" ht="21" customHeight="1" x14ac:dyDescent="0.55000000000000004">
      <c r="F131" s="18"/>
      <c r="N131" s="19"/>
    </row>
    <row r="132" spans="6:14" ht="21" customHeight="1" thickBot="1" x14ac:dyDescent="0.6">
      <c r="F132" s="20"/>
      <c r="G132" s="21"/>
      <c r="H132" s="21"/>
      <c r="I132" s="21"/>
      <c r="J132" s="21"/>
      <c r="K132" s="21"/>
      <c r="L132" s="21"/>
      <c r="M132" s="21"/>
      <c r="N132" s="22"/>
    </row>
    <row r="151" spans="1:8" ht="21" customHeight="1" x14ac:dyDescent="0.55000000000000004">
      <c r="H151" s="11" t="s">
        <v>81</v>
      </c>
    </row>
    <row r="153" spans="1:8" ht="21" customHeight="1" x14ac:dyDescent="0.55000000000000004">
      <c r="B153" s="11" t="s">
        <v>28</v>
      </c>
    </row>
    <row r="154" spans="1:8" ht="21" customHeight="1" x14ac:dyDescent="0.55000000000000004">
      <c r="A154" s="37" t="s">
        <v>133</v>
      </c>
    </row>
  </sheetData>
  <mergeCells count="49">
    <mergeCell ref="Q119:T119"/>
    <mergeCell ref="F122:I122"/>
    <mergeCell ref="G114:I114"/>
    <mergeCell ref="G115:I115"/>
    <mergeCell ref="J110:K110"/>
    <mergeCell ref="J111:K111"/>
    <mergeCell ref="G112:I112"/>
    <mergeCell ref="J114:K114"/>
    <mergeCell ref="L112:M112"/>
    <mergeCell ref="G113:I113"/>
    <mergeCell ref="L113:M113"/>
    <mergeCell ref="G110:I110"/>
    <mergeCell ref="J112:K112"/>
    <mergeCell ref="L110:M110"/>
    <mergeCell ref="G111:I111"/>
    <mergeCell ref="J113:K113"/>
    <mergeCell ref="L111:M111"/>
    <mergeCell ref="G108:I108"/>
    <mergeCell ref="J108:K108"/>
    <mergeCell ref="L108:M108"/>
    <mergeCell ref="G109:I109"/>
    <mergeCell ref="J109:K109"/>
    <mergeCell ref="L109:M109"/>
    <mergeCell ref="G106:I106"/>
    <mergeCell ref="J106:K106"/>
    <mergeCell ref="L106:M106"/>
    <mergeCell ref="G107:I107"/>
    <mergeCell ref="J107:K107"/>
    <mergeCell ref="L107:M107"/>
    <mergeCell ref="G104:I104"/>
    <mergeCell ref="J104:K104"/>
    <mergeCell ref="L104:M104"/>
    <mergeCell ref="G105:I105"/>
    <mergeCell ref="J105:K105"/>
    <mergeCell ref="L105:M105"/>
    <mergeCell ref="G103:I103"/>
    <mergeCell ref="J103:K103"/>
    <mergeCell ref="L103:M103"/>
    <mergeCell ref="F25:O25"/>
    <mergeCell ref="Q25:T25"/>
    <mergeCell ref="F40:O40"/>
    <mergeCell ref="Q40:R40"/>
    <mergeCell ref="Q60:R60"/>
    <mergeCell ref="G63:I63"/>
    <mergeCell ref="F64:I64"/>
    <mergeCell ref="F65:I65"/>
    <mergeCell ref="F66:I66"/>
    <mergeCell ref="Q69:T69"/>
    <mergeCell ref="Q98:R98"/>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81" r:id="rId3" name="Button 1">
              <controlPr defaultSize="0" print="0" autoFill="0" autoPict="0" macro="[0]!設定_人口_ボタン1_Click">
                <anchor moveWithCells="1" sizeWithCells="1">
                  <from>
                    <xdr:col>6</xdr:col>
                    <xdr:colOff>82550</xdr:colOff>
                    <xdr:row>128</xdr:row>
                    <xdr:rowOff>184150</xdr:rowOff>
                  </from>
                  <to>
                    <xdr:col>12</xdr:col>
                    <xdr:colOff>139700</xdr:colOff>
                    <xdr:row>131</xdr:row>
                    <xdr:rowOff>57150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607962-96BE-4494-B12B-93202CCAB310}">
  <sheetPr codeName="Sheet27"/>
  <dimension ref="A1:BT53"/>
  <sheetViews>
    <sheetView zoomScale="80" zoomScaleNormal="80" workbookViewId="0"/>
  </sheetViews>
  <sheetFormatPr defaultColWidth="3.5" defaultRowHeight="21.15" customHeight="1" x14ac:dyDescent="0.55000000000000004"/>
  <sheetData>
    <row r="1" spans="1:72" ht="21.15" customHeight="1" x14ac:dyDescent="0.55000000000000004">
      <c r="A1" s="78"/>
      <c r="B1" s="78"/>
      <c r="C1" s="78"/>
      <c r="D1" s="78"/>
      <c r="E1" s="78"/>
      <c r="F1" s="78"/>
      <c r="G1" s="78"/>
      <c r="H1" s="78"/>
      <c r="I1" s="78"/>
      <c r="J1" s="78"/>
      <c r="K1" s="78"/>
      <c r="L1" s="78"/>
      <c r="M1" s="78"/>
      <c r="N1" s="78"/>
      <c r="O1" s="78"/>
      <c r="P1" s="78"/>
      <c r="Q1" s="78"/>
      <c r="R1" s="78"/>
      <c r="S1" s="78"/>
      <c r="T1" s="78"/>
      <c r="U1" s="78"/>
      <c r="V1" s="78"/>
      <c r="W1" s="78"/>
      <c r="X1" s="78"/>
      <c r="Y1" s="78"/>
      <c r="Z1" s="78"/>
      <c r="AA1" s="78"/>
      <c r="AB1" s="78"/>
      <c r="AC1" s="78"/>
      <c r="AD1" s="78"/>
      <c r="AE1" s="78"/>
      <c r="AF1" s="78"/>
      <c r="AG1" s="78"/>
      <c r="AH1" s="78"/>
      <c r="AI1" s="78"/>
      <c r="AJ1" s="78"/>
      <c r="AK1" s="78"/>
      <c r="AL1" s="78"/>
      <c r="AM1" s="78"/>
      <c r="AN1" s="78"/>
      <c r="AO1" s="78"/>
      <c r="AP1" s="78"/>
      <c r="AQ1" s="78"/>
      <c r="AR1" s="78"/>
      <c r="AS1" s="78"/>
      <c r="AT1" s="78"/>
      <c r="AU1" s="78"/>
      <c r="AV1" s="78"/>
      <c r="AW1" s="78"/>
      <c r="AX1" s="78"/>
      <c r="AY1" s="78"/>
      <c r="AZ1" s="78"/>
      <c r="BA1" s="78"/>
      <c r="BB1" s="78"/>
      <c r="BC1" s="78"/>
      <c r="BD1" s="78"/>
      <c r="BE1" s="78"/>
      <c r="BF1" s="78"/>
      <c r="BG1" s="78"/>
      <c r="BH1" s="78"/>
      <c r="BI1" s="78"/>
      <c r="BJ1" s="78"/>
      <c r="BK1" s="78"/>
      <c r="BL1" s="78"/>
      <c r="BM1" s="78"/>
      <c r="BN1" s="78"/>
      <c r="BO1" s="78"/>
      <c r="BP1" s="78"/>
      <c r="BQ1" s="78"/>
      <c r="BR1" s="78"/>
      <c r="BS1" s="78"/>
      <c r="BT1" s="78"/>
    </row>
    <row r="2" spans="1:72" ht="21.15" customHeight="1" x14ac:dyDescent="0.55000000000000004">
      <c r="A2" s="78"/>
      <c r="B2" s="79"/>
      <c r="C2" s="79"/>
      <c r="D2" s="79"/>
      <c r="E2" s="79"/>
      <c r="F2" s="79"/>
      <c r="G2" s="79"/>
      <c r="H2" s="79"/>
      <c r="I2" s="79"/>
      <c r="J2" s="79"/>
      <c r="K2" s="79"/>
      <c r="L2" s="79"/>
      <c r="M2" s="79"/>
      <c r="N2" s="79"/>
      <c r="O2" s="79"/>
      <c r="P2" s="79"/>
      <c r="Q2" s="79"/>
      <c r="R2" s="79"/>
      <c r="S2" s="79"/>
      <c r="T2" s="79"/>
      <c r="U2" s="79"/>
      <c r="V2" s="79"/>
      <c r="W2" s="79"/>
      <c r="X2" s="79"/>
      <c r="Y2" s="79"/>
      <c r="Z2" s="79"/>
      <c r="AA2" s="79"/>
      <c r="AB2" s="79"/>
      <c r="AC2" s="79"/>
      <c r="AD2" s="79"/>
      <c r="AE2" s="79"/>
      <c r="AF2" s="79"/>
      <c r="AG2" s="79"/>
      <c r="AH2" s="79"/>
      <c r="AI2" s="79"/>
      <c r="AJ2" s="79"/>
      <c r="AK2" s="79"/>
      <c r="AL2" s="79"/>
      <c r="AM2" s="79"/>
      <c r="AN2" s="79"/>
      <c r="AO2" s="79"/>
      <c r="AP2" s="79"/>
      <c r="AQ2" s="79"/>
      <c r="AR2" s="79"/>
      <c r="AS2" s="79"/>
      <c r="AT2" s="79"/>
      <c r="AU2" s="79"/>
      <c r="AV2" s="79"/>
      <c r="AW2" s="79"/>
      <c r="AX2" s="79"/>
      <c r="AY2" s="79"/>
      <c r="AZ2" s="79"/>
      <c r="BA2" s="79"/>
      <c r="BB2" s="79"/>
      <c r="BC2" s="79"/>
      <c r="BD2" s="79"/>
      <c r="BE2" s="79"/>
      <c r="BF2" s="79"/>
      <c r="BG2" s="79"/>
      <c r="BH2" s="79"/>
      <c r="BI2" s="79"/>
      <c r="BJ2" s="79"/>
      <c r="BK2" s="79"/>
      <c r="BL2" s="79"/>
      <c r="BM2" s="79"/>
      <c r="BN2" s="79"/>
      <c r="BO2" s="79"/>
      <c r="BP2" s="79"/>
      <c r="BQ2" s="79"/>
      <c r="BR2" s="79"/>
      <c r="BS2" s="79"/>
      <c r="BT2" s="78"/>
    </row>
    <row r="3" spans="1:72" ht="21.15" customHeight="1" x14ac:dyDescent="0.55000000000000004">
      <c r="A3" s="78"/>
      <c r="B3" s="79"/>
      <c r="C3" s="79"/>
      <c r="D3" s="80"/>
      <c r="E3" s="80"/>
      <c r="F3" s="80"/>
      <c r="G3" s="81" t="s">
        <v>62</v>
      </c>
      <c r="H3" s="79"/>
      <c r="I3" s="79"/>
      <c r="J3" s="79"/>
      <c r="K3" s="81" t="s">
        <v>61</v>
      </c>
      <c r="L3" s="79"/>
      <c r="M3" s="79"/>
      <c r="N3" s="79"/>
      <c r="O3" s="81" t="s">
        <v>60</v>
      </c>
      <c r="P3" s="79"/>
      <c r="Q3" s="79"/>
      <c r="R3" s="79"/>
      <c r="S3" s="81" t="s">
        <v>59</v>
      </c>
      <c r="T3" s="79"/>
      <c r="U3" s="79"/>
      <c r="V3" s="79"/>
      <c r="W3" s="81" t="s">
        <v>58</v>
      </c>
      <c r="X3" s="79"/>
      <c r="Y3" s="79"/>
      <c r="Z3" s="79"/>
      <c r="AA3" s="81" t="s">
        <v>57</v>
      </c>
      <c r="AB3" s="79"/>
      <c r="AC3" s="79"/>
      <c r="AD3" s="79"/>
      <c r="AE3" s="81" t="s">
        <v>56</v>
      </c>
      <c r="AF3" s="79"/>
      <c r="AG3" s="79"/>
      <c r="AH3" s="79"/>
      <c r="AI3" s="81" t="s">
        <v>55</v>
      </c>
      <c r="AJ3" s="79"/>
      <c r="AK3" s="79"/>
      <c r="AL3" s="79"/>
      <c r="AM3" s="81" t="s">
        <v>54</v>
      </c>
      <c r="AN3" s="79"/>
      <c r="AO3" s="79"/>
      <c r="AP3" s="79"/>
      <c r="AQ3" s="81" t="s">
        <v>53</v>
      </c>
      <c r="AR3" s="79"/>
      <c r="AS3" s="79"/>
      <c r="AT3" s="79"/>
      <c r="AU3" s="81" t="s">
        <v>52</v>
      </c>
      <c r="AV3" s="79"/>
      <c r="AW3" s="79"/>
      <c r="AX3" s="79"/>
      <c r="AY3" s="81" t="s">
        <v>51</v>
      </c>
      <c r="AZ3" s="79"/>
      <c r="BA3" s="79"/>
      <c r="BB3" s="79"/>
      <c r="BC3" s="81" t="s">
        <v>50</v>
      </c>
      <c r="BD3" s="79"/>
      <c r="BE3" s="79"/>
      <c r="BF3" s="79"/>
      <c r="BG3" s="81" t="s">
        <v>49</v>
      </c>
      <c r="BH3" s="79"/>
      <c r="BI3" s="79"/>
      <c r="BJ3" s="79"/>
      <c r="BK3" s="81" t="s">
        <v>48</v>
      </c>
      <c r="BL3" s="79"/>
      <c r="BM3" s="79"/>
      <c r="BN3" s="79"/>
      <c r="BO3" s="81" t="s">
        <v>47</v>
      </c>
      <c r="BP3" s="79"/>
      <c r="BQ3" s="79"/>
      <c r="BR3" s="79"/>
      <c r="BS3" s="79"/>
      <c r="BT3" s="78"/>
    </row>
    <row r="4" spans="1:72" ht="21.15" customHeight="1" thickBot="1" x14ac:dyDescent="0.6">
      <c r="A4" s="78"/>
      <c r="B4" s="79"/>
      <c r="C4" s="80"/>
      <c r="D4" s="80"/>
      <c r="E4" s="80"/>
      <c r="F4" s="80"/>
      <c r="G4" s="79"/>
      <c r="H4" s="79"/>
      <c r="I4" s="79"/>
      <c r="J4" s="79"/>
      <c r="K4" s="79"/>
      <c r="L4" s="79"/>
      <c r="M4" s="79"/>
      <c r="N4" s="79"/>
      <c r="O4" s="79"/>
      <c r="P4" s="79"/>
      <c r="Q4" s="79"/>
      <c r="R4" s="79"/>
      <c r="S4" s="79"/>
      <c r="T4" s="79"/>
      <c r="U4" s="79"/>
      <c r="V4" s="79"/>
      <c r="W4" s="79"/>
      <c r="X4" s="79"/>
      <c r="Y4" s="79"/>
      <c r="Z4" s="79"/>
      <c r="AA4" s="79"/>
      <c r="AB4" s="79"/>
      <c r="AC4" s="79"/>
      <c r="AD4" s="79"/>
      <c r="AE4" s="79"/>
      <c r="AF4" s="79"/>
      <c r="AG4" s="79"/>
      <c r="AH4" s="79"/>
      <c r="AI4" s="79"/>
      <c r="AJ4" s="79"/>
      <c r="AK4" s="79"/>
      <c r="AL4" s="79"/>
      <c r="AM4" s="79"/>
      <c r="AN4" s="79"/>
      <c r="AO4" s="79"/>
      <c r="AP4" s="79"/>
      <c r="AQ4" s="79"/>
      <c r="AR4" s="79"/>
      <c r="AS4" s="79"/>
      <c r="AT4" s="79"/>
      <c r="AU4" s="79"/>
      <c r="AV4" s="79"/>
      <c r="AW4" s="79"/>
      <c r="AX4" s="79"/>
      <c r="AY4" s="79"/>
      <c r="AZ4" s="79"/>
      <c r="BA4" s="79"/>
      <c r="BB4" s="79"/>
      <c r="BC4" s="79"/>
      <c r="BD4" s="79"/>
      <c r="BE4" s="79"/>
      <c r="BF4" s="79"/>
      <c r="BG4" s="79"/>
      <c r="BH4" s="79"/>
      <c r="BI4" s="79"/>
      <c r="BJ4" s="79"/>
      <c r="BK4" s="79"/>
      <c r="BL4" s="79"/>
      <c r="BM4" s="79"/>
      <c r="BN4" s="79"/>
      <c r="BO4" s="79"/>
      <c r="BP4" s="79"/>
      <c r="BQ4" s="79"/>
      <c r="BR4" s="79"/>
      <c r="BS4" s="79"/>
      <c r="BT4" s="78"/>
    </row>
    <row r="5" spans="1:72" ht="21.15" customHeight="1" x14ac:dyDescent="0.55000000000000004">
      <c r="A5" s="78"/>
      <c r="B5" s="79"/>
      <c r="C5" s="80"/>
      <c r="D5" s="80"/>
      <c r="E5" s="80"/>
      <c r="F5" s="80"/>
      <c r="G5" s="79"/>
      <c r="H5" s="79"/>
      <c r="I5" s="79"/>
      <c r="J5" s="79"/>
      <c r="K5" s="79"/>
      <c r="L5" s="79"/>
      <c r="M5" s="79"/>
      <c r="N5" s="79"/>
      <c r="O5" s="79"/>
      <c r="P5" s="79"/>
      <c r="Q5" s="79"/>
      <c r="R5" s="79"/>
      <c r="S5" s="79"/>
      <c r="T5" s="79"/>
      <c r="U5" s="79"/>
      <c r="V5" s="79"/>
      <c r="W5" s="79"/>
      <c r="X5" s="79"/>
      <c r="Y5" s="79"/>
      <c r="Z5" s="79"/>
      <c r="AA5" s="79"/>
      <c r="AB5" s="79"/>
      <c r="AC5" s="79"/>
      <c r="AD5" s="79"/>
      <c r="AE5" s="79"/>
      <c r="AF5" s="79"/>
      <c r="AG5" s="79"/>
      <c r="AH5" s="79"/>
      <c r="AI5" s="79"/>
      <c r="AJ5" s="79"/>
      <c r="AK5" s="79"/>
      <c r="AL5" s="79"/>
      <c r="AM5" s="79"/>
      <c r="AN5" s="79"/>
      <c r="AO5" s="79"/>
      <c r="AP5" s="79"/>
      <c r="AQ5" s="79"/>
      <c r="AR5" s="79"/>
      <c r="AS5" s="79"/>
      <c r="AT5" s="79"/>
      <c r="AU5" s="79"/>
      <c r="AV5" s="79"/>
      <c r="AW5" s="79"/>
      <c r="AX5" s="79"/>
      <c r="AY5" s="79"/>
      <c r="AZ5" s="79"/>
      <c r="BA5" s="79"/>
      <c r="BB5" s="79"/>
      <c r="BC5" s="79"/>
      <c r="BD5" s="79"/>
      <c r="BE5" s="79"/>
      <c r="BF5" s="79"/>
      <c r="BG5" s="79"/>
      <c r="BH5" s="79"/>
      <c r="BI5" s="79"/>
      <c r="BJ5" s="79"/>
      <c r="BK5" s="79"/>
      <c r="BL5" s="79"/>
      <c r="BM5" s="79"/>
      <c r="BN5" s="104"/>
      <c r="BO5" s="142" t="s">
        <v>69</v>
      </c>
      <c r="BP5" s="142"/>
      <c r="BQ5" s="143"/>
      <c r="BR5" s="79"/>
      <c r="BS5" s="79"/>
      <c r="BT5" s="78"/>
    </row>
    <row r="6" spans="1:72" ht="21.15" customHeight="1" thickBot="1" x14ac:dyDescent="0.6">
      <c r="A6" s="78"/>
      <c r="B6" s="79"/>
      <c r="C6" s="80"/>
      <c r="D6" s="80"/>
      <c r="E6" s="80"/>
      <c r="F6" s="80"/>
      <c r="G6" s="79"/>
      <c r="H6" s="79"/>
      <c r="I6" s="79"/>
      <c r="J6" s="79"/>
      <c r="K6" s="79"/>
      <c r="L6" s="79"/>
      <c r="M6" s="79"/>
      <c r="N6" s="79"/>
      <c r="O6" s="79"/>
      <c r="P6" s="79"/>
      <c r="Q6" s="79"/>
      <c r="R6" s="79"/>
      <c r="S6" s="79"/>
      <c r="T6" s="79"/>
      <c r="U6" s="79"/>
      <c r="V6" s="79"/>
      <c r="W6" s="79"/>
      <c r="X6" s="79"/>
      <c r="Y6" s="79"/>
      <c r="Z6" s="79"/>
      <c r="AA6" s="79"/>
      <c r="AB6" s="79"/>
      <c r="AC6" s="79"/>
      <c r="AD6" s="79"/>
      <c r="AE6" s="79"/>
      <c r="AF6" s="79"/>
      <c r="AG6" s="79"/>
      <c r="AH6" s="79"/>
      <c r="AI6" s="79"/>
      <c r="AJ6" s="79"/>
      <c r="AK6" s="79"/>
      <c r="AL6" s="79"/>
      <c r="AM6" s="79"/>
      <c r="AN6" s="79"/>
      <c r="AO6" s="79"/>
      <c r="AP6" s="79"/>
      <c r="AQ6" s="79"/>
      <c r="AR6" s="79"/>
      <c r="AS6" s="79"/>
      <c r="AT6" s="79"/>
      <c r="AU6" s="79"/>
      <c r="AV6" s="79"/>
      <c r="AW6" s="79"/>
      <c r="AX6" s="79"/>
      <c r="AY6" s="79"/>
      <c r="AZ6" s="79"/>
      <c r="BA6" s="79"/>
      <c r="BB6" s="79"/>
      <c r="BC6" s="79"/>
      <c r="BD6" s="79"/>
      <c r="BE6" s="79"/>
      <c r="BF6" s="79"/>
      <c r="BG6" s="79"/>
      <c r="BH6" s="79"/>
      <c r="BI6" s="79"/>
      <c r="BJ6" s="79"/>
      <c r="BK6" s="79"/>
      <c r="BL6" s="79"/>
      <c r="BM6" s="79"/>
      <c r="BN6" s="230" t="s">
        <v>749</v>
      </c>
      <c r="BO6" s="218"/>
      <c r="BP6" s="218"/>
      <c r="BQ6" s="231"/>
      <c r="BR6" s="79"/>
      <c r="BS6" s="79"/>
      <c r="BT6" s="78"/>
    </row>
    <row r="7" spans="1:72" ht="21.15" customHeight="1" x14ac:dyDescent="0.55000000000000004">
      <c r="A7" s="78"/>
      <c r="B7" s="79"/>
      <c r="C7" s="81" t="s">
        <v>46</v>
      </c>
      <c r="D7" s="79"/>
      <c r="E7" s="79"/>
      <c r="F7" s="79"/>
      <c r="G7" s="79"/>
      <c r="H7" s="79"/>
      <c r="I7" s="79"/>
      <c r="J7" s="79"/>
      <c r="K7" s="82">
        <v>1</v>
      </c>
      <c r="L7" s="142" t="str">
        <f>VLOOKUP(K7,市町村データ!A2:P106,MATCH(手順書_丁目_世帯密度!$G$63, 市町村データ!A1:P1, 0),FALSE)</f>
        <v>新座3</v>
      </c>
      <c r="M7" s="154"/>
      <c r="N7" s="159"/>
      <c r="O7" s="82">
        <v>2</v>
      </c>
      <c r="P7" s="142" t="str">
        <f>VLOOKUP(O7,市町村データ!A2:P106,MATCH(手順書_丁目_世帯密度!$G$63, 市町村データ!A1:P1, 0),FALSE)</f>
        <v>新座2</v>
      </c>
      <c r="Q7" s="154"/>
      <c r="R7" s="159"/>
      <c r="S7" s="82">
        <v>3</v>
      </c>
      <c r="T7" s="142" t="str">
        <f>VLOOKUP(S7,市町村データ!A2:P106,MATCH(手順書_丁目_世帯密度!$G$63, 市町村データ!A1:P1, 0),FALSE)</f>
        <v>新座1</v>
      </c>
      <c r="U7" s="154"/>
      <c r="V7" s="159"/>
      <c r="W7" s="82">
        <v>4</v>
      </c>
      <c r="X7" s="142" t="str">
        <f>VLOOKUP(W7,市町村データ!A2:P106,MATCH(手順書_丁目_世帯密度!$G$63, 市町村データ!A1:P1, 0),FALSE)</f>
        <v>北野3</v>
      </c>
      <c r="Y7" s="154"/>
      <c r="Z7" s="159"/>
      <c r="AA7" s="82">
        <v>5</v>
      </c>
      <c r="AB7" s="142" t="str">
        <f>VLOOKUP(AA7,市町村データ!A2:P106,MATCH(手順書_丁目_世帯密度!$G$63, 市町村データ!A1:P1, 0),FALSE)</f>
        <v>東北1</v>
      </c>
      <c r="AC7" s="154"/>
      <c r="AD7" s="159"/>
      <c r="AE7" s="82">
        <v>6</v>
      </c>
      <c r="AF7" s="142" t="str">
        <f>VLOOKUP(AE7,市町村データ!A2:P106,MATCH(手順書_丁目_世帯密度!$G$63, 市町村データ!A1:P1, 0),FALSE)</f>
        <v>東北2</v>
      </c>
      <c r="AG7" s="154"/>
      <c r="AH7" s="159"/>
      <c r="AI7" s="85"/>
      <c r="AJ7" s="79"/>
      <c r="AK7" s="79"/>
      <c r="AL7" s="79"/>
      <c r="AM7" s="86"/>
      <c r="AN7" s="79"/>
      <c r="AO7" s="79"/>
      <c r="AP7" s="79"/>
      <c r="AQ7" s="86"/>
      <c r="AR7" s="79"/>
      <c r="AS7" s="79"/>
      <c r="AT7" s="79"/>
      <c r="AU7" s="79"/>
      <c r="AV7" s="79"/>
      <c r="AW7" s="79"/>
      <c r="AX7" s="79"/>
      <c r="AY7" s="79"/>
      <c r="AZ7" s="79"/>
      <c r="BA7" s="79"/>
      <c r="BB7" s="79"/>
      <c r="BC7" s="79"/>
      <c r="BD7" s="79"/>
      <c r="BE7" s="79"/>
      <c r="BF7" s="79"/>
      <c r="BG7" s="79"/>
      <c r="BH7" s="79"/>
      <c r="BI7" s="79"/>
      <c r="BJ7" s="79"/>
      <c r="BK7" s="86"/>
      <c r="BL7" s="79"/>
      <c r="BM7" s="79"/>
      <c r="BN7" s="232" t="s">
        <v>752</v>
      </c>
      <c r="BO7" s="218"/>
      <c r="BP7" s="218"/>
      <c r="BQ7" s="231"/>
      <c r="BR7" s="79"/>
      <c r="BS7" s="79"/>
      <c r="BT7" s="78"/>
    </row>
    <row r="8" spans="1:72" ht="21.15" customHeight="1" thickBot="1" x14ac:dyDescent="0.6">
      <c r="A8" s="78"/>
      <c r="B8" s="79"/>
      <c r="C8" s="79"/>
      <c r="D8" s="79"/>
      <c r="E8" s="79"/>
      <c r="F8" s="79"/>
      <c r="G8" s="79"/>
      <c r="H8" s="79"/>
      <c r="I8" s="79"/>
      <c r="J8" s="79"/>
      <c r="K8" s="243">
        <f>VLOOKUP(K7,市町村データ!A2:P106,MATCH(手順書_丁目_世帯密度!$F$64, 市町村データ!A1:P1, 0),FALSE)</f>
        <v>95.4</v>
      </c>
      <c r="L8" s="156"/>
      <c r="M8" s="156"/>
      <c r="N8" s="158"/>
      <c r="O8" s="249">
        <f>VLOOKUP(O7,市町村データ!A2:P106,MATCH(手順書_丁目_世帯密度!$F$64, 市町村データ!A1:P1, 0),FALSE)</f>
        <v>80.900000000000006</v>
      </c>
      <c r="P8" s="156"/>
      <c r="Q8" s="156"/>
      <c r="R8" s="158"/>
      <c r="S8" s="249">
        <f>VLOOKUP(S7,市町村データ!A2:P106,MATCH(手順書_丁目_世帯密度!$F$64, 市町村データ!A1:P1, 0),FALSE)</f>
        <v>85.5</v>
      </c>
      <c r="T8" s="156"/>
      <c r="U8" s="156"/>
      <c r="V8" s="158"/>
      <c r="W8" s="243">
        <f>VLOOKUP(W7,市町村データ!A2:P106,MATCH(手順書_丁目_世帯密度!$F$64, 市町村データ!A1:P1, 0),FALSE)</f>
        <v>98.8</v>
      </c>
      <c r="X8" s="156"/>
      <c r="Y8" s="156"/>
      <c r="Z8" s="158"/>
      <c r="AA8" s="243">
        <f>VLOOKUP(AA7,市町村データ!A2:P106,MATCH(手順書_丁目_世帯密度!$F$64, 市町村データ!A1:P1, 0),FALSE)</f>
        <v>93.3</v>
      </c>
      <c r="AB8" s="156"/>
      <c r="AC8" s="156"/>
      <c r="AD8" s="158"/>
      <c r="AE8" s="249">
        <f>VLOOKUP(AE7,市町村データ!A2:P106,MATCH(手順書_丁目_世帯密度!$F$64, 市町村データ!A1:P1, 0),FALSE)</f>
        <v>86.7</v>
      </c>
      <c r="AF8" s="156"/>
      <c r="AG8" s="156"/>
      <c r="AH8" s="158"/>
      <c r="AI8" s="85"/>
      <c r="AJ8" s="79"/>
      <c r="AK8" s="79"/>
      <c r="AL8" s="79"/>
      <c r="AM8" s="87"/>
      <c r="AN8" s="87"/>
      <c r="AO8" s="87"/>
      <c r="AP8" s="87"/>
      <c r="AQ8" s="87"/>
      <c r="AR8" s="87"/>
      <c r="AS8" s="87"/>
      <c r="AT8" s="87"/>
      <c r="AU8" s="79"/>
      <c r="AV8" s="79"/>
      <c r="AW8" s="79"/>
      <c r="AX8" s="79"/>
      <c r="AY8" s="79"/>
      <c r="AZ8" s="79"/>
      <c r="BA8" s="79"/>
      <c r="BB8" s="79"/>
      <c r="BC8" s="79"/>
      <c r="BD8" s="79"/>
      <c r="BE8" s="79"/>
      <c r="BF8" s="79"/>
      <c r="BG8" s="79"/>
      <c r="BH8" s="79"/>
      <c r="BI8" s="79"/>
      <c r="BJ8" s="79"/>
      <c r="BK8" s="79"/>
      <c r="BL8" s="79"/>
      <c r="BM8" s="79"/>
      <c r="BN8" s="147" t="s">
        <v>625</v>
      </c>
      <c r="BO8" s="148"/>
      <c r="BP8" s="148"/>
      <c r="BQ8" s="149"/>
      <c r="BR8" s="79"/>
      <c r="BS8" s="88"/>
      <c r="BT8" s="78"/>
    </row>
    <row r="9" spans="1:72" ht="21.15" customHeight="1" thickBot="1" x14ac:dyDescent="0.6">
      <c r="A9" s="78"/>
      <c r="B9" s="79"/>
      <c r="C9" s="79"/>
      <c r="D9" s="79"/>
      <c r="E9" s="79"/>
      <c r="F9" s="79"/>
      <c r="G9" s="79"/>
      <c r="H9" s="79"/>
      <c r="I9" s="79"/>
      <c r="J9" s="79"/>
      <c r="K9" s="238">
        <f>VLOOKUP(K7,市町村データ!A2:P106,MATCH(手順書_丁目_世帯密度!$F$65, 市町村データ!A1:P1, 0),FALSE)</f>
        <v>2386</v>
      </c>
      <c r="L9" s="156"/>
      <c r="M9" s="156"/>
      <c r="N9" s="158"/>
      <c r="O9" s="245">
        <f>VLOOKUP(O7,市町村データ!A2:P106,MATCH(手順書_丁目_世帯密度!$F$65, 市町村データ!A1:P1, 0),FALSE)</f>
        <v>1132</v>
      </c>
      <c r="P9" s="156"/>
      <c r="Q9" s="156"/>
      <c r="R9" s="158"/>
      <c r="S9" s="245">
        <f>VLOOKUP(S7,市町村データ!A2:P106,MATCH(手順書_丁目_世帯密度!$F$65, 市町村データ!A1:P1, 0),FALSE)</f>
        <v>684</v>
      </c>
      <c r="T9" s="156"/>
      <c r="U9" s="156"/>
      <c r="V9" s="158"/>
      <c r="W9" s="238">
        <f>VLOOKUP(W7,市町村データ!A2:P106,MATCH(手順書_丁目_世帯密度!$F$65, 市町村データ!A1:P1, 0),FALSE)</f>
        <v>1877</v>
      </c>
      <c r="X9" s="156"/>
      <c r="Y9" s="156"/>
      <c r="Z9" s="158"/>
      <c r="AA9" s="238">
        <f>VLOOKUP(AA7,市町村データ!A2:P106,MATCH(手順書_丁目_世帯密度!$F$65, 市町村データ!A1:P1, 0),FALSE)</f>
        <v>1026</v>
      </c>
      <c r="AB9" s="156"/>
      <c r="AC9" s="156"/>
      <c r="AD9" s="158"/>
      <c r="AE9" s="245">
        <f>VLOOKUP(AE7,市町村データ!A2:P106,MATCH(手順書_丁目_世帯密度!$F$65, 市町村データ!A1:P1, 0),FALSE)</f>
        <v>3467</v>
      </c>
      <c r="AF9" s="156"/>
      <c r="AG9" s="156"/>
      <c r="AH9" s="158"/>
      <c r="AI9" s="85"/>
      <c r="AJ9" s="79"/>
      <c r="AK9" s="79"/>
      <c r="AL9" s="79"/>
      <c r="AM9" s="89"/>
      <c r="AN9" s="89"/>
      <c r="AO9" s="89"/>
      <c r="AP9" s="89"/>
      <c r="AQ9" s="89"/>
      <c r="AR9" s="89"/>
      <c r="AS9" s="89"/>
      <c r="AT9" s="89"/>
      <c r="AU9" s="79"/>
      <c r="AV9" s="79"/>
      <c r="AW9" s="79"/>
      <c r="AX9" s="79"/>
      <c r="AY9" s="79"/>
      <c r="AZ9" s="79"/>
      <c r="BA9" s="79"/>
      <c r="BB9" s="79"/>
      <c r="BC9" s="79"/>
      <c r="BD9" s="79"/>
      <c r="BE9" s="79"/>
      <c r="BF9" s="79"/>
      <c r="BG9" s="79"/>
      <c r="BH9" s="79"/>
      <c r="BI9" s="79"/>
      <c r="BJ9" s="79"/>
      <c r="BK9" s="79"/>
      <c r="BL9" s="79"/>
      <c r="BM9" s="79"/>
      <c r="BN9" s="79"/>
      <c r="BO9" s="79"/>
      <c r="BP9" s="79"/>
      <c r="BQ9" s="79"/>
      <c r="BR9" s="79"/>
      <c r="BS9" s="88"/>
      <c r="BT9" s="78"/>
    </row>
    <row r="10" spans="1:72" ht="21.15" customHeight="1" thickBot="1" x14ac:dyDescent="0.6">
      <c r="A10" s="78"/>
      <c r="B10" s="79"/>
      <c r="C10" s="79"/>
      <c r="D10" s="79"/>
      <c r="E10" s="79"/>
      <c r="F10" s="79"/>
      <c r="G10" s="79"/>
      <c r="H10" s="79"/>
      <c r="I10" s="79"/>
      <c r="J10" s="79"/>
      <c r="K10" s="241">
        <f>VLOOKUP(K7,市町村データ!A2:P106,MATCH(手順書_丁目_世帯密度!$F$66, 市町村データ!A1:P1, 0),FALSE)</f>
        <v>25</v>
      </c>
      <c r="L10" s="153"/>
      <c r="M10" s="153"/>
      <c r="N10" s="240"/>
      <c r="O10" s="247">
        <f>VLOOKUP(O7,市町村データ!A2:P106,MATCH(手順書_丁目_世帯密度!$F$66, 市町村データ!A1:P1, 0),FALSE)</f>
        <v>14</v>
      </c>
      <c r="P10" s="153"/>
      <c r="Q10" s="153"/>
      <c r="R10" s="240"/>
      <c r="S10" s="247">
        <f>VLOOKUP(S7,市町村データ!A2:P106,MATCH(手順書_丁目_世帯密度!$F$66, 市町村データ!A1:P1, 0),FALSE)</f>
        <v>8</v>
      </c>
      <c r="T10" s="153"/>
      <c r="U10" s="153"/>
      <c r="V10" s="240"/>
      <c r="W10" s="241">
        <f>VLOOKUP(W7,市町村データ!A2:P106,MATCH(手順書_丁目_世帯密度!$F$66, 市町村データ!A1:P1, 0),FALSE)</f>
        <v>19</v>
      </c>
      <c r="X10" s="153"/>
      <c r="Y10" s="153"/>
      <c r="Z10" s="240"/>
      <c r="AA10" s="241">
        <f>VLOOKUP(AA7,市町村データ!A2:P106,MATCH(手順書_丁目_世帯密度!$F$66, 市町村データ!A1:P1, 0),FALSE)</f>
        <v>11</v>
      </c>
      <c r="AB10" s="153"/>
      <c r="AC10" s="153"/>
      <c r="AD10" s="240"/>
      <c r="AE10" s="247">
        <f>VLOOKUP(AE7,市町村データ!A2:P106,MATCH(手順書_丁目_世帯密度!$F$66, 市町村データ!A1:P1, 0),FALSE)</f>
        <v>40</v>
      </c>
      <c r="AF10" s="153"/>
      <c r="AG10" s="153"/>
      <c r="AH10" s="240"/>
      <c r="AI10" s="85"/>
      <c r="AJ10" s="79"/>
      <c r="AK10" s="79"/>
      <c r="AL10" s="79"/>
      <c r="AM10" s="79"/>
      <c r="AN10" s="79"/>
      <c r="AO10" s="79"/>
      <c r="AP10" s="79"/>
      <c r="AQ10" s="79"/>
      <c r="AR10" s="79"/>
      <c r="AS10" s="79"/>
      <c r="AT10" s="79"/>
      <c r="AU10" s="79"/>
      <c r="AV10" s="79"/>
      <c r="AW10" s="79"/>
      <c r="AX10" s="79"/>
      <c r="AY10" s="79"/>
      <c r="AZ10" s="79"/>
      <c r="BA10" s="79"/>
      <c r="BB10" s="79"/>
      <c r="BC10" s="79"/>
      <c r="BD10" s="79"/>
      <c r="BE10" s="79"/>
      <c r="BF10" s="79"/>
      <c r="BG10" s="79"/>
      <c r="BH10" s="79"/>
      <c r="BI10" s="79"/>
      <c r="BJ10" s="79"/>
      <c r="BK10" s="79"/>
      <c r="BL10" s="79"/>
      <c r="BM10" s="79"/>
      <c r="BN10" s="233" t="s">
        <v>71</v>
      </c>
      <c r="BO10" s="234"/>
      <c r="BP10" s="234"/>
      <c r="BQ10" s="235" t="s">
        <v>70</v>
      </c>
      <c r="BR10" s="236"/>
      <c r="BS10" s="88"/>
      <c r="BT10" s="78"/>
    </row>
    <row r="11" spans="1:72" ht="21.15" customHeight="1" x14ac:dyDescent="0.55000000000000004">
      <c r="A11" s="78"/>
      <c r="B11" s="79"/>
      <c r="C11" s="81" t="s">
        <v>63</v>
      </c>
      <c r="D11" s="79"/>
      <c r="E11" s="79"/>
      <c r="F11" s="79"/>
      <c r="G11" s="82">
        <v>7</v>
      </c>
      <c r="H11" s="142" t="str">
        <f>VLOOKUP(G11,市町村データ!A2:P106,MATCH(手順書_丁目_世帯密度!$G$63, 市町村データ!A1:P1, 0),FALSE)</f>
        <v>中野2</v>
      </c>
      <c r="I11" s="154"/>
      <c r="J11" s="159"/>
      <c r="K11" s="82">
        <v>8</v>
      </c>
      <c r="L11" s="142" t="str">
        <f>VLOOKUP(K11,市町村データ!A2:P106,MATCH(手順書_丁目_世帯密度!$G$63, 市町村データ!A1:P1, 0),FALSE)</f>
        <v>大和田4</v>
      </c>
      <c r="M11" s="154"/>
      <c r="N11" s="154"/>
      <c r="O11" s="84"/>
      <c r="P11" s="84"/>
      <c r="Q11" s="84"/>
      <c r="R11" s="84"/>
      <c r="S11" s="82">
        <v>9</v>
      </c>
      <c r="T11" s="142" t="str">
        <f>VLOOKUP(S11,市町村データ!A2:P106,MATCH(手順書_丁目_世帯密度!$G$63, 市町村データ!A1:P1, 0),FALSE)</f>
        <v>大和田5</v>
      </c>
      <c r="U11" s="154"/>
      <c r="V11" s="159"/>
      <c r="W11" s="82">
        <v>10</v>
      </c>
      <c r="X11" s="142" t="str">
        <f>VLOOKUP(W11,市町村データ!A2:P106,MATCH(手順書_丁目_世帯密度!$G$63, 市町村データ!A1:P1, 0),FALSE)</f>
        <v>北野2</v>
      </c>
      <c r="Y11" s="154"/>
      <c r="Z11" s="159"/>
      <c r="AA11" s="82">
        <v>11</v>
      </c>
      <c r="AB11" s="142" t="str">
        <f>VLOOKUP(AA11,市町村データ!A2:P106,MATCH(手順書_丁目_世帯密度!$G$63, 市町村データ!A1:P1, 0),FALSE)</f>
        <v>北野1</v>
      </c>
      <c r="AC11" s="154"/>
      <c r="AD11" s="159"/>
      <c r="AE11" s="82">
        <v>12</v>
      </c>
      <c r="AF11" s="142" t="str">
        <f>VLOOKUP(AE11,市町村データ!A2:P106,MATCH(手順書_丁目_世帯密度!$G$63, 市町村データ!A1:P1, 0),FALSE)</f>
        <v>東3</v>
      </c>
      <c r="AG11" s="154"/>
      <c r="AH11" s="159"/>
      <c r="AI11" s="82">
        <v>13</v>
      </c>
      <c r="AJ11" s="142" t="str">
        <f>VLOOKUP(AI11,市町村データ!A2:P106,MATCH(手順書_丁目_世帯密度!$G$63, 市町村データ!A1:P1, 0),FALSE)</f>
        <v>東2</v>
      </c>
      <c r="AK11" s="154"/>
      <c r="AL11" s="159"/>
      <c r="AM11" s="82">
        <v>14</v>
      </c>
      <c r="AN11" s="142" t="str">
        <f>VLOOKUP(AM11,市町村データ!A2:P106,MATCH(手順書_丁目_世帯密度!$G$63, 市町村データ!A1:P1, 0),FALSE)</f>
        <v>東1</v>
      </c>
      <c r="AO11" s="154"/>
      <c r="AP11" s="159"/>
      <c r="AQ11" s="91"/>
      <c r="AR11" s="79"/>
      <c r="AS11" s="79"/>
      <c r="AT11" s="79"/>
      <c r="AU11" s="79"/>
      <c r="AV11" s="79"/>
      <c r="AW11" s="79"/>
      <c r="AX11" s="79"/>
      <c r="AY11" s="79"/>
      <c r="AZ11" s="79"/>
      <c r="BA11" s="79"/>
      <c r="BB11" s="79"/>
      <c r="BC11" s="79"/>
      <c r="BD11" s="79"/>
      <c r="BE11" s="79"/>
      <c r="BF11" s="79"/>
      <c r="BG11" s="79"/>
      <c r="BH11" s="79"/>
      <c r="BI11" s="79"/>
      <c r="BJ11" s="79"/>
      <c r="BK11" s="79"/>
      <c r="BL11" s="79"/>
      <c r="BM11" s="79"/>
      <c r="BN11" s="214">
        <v>110</v>
      </c>
      <c r="BO11" s="218"/>
      <c r="BP11" s="218"/>
      <c r="BQ11" s="227"/>
      <c r="BR11" s="217"/>
      <c r="BS11" s="88"/>
      <c r="BT11" s="78"/>
    </row>
    <row r="12" spans="1:72" ht="21.15" customHeight="1" x14ac:dyDescent="0.55000000000000004">
      <c r="A12" s="78"/>
      <c r="B12" s="79"/>
      <c r="C12" s="79"/>
      <c r="D12" s="79"/>
      <c r="E12" s="79"/>
      <c r="F12" s="79"/>
      <c r="G12" s="262">
        <f>VLOOKUP(G11,市町村データ!A2:P106,MATCH(手順書_丁目_世帯密度!$F$64, 市町村データ!A1:P1, 0),FALSE)</f>
        <v>1.8</v>
      </c>
      <c r="H12" s="156"/>
      <c r="I12" s="156"/>
      <c r="J12" s="158"/>
      <c r="K12" s="264">
        <f>VLOOKUP(K11,市町村データ!A2:P106,MATCH(手順書_丁目_世帯密度!$F$64, 市町村データ!A1:P1, 0),FALSE)</f>
        <v>17.8</v>
      </c>
      <c r="L12" s="156"/>
      <c r="M12" s="156"/>
      <c r="N12" s="156"/>
      <c r="O12" s="79"/>
      <c r="P12" s="79"/>
      <c r="Q12" s="79"/>
      <c r="R12" s="79"/>
      <c r="S12" s="248">
        <f>VLOOKUP(S11,市町村データ!A2:P106,MATCH(手順書_丁目_世帯密度!$F$64, 市町村データ!A1:P1, 0),FALSE)</f>
        <v>64.7</v>
      </c>
      <c r="T12" s="156"/>
      <c r="U12" s="156"/>
      <c r="V12" s="158"/>
      <c r="W12" s="248">
        <f>VLOOKUP(W11,市町村データ!A2:P106,MATCH(手順書_丁目_世帯密度!$F$64, 市町村データ!A1:P1, 0),FALSE)</f>
        <v>61</v>
      </c>
      <c r="X12" s="156"/>
      <c r="Y12" s="156"/>
      <c r="Z12" s="158"/>
      <c r="AA12" s="264">
        <f>VLOOKUP(AA11,市町村データ!A2:P106,MATCH(手順書_丁目_世帯密度!$F$64, 市町村データ!A1:P1, 0),FALSE)</f>
        <v>18.5</v>
      </c>
      <c r="AB12" s="156"/>
      <c r="AC12" s="156"/>
      <c r="AD12" s="158"/>
      <c r="AE12" s="249">
        <f>VLOOKUP(AE11,市町村データ!A2:P106,MATCH(手順書_丁目_世帯密度!$F$64, 市町村データ!A1:P1, 0),FALSE)</f>
        <v>88.7</v>
      </c>
      <c r="AF12" s="156"/>
      <c r="AG12" s="156"/>
      <c r="AH12" s="158"/>
      <c r="AI12" s="295">
        <f>VLOOKUP(AI11,市町村データ!A2:P106,MATCH(手順書_丁目_世帯密度!$F$64, 市町村データ!A1:P1, 0),FALSE)</f>
        <v>45.8</v>
      </c>
      <c r="AJ12" s="156"/>
      <c r="AK12" s="156"/>
      <c r="AL12" s="158"/>
      <c r="AM12" s="252">
        <f>VLOOKUP(AM11,市町村データ!A2:P106,MATCH(手順書_丁目_世帯密度!$F$64, 市町村データ!A1:P1, 0),FALSE)</f>
        <v>73.900000000000006</v>
      </c>
      <c r="AN12" s="156"/>
      <c r="AO12" s="156"/>
      <c r="AP12" s="158"/>
      <c r="AQ12" s="92"/>
      <c r="AR12" s="87"/>
      <c r="AS12" s="87"/>
      <c r="AT12" s="87"/>
      <c r="AU12" s="79"/>
      <c r="AV12" s="79"/>
      <c r="AW12" s="79"/>
      <c r="AX12" s="79"/>
      <c r="AY12" s="79"/>
      <c r="AZ12" s="79"/>
      <c r="BA12" s="79"/>
      <c r="BB12" s="79"/>
      <c r="BC12" s="79"/>
      <c r="BD12" s="79"/>
      <c r="BE12" s="79"/>
      <c r="BF12" s="79"/>
      <c r="BG12" s="79"/>
      <c r="BH12" s="79"/>
      <c r="BI12" s="79"/>
      <c r="BJ12" s="79"/>
      <c r="BK12" s="79"/>
      <c r="BL12" s="79"/>
      <c r="BM12" s="79"/>
      <c r="BN12" s="214">
        <v>100</v>
      </c>
      <c r="BO12" s="218"/>
      <c r="BP12" s="218"/>
      <c r="BQ12" s="228"/>
      <c r="BR12" s="217"/>
      <c r="BS12" s="88"/>
      <c r="BT12" s="78"/>
    </row>
    <row r="13" spans="1:72" ht="21.15" customHeight="1" x14ac:dyDescent="0.55000000000000004">
      <c r="A13" s="78"/>
      <c r="B13" s="79"/>
      <c r="C13" s="79"/>
      <c r="D13" s="79"/>
      <c r="E13" s="79"/>
      <c r="F13" s="79"/>
      <c r="G13" s="260">
        <f>VLOOKUP(G11,市町村データ!A2:P106,MATCH(手順書_丁目_世帯密度!$F$65, 市町村データ!A1:P1, 0),FALSE)</f>
        <v>72</v>
      </c>
      <c r="H13" s="156"/>
      <c r="I13" s="156"/>
      <c r="J13" s="158"/>
      <c r="K13" s="259">
        <f>VLOOKUP(K11,市町村データ!A2:P106,MATCH(手順書_丁目_世帯密度!$F$65, 市町村データ!A1:P1, 0),FALSE)</f>
        <v>654</v>
      </c>
      <c r="L13" s="156"/>
      <c r="M13" s="156"/>
      <c r="N13" s="156"/>
      <c r="O13" s="79"/>
      <c r="P13" s="79"/>
      <c r="Q13" s="79"/>
      <c r="R13" s="79"/>
      <c r="S13" s="244">
        <f>VLOOKUP(S11,市町村データ!A2:P106,MATCH(手順書_丁目_世帯密度!$F$65, 市町村データ!A1:P1, 0),FALSE)</f>
        <v>1748</v>
      </c>
      <c r="T13" s="156"/>
      <c r="U13" s="156"/>
      <c r="V13" s="158"/>
      <c r="W13" s="244">
        <f>VLOOKUP(W11,市町村データ!A2:P106,MATCH(手順書_丁目_世帯密度!$F$65, 市町村データ!A1:P1, 0),FALSE)</f>
        <v>1280</v>
      </c>
      <c r="X13" s="156"/>
      <c r="Y13" s="156"/>
      <c r="Z13" s="158"/>
      <c r="AA13" s="259">
        <f>VLOOKUP(AA11,市町村データ!A2:P106,MATCH(手順書_丁目_世帯密度!$F$65, 市町村データ!A1:P1, 0),FALSE)</f>
        <v>444</v>
      </c>
      <c r="AB13" s="156"/>
      <c r="AC13" s="156"/>
      <c r="AD13" s="158"/>
      <c r="AE13" s="245">
        <f>VLOOKUP(AE11,市町村データ!A2:P106,MATCH(手順書_丁目_世帯密度!$F$65, 市町村データ!A1:P1, 0),FALSE)</f>
        <v>1331</v>
      </c>
      <c r="AF13" s="156"/>
      <c r="AG13" s="156"/>
      <c r="AH13" s="158"/>
      <c r="AI13" s="297">
        <f>VLOOKUP(AI11,市町村データ!A2:P106,MATCH(手順書_丁目_世帯密度!$F$65, 市町村データ!A1:P1, 0),FALSE)</f>
        <v>595</v>
      </c>
      <c r="AJ13" s="156"/>
      <c r="AK13" s="156"/>
      <c r="AL13" s="158"/>
      <c r="AM13" s="250">
        <f>VLOOKUP(AM11,市町村データ!A2:P106,MATCH(手順書_丁目_世帯密度!$F$65, 市町村データ!A1:P1, 0),FALSE)</f>
        <v>1404</v>
      </c>
      <c r="AN13" s="156"/>
      <c r="AO13" s="156"/>
      <c r="AP13" s="158"/>
      <c r="AQ13" s="93"/>
      <c r="AR13" s="89"/>
      <c r="AS13" s="89"/>
      <c r="AT13" s="89"/>
      <c r="AU13" s="79"/>
      <c r="AV13" s="79"/>
      <c r="AW13" s="79"/>
      <c r="AX13" s="79"/>
      <c r="AY13" s="79"/>
      <c r="AZ13" s="79"/>
      <c r="BA13" s="79"/>
      <c r="BB13" s="79"/>
      <c r="BC13" s="79"/>
      <c r="BD13" s="79"/>
      <c r="BE13" s="79"/>
      <c r="BF13" s="79"/>
      <c r="BG13" s="79"/>
      <c r="BH13" s="79"/>
      <c r="BI13" s="79"/>
      <c r="BJ13" s="79"/>
      <c r="BK13" s="79"/>
      <c r="BL13" s="79"/>
      <c r="BM13" s="79"/>
      <c r="BN13" s="214">
        <v>90</v>
      </c>
      <c r="BO13" s="218"/>
      <c r="BP13" s="218"/>
      <c r="BQ13" s="229"/>
      <c r="BR13" s="217"/>
      <c r="BS13" s="88"/>
      <c r="BT13" s="78"/>
    </row>
    <row r="14" spans="1:72" ht="21.15" customHeight="1" thickBot="1" x14ac:dyDescent="0.6">
      <c r="A14" s="78"/>
      <c r="B14" s="79"/>
      <c r="C14" s="79"/>
      <c r="D14" s="79"/>
      <c r="E14" s="79"/>
      <c r="F14" s="79"/>
      <c r="G14" s="256">
        <f>VLOOKUP(G11,市町村データ!A2:P106,MATCH(手順書_丁目_世帯密度!$F$66, 市町村データ!A1:P1, 0),FALSE)</f>
        <v>40</v>
      </c>
      <c r="H14" s="153"/>
      <c r="I14" s="153"/>
      <c r="J14" s="240"/>
      <c r="K14" s="258">
        <f>VLOOKUP(K11,市町村データ!A2:P106,MATCH(手順書_丁目_世帯密度!$F$66, 市町村データ!A1:P1, 0),FALSE)</f>
        <v>36.799999999999997</v>
      </c>
      <c r="L14" s="153"/>
      <c r="M14" s="153"/>
      <c r="N14" s="153"/>
      <c r="O14" s="79"/>
      <c r="P14" s="79"/>
      <c r="Q14" s="79"/>
      <c r="R14" s="79"/>
      <c r="S14" s="246">
        <f>VLOOKUP(S11,市町村データ!A2:P106,MATCH(手順書_丁目_世帯密度!$F$66, 市町村データ!A1:P1, 0),FALSE)</f>
        <v>27</v>
      </c>
      <c r="T14" s="153"/>
      <c r="U14" s="153"/>
      <c r="V14" s="240"/>
      <c r="W14" s="246">
        <f>VLOOKUP(W11,市町村データ!A2:P106,MATCH(手順書_丁目_世帯密度!$F$66, 市町村データ!A1:P1, 0),FALSE)</f>
        <v>21</v>
      </c>
      <c r="X14" s="153"/>
      <c r="Y14" s="153"/>
      <c r="Z14" s="240"/>
      <c r="AA14" s="258">
        <f>VLOOKUP(AA11,市町村データ!A2:P106,MATCH(手順書_丁目_世帯密度!$F$66, 市町村データ!A1:P1, 0),FALSE)</f>
        <v>24</v>
      </c>
      <c r="AB14" s="153"/>
      <c r="AC14" s="153"/>
      <c r="AD14" s="240"/>
      <c r="AE14" s="247">
        <f>VLOOKUP(AE11,市町村データ!A2:P106,MATCH(手順書_丁目_世帯密度!$F$66, 市町村データ!A1:P1, 0),FALSE)</f>
        <v>15</v>
      </c>
      <c r="AF14" s="153"/>
      <c r="AG14" s="153"/>
      <c r="AH14" s="240"/>
      <c r="AI14" s="296">
        <f>VLOOKUP(AI11,市町村データ!A2:P106,MATCH(手順書_丁目_世帯密度!$F$66, 市町村データ!A1:P1, 0),FALSE)</f>
        <v>13</v>
      </c>
      <c r="AJ14" s="153"/>
      <c r="AK14" s="153"/>
      <c r="AL14" s="240"/>
      <c r="AM14" s="251">
        <f>VLOOKUP(AM11,市町村データ!A2:P106,MATCH(手順書_丁目_世帯密度!$F$66, 市町村データ!A1:P1, 0),FALSE)</f>
        <v>19</v>
      </c>
      <c r="AN14" s="153"/>
      <c r="AO14" s="153"/>
      <c r="AP14" s="240"/>
      <c r="AQ14" s="85"/>
      <c r="AR14" s="79"/>
      <c r="AS14" s="79"/>
      <c r="AT14" s="79"/>
      <c r="AU14" s="79"/>
      <c r="AV14" s="79"/>
      <c r="AW14" s="79"/>
      <c r="AX14" s="79"/>
      <c r="AY14" s="79"/>
      <c r="AZ14" s="79"/>
      <c r="BA14" s="79"/>
      <c r="BB14" s="79"/>
      <c r="BC14" s="79"/>
      <c r="BD14" s="79"/>
      <c r="BE14" s="79"/>
      <c r="BF14" s="79"/>
      <c r="BG14" s="79"/>
      <c r="BH14" s="79"/>
      <c r="BI14" s="79"/>
      <c r="BJ14" s="79"/>
      <c r="BK14" s="79"/>
      <c r="BL14" s="79"/>
      <c r="BM14" s="79"/>
      <c r="BN14" s="221">
        <v>80</v>
      </c>
      <c r="BO14" s="222"/>
      <c r="BP14" s="222"/>
      <c r="BQ14" s="223"/>
      <c r="BR14" s="217"/>
      <c r="BS14" s="88"/>
      <c r="BT14" s="78"/>
    </row>
    <row r="15" spans="1:72" ht="21.15" customHeight="1" x14ac:dyDescent="0.55000000000000004">
      <c r="A15" s="78"/>
      <c r="B15" s="79"/>
      <c r="C15" s="81" t="s">
        <v>134</v>
      </c>
      <c r="D15" s="79"/>
      <c r="E15" s="79"/>
      <c r="F15" s="79"/>
      <c r="G15" s="82">
        <v>15</v>
      </c>
      <c r="H15" s="142" t="str">
        <f>VLOOKUP(G15,市町村データ!A2:P106,MATCH(手順書_丁目_世帯密度!$G$63, 市町村データ!A1:P1, 0),FALSE)</f>
        <v>中野1</v>
      </c>
      <c r="I15" s="154"/>
      <c r="J15" s="159"/>
      <c r="K15" s="82">
        <v>16</v>
      </c>
      <c r="L15" s="142" t="str">
        <f>VLOOKUP(K15,市町村データ!A2:P106,MATCH(手順書_丁目_世帯密度!$G$63, 市町村データ!A1:P1, 0),FALSE)</f>
        <v>大和田3</v>
      </c>
      <c r="M15" s="154"/>
      <c r="N15" s="159"/>
      <c r="O15" s="82">
        <v>17</v>
      </c>
      <c r="P15" s="142" t="str">
        <f>VLOOKUP(O15,市町村データ!A2:P106,MATCH(手順書_丁目_世帯密度!$G$63, 市町村データ!A1:P1, 0),FALSE)</f>
        <v>大和田2</v>
      </c>
      <c r="Q15" s="154"/>
      <c r="R15" s="159"/>
      <c r="S15" s="82">
        <v>18</v>
      </c>
      <c r="T15" s="142" t="str">
        <f>VLOOKUP(S15,市町村データ!A2:P106,MATCH(手順書_丁目_世帯密度!$G$63, 市町村データ!A1:P1, 0),FALSE)</f>
        <v>大和田1</v>
      </c>
      <c r="U15" s="154"/>
      <c r="V15" s="159"/>
      <c r="W15" s="82">
        <v>19</v>
      </c>
      <c r="X15" s="142" t="str">
        <f>VLOOKUP(W15,市町村データ!A2:P106,MATCH(手順書_丁目_世帯密度!$G$63, 市町村データ!A1:P1, 0),FALSE)</f>
        <v>野火止5</v>
      </c>
      <c r="Y15" s="154"/>
      <c r="Z15" s="159"/>
      <c r="AA15" s="82">
        <v>20</v>
      </c>
      <c r="AB15" s="142" t="str">
        <f>VLOOKUP(AA15,市町村データ!A2:P106,MATCH(手順書_丁目_世帯密度!$G$63, 市町村データ!A1:P1, 0),FALSE)</f>
        <v>野火止6</v>
      </c>
      <c r="AC15" s="154"/>
      <c r="AD15" s="159"/>
      <c r="AE15" s="82">
        <v>21</v>
      </c>
      <c r="AF15" s="142" t="str">
        <f>VLOOKUP(AE15,市町村データ!A2:P106,MATCH(手順書_丁目_世帯密度!$G$63, 市町村データ!A1:P1, 0),FALSE)</f>
        <v>野火止7</v>
      </c>
      <c r="AG15" s="154"/>
      <c r="AH15" s="159"/>
      <c r="AI15" s="82">
        <v>22</v>
      </c>
      <c r="AJ15" s="142" t="str">
        <f>VLOOKUP(AI15,市町村データ!A2:P106,MATCH(手順書_丁目_世帯密度!$G$63, 市町村データ!A1:P1, 0),FALSE)</f>
        <v>野火止8</v>
      </c>
      <c r="AK15" s="154"/>
      <c r="AL15" s="159"/>
      <c r="AM15" s="82">
        <v>23</v>
      </c>
      <c r="AN15" s="142" t="str">
        <f>VLOOKUP(AM15,市町村データ!A2:P106,MATCH(手順書_丁目_世帯密度!$G$63, 市町村データ!A1:P1, 0),FALSE)</f>
        <v>畑中3</v>
      </c>
      <c r="AO15" s="154"/>
      <c r="AP15" s="159"/>
      <c r="AQ15" s="91"/>
      <c r="AR15" s="79"/>
      <c r="AS15" s="79"/>
      <c r="AT15" s="79"/>
      <c r="AU15" s="79"/>
      <c r="AV15" s="79"/>
      <c r="AW15" s="79"/>
      <c r="AX15" s="79"/>
      <c r="AY15" s="79"/>
      <c r="AZ15" s="79"/>
      <c r="BA15" s="79"/>
      <c r="BB15" s="79"/>
      <c r="BC15" s="79"/>
      <c r="BD15" s="79"/>
      <c r="BE15" s="79"/>
      <c r="BF15" s="79"/>
      <c r="BG15" s="79"/>
      <c r="BH15" s="79"/>
      <c r="BI15" s="79"/>
      <c r="BJ15" s="79"/>
      <c r="BK15" s="86"/>
      <c r="BL15" s="79"/>
      <c r="BM15" s="79"/>
      <c r="BN15" s="214">
        <v>70</v>
      </c>
      <c r="BO15" s="218"/>
      <c r="BP15" s="218"/>
      <c r="BQ15" s="224"/>
      <c r="BR15" s="217"/>
      <c r="BS15" s="88"/>
      <c r="BT15" s="78"/>
    </row>
    <row r="16" spans="1:72" ht="21.15" customHeight="1" x14ac:dyDescent="0.55000000000000004">
      <c r="A16" s="78"/>
      <c r="B16" s="79"/>
      <c r="C16" s="79"/>
      <c r="D16" s="79"/>
      <c r="E16" s="79"/>
      <c r="F16" s="79"/>
      <c r="G16" s="262">
        <f>VLOOKUP(G15,市町村データ!A2:P106,MATCH(手順書_丁目_世帯密度!$F$64, 市町村データ!A1:P1, 0),FALSE)</f>
        <v>6.3</v>
      </c>
      <c r="H16" s="156"/>
      <c r="I16" s="156"/>
      <c r="J16" s="158"/>
      <c r="K16" s="262">
        <f>VLOOKUP(K15,市町村データ!A2:P106,MATCH(手順書_丁目_世帯密度!$F$64, 市町村データ!A1:P1, 0),FALSE)</f>
        <v>0.4</v>
      </c>
      <c r="L16" s="156"/>
      <c r="M16" s="156"/>
      <c r="N16" s="158"/>
      <c r="O16" s="262">
        <f>VLOOKUP(O15,市町村データ!A2:P106,MATCH(手順書_丁目_世帯密度!$F$64, 市町村データ!A1:P1, 0),FALSE)</f>
        <v>3</v>
      </c>
      <c r="P16" s="156"/>
      <c r="Q16" s="156"/>
      <c r="R16" s="158"/>
      <c r="S16" s="254">
        <f>VLOOKUP(S15,市町村データ!A2:P106,MATCH(手順書_丁目_世帯密度!$F$64, 市町村データ!A1:P1, 0),FALSE)</f>
        <v>33.799999999999997</v>
      </c>
      <c r="T16" s="156"/>
      <c r="U16" s="156"/>
      <c r="V16" s="158"/>
      <c r="W16" s="248">
        <f>VLOOKUP(W15,市町村データ!A2:P106,MATCH(手順書_丁目_世帯密度!$F$64, 市町村データ!A1:P1, 0),FALSE)</f>
        <v>62.2</v>
      </c>
      <c r="X16" s="156"/>
      <c r="Y16" s="156"/>
      <c r="Z16" s="158"/>
      <c r="AA16" s="295">
        <f>VLOOKUP(AA15,市町村データ!A2:P106,MATCH(手順書_丁目_世帯密度!$F$64, 市町村データ!A1:P1, 0),FALSE)</f>
        <v>48.3</v>
      </c>
      <c r="AB16" s="156"/>
      <c r="AC16" s="156"/>
      <c r="AD16" s="158"/>
      <c r="AE16" s="263">
        <f>VLOOKUP(AE15,市町村データ!A2:P106,MATCH(手順書_丁目_世帯密度!$F$64, 市町村データ!A1:P1, 0),FALSE)</f>
        <v>29.3</v>
      </c>
      <c r="AF16" s="156"/>
      <c r="AG16" s="156"/>
      <c r="AH16" s="158"/>
      <c r="AI16" s="254">
        <f>VLOOKUP(AI15,市町村データ!A2:P106,MATCH(手順書_丁目_世帯密度!$F$64, 市町村データ!A1:P1, 0),FALSE)</f>
        <v>35.299999999999997</v>
      </c>
      <c r="AJ16" s="156"/>
      <c r="AK16" s="156"/>
      <c r="AL16" s="158"/>
      <c r="AM16" s="299">
        <f>VLOOKUP(AM15,市町村データ!A2:P106,MATCH(手順書_丁目_世帯密度!$F$64, 市町村データ!A1:P1, 0),FALSE)</f>
        <v>53.3</v>
      </c>
      <c r="AN16" s="156"/>
      <c r="AO16" s="156"/>
      <c r="AP16" s="158"/>
      <c r="AQ16" s="92"/>
      <c r="AR16" s="87"/>
      <c r="AS16" s="87"/>
      <c r="AT16" s="87"/>
      <c r="AU16" s="79"/>
      <c r="AV16" s="79"/>
      <c r="AW16" s="79"/>
      <c r="AX16" s="79"/>
      <c r="AY16" s="79"/>
      <c r="AZ16" s="79"/>
      <c r="BA16" s="79"/>
      <c r="BB16" s="79"/>
      <c r="BC16" s="79"/>
      <c r="BD16" s="79"/>
      <c r="BE16" s="79"/>
      <c r="BF16" s="79"/>
      <c r="BG16" s="79"/>
      <c r="BH16" s="79"/>
      <c r="BI16" s="79"/>
      <c r="BJ16" s="79"/>
      <c r="BK16" s="87"/>
      <c r="BL16" s="87"/>
      <c r="BM16" s="87"/>
      <c r="BN16" s="214">
        <v>60</v>
      </c>
      <c r="BO16" s="225"/>
      <c r="BP16" s="225"/>
      <c r="BQ16" s="226"/>
      <c r="BR16" s="217"/>
      <c r="BS16" s="88"/>
      <c r="BT16" s="78"/>
    </row>
    <row r="17" spans="1:72" ht="21.15" customHeight="1" x14ac:dyDescent="0.55000000000000004">
      <c r="A17" s="78"/>
      <c r="B17" s="79"/>
      <c r="C17" s="79"/>
      <c r="D17" s="79"/>
      <c r="E17" s="79"/>
      <c r="F17" s="79"/>
      <c r="G17" s="260">
        <f>VLOOKUP(G15,市町村データ!A2:P106,MATCH(手順書_丁目_世帯密度!$F$65, 市町村データ!A1:P1, 0),FALSE)</f>
        <v>213</v>
      </c>
      <c r="H17" s="156"/>
      <c r="I17" s="156"/>
      <c r="J17" s="158"/>
      <c r="K17" s="260">
        <f>VLOOKUP(K15,市町村データ!A2:P106,MATCH(手順書_丁目_世帯密度!$F$65, 市町村データ!A1:P1, 0),FALSE)</f>
        <v>13</v>
      </c>
      <c r="L17" s="156"/>
      <c r="M17" s="156"/>
      <c r="N17" s="158"/>
      <c r="O17" s="260">
        <f>VLOOKUP(O15,市町村データ!A2:P106,MATCH(手順書_丁目_世帯密度!$F$65, 市町村データ!A1:P1, 0),FALSE)</f>
        <v>89</v>
      </c>
      <c r="P17" s="156"/>
      <c r="Q17" s="156"/>
      <c r="R17" s="158"/>
      <c r="S17" s="255">
        <f>VLOOKUP(S15,市町村データ!A2:P106,MATCH(手順書_丁目_世帯密度!$F$65, 市町村データ!A1:P1, 0),FALSE)</f>
        <v>1824</v>
      </c>
      <c r="T17" s="156"/>
      <c r="U17" s="156"/>
      <c r="V17" s="158"/>
      <c r="W17" s="244">
        <f>VLOOKUP(W15,市町村データ!A2:P106,MATCH(手順書_丁目_世帯密度!$F$65, 市町村データ!A1:P1, 0),FALSE)</f>
        <v>3732</v>
      </c>
      <c r="X17" s="156"/>
      <c r="Y17" s="156"/>
      <c r="Z17" s="158"/>
      <c r="AA17" s="297">
        <f>VLOOKUP(AA15,市町村データ!A2:P106,MATCH(手順書_丁目_世帯密度!$F$65, 市町村データ!A1:P1, 0),FALSE)</f>
        <v>2270</v>
      </c>
      <c r="AB17" s="156"/>
      <c r="AC17" s="156"/>
      <c r="AD17" s="158"/>
      <c r="AE17" s="261">
        <f>VLOOKUP(AE15,市町村データ!A2:P106,MATCH(手順書_丁目_世帯密度!$F$65, 市町村データ!A1:P1, 0),FALSE)</f>
        <v>1609</v>
      </c>
      <c r="AF17" s="156"/>
      <c r="AG17" s="156"/>
      <c r="AH17" s="158"/>
      <c r="AI17" s="255">
        <f>VLOOKUP(AI15,市町村データ!A2:P106,MATCH(手順書_丁目_世帯密度!$F$65, 市町村データ!A1:P1, 0),FALSE)</f>
        <v>2120</v>
      </c>
      <c r="AJ17" s="156"/>
      <c r="AK17" s="156"/>
      <c r="AL17" s="158"/>
      <c r="AM17" s="300">
        <f>VLOOKUP(AM15,市町村データ!A2:P106,MATCH(手順書_丁目_世帯密度!$F$65, 市町村データ!A1:P1, 0),FALSE)</f>
        <v>799</v>
      </c>
      <c r="AN17" s="156"/>
      <c r="AO17" s="156"/>
      <c r="AP17" s="158"/>
      <c r="AQ17" s="93"/>
      <c r="AR17" s="89"/>
      <c r="AS17" s="89"/>
      <c r="AT17" s="89"/>
      <c r="AU17" s="79"/>
      <c r="AV17" s="79"/>
      <c r="AW17" s="79"/>
      <c r="AX17" s="79"/>
      <c r="AY17" s="79"/>
      <c r="AZ17" s="79"/>
      <c r="BA17" s="79"/>
      <c r="BB17" s="79"/>
      <c r="BC17" s="79"/>
      <c r="BD17" s="79"/>
      <c r="BE17" s="79"/>
      <c r="BF17" s="79"/>
      <c r="BG17" s="79"/>
      <c r="BH17" s="79"/>
      <c r="BI17" s="79"/>
      <c r="BJ17" s="79"/>
      <c r="BK17" s="89"/>
      <c r="BL17" s="89"/>
      <c r="BM17" s="89"/>
      <c r="BN17" s="214">
        <v>50</v>
      </c>
      <c r="BO17" s="215"/>
      <c r="BP17" s="215"/>
      <c r="BQ17" s="293"/>
      <c r="BR17" s="217"/>
      <c r="BS17" s="79"/>
      <c r="BT17" s="78"/>
    </row>
    <row r="18" spans="1:72" ht="21.15" customHeight="1" thickBot="1" x14ac:dyDescent="0.6">
      <c r="A18" s="78"/>
      <c r="B18" s="79"/>
      <c r="C18" s="79"/>
      <c r="D18" s="79"/>
      <c r="E18" s="79"/>
      <c r="F18" s="79"/>
      <c r="G18" s="256">
        <f>VLOOKUP(G15,市町村データ!A2:P106,MATCH(手順書_丁目_世帯密度!$F$66, 市町村データ!A1:P1, 0),FALSE)</f>
        <v>33.700000000000003</v>
      </c>
      <c r="H18" s="153"/>
      <c r="I18" s="153"/>
      <c r="J18" s="240"/>
      <c r="K18" s="256">
        <f>VLOOKUP(K15,市町村データ!A2:P106,MATCH(手順書_丁目_世帯密度!$F$66, 市町村データ!A1:P1, 0),FALSE)</f>
        <v>30.7</v>
      </c>
      <c r="L18" s="153"/>
      <c r="M18" s="153"/>
      <c r="N18" s="240"/>
      <c r="O18" s="256">
        <f>VLOOKUP(O15,市町村データ!A2:P106,MATCH(手順書_丁目_世帯密度!$F$66, 市町村データ!A1:P1, 0),FALSE)</f>
        <v>29.7</v>
      </c>
      <c r="P18" s="153"/>
      <c r="Q18" s="153"/>
      <c r="R18" s="240"/>
      <c r="S18" s="253">
        <f>VLOOKUP(S15,市町村データ!A2:P106,MATCH(手順書_丁目_世帯密度!$F$66, 市町村データ!A1:P1, 0),FALSE)</f>
        <v>54</v>
      </c>
      <c r="T18" s="153"/>
      <c r="U18" s="153"/>
      <c r="V18" s="240"/>
      <c r="W18" s="246">
        <f>VLOOKUP(W15,市町村データ!A2:P106,MATCH(手順書_丁目_世帯密度!$F$66, 市町村データ!A1:P1, 0),FALSE)</f>
        <v>60</v>
      </c>
      <c r="X18" s="153"/>
      <c r="Y18" s="153"/>
      <c r="Z18" s="240"/>
      <c r="AA18" s="296">
        <f>VLOOKUP(AA15,市町村データ!A2:P106,MATCH(手順書_丁目_世帯密度!$F$66, 市町村データ!A1:P1, 0),FALSE)</f>
        <v>47</v>
      </c>
      <c r="AB18" s="153"/>
      <c r="AC18" s="153"/>
      <c r="AD18" s="240"/>
      <c r="AE18" s="257">
        <f>VLOOKUP(AE15,市町村データ!A2:P106,MATCH(手順書_丁目_世帯密度!$F$66, 市町村データ!A1:P1, 0),FALSE)</f>
        <v>55</v>
      </c>
      <c r="AF18" s="153"/>
      <c r="AG18" s="153"/>
      <c r="AH18" s="240"/>
      <c r="AI18" s="253">
        <f>VLOOKUP(AI15,市町村データ!A2:P106,MATCH(手順書_丁目_世帯密度!$F$66, 市町村データ!A1:P1, 0),FALSE)</f>
        <v>60</v>
      </c>
      <c r="AJ18" s="153"/>
      <c r="AK18" s="153"/>
      <c r="AL18" s="240"/>
      <c r="AM18" s="298">
        <f>VLOOKUP(AM15,市町村データ!A2:P106,MATCH(手順書_丁目_世帯密度!$F$66, 市町村データ!A1:P1, 0),FALSE)</f>
        <v>15</v>
      </c>
      <c r="AN18" s="153"/>
      <c r="AO18" s="153"/>
      <c r="AP18" s="240"/>
      <c r="AQ18" s="85"/>
      <c r="AR18" s="79"/>
      <c r="AS18" s="79"/>
      <c r="AT18" s="79"/>
      <c r="AU18" s="79"/>
      <c r="AV18" s="79"/>
      <c r="AW18" s="79"/>
      <c r="AX18" s="79"/>
      <c r="AY18" s="79"/>
      <c r="AZ18" s="79"/>
      <c r="BA18" s="79"/>
      <c r="BB18" s="79"/>
      <c r="BC18" s="79"/>
      <c r="BD18" s="79"/>
      <c r="BE18" s="79"/>
      <c r="BF18" s="79"/>
      <c r="BG18" s="79"/>
      <c r="BH18" s="79"/>
      <c r="BI18" s="79"/>
      <c r="BJ18" s="79"/>
      <c r="BK18" s="79"/>
      <c r="BL18" s="79"/>
      <c r="BM18" s="79"/>
      <c r="BN18" s="214">
        <v>40</v>
      </c>
      <c r="BO18" s="218"/>
      <c r="BP18" s="218"/>
      <c r="BQ18" s="294"/>
      <c r="BR18" s="217"/>
      <c r="BS18" s="79"/>
      <c r="BT18" s="78"/>
    </row>
    <row r="19" spans="1:72" ht="21.15" customHeight="1" x14ac:dyDescent="0.55000000000000004">
      <c r="A19" s="78"/>
      <c r="B19" s="79"/>
      <c r="C19" s="81" t="s">
        <v>64</v>
      </c>
      <c r="D19" s="79"/>
      <c r="E19" s="79"/>
      <c r="F19" s="79"/>
      <c r="G19" s="95"/>
      <c r="H19" s="84"/>
      <c r="I19" s="84"/>
      <c r="J19" s="84"/>
      <c r="K19" s="95"/>
      <c r="L19" s="84"/>
      <c r="M19" s="84"/>
      <c r="N19" s="84"/>
      <c r="O19" s="82">
        <v>24</v>
      </c>
      <c r="P19" s="142" t="str">
        <f>VLOOKUP(O19,市町村データ!A2:P106,MATCH(手順書_丁目_世帯密度!$G$63, 市町村データ!A1:P1, 0),FALSE)</f>
        <v>菅沢2</v>
      </c>
      <c r="Q19" s="154"/>
      <c r="R19" s="159"/>
      <c r="S19" s="82">
        <v>25</v>
      </c>
      <c r="T19" s="142" t="str">
        <f>VLOOKUP(S19,市町村データ!A2:P106,MATCH(手順書_丁目_世帯密度!$G$63, 市町村データ!A1:P1, 0),FALSE)</f>
        <v>菅沢1</v>
      </c>
      <c r="U19" s="154"/>
      <c r="V19" s="159"/>
      <c r="W19" s="82">
        <v>26</v>
      </c>
      <c r="X19" s="142" t="str">
        <f>VLOOKUP(W19,市町村データ!A2:P106,MATCH(手順書_丁目_世帯密度!$G$63, 市町村データ!A1:P1, 0),FALSE)</f>
        <v>野火止4</v>
      </c>
      <c r="Y19" s="154"/>
      <c r="Z19" s="159"/>
      <c r="AA19" s="82">
        <v>27</v>
      </c>
      <c r="AB19" s="142" t="str">
        <f>VLOOKUP(AA19,市町村データ!A2:P106,MATCH(手順書_丁目_世帯密度!$G$63, 市町村データ!A1:P1, 0),FALSE)</f>
        <v>野火止3</v>
      </c>
      <c r="AC19" s="154"/>
      <c r="AD19" s="159"/>
      <c r="AE19" s="82">
        <v>28</v>
      </c>
      <c r="AF19" s="142" t="str">
        <f>VLOOKUP(AE19,市町村データ!A2:P106,MATCH(手順書_丁目_世帯密度!$G$63, 市町村データ!A1:P1, 0),FALSE)</f>
        <v>野火止2</v>
      </c>
      <c r="AG19" s="154"/>
      <c r="AH19" s="159"/>
      <c r="AI19" s="82">
        <v>29</v>
      </c>
      <c r="AJ19" s="142" t="str">
        <f>VLOOKUP(AI19,市町村データ!A2:P106,MATCH(手順書_丁目_世帯密度!$G$63, 市町村データ!A1:P1, 0),FALSE)</f>
        <v>野火止1</v>
      </c>
      <c r="AK19" s="154"/>
      <c r="AL19" s="159"/>
      <c r="AM19" s="82">
        <v>30</v>
      </c>
      <c r="AN19" s="142" t="str">
        <f>VLOOKUP(AM19,市町村データ!A2:P106,MATCH(手順書_丁目_世帯密度!$G$63, 市町村データ!A1:P1, 0),FALSE)</f>
        <v>畑中1</v>
      </c>
      <c r="AO19" s="154"/>
      <c r="AP19" s="159"/>
      <c r="AQ19" s="82">
        <v>31</v>
      </c>
      <c r="AR19" s="142" t="str">
        <f>VLOOKUP(AQ19,市町村データ!A2:P106,MATCH(手順書_丁目_世帯密度!$G$63, 市町村データ!A1:P1, 0),FALSE)</f>
        <v>畑中2</v>
      </c>
      <c r="AS19" s="154"/>
      <c r="AT19" s="159"/>
      <c r="AU19" s="91"/>
      <c r="AV19" s="79"/>
      <c r="AW19" s="79"/>
      <c r="AX19" s="79"/>
      <c r="AY19" s="86"/>
      <c r="AZ19" s="79"/>
      <c r="BA19" s="79"/>
      <c r="BB19" s="79"/>
      <c r="BC19" s="86"/>
      <c r="BD19" s="79"/>
      <c r="BE19" s="79"/>
      <c r="BF19" s="79"/>
      <c r="BG19" s="86"/>
      <c r="BH19" s="79"/>
      <c r="BI19" s="79"/>
      <c r="BJ19" s="79"/>
      <c r="BK19" s="86"/>
      <c r="BL19" s="79"/>
      <c r="BM19" s="79"/>
      <c r="BN19" s="214">
        <v>30</v>
      </c>
      <c r="BO19" s="218"/>
      <c r="BP19" s="218"/>
      <c r="BQ19" s="216"/>
      <c r="BR19" s="217"/>
      <c r="BS19" s="79"/>
      <c r="BT19" s="78"/>
    </row>
    <row r="20" spans="1:72" ht="21.15" customHeight="1" x14ac:dyDescent="0.55000000000000004">
      <c r="A20" s="78"/>
      <c r="B20" s="79"/>
      <c r="C20" s="79"/>
      <c r="D20" s="79"/>
      <c r="E20" s="79"/>
      <c r="F20" s="79"/>
      <c r="G20" s="87"/>
      <c r="H20" s="87"/>
      <c r="I20" s="87"/>
      <c r="J20" s="87"/>
      <c r="K20" s="87"/>
      <c r="L20" s="87"/>
      <c r="M20" s="87"/>
      <c r="N20" s="87"/>
      <c r="O20" s="264">
        <f>VLOOKUP(O19,市町村データ!A2:P106,MATCH(手順書_丁目_世帯密度!$F$64, 市町村データ!A1:P1, 0),FALSE)</f>
        <v>11.5</v>
      </c>
      <c r="P20" s="156"/>
      <c r="Q20" s="156"/>
      <c r="R20" s="158"/>
      <c r="S20" s="262">
        <f>VLOOKUP(S19,市町村データ!A2:P106,MATCH(手順書_丁目_世帯密度!$F$64, 市町村データ!A1:P1, 0),FALSE)</f>
        <v>5.0999999999999996</v>
      </c>
      <c r="T20" s="156"/>
      <c r="U20" s="156"/>
      <c r="V20" s="158"/>
      <c r="W20" s="254">
        <f>VLOOKUP(W19,市町村データ!A2:P106,MATCH(手順書_丁目_世帯密度!$F$64, 市町村データ!A1:P1, 0),FALSE)</f>
        <v>38.299999999999997</v>
      </c>
      <c r="X20" s="156"/>
      <c r="Y20" s="156"/>
      <c r="Z20" s="158"/>
      <c r="AA20" s="264">
        <f>VLOOKUP(AA19,市町村データ!A2:P106,MATCH(手順書_丁目_世帯密度!$F$64, 市町村データ!A1:P1, 0),FALSE)</f>
        <v>10.7</v>
      </c>
      <c r="AB20" s="156"/>
      <c r="AC20" s="156"/>
      <c r="AD20" s="158"/>
      <c r="AE20" s="262">
        <f>VLOOKUP(AE19,市町村データ!A2:P106,MATCH(手順書_丁目_世帯密度!$F$64, 市町村データ!A1:P1, 0),FALSE)</f>
        <v>4.9000000000000004</v>
      </c>
      <c r="AF20" s="156"/>
      <c r="AG20" s="156"/>
      <c r="AH20" s="158"/>
      <c r="AI20" s="263">
        <f>VLOOKUP(AI19,市町村データ!A2:P106,MATCH(手順書_丁目_世帯密度!$F$64, 市町村データ!A1:P1, 0),FALSE)</f>
        <v>27.8</v>
      </c>
      <c r="AJ20" s="156"/>
      <c r="AK20" s="156"/>
      <c r="AL20" s="158"/>
      <c r="AM20" s="295">
        <f>VLOOKUP(AM19,市町村データ!A2:P106,MATCH(手順書_丁目_世帯密度!$F$64, 市町村データ!A1:P1, 0),FALSE)</f>
        <v>41.7</v>
      </c>
      <c r="AN20" s="156"/>
      <c r="AO20" s="156"/>
      <c r="AP20" s="158"/>
      <c r="AQ20" s="254">
        <f>VLOOKUP(AQ19,市町村データ!A2:P106,MATCH(手順書_丁目_世帯密度!$F$64, 市町村データ!A1:P1, 0),FALSE)</f>
        <v>31.2</v>
      </c>
      <c r="AR20" s="156"/>
      <c r="AS20" s="156"/>
      <c r="AT20" s="158"/>
      <c r="AU20" s="92"/>
      <c r="AV20" s="87"/>
      <c r="AW20" s="87"/>
      <c r="AX20" s="87"/>
      <c r="AY20" s="87"/>
      <c r="AZ20" s="87"/>
      <c r="BA20" s="87"/>
      <c r="BB20" s="87"/>
      <c r="BC20" s="87"/>
      <c r="BD20" s="87"/>
      <c r="BE20" s="87"/>
      <c r="BF20" s="87"/>
      <c r="BG20" s="87"/>
      <c r="BH20" s="87"/>
      <c r="BI20" s="87"/>
      <c r="BJ20" s="87"/>
      <c r="BK20" s="87"/>
      <c r="BL20" s="87"/>
      <c r="BM20" s="87"/>
      <c r="BN20" s="214">
        <v>20</v>
      </c>
      <c r="BO20" s="225"/>
      <c r="BP20" s="225"/>
      <c r="BQ20" s="219"/>
      <c r="BR20" s="217"/>
      <c r="BS20" s="79"/>
      <c r="BT20" s="78"/>
    </row>
    <row r="21" spans="1:72" ht="21.15" customHeight="1" x14ac:dyDescent="0.55000000000000004">
      <c r="A21" s="78"/>
      <c r="B21" s="79"/>
      <c r="C21" s="79"/>
      <c r="D21" s="79"/>
      <c r="E21" s="79"/>
      <c r="F21" s="79"/>
      <c r="G21" s="89"/>
      <c r="H21" s="89"/>
      <c r="I21" s="89"/>
      <c r="J21" s="89"/>
      <c r="K21" s="89"/>
      <c r="L21" s="89"/>
      <c r="M21" s="89"/>
      <c r="N21" s="89"/>
      <c r="O21" s="259">
        <f>VLOOKUP(O19,市町村データ!A2:P106,MATCH(手順書_丁目_世帯密度!$F$65, 市町村データ!A1:P1, 0),FALSE)</f>
        <v>490</v>
      </c>
      <c r="P21" s="156"/>
      <c r="Q21" s="156"/>
      <c r="R21" s="158"/>
      <c r="S21" s="260">
        <f>VLOOKUP(S19,市町村データ!A2:P106,MATCH(手順書_丁目_世帯密度!$F$65, 市町村データ!A1:P1, 0),FALSE)</f>
        <v>202</v>
      </c>
      <c r="T21" s="156"/>
      <c r="U21" s="156"/>
      <c r="V21" s="158"/>
      <c r="W21" s="255">
        <f>VLOOKUP(W19,市町村データ!A2:P106,MATCH(手順書_丁目_世帯密度!$F$65, 市町村データ!A1:P1, 0),FALSE)</f>
        <v>2515</v>
      </c>
      <c r="X21" s="156"/>
      <c r="Y21" s="156"/>
      <c r="Z21" s="158"/>
      <c r="AA21" s="259">
        <f>VLOOKUP(AA19,市町村データ!A2:P106,MATCH(手順書_丁目_世帯密度!$F$65, 市町村データ!A1:P1, 0),FALSE)</f>
        <v>1085</v>
      </c>
      <c r="AB21" s="156"/>
      <c r="AC21" s="156"/>
      <c r="AD21" s="158"/>
      <c r="AE21" s="260">
        <f>VLOOKUP(AE19,市町村データ!A2:P106,MATCH(手順書_丁目_世帯密度!$F$65, 市町村データ!A1:P1, 0),FALSE)</f>
        <v>224</v>
      </c>
      <c r="AF21" s="156"/>
      <c r="AG21" s="156"/>
      <c r="AH21" s="158"/>
      <c r="AI21" s="261">
        <f>VLOOKUP(AI19,市町村データ!A2:P106,MATCH(手順書_丁目_世帯密度!$F$65, 市町村データ!A1:P1, 0),FALSE)</f>
        <v>1466</v>
      </c>
      <c r="AJ21" s="156"/>
      <c r="AK21" s="156"/>
      <c r="AL21" s="158"/>
      <c r="AM21" s="297">
        <f>VLOOKUP(AM19,市町村データ!A2:P106,MATCH(手順書_丁目_世帯密度!$F$65, 市町村データ!A1:P1, 0),FALSE)</f>
        <v>2453</v>
      </c>
      <c r="AN21" s="156"/>
      <c r="AO21" s="156"/>
      <c r="AP21" s="158"/>
      <c r="AQ21" s="255">
        <f>VLOOKUP(AQ19,市町村データ!A2:P106,MATCH(手順書_丁目_世帯密度!$F$65, 市町村データ!A1:P1, 0),FALSE)</f>
        <v>1310</v>
      </c>
      <c r="AR21" s="156"/>
      <c r="AS21" s="156"/>
      <c r="AT21" s="158"/>
      <c r="AU21" s="93"/>
      <c r="AV21" s="89"/>
      <c r="AW21" s="89"/>
      <c r="AX21" s="89"/>
      <c r="AY21" s="89"/>
      <c r="AZ21" s="89"/>
      <c r="BA21" s="89"/>
      <c r="BB21" s="89"/>
      <c r="BC21" s="89"/>
      <c r="BD21" s="89"/>
      <c r="BE21" s="89"/>
      <c r="BF21" s="89"/>
      <c r="BG21" s="89"/>
      <c r="BH21" s="89"/>
      <c r="BI21" s="89"/>
      <c r="BJ21" s="89"/>
      <c r="BK21" s="89"/>
      <c r="BL21" s="89"/>
      <c r="BM21" s="89"/>
      <c r="BN21" s="214">
        <v>10</v>
      </c>
      <c r="BO21" s="215"/>
      <c r="BP21" s="215"/>
      <c r="BQ21" s="220"/>
      <c r="BR21" s="217"/>
      <c r="BS21" s="79"/>
      <c r="BT21" s="78"/>
    </row>
    <row r="22" spans="1:72" ht="21.15" customHeight="1" thickBot="1" x14ac:dyDescent="0.6">
      <c r="A22" s="78"/>
      <c r="B22" s="79"/>
      <c r="C22" s="79"/>
      <c r="D22" s="79"/>
      <c r="E22" s="79"/>
      <c r="F22" s="79"/>
      <c r="G22" s="79"/>
      <c r="H22" s="79"/>
      <c r="I22" s="79"/>
      <c r="J22" s="79"/>
      <c r="K22" s="79"/>
      <c r="L22" s="79"/>
      <c r="M22" s="79"/>
      <c r="N22" s="79"/>
      <c r="O22" s="258">
        <f>VLOOKUP(O19,市町村データ!A2:P106,MATCH(手順書_丁目_世帯密度!$F$66, 市町村データ!A1:P1, 0),FALSE)</f>
        <v>42.5</v>
      </c>
      <c r="P22" s="153"/>
      <c r="Q22" s="153"/>
      <c r="R22" s="240"/>
      <c r="S22" s="256">
        <f>VLOOKUP(S19,市町村データ!A2:P106,MATCH(手順書_丁目_世帯密度!$F$66, 市町村データ!A1:P1, 0),FALSE)</f>
        <v>39.6</v>
      </c>
      <c r="T22" s="153"/>
      <c r="U22" s="153"/>
      <c r="V22" s="240"/>
      <c r="W22" s="253">
        <f>VLOOKUP(W19,市町村データ!A2:P106,MATCH(手順書_丁目_世帯密度!$F$66, 市町村データ!A1:P1, 0),FALSE)</f>
        <v>65.7</v>
      </c>
      <c r="X22" s="153"/>
      <c r="Y22" s="153"/>
      <c r="Z22" s="240"/>
      <c r="AA22" s="258">
        <f>VLOOKUP(AA19,市町村データ!A2:P106,MATCH(手順書_丁目_世帯密度!$F$66, 市町村データ!A1:P1, 0),FALSE)</f>
        <v>101.1</v>
      </c>
      <c r="AB22" s="153"/>
      <c r="AC22" s="153"/>
      <c r="AD22" s="240"/>
      <c r="AE22" s="256">
        <f>VLOOKUP(AE19,市町村データ!A2:P106,MATCH(手順書_丁目_世帯密度!$F$66, 市町村データ!A1:P1, 0),FALSE)</f>
        <v>45.6</v>
      </c>
      <c r="AF22" s="153"/>
      <c r="AG22" s="153"/>
      <c r="AH22" s="240"/>
      <c r="AI22" s="257">
        <f>VLOOKUP(AI19,市町村データ!A2:P106,MATCH(手順書_丁目_世帯密度!$F$66, 市町村データ!A1:P1, 0),FALSE)</f>
        <v>52.8</v>
      </c>
      <c r="AJ22" s="153"/>
      <c r="AK22" s="153"/>
      <c r="AL22" s="240"/>
      <c r="AM22" s="296">
        <f>VLOOKUP(AM19,市町村データ!A2:P106,MATCH(手順書_丁目_世帯密度!$F$66, 市町村データ!A1:P1, 0),FALSE)</f>
        <v>58.8</v>
      </c>
      <c r="AN22" s="153"/>
      <c r="AO22" s="153"/>
      <c r="AP22" s="240"/>
      <c r="AQ22" s="253">
        <f>VLOOKUP(AQ19,市町村データ!A2:P106,MATCH(手順書_丁目_世帯密度!$F$66, 市町村データ!A1:P1, 0),FALSE)</f>
        <v>42</v>
      </c>
      <c r="AR22" s="153"/>
      <c r="AS22" s="153"/>
      <c r="AT22" s="240"/>
      <c r="AU22" s="85"/>
      <c r="AV22" s="79"/>
      <c r="AW22" s="79"/>
      <c r="AX22" s="79"/>
      <c r="AY22" s="79"/>
      <c r="AZ22" s="79"/>
      <c r="BA22" s="79"/>
      <c r="BB22" s="79"/>
      <c r="BC22" s="79"/>
      <c r="BD22" s="79"/>
      <c r="BE22" s="79"/>
      <c r="BF22" s="79"/>
      <c r="BG22" s="79"/>
      <c r="BH22" s="79"/>
      <c r="BI22" s="79"/>
      <c r="BJ22" s="79"/>
      <c r="BK22" s="79"/>
      <c r="BL22" s="79"/>
      <c r="BM22" s="79"/>
      <c r="BN22" s="210">
        <v>0</v>
      </c>
      <c r="BO22" s="148"/>
      <c r="BP22" s="148"/>
      <c r="BQ22" s="107"/>
      <c r="BR22" s="108"/>
      <c r="BS22" s="79"/>
      <c r="BT22" s="78"/>
    </row>
    <row r="23" spans="1:72" ht="21.15" customHeight="1" x14ac:dyDescent="0.55000000000000004">
      <c r="A23" s="78"/>
      <c r="B23" s="79"/>
      <c r="C23" s="81" t="s">
        <v>65</v>
      </c>
      <c r="D23" s="79"/>
      <c r="E23" s="79"/>
      <c r="F23" s="79"/>
      <c r="G23" s="79"/>
      <c r="H23" s="79"/>
      <c r="I23" s="79"/>
      <c r="J23" s="79"/>
      <c r="K23" s="79"/>
      <c r="L23" s="79"/>
      <c r="M23" s="79"/>
      <c r="N23" s="79"/>
      <c r="O23" s="82">
        <v>32</v>
      </c>
      <c r="P23" s="142" t="str">
        <f>VLOOKUP(O23,市町村データ!A2:P106,MATCH(手順書_丁目_世帯密度!$G$63, 市町村データ!A1:P1, 0),FALSE)</f>
        <v>あたご3</v>
      </c>
      <c r="Q23" s="154"/>
      <c r="R23" s="159"/>
      <c r="S23" s="82">
        <v>33</v>
      </c>
      <c r="T23" s="142" t="str">
        <f>VLOOKUP(S23,市町村データ!A2:P106,MATCH(手順書_丁目_世帯密度!$G$63, 市町村データ!A1:P1, 0),FALSE)</f>
        <v>あたご2</v>
      </c>
      <c r="U23" s="154"/>
      <c r="V23" s="159"/>
      <c r="W23" s="82">
        <v>34</v>
      </c>
      <c r="X23" s="142" t="str">
        <f>VLOOKUP(W23,市町村データ!A2:P106,MATCH(手順書_丁目_世帯密度!$G$63, 市町村データ!A1:P1, 0),FALSE)</f>
        <v>あたご1</v>
      </c>
      <c r="Y23" s="154"/>
      <c r="Z23" s="159"/>
      <c r="AA23" s="82">
        <v>35</v>
      </c>
      <c r="AB23" s="142" t="str">
        <f>VLOOKUP(AA23,市町村データ!A2:P106,MATCH(手順書_丁目_世帯密度!$G$63, 市町村データ!A1:P1, 0),FALSE)</f>
        <v>本多2</v>
      </c>
      <c r="AC23" s="154"/>
      <c r="AD23" s="159"/>
      <c r="AE23" s="82">
        <v>36</v>
      </c>
      <c r="AF23" s="142" t="str">
        <f>VLOOKUP(AE23,市町村データ!A2:P106,MATCH(手順書_丁目_世帯密度!$G$63, 市町村データ!A1:P1, 0),FALSE)</f>
        <v>本多1</v>
      </c>
      <c r="AG23" s="154"/>
      <c r="AH23" s="159"/>
      <c r="AI23" s="82">
        <v>37</v>
      </c>
      <c r="AJ23" s="142" t="str">
        <f>VLOOKUP(AI23,市町村データ!A2:P106,MATCH(手順書_丁目_世帯密度!$G$63, 市町村データ!A1:P1, 0),FALSE)</f>
        <v>堀ノ内1</v>
      </c>
      <c r="AK23" s="154"/>
      <c r="AL23" s="159"/>
      <c r="AM23" s="82">
        <v>38</v>
      </c>
      <c r="AN23" s="142" t="str">
        <f>VLOOKUP(AM23,市町村データ!A2:P106,MATCH(手順書_丁目_世帯密度!$G$63, 市町村データ!A1:P1, 0),FALSE)</f>
        <v>馬場1</v>
      </c>
      <c r="AO23" s="154"/>
      <c r="AP23" s="159"/>
      <c r="AQ23" s="82">
        <v>39</v>
      </c>
      <c r="AR23" s="142" t="str">
        <f>VLOOKUP(AQ23,市町村データ!A2:P106,MATCH(手順書_丁目_世帯密度!$G$63, 市町村データ!A1:P1, 0),FALSE)</f>
        <v>馬場2</v>
      </c>
      <c r="AS23" s="154"/>
      <c r="AT23" s="159"/>
      <c r="AU23" s="82">
        <v>40</v>
      </c>
      <c r="AV23" s="142" t="str">
        <f>VLOOKUP(AU23,市町村データ!A2:P106,MATCH(手順書_丁目_世帯密度!$G$63, 市町村データ!A1:P1, 0),FALSE)</f>
        <v>新塚1</v>
      </c>
      <c r="AW23" s="154"/>
      <c r="AX23" s="159"/>
      <c r="AY23" s="82">
        <v>41</v>
      </c>
      <c r="AZ23" s="142" t="str">
        <f>VLOOKUP(AY23,市町村データ!A2:P106,MATCH(手順書_丁目_世帯密度!$G$63, 市町村データ!A1:P1, 0),FALSE)</f>
        <v>新塚他の地域</v>
      </c>
      <c r="BA23" s="154"/>
      <c r="BB23" s="159"/>
      <c r="BC23" s="91"/>
      <c r="BD23" s="79"/>
      <c r="BE23" s="79"/>
      <c r="BF23" s="79"/>
      <c r="BG23" s="86"/>
      <c r="BH23" s="79"/>
      <c r="BI23" s="79"/>
      <c r="BJ23" s="79"/>
      <c r="BK23" s="79"/>
      <c r="BL23" s="79"/>
      <c r="BM23" s="79"/>
      <c r="BN23" s="79"/>
      <c r="BO23" s="86"/>
      <c r="BP23" s="79"/>
      <c r="BQ23" s="79"/>
      <c r="BR23" s="79"/>
      <c r="BS23" s="79"/>
      <c r="BT23" s="78"/>
    </row>
    <row r="24" spans="1:72" ht="21.15" customHeight="1" x14ac:dyDescent="0.55000000000000004">
      <c r="A24" s="78"/>
      <c r="B24" s="79"/>
      <c r="C24" s="79"/>
      <c r="D24" s="79"/>
      <c r="E24" s="79"/>
      <c r="F24" s="79"/>
      <c r="G24" s="79"/>
      <c r="H24" s="79"/>
      <c r="I24" s="79"/>
      <c r="J24" s="79"/>
      <c r="K24" s="79"/>
      <c r="L24" s="79"/>
      <c r="M24" s="79"/>
      <c r="N24" s="79"/>
      <c r="O24" s="263">
        <f>VLOOKUP(O23,市町村データ!A2:P106,MATCH(手順書_丁目_世帯密度!$F$64, 市町村データ!A1:P1, 0),FALSE)</f>
        <v>25.7</v>
      </c>
      <c r="P24" s="156"/>
      <c r="Q24" s="156"/>
      <c r="R24" s="158"/>
      <c r="S24" s="262">
        <f>VLOOKUP(S23,市町村データ!A2:P106,MATCH(手順書_丁目_世帯密度!$F$64, 市町村データ!A1:P1, 0),FALSE)</f>
        <v>3.3</v>
      </c>
      <c r="T24" s="156"/>
      <c r="U24" s="156"/>
      <c r="V24" s="158"/>
      <c r="W24" s="262">
        <f>VLOOKUP(W23,市町村データ!A2:P106,MATCH(手順書_丁目_世帯密度!$F$64, 市町村データ!A1:P1, 0),FALSE)</f>
        <v>4.2</v>
      </c>
      <c r="X24" s="156"/>
      <c r="Y24" s="156"/>
      <c r="Z24" s="158"/>
      <c r="AA24" s="262">
        <f>VLOOKUP(AA23,市町村データ!A2:P106,MATCH(手順書_丁目_世帯密度!$F$64, 市町村データ!A1:P1, 0),FALSE)</f>
        <v>0.6</v>
      </c>
      <c r="AB24" s="156"/>
      <c r="AC24" s="156"/>
      <c r="AD24" s="158"/>
      <c r="AE24" s="264">
        <f>VLOOKUP(AE23,市町村データ!A2:P106,MATCH(手順書_丁目_世帯密度!$F$64, 市町村データ!A1:P1, 0),FALSE)</f>
        <v>11.6</v>
      </c>
      <c r="AF24" s="156"/>
      <c r="AG24" s="156"/>
      <c r="AH24" s="158"/>
      <c r="AI24" s="262">
        <f>VLOOKUP(AI23,市町村データ!A2:P106,MATCH(手順書_丁目_世帯密度!$F$64, 市町村データ!A1:P1, 0),FALSE)</f>
        <v>8.5</v>
      </c>
      <c r="AJ24" s="156"/>
      <c r="AK24" s="156"/>
      <c r="AL24" s="158"/>
      <c r="AM24" s="264">
        <f>VLOOKUP(AM23,市町村データ!A2:P106,MATCH(手順書_丁目_世帯密度!$F$64, 市町村データ!A1:P1, 0),FALSE)</f>
        <v>15.7</v>
      </c>
      <c r="AN24" s="156"/>
      <c r="AO24" s="156"/>
      <c r="AP24" s="158"/>
      <c r="AQ24" s="254">
        <f>VLOOKUP(AQ23,市町村データ!A2:P106,MATCH(手順書_丁目_世帯密度!$F$64, 市町村データ!A1:P1, 0),FALSE)</f>
        <v>38.5</v>
      </c>
      <c r="AR24" s="156"/>
      <c r="AS24" s="156"/>
      <c r="AT24" s="158"/>
      <c r="AU24" s="263">
        <f>VLOOKUP(AU23,市町村データ!A2:P106,MATCH(手順書_丁目_世帯密度!$F$64, 市町村データ!A1:P1, 0),FALSE)</f>
        <v>26.9</v>
      </c>
      <c r="AV24" s="156"/>
      <c r="AW24" s="156"/>
      <c r="AX24" s="158"/>
      <c r="AY24" s="262">
        <f>VLOOKUP(AY23,市町村データ!A2:P106,MATCH(手順書_丁目_世帯密度!$F$64, 市町村データ!A1:P1, 0),FALSE)</f>
        <v>0</v>
      </c>
      <c r="AZ24" s="156"/>
      <c r="BA24" s="156"/>
      <c r="BB24" s="158"/>
      <c r="BC24" s="92"/>
      <c r="BD24" s="87"/>
      <c r="BE24" s="87"/>
      <c r="BF24" s="87"/>
      <c r="BG24" s="87"/>
      <c r="BH24" s="87"/>
      <c r="BI24" s="87"/>
      <c r="BJ24" s="87"/>
      <c r="BK24" s="79"/>
      <c r="BL24" s="79"/>
      <c r="BM24" s="79"/>
      <c r="BN24" s="79"/>
      <c r="BO24" s="87"/>
      <c r="BP24" s="50"/>
      <c r="BQ24" s="50"/>
      <c r="BR24" s="50"/>
      <c r="BS24" s="79"/>
      <c r="BT24" s="78"/>
    </row>
    <row r="25" spans="1:72" ht="21.15" customHeight="1" x14ac:dyDescent="0.55000000000000004">
      <c r="A25" s="78"/>
      <c r="B25" s="79"/>
      <c r="C25" s="79"/>
      <c r="D25" s="79"/>
      <c r="E25" s="79"/>
      <c r="F25" s="79"/>
      <c r="G25" s="79"/>
      <c r="H25" s="79"/>
      <c r="I25" s="79"/>
      <c r="J25" s="79"/>
      <c r="K25" s="79"/>
      <c r="L25" s="79"/>
      <c r="M25" s="79"/>
      <c r="N25" s="79"/>
      <c r="O25" s="261">
        <f>VLOOKUP(O23,市町村データ!A2:P106,MATCH(手順書_丁目_世帯密度!$F$65, 市町村データ!A1:P1, 0),FALSE)</f>
        <v>611</v>
      </c>
      <c r="P25" s="156"/>
      <c r="Q25" s="156"/>
      <c r="R25" s="158"/>
      <c r="S25" s="260">
        <f>VLOOKUP(S23,市町村データ!A2:P106,MATCH(手順書_丁目_世帯密度!$F$65, 市町村データ!A1:P1, 0),FALSE)</f>
        <v>52</v>
      </c>
      <c r="T25" s="156"/>
      <c r="U25" s="156"/>
      <c r="V25" s="158"/>
      <c r="W25" s="260">
        <f>VLOOKUP(W23,市町村データ!A2:P106,MATCH(手順書_丁目_世帯密度!$F$65, 市町村データ!A1:P1, 0),FALSE)</f>
        <v>67</v>
      </c>
      <c r="X25" s="156"/>
      <c r="Y25" s="156"/>
      <c r="Z25" s="158"/>
      <c r="AA25" s="260">
        <f>VLOOKUP(AA23,市町村データ!A2:P106,MATCH(手順書_丁目_世帯密度!$F$65, 市町村データ!A1:P1, 0),FALSE)</f>
        <v>24</v>
      </c>
      <c r="AB25" s="156"/>
      <c r="AC25" s="156"/>
      <c r="AD25" s="158"/>
      <c r="AE25" s="259">
        <f>VLOOKUP(AE23,市町村データ!A2:P106,MATCH(手順書_丁目_世帯密度!$F$65, 市町村データ!A1:P1, 0),FALSE)</f>
        <v>598</v>
      </c>
      <c r="AF25" s="156"/>
      <c r="AG25" s="156"/>
      <c r="AH25" s="158"/>
      <c r="AI25" s="260">
        <f>VLOOKUP(AI23,市町村データ!A2:P106,MATCH(手順書_丁目_世帯密度!$F$65, 市町村データ!A1:P1, 0),FALSE)</f>
        <v>236</v>
      </c>
      <c r="AJ25" s="156"/>
      <c r="AK25" s="156"/>
      <c r="AL25" s="158"/>
      <c r="AM25" s="259">
        <f>VLOOKUP(AM23,市町村データ!A2:P106,MATCH(手順書_丁目_世帯密度!$F$65, 市町村データ!A1:P1, 0),FALSE)</f>
        <v>625</v>
      </c>
      <c r="AN25" s="156"/>
      <c r="AO25" s="156"/>
      <c r="AP25" s="158"/>
      <c r="AQ25" s="255">
        <f>VLOOKUP(AQ23,市町村データ!A2:P106,MATCH(手順書_丁目_世帯密度!$F$65, 市町村データ!A1:P1, 0),FALSE)</f>
        <v>731</v>
      </c>
      <c r="AR25" s="156"/>
      <c r="AS25" s="156"/>
      <c r="AT25" s="158"/>
      <c r="AU25" s="261">
        <f>VLOOKUP(AU23,市町村データ!A2:P106,MATCH(手順書_丁目_世帯密度!$F$65, 市町村データ!A1:P1, 0),FALSE)</f>
        <v>568</v>
      </c>
      <c r="AV25" s="156"/>
      <c r="AW25" s="156"/>
      <c r="AX25" s="158"/>
      <c r="AY25" s="260">
        <f>VLOOKUP(AY23,市町村データ!A2:P106,MATCH(手順書_丁目_世帯密度!$F$65, 市町村データ!A1:P1, 0),FALSE)</f>
        <v>0</v>
      </c>
      <c r="AZ25" s="156"/>
      <c r="BA25" s="156"/>
      <c r="BB25" s="158"/>
      <c r="BC25" s="93"/>
      <c r="BD25" s="89"/>
      <c r="BE25" s="89"/>
      <c r="BF25" s="89"/>
      <c r="BG25" s="89"/>
      <c r="BH25" s="89"/>
      <c r="BI25" s="89"/>
      <c r="BJ25" s="89"/>
      <c r="BK25" s="79"/>
      <c r="BL25" s="79"/>
      <c r="BM25" s="79"/>
      <c r="BN25" s="79"/>
      <c r="BO25" s="89"/>
      <c r="BP25" s="51"/>
      <c r="BQ25" s="51"/>
      <c r="BR25" s="51"/>
      <c r="BS25" s="79"/>
      <c r="BT25" s="78"/>
    </row>
    <row r="26" spans="1:72" ht="21.15" customHeight="1" thickBot="1" x14ac:dyDescent="0.6">
      <c r="A26" s="78"/>
      <c r="B26" s="79"/>
      <c r="C26" s="79"/>
      <c r="D26" s="79"/>
      <c r="E26" s="79"/>
      <c r="F26" s="79"/>
      <c r="G26" s="79"/>
      <c r="H26" s="79"/>
      <c r="I26" s="79"/>
      <c r="J26" s="79"/>
      <c r="K26" s="79"/>
      <c r="L26" s="79"/>
      <c r="M26" s="79"/>
      <c r="N26" s="79"/>
      <c r="O26" s="257">
        <f>VLOOKUP(O23,市町村データ!A2:P106,MATCH(手順書_丁目_世帯密度!$F$66, 市町村データ!A1:P1, 0),FALSE)</f>
        <v>23.8</v>
      </c>
      <c r="P26" s="153"/>
      <c r="Q26" s="153"/>
      <c r="R26" s="240"/>
      <c r="S26" s="256">
        <f>VLOOKUP(S23,市町村データ!A2:P106,MATCH(手順書_丁目_世帯密度!$F$66, 市町村データ!A1:P1, 0),FALSE)</f>
        <v>15.9</v>
      </c>
      <c r="T26" s="153"/>
      <c r="U26" s="153"/>
      <c r="V26" s="240"/>
      <c r="W26" s="256">
        <f>VLOOKUP(W23,市町村データ!A2:P106,MATCH(手順書_丁目_世帯密度!$F$66, 市町村データ!A1:P1, 0),FALSE)</f>
        <v>15.9</v>
      </c>
      <c r="X26" s="153"/>
      <c r="Y26" s="153"/>
      <c r="Z26" s="240"/>
      <c r="AA26" s="256">
        <f>VLOOKUP(AA23,市町村データ!A2:P106,MATCH(手順書_丁目_世帯密度!$F$66, 市町村データ!A1:P1, 0),FALSE)</f>
        <v>41.6</v>
      </c>
      <c r="AB26" s="153"/>
      <c r="AC26" s="153"/>
      <c r="AD26" s="240"/>
      <c r="AE26" s="258">
        <f>VLOOKUP(AE23,市町村データ!A2:P106,MATCH(手順書_丁目_世帯密度!$F$66, 市町村データ!A1:P1, 0),FALSE)</f>
        <v>51.5</v>
      </c>
      <c r="AF26" s="153"/>
      <c r="AG26" s="153"/>
      <c r="AH26" s="240"/>
      <c r="AI26" s="256">
        <f>VLOOKUP(AI23,市町村データ!A2:P106,MATCH(手順書_丁目_世帯密度!$F$66, 市町村データ!A1:P1, 0),FALSE)</f>
        <v>27.7</v>
      </c>
      <c r="AJ26" s="153"/>
      <c r="AK26" s="153"/>
      <c r="AL26" s="240"/>
      <c r="AM26" s="258">
        <f>VLOOKUP(AM23,市町村データ!A2:P106,MATCH(手順書_丁目_世帯密度!$F$66, 市町村データ!A1:P1, 0),FALSE)</f>
        <v>39.700000000000003</v>
      </c>
      <c r="AN26" s="153"/>
      <c r="AO26" s="153"/>
      <c r="AP26" s="240"/>
      <c r="AQ26" s="253">
        <f>VLOOKUP(AQ23,市町村データ!A2:P106,MATCH(手順書_丁目_世帯密度!$F$66, 市町村データ!A1:P1, 0),FALSE)</f>
        <v>19</v>
      </c>
      <c r="AR26" s="153"/>
      <c r="AS26" s="153"/>
      <c r="AT26" s="240"/>
      <c r="AU26" s="257">
        <f>VLOOKUP(AU23,市町村データ!A2:P106,MATCH(手順書_丁目_世帯密度!$F$66, 市町村データ!A1:P1, 0),FALSE)</f>
        <v>21.1</v>
      </c>
      <c r="AV26" s="153"/>
      <c r="AW26" s="153"/>
      <c r="AX26" s="240"/>
      <c r="AY26" s="256">
        <f>VLOOKUP(AY23,市町村データ!A2:P106,MATCH(手順書_丁目_世帯密度!$F$66, 市町村データ!A1:P1, 0),FALSE)</f>
        <v>41.8</v>
      </c>
      <c r="AZ26" s="153"/>
      <c r="BA26" s="153"/>
      <c r="BB26" s="240"/>
      <c r="BC26" s="85"/>
      <c r="BD26" s="79"/>
      <c r="BE26" s="79"/>
      <c r="BF26" s="79"/>
      <c r="BG26" s="79"/>
      <c r="BH26" s="79"/>
      <c r="BI26" s="79"/>
      <c r="BJ26" s="79"/>
      <c r="BK26" s="79"/>
      <c r="BL26" s="79"/>
      <c r="BM26" s="79"/>
      <c r="BN26" s="79"/>
      <c r="BO26" s="79"/>
      <c r="BP26" s="52"/>
      <c r="BQ26" s="52"/>
      <c r="BR26" s="52"/>
      <c r="BS26" s="79"/>
      <c r="BT26" s="78"/>
    </row>
    <row r="27" spans="1:72" ht="21.15" customHeight="1" x14ac:dyDescent="0.55000000000000004">
      <c r="A27" s="78"/>
      <c r="B27" s="79"/>
      <c r="C27" s="81" t="s">
        <v>66</v>
      </c>
      <c r="D27" s="79"/>
      <c r="E27" s="79"/>
      <c r="F27" s="79"/>
      <c r="G27" s="79"/>
      <c r="H27" s="79"/>
      <c r="I27" s="79"/>
      <c r="J27" s="79"/>
      <c r="K27" s="79"/>
      <c r="L27" s="79"/>
      <c r="M27" s="79"/>
      <c r="N27" s="79"/>
      <c r="O27" s="84"/>
      <c r="P27" s="84"/>
      <c r="Q27" s="84"/>
      <c r="R27" s="84"/>
      <c r="S27" s="82">
        <v>42</v>
      </c>
      <c r="T27" s="142" t="str">
        <f>VLOOKUP(S27,市町村データ!A2:P106,MATCH(手順書_丁目_世帯密度!$G$63, 市町村データ!A1:P1, 0),FALSE)</f>
        <v>西堀2</v>
      </c>
      <c r="U27" s="154"/>
      <c r="V27" s="159"/>
      <c r="W27" s="82">
        <v>43</v>
      </c>
      <c r="X27" s="142" t="str">
        <f>VLOOKUP(W27,市町村データ!A2:P106,MATCH(手順書_丁目_世帯密度!$G$63, 市町村データ!A1:P1, 0),FALSE)</f>
        <v>西堀1</v>
      </c>
      <c r="Y27" s="154"/>
      <c r="Z27" s="159"/>
      <c r="AA27" s="82">
        <v>44</v>
      </c>
      <c r="AB27" s="142" t="str">
        <f>VLOOKUP(AA27,市町村データ!A2:P106,MATCH(手順書_丁目_世帯密度!$G$63, 市町村データ!A1:P1, 0),FALSE)</f>
        <v>石神5</v>
      </c>
      <c r="AC27" s="154"/>
      <c r="AD27" s="159"/>
      <c r="AE27" s="82">
        <v>45</v>
      </c>
      <c r="AF27" s="142" t="str">
        <f>VLOOKUP(AE27,市町村データ!A2:P106,MATCH(手順書_丁目_世帯密度!$G$63, 市町村データ!A1:P1, 0),FALSE)</f>
        <v>堀ノ内3</v>
      </c>
      <c r="AG27" s="154"/>
      <c r="AH27" s="159"/>
      <c r="AI27" s="82">
        <v>46</v>
      </c>
      <c r="AJ27" s="142" t="str">
        <f>VLOOKUP(AI27,市町村データ!A2:P106,MATCH(手順書_丁目_世帯密度!$G$63, 市町村データ!A1:P1, 0),FALSE)</f>
        <v>堀ノ内2</v>
      </c>
      <c r="AK27" s="154"/>
      <c r="AL27" s="159"/>
      <c r="AM27" s="82">
        <v>47</v>
      </c>
      <c r="AN27" s="142" t="str">
        <f>VLOOKUP(AM27,市町村データ!A2:P106,MATCH(手順書_丁目_世帯密度!$G$63, 市町村データ!A1:P1, 0),FALSE)</f>
        <v>馬場4</v>
      </c>
      <c r="AO27" s="154"/>
      <c r="AP27" s="159"/>
      <c r="AQ27" s="82">
        <v>48</v>
      </c>
      <c r="AR27" s="142" t="str">
        <f>VLOOKUP(AQ27,市町村データ!A2:P106,MATCH(手順書_丁目_世帯密度!$G$63, 市町村データ!A1:P1, 0),FALSE)</f>
        <v>馬場3</v>
      </c>
      <c r="AS27" s="154"/>
      <c r="AT27" s="159"/>
      <c r="AU27" s="82">
        <v>49</v>
      </c>
      <c r="AV27" s="142" t="str">
        <f>VLOOKUP(AU27,市町村データ!A2:P106,MATCH(手順書_丁目_世帯密度!$G$63, 市町村データ!A1:P1, 0),FALSE)</f>
        <v>栄1</v>
      </c>
      <c r="AW27" s="154"/>
      <c r="AX27" s="159"/>
      <c r="AY27" s="82">
        <v>50</v>
      </c>
      <c r="AZ27" s="142" t="str">
        <f>VLOOKUP(AY27,市町村データ!A2:P106,MATCH(手順書_丁目_世帯密度!$G$63, 市町村データ!A1:P1, 0),FALSE)</f>
        <v>栄2</v>
      </c>
      <c r="BA27" s="154"/>
      <c r="BB27" s="159"/>
      <c r="BC27" s="82">
        <v>51</v>
      </c>
      <c r="BD27" s="142" t="str">
        <f>VLOOKUP(BC27,市町村データ!A2:P106,MATCH(手順書_丁目_世帯密度!$G$63, 市町村データ!A1:P1, 0),FALSE)</f>
        <v>栄3</v>
      </c>
      <c r="BE27" s="154"/>
      <c r="BF27" s="159"/>
      <c r="BG27" s="82">
        <v>52</v>
      </c>
      <c r="BH27" s="142" t="str">
        <f>VLOOKUP(BG27,市町村データ!A2:P106,MATCH(手順書_丁目_世帯密度!$G$63, 市町村データ!A1:P1, 0),FALSE)</f>
        <v>栄4</v>
      </c>
      <c r="BI27" s="154"/>
      <c r="BJ27" s="159"/>
      <c r="BK27" s="82">
        <v>53</v>
      </c>
      <c r="BL27" s="142" t="str">
        <f>VLOOKUP(BK27,市町村データ!A2:P106,MATCH(手順書_丁目_世帯密度!$G$63, 市町村データ!A1:P1, 0),FALSE)</f>
        <v>栄5</v>
      </c>
      <c r="BM27" s="154"/>
      <c r="BN27" s="159"/>
      <c r="BO27" s="91"/>
      <c r="BP27" s="79"/>
      <c r="BQ27" s="79"/>
      <c r="BR27" s="79"/>
      <c r="BS27" s="79"/>
      <c r="BT27" s="78"/>
    </row>
    <row r="28" spans="1:72" ht="21.15" customHeight="1" x14ac:dyDescent="0.55000000000000004">
      <c r="A28" s="78"/>
      <c r="B28" s="79"/>
      <c r="C28" s="79"/>
      <c r="D28" s="79"/>
      <c r="E28" s="79"/>
      <c r="F28" s="79"/>
      <c r="G28" s="79"/>
      <c r="H28" s="79"/>
      <c r="I28" s="79"/>
      <c r="J28" s="79"/>
      <c r="K28" s="79"/>
      <c r="L28" s="79"/>
      <c r="M28" s="79"/>
      <c r="N28" s="79"/>
      <c r="O28" s="79"/>
      <c r="P28" s="79"/>
      <c r="Q28" s="79"/>
      <c r="R28" s="79"/>
      <c r="S28" s="295">
        <f>VLOOKUP(S27,市町村データ!A2:P106,MATCH(手順書_丁目_世帯密度!$F$64, 市町村データ!A1:P1, 0),FALSE)</f>
        <v>46</v>
      </c>
      <c r="T28" s="156"/>
      <c r="U28" s="156"/>
      <c r="V28" s="158"/>
      <c r="W28" s="254">
        <f>VLOOKUP(W27,市町村データ!A2:P106,MATCH(手順書_丁目_世帯密度!$F$64, 市町村データ!A1:P1, 0),FALSE)</f>
        <v>39.299999999999997</v>
      </c>
      <c r="X28" s="156"/>
      <c r="Y28" s="156"/>
      <c r="Z28" s="158"/>
      <c r="AA28" s="252">
        <f>VLOOKUP(AA27,市町村データ!A2:P106,MATCH(手順書_丁目_世帯密度!$F$64, 市町村データ!A1:P1, 0),FALSE)</f>
        <v>76.5</v>
      </c>
      <c r="AB28" s="156"/>
      <c r="AC28" s="156"/>
      <c r="AD28" s="158"/>
      <c r="AE28" s="262">
        <f>VLOOKUP(AE27,市町村データ!A2:P106,MATCH(手順書_丁目_世帯密度!$F$64, 市町村データ!A1:P1, 0),FALSE)</f>
        <v>5.8</v>
      </c>
      <c r="AF28" s="156"/>
      <c r="AG28" s="156"/>
      <c r="AH28" s="158"/>
      <c r="AI28" s="264">
        <f>VLOOKUP(AI27,市町村データ!A2:P106,MATCH(手順書_丁目_世帯密度!$F$64, 市町村データ!A1:P1, 0),FALSE)</f>
        <v>19</v>
      </c>
      <c r="AJ28" s="156"/>
      <c r="AK28" s="156"/>
      <c r="AL28" s="158"/>
      <c r="AM28" s="264">
        <f>VLOOKUP(AM27,市町村データ!A2:P106,MATCH(手順書_丁目_世帯密度!$F$64, 市町村データ!A1:P1, 0),FALSE)</f>
        <v>17.100000000000001</v>
      </c>
      <c r="AN28" s="156"/>
      <c r="AO28" s="156"/>
      <c r="AP28" s="158"/>
      <c r="AQ28" s="263">
        <f>VLOOKUP(AQ27,市町村データ!A2:P106,MATCH(手順書_丁目_世帯密度!$F$64, 市町村データ!A1:P1, 0),FALSE)</f>
        <v>22.1</v>
      </c>
      <c r="AR28" s="156"/>
      <c r="AS28" s="156"/>
      <c r="AT28" s="158"/>
      <c r="AU28" s="295">
        <f>VLOOKUP(AU27,市町村データ!A2:P106,MATCH(手順書_丁目_世帯密度!$F$64, 市町村データ!A1:P1, 0),FALSE)</f>
        <v>46.7</v>
      </c>
      <c r="AV28" s="156"/>
      <c r="AW28" s="156"/>
      <c r="AX28" s="158"/>
      <c r="AY28" s="248">
        <f>VLOOKUP(AY27,市町村データ!A2:P106,MATCH(手順書_丁目_世帯密度!$F$64, 市町村データ!A1:P1, 0),FALSE)</f>
        <v>66.099999999999994</v>
      </c>
      <c r="AZ28" s="156"/>
      <c r="BA28" s="156"/>
      <c r="BB28" s="158"/>
      <c r="BC28" s="252">
        <f>VLOOKUP(BC27,市町村データ!A2:P106,MATCH(手順書_丁目_世帯密度!$F$64, 市町村データ!A1:P1, 0),FALSE)</f>
        <v>73.3</v>
      </c>
      <c r="BD28" s="156"/>
      <c r="BE28" s="156"/>
      <c r="BF28" s="158"/>
      <c r="BG28" s="252">
        <f>VLOOKUP(BG27,市町村データ!A2:P106,MATCH(手順書_丁目_世帯密度!$F$64, 市町村データ!A1:P1, 0),FALSE)</f>
        <v>76.099999999999994</v>
      </c>
      <c r="BH28" s="156"/>
      <c r="BI28" s="156"/>
      <c r="BJ28" s="158"/>
      <c r="BK28" s="249">
        <f>VLOOKUP(BK27,市町村データ!A2:P106,MATCH(手順書_丁目_世帯密度!$F$64, 市町村データ!A1:P1, 0),FALSE)</f>
        <v>80.2</v>
      </c>
      <c r="BL28" s="156"/>
      <c r="BM28" s="156"/>
      <c r="BN28" s="158"/>
      <c r="BO28" s="92"/>
      <c r="BP28" s="50"/>
      <c r="BQ28" s="50"/>
      <c r="BR28" s="50"/>
      <c r="BS28" s="79"/>
      <c r="BT28" s="78"/>
    </row>
    <row r="29" spans="1:72" ht="21.15" customHeight="1" x14ac:dyDescent="0.55000000000000004">
      <c r="A29" s="78"/>
      <c r="B29" s="79"/>
      <c r="C29" s="79"/>
      <c r="D29" s="79"/>
      <c r="E29" s="79"/>
      <c r="F29" s="79"/>
      <c r="G29" s="79"/>
      <c r="H29" s="79"/>
      <c r="I29" s="79"/>
      <c r="J29" s="79"/>
      <c r="K29" s="79"/>
      <c r="L29" s="79"/>
      <c r="M29" s="79"/>
      <c r="N29" s="79"/>
      <c r="O29" s="79"/>
      <c r="P29" s="79"/>
      <c r="Q29" s="79"/>
      <c r="R29" s="79"/>
      <c r="S29" s="297">
        <f>VLOOKUP(S27,市町村データ!A2:P106,MATCH(手順書_丁目_世帯密度!$F$65, 市町村データ!A1:P1, 0),FALSE)</f>
        <v>1841</v>
      </c>
      <c r="T29" s="156"/>
      <c r="U29" s="156"/>
      <c r="V29" s="158"/>
      <c r="W29" s="255">
        <f>VLOOKUP(W27,市町村データ!A2:P106,MATCH(手順書_丁目_世帯密度!$F$65, 市町村データ!A1:P1, 0),FALSE)</f>
        <v>826</v>
      </c>
      <c r="X29" s="156"/>
      <c r="Y29" s="156"/>
      <c r="Z29" s="158"/>
      <c r="AA29" s="250">
        <f>VLOOKUP(AA27,市町村データ!A2:P106,MATCH(手順書_丁目_世帯密度!$F$65, 市町村データ!A1:P1, 0),FALSE)</f>
        <v>918</v>
      </c>
      <c r="AB29" s="156"/>
      <c r="AC29" s="156"/>
      <c r="AD29" s="158"/>
      <c r="AE29" s="260">
        <f>VLOOKUP(AE27,市町村データ!A2:P106,MATCH(手順書_丁目_世帯密度!$F$65, 市町村データ!A1:P1, 0),FALSE)</f>
        <v>184</v>
      </c>
      <c r="AF29" s="156"/>
      <c r="AG29" s="156"/>
      <c r="AH29" s="158"/>
      <c r="AI29" s="259">
        <f>VLOOKUP(AI27,市町村データ!A2:P106,MATCH(手順書_丁目_世帯密度!$F$65, 市町村データ!A1:P1, 0),FALSE)</f>
        <v>358</v>
      </c>
      <c r="AJ29" s="156"/>
      <c r="AK29" s="156"/>
      <c r="AL29" s="158"/>
      <c r="AM29" s="259">
        <f>VLOOKUP(AM27,市町村データ!A2:P106,MATCH(手順書_丁目_世帯密度!$F$65, 市町村データ!A1:P1, 0),FALSE)</f>
        <v>704</v>
      </c>
      <c r="AN29" s="156"/>
      <c r="AO29" s="156"/>
      <c r="AP29" s="158"/>
      <c r="AQ29" s="261">
        <f>VLOOKUP(AQ27,市町村データ!A2:P106,MATCH(手順書_丁目_世帯密度!$F$65, 市町村データ!A1:P1, 0),FALSE)</f>
        <v>577</v>
      </c>
      <c r="AR29" s="156"/>
      <c r="AS29" s="156"/>
      <c r="AT29" s="158"/>
      <c r="AU29" s="297">
        <f>VLOOKUP(AU27,市町村データ!A2:P106,MATCH(手順書_丁目_世帯密度!$F$65, 市町村データ!A1:P1, 0),FALSE)</f>
        <v>467</v>
      </c>
      <c r="AV29" s="156"/>
      <c r="AW29" s="156"/>
      <c r="AX29" s="158"/>
      <c r="AY29" s="244">
        <f>VLOOKUP(AY27,市町村データ!A2:P106,MATCH(手順書_丁目_世帯密度!$F$65, 市町村データ!A1:P1, 0),FALSE)</f>
        <v>992</v>
      </c>
      <c r="AZ29" s="156"/>
      <c r="BA29" s="156"/>
      <c r="BB29" s="158"/>
      <c r="BC29" s="250">
        <f>VLOOKUP(BC27,市町村データ!A2:P106,MATCH(手順書_丁目_世帯密度!$F$65, 市町村データ!A1:P1, 0),FALSE)</f>
        <v>953</v>
      </c>
      <c r="BD29" s="156"/>
      <c r="BE29" s="156"/>
      <c r="BF29" s="158"/>
      <c r="BG29" s="250">
        <f>VLOOKUP(BG27,市町村データ!A2:P106,MATCH(手順書_丁目_世帯密度!$F$65, 市町村データ!A1:P1, 0),FALSE)</f>
        <v>1027</v>
      </c>
      <c r="BH29" s="156"/>
      <c r="BI29" s="156"/>
      <c r="BJ29" s="158"/>
      <c r="BK29" s="245">
        <f>VLOOKUP(BK27,市町村データ!A2:P106,MATCH(手順書_丁目_世帯密度!$F$65, 市町村データ!A1:P1, 0),FALSE)</f>
        <v>1323</v>
      </c>
      <c r="BL29" s="156"/>
      <c r="BM29" s="156"/>
      <c r="BN29" s="158"/>
      <c r="BO29" s="93"/>
      <c r="BP29" s="51"/>
      <c r="BQ29" s="51"/>
      <c r="BR29" s="51"/>
      <c r="BS29" s="79"/>
      <c r="BT29" s="78"/>
    </row>
    <row r="30" spans="1:72" ht="21.15" customHeight="1" thickBot="1" x14ac:dyDescent="0.6">
      <c r="A30" s="78"/>
      <c r="B30" s="79"/>
      <c r="C30" s="79"/>
      <c r="D30" s="79"/>
      <c r="E30" s="79"/>
      <c r="F30" s="79"/>
      <c r="G30" s="79"/>
      <c r="H30" s="79"/>
      <c r="I30" s="79"/>
      <c r="J30" s="79"/>
      <c r="K30" s="79"/>
      <c r="L30" s="79"/>
      <c r="M30" s="79"/>
      <c r="N30" s="79"/>
      <c r="O30" s="79"/>
      <c r="P30" s="79"/>
      <c r="Q30" s="79"/>
      <c r="R30" s="79"/>
      <c r="S30" s="296">
        <f>VLOOKUP(S27,市町村データ!A2:P106,MATCH(手順書_丁目_世帯密度!$F$66, 市町村データ!A1:P1, 0),FALSE)</f>
        <v>40</v>
      </c>
      <c r="T30" s="153"/>
      <c r="U30" s="153"/>
      <c r="V30" s="240"/>
      <c r="W30" s="253">
        <f>VLOOKUP(W27,市町村データ!A2:P106,MATCH(手順書_丁目_世帯密度!$F$66, 市町村データ!A1:P1, 0),FALSE)</f>
        <v>21</v>
      </c>
      <c r="X30" s="153"/>
      <c r="Y30" s="153"/>
      <c r="Z30" s="240"/>
      <c r="AA30" s="251">
        <f>VLOOKUP(AA27,市町村データ!A2:P106,MATCH(手順書_丁目_世帯密度!$F$66, 市町村データ!A1:P1, 0),FALSE)</f>
        <v>12</v>
      </c>
      <c r="AB30" s="153"/>
      <c r="AC30" s="153"/>
      <c r="AD30" s="240"/>
      <c r="AE30" s="256">
        <f>VLOOKUP(AE27,市町村データ!A2:P106,MATCH(手順書_丁目_世帯密度!$F$66, 市町村データ!A1:P1, 0),FALSE)</f>
        <v>31.7</v>
      </c>
      <c r="AF30" s="153"/>
      <c r="AG30" s="153"/>
      <c r="AH30" s="240"/>
      <c r="AI30" s="258">
        <f>VLOOKUP(AI27,市町村データ!A2:P106,MATCH(手順書_丁目_世帯密度!$F$66, 市町村データ!A1:P1, 0),FALSE)</f>
        <v>18.8</v>
      </c>
      <c r="AJ30" s="153"/>
      <c r="AK30" s="153"/>
      <c r="AL30" s="240"/>
      <c r="AM30" s="258">
        <f>VLOOKUP(AM27,市町村データ!A2:P106,MATCH(手順書_丁目_世帯密度!$F$66, 市町村データ!A1:P1, 0),FALSE)</f>
        <v>41.1</v>
      </c>
      <c r="AN30" s="153"/>
      <c r="AO30" s="153"/>
      <c r="AP30" s="240"/>
      <c r="AQ30" s="257">
        <f>VLOOKUP(AQ27,市町村データ!A2:P106,MATCH(手順書_丁目_世帯密度!$F$66, 市町村データ!A1:P1, 0),FALSE)</f>
        <v>26.1</v>
      </c>
      <c r="AR30" s="153"/>
      <c r="AS30" s="153"/>
      <c r="AT30" s="240"/>
      <c r="AU30" s="296">
        <f>VLOOKUP(AU27,市町村データ!A2:P106,MATCH(手順書_丁目_世帯密度!$F$66, 市町村データ!A1:P1, 0),FALSE)</f>
        <v>10</v>
      </c>
      <c r="AV30" s="153"/>
      <c r="AW30" s="153"/>
      <c r="AX30" s="240"/>
      <c r="AY30" s="246">
        <f>VLOOKUP(AY27,市町村データ!A2:P106,MATCH(手順書_丁目_世帯密度!$F$66, 市町村データ!A1:P1, 0),FALSE)</f>
        <v>15</v>
      </c>
      <c r="AZ30" s="153"/>
      <c r="BA30" s="153"/>
      <c r="BB30" s="240"/>
      <c r="BC30" s="251">
        <f>VLOOKUP(BC27,市町村データ!A2:P106,MATCH(手順書_丁目_世帯密度!$F$66, 市町村データ!A1:P1, 0),FALSE)</f>
        <v>13</v>
      </c>
      <c r="BD30" s="153"/>
      <c r="BE30" s="153"/>
      <c r="BF30" s="240"/>
      <c r="BG30" s="251">
        <f>VLOOKUP(BG27,市町村データ!A2:P106,MATCH(手順書_丁目_世帯密度!$F$66, 市町村データ!A1:P1, 0),FALSE)</f>
        <v>13.5</v>
      </c>
      <c r="BH30" s="153"/>
      <c r="BI30" s="153"/>
      <c r="BJ30" s="240"/>
      <c r="BK30" s="247">
        <f>VLOOKUP(BK27,市町村データ!A2:P106,MATCH(手順書_丁目_世帯密度!$F$66, 市町村データ!A1:P1, 0),FALSE)</f>
        <v>16.5</v>
      </c>
      <c r="BL30" s="153"/>
      <c r="BM30" s="153"/>
      <c r="BN30" s="240"/>
      <c r="BO30" s="85"/>
      <c r="BP30" s="52"/>
      <c r="BQ30" s="52"/>
      <c r="BR30" s="52"/>
      <c r="BS30" s="79"/>
      <c r="BT30" s="78"/>
    </row>
    <row r="31" spans="1:72" ht="21.15" customHeight="1" x14ac:dyDescent="0.55000000000000004">
      <c r="A31" s="78"/>
      <c r="B31" s="79"/>
      <c r="C31" s="81" t="s">
        <v>67</v>
      </c>
      <c r="D31" s="79"/>
      <c r="E31" s="79"/>
      <c r="F31" s="79"/>
      <c r="G31" s="82">
        <v>54</v>
      </c>
      <c r="H31" s="142" t="str">
        <f>VLOOKUP(G31,市町村データ!A2:P106,MATCH(手順書_丁目_世帯密度!$G$63, 市町村データ!A1:P1, 0),FALSE)</f>
        <v>新堀3</v>
      </c>
      <c r="I31" s="154"/>
      <c r="J31" s="159"/>
      <c r="K31" s="82">
        <v>55</v>
      </c>
      <c r="L31" s="142" t="str">
        <f>VLOOKUP(K31,市町村データ!A2:P106,MATCH(手順書_丁目_世帯密度!$G$63, 市町村データ!A1:P1, 0),FALSE)</f>
        <v>新堀2</v>
      </c>
      <c r="M31" s="154"/>
      <c r="N31" s="159"/>
      <c r="O31" s="82">
        <v>56</v>
      </c>
      <c r="P31" s="142" t="str">
        <f>VLOOKUP(O31,市町村データ!A2:P106,MATCH(手順書_丁目_世帯密度!$G$63, 市町村データ!A1:P1, 0),FALSE)</f>
        <v>新堀1</v>
      </c>
      <c r="Q31" s="154"/>
      <c r="R31" s="159"/>
      <c r="S31" s="82">
        <v>57</v>
      </c>
      <c r="T31" s="142" t="str">
        <f>VLOOKUP(S31,市町村データ!A2:P106,MATCH(手順書_丁目_世帯密度!$G$63, 市町村データ!A1:P1, 0),FALSE)</f>
        <v>西堀3</v>
      </c>
      <c r="U31" s="154"/>
      <c r="V31" s="159"/>
      <c r="W31" s="96"/>
      <c r="X31" s="84"/>
      <c r="Y31" s="84"/>
      <c r="Z31" s="84"/>
      <c r="AA31" s="82">
        <v>58</v>
      </c>
      <c r="AB31" s="142" t="str">
        <f>VLOOKUP(AA31,市町村データ!A2:P106,MATCH(手順書_丁目_世帯密度!$G$63, 市町村データ!A1:P1, 0),FALSE)</f>
        <v>石神4</v>
      </c>
      <c r="AC31" s="154"/>
      <c r="AD31" s="159"/>
      <c r="AE31" s="82">
        <v>59</v>
      </c>
      <c r="AF31" s="142" t="str">
        <f>VLOOKUP(AE31,市町村データ!A2:P106,MATCH(手順書_丁目_世帯密度!$G$63, 市町村データ!A1:P1, 0),FALSE)</f>
        <v>石神1</v>
      </c>
      <c r="AG31" s="154"/>
      <c r="AH31" s="159"/>
      <c r="AI31" s="82">
        <v>60</v>
      </c>
      <c r="AJ31" s="142" t="str">
        <f>VLOOKUP(AI31,市町村データ!A2:P106,MATCH(手順書_丁目_世帯密度!$G$63, 市町村データ!A1:P1, 0),FALSE)</f>
        <v>道場2</v>
      </c>
      <c r="AK31" s="154"/>
      <c r="AL31" s="159"/>
      <c r="AM31" s="82">
        <v>61</v>
      </c>
      <c r="AN31" s="142" t="str">
        <f>VLOOKUP(AM31,市町村データ!A2:P106,MATCH(手順書_丁目_世帯密度!$G$63, 市町村データ!A1:P1, 0),FALSE)</f>
        <v>道場1</v>
      </c>
      <c r="AO31" s="154"/>
      <c r="AP31" s="159"/>
      <c r="AQ31" s="97"/>
      <c r="AR31" s="84"/>
      <c r="AS31" s="84"/>
      <c r="AT31" s="84"/>
      <c r="AU31" s="82">
        <v>62</v>
      </c>
      <c r="AV31" s="142" t="str">
        <f>VLOOKUP(AU31,市町村データ!A2:P106,MATCH(手順書_丁目_世帯密度!$G$63, 市町村データ!A1:P1, 0),FALSE)</f>
        <v>池田1</v>
      </c>
      <c r="AW31" s="154"/>
      <c r="AX31" s="159"/>
      <c r="AY31" s="82">
        <v>63</v>
      </c>
      <c r="AZ31" s="142" t="str">
        <f>VLOOKUP(AY31,市町村データ!A2:P106,MATCH(手順書_丁目_世帯密度!$G$63, 市町村データ!A1:P1, 0),FALSE)</f>
        <v>池田2</v>
      </c>
      <c r="BA31" s="154"/>
      <c r="BB31" s="159"/>
      <c r="BC31" s="82">
        <v>64</v>
      </c>
      <c r="BD31" s="142" t="str">
        <f>VLOOKUP(BC31,市町村データ!A2:P106,MATCH(手順書_丁目_世帯密度!$G$63, 市町村データ!A1:P1, 0),FALSE)</f>
        <v>池田3</v>
      </c>
      <c r="BE31" s="154"/>
      <c r="BF31" s="159"/>
      <c r="BG31" s="82">
        <v>65</v>
      </c>
      <c r="BH31" s="142" t="str">
        <f>VLOOKUP(BG31,市町村データ!A2:P106,MATCH(手順書_丁目_世帯密度!$G$63, 市町村データ!A1:P1, 0),FALSE)</f>
        <v>池田4</v>
      </c>
      <c r="BI31" s="154"/>
      <c r="BJ31" s="159"/>
      <c r="BK31" s="82">
        <v>66</v>
      </c>
      <c r="BL31" s="142" t="str">
        <f>VLOOKUP(BK31,市町村データ!A2:P106,MATCH(手順書_丁目_世帯密度!$G$63, 市町村データ!A1:P1, 0),FALSE)</f>
        <v>池田5</v>
      </c>
      <c r="BM31" s="154"/>
      <c r="BN31" s="159"/>
      <c r="BO31" s="91"/>
      <c r="BP31" s="79"/>
      <c r="BQ31" s="79"/>
      <c r="BR31" s="79"/>
      <c r="BS31" s="79"/>
      <c r="BT31" s="78"/>
    </row>
    <row r="32" spans="1:72" ht="21.15" customHeight="1" x14ac:dyDescent="0.55000000000000004">
      <c r="A32" s="78"/>
      <c r="B32" s="79"/>
      <c r="C32" s="79"/>
      <c r="D32" s="79"/>
      <c r="E32" s="79"/>
      <c r="F32" s="79"/>
      <c r="G32" s="243">
        <f>VLOOKUP(G31,市町村データ!A2:P106,MATCH(手順書_丁目_世帯密度!$F$64, 市町村データ!A1:P1, 0),FALSE)</f>
        <v>89.9</v>
      </c>
      <c r="H32" s="156"/>
      <c r="I32" s="156"/>
      <c r="J32" s="158"/>
      <c r="K32" s="248">
        <f>VLOOKUP(K31,市町村データ!A2:P106,MATCH(手順書_丁目_世帯密度!$F$64, 市町村データ!A1:P1, 0),FALSE)</f>
        <v>68.3</v>
      </c>
      <c r="L32" s="156"/>
      <c r="M32" s="156"/>
      <c r="N32" s="158"/>
      <c r="O32" s="299">
        <f>VLOOKUP(O31,市町村データ!A2:P106,MATCH(手順書_丁目_世帯密度!$F$64, 市町村データ!A1:P1, 0),FALSE)</f>
        <v>54.7</v>
      </c>
      <c r="P32" s="156"/>
      <c r="Q32" s="156"/>
      <c r="R32" s="158"/>
      <c r="S32" s="262">
        <f>VLOOKUP(S31,市町村データ!A2:P106,MATCH(手順書_丁目_世帯密度!$F$64, 市町村データ!A1:P1, 0),FALSE)</f>
        <v>1.4</v>
      </c>
      <c r="T32" s="156"/>
      <c r="U32" s="156"/>
      <c r="V32" s="158"/>
      <c r="W32" s="85"/>
      <c r="X32" s="79"/>
      <c r="Y32" s="79"/>
      <c r="Z32" s="79"/>
      <c r="AA32" s="295">
        <f>VLOOKUP(AA31,市町村データ!A2:P106,MATCH(手順書_丁目_世帯密度!$F$64, 市町村データ!A1:P1, 0),FALSE)</f>
        <v>41.4</v>
      </c>
      <c r="AB32" s="156"/>
      <c r="AC32" s="156"/>
      <c r="AD32" s="158"/>
      <c r="AE32" s="295">
        <f>VLOOKUP(AE31,市町村データ!A2:P106,MATCH(手順書_丁目_世帯密度!$F$64, 市町村データ!A1:P1, 0),FALSE)</f>
        <v>39.700000000000003</v>
      </c>
      <c r="AF32" s="156"/>
      <c r="AG32" s="156"/>
      <c r="AH32" s="158"/>
      <c r="AI32" s="264">
        <f>VLOOKUP(AI31,市町村データ!A2:P106,MATCH(手順書_丁目_世帯密度!$F$64, 市町村データ!A1:P1, 0),FALSE)</f>
        <v>10.7</v>
      </c>
      <c r="AJ32" s="156"/>
      <c r="AK32" s="156"/>
      <c r="AL32" s="158"/>
      <c r="AM32" s="254">
        <f>VLOOKUP(AM31,市町村データ!A2:P106,MATCH(手順書_丁目_世帯密度!$F$64, 市町村データ!A1:P1, 0),FALSE)</f>
        <v>29.5</v>
      </c>
      <c r="AN32" s="156"/>
      <c r="AO32" s="156"/>
      <c r="AP32" s="158"/>
      <c r="AQ32" s="92"/>
      <c r="AR32" s="87"/>
      <c r="AS32" s="87"/>
      <c r="AT32" s="87"/>
      <c r="AU32" s="262">
        <f>VLOOKUP(AU31,市町村データ!A2:P106,MATCH(手順書_丁目_世帯密度!$F$64, 市町村データ!A1:P1, 0),FALSE)</f>
        <v>1.1000000000000001</v>
      </c>
      <c r="AV32" s="156"/>
      <c r="AW32" s="156"/>
      <c r="AX32" s="158"/>
      <c r="AY32" s="264">
        <f>VLOOKUP(AY31,市町村データ!A2:P106,MATCH(手順書_丁目_世帯密度!$F$64, 市町村データ!A1:P1, 0),FALSE)</f>
        <v>9.6</v>
      </c>
      <c r="AZ32" s="156"/>
      <c r="BA32" s="156"/>
      <c r="BB32" s="158"/>
      <c r="BC32" s="263">
        <f>VLOOKUP(BC31,市町村データ!A2:P106,MATCH(手順書_丁目_世帯密度!$F$64, 市町村データ!A1:P1, 0),FALSE)</f>
        <v>23.2</v>
      </c>
      <c r="BD32" s="156"/>
      <c r="BE32" s="156"/>
      <c r="BF32" s="158"/>
      <c r="BG32" s="254">
        <f>VLOOKUP(BG31,市町村データ!A2:P106,MATCH(手順書_丁目_世帯密度!$F$64, 市町村データ!A1:P1, 0),FALSE)</f>
        <v>37.5</v>
      </c>
      <c r="BH32" s="156"/>
      <c r="BI32" s="156"/>
      <c r="BJ32" s="158"/>
      <c r="BK32" s="248">
        <f>VLOOKUP(BK31,市町村データ!A2:P106,MATCH(手順書_丁目_世帯密度!$F$64, 市町村データ!A1:P1, 0),FALSE)</f>
        <v>67.400000000000006</v>
      </c>
      <c r="BL32" s="156"/>
      <c r="BM32" s="156"/>
      <c r="BN32" s="158"/>
      <c r="BO32" s="92"/>
      <c r="BP32" s="50"/>
      <c r="BQ32" s="50"/>
      <c r="BR32" s="50"/>
      <c r="BS32" s="79"/>
      <c r="BT32" s="78"/>
    </row>
    <row r="33" spans="1:72" ht="21.15" customHeight="1" x14ac:dyDescent="0.55000000000000004">
      <c r="A33" s="78"/>
      <c r="B33" s="79"/>
      <c r="C33" s="79"/>
      <c r="D33" s="79"/>
      <c r="E33" s="79"/>
      <c r="F33" s="79"/>
      <c r="G33" s="238">
        <f>VLOOKUP(G31,市町村データ!A2:P106,MATCH(手順書_丁目_世帯密度!$F$65, 市町村データ!A1:P1, 0),FALSE)</f>
        <v>1798</v>
      </c>
      <c r="H33" s="156"/>
      <c r="I33" s="156"/>
      <c r="J33" s="158"/>
      <c r="K33" s="244">
        <f>VLOOKUP(K31,市町村データ!A2:P106,MATCH(手順書_丁目_世帯密度!$F$65, 市町村データ!A1:P1, 0),FALSE)</f>
        <v>1981</v>
      </c>
      <c r="L33" s="156"/>
      <c r="M33" s="156"/>
      <c r="N33" s="158"/>
      <c r="O33" s="300">
        <f>VLOOKUP(O31,市町村データ!A2:P106,MATCH(手順書_丁目_世帯密度!$F$65, 市町村データ!A1:P1, 0),FALSE)</f>
        <v>1585</v>
      </c>
      <c r="P33" s="156"/>
      <c r="Q33" s="156"/>
      <c r="R33" s="158"/>
      <c r="S33" s="260">
        <f>VLOOKUP(S31,市町村データ!A2:P106,MATCH(手順書_丁目_世帯密度!$F$65, 市町村データ!A1:P1, 0),FALSE)</f>
        <v>63</v>
      </c>
      <c r="T33" s="156"/>
      <c r="U33" s="156"/>
      <c r="V33" s="158"/>
      <c r="W33" s="85"/>
      <c r="X33" s="79"/>
      <c r="Y33" s="79"/>
      <c r="Z33" s="79"/>
      <c r="AA33" s="297">
        <f>VLOOKUP(AA31,市町村データ!A2:P106,MATCH(手順書_丁目_世帯密度!$F$65, 市町村データ!A1:P1, 0),FALSE)</f>
        <v>745</v>
      </c>
      <c r="AB33" s="156"/>
      <c r="AC33" s="156"/>
      <c r="AD33" s="158"/>
      <c r="AE33" s="297">
        <f>VLOOKUP(AE31,市町村データ!A2:P106,MATCH(手順書_丁目_世帯密度!$F$65, 市町村データ!A1:P1, 0),FALSE)</f>
        <v>742</v>
      </c>
      <c r="AF33" s="156"/>
      <c r="AG33" s="156"/>
      <c r="AH33" s="158"/>
      <c r="AI33" s="259">
        <f>VLOOKUP(AI31,市町村データ!A2:P106,MATCH(手順書_丁目_世帯密度!$F$65, 市町村データ!A1:P1, 0),FALSE)</f>
        <v>276</v>
      </c>
      <c r="AJ33" s="156"/>
      <c r="AK33" s="156"/>
      <c r="AL33" s="158"/>
      <c r="AM33" s="255">
        <f>VLOOKUP(AM31,市町村データ!A2:P106,MATCH(手順書_丁目_世帯密度!$F$65, 市町村データ!A1:P1, 0),FALSE)</f>
        <v>496</v>
      </c>
      <c r="AN33" s="156"/>
      <c r="AO33" s="156"/>
      <c r="AP33" s="158"/>
      <c r="AQ33" s="93"/>
      <c r="AR33" s="89"/>
      <c r="AS33" s="89"/>
      <c r="AT33" s="89"/>
      <c r="AU33" s="260">
        <f>VLOOKUP(AU31,市町村データ!A2:P106,MATCH(手順書_丁目_世帯密度!$F$65, 市町村データ!A1:P1, 0),FALSE)</f>
        <v>11</v>
      </c>
      <c r="AV33" s="156"/>
      <c r="AW33" s="156"/>
      <c r="AX33" s="158"/>
      <c r="AY33" s="259">
        <f>VLOOKUP(AY31,市町村データ!A2:P106,MATCH(手順書_丁目_世帯密度!$F$65, 市町村データ!A1:P1, 0),FALSE)</f>
        <v>114</v>
      </c>
      <c r="AZ33" s="156"/>
      <c r="BA33" s="156"/>
      <c r="BB33" s="158"/>
      <c r="BC33" s="261">
        <f>VLOOKUP(BC31,市町村データ!A2:P106,MATCH(手順書_丁目_世帯密度!$F$65, 市町村データ!A1:P1, 0),FALSE)</f>
        <v>278</v>
      </c>
      <c r="BD33" s="156"/>
      <c r="BE33" s="156"/>
      <c r="BF33" s="158"/>
      <c r="BG33" s="255">
        <f>VLOOKUP(BG31,市町村データ!A2:P106,MATCH(手順書_丁目_世帯密度!$F$65, 市町村データ!A1:P1, 0),FALSE)</f>
        <v>506</v>
      </c>
      <c r="BH33" s="156"/>
      <c r="BI33" s="156"/>
      <c r="BJ33" s="158"/>
      <c r="BK33" s="244">
        <f>VLOOKUP(BK31,市町村データ!A2:P106,MATCH(手順書_丁目_世帯密度!$F$65, 市町村データ!A1:P1, 0),FALSE)</f>
        <v>539</v>
      </c>
      <c r="BL33" s="156"/>
      <c r="BM33" s="156"/>
      <c r="BN33" s="158"/>
      <c r="BO33" s="93"/>
      <c r="BP33" s="51"/>
      <c r="BQ33" s="51"/>
      <c r="BR33" s="51"/>
      <c r="BS33" s="79"/>
      <c r="BT33" s="78"/>
    </row>
    <row r="34" spans="1:72" ht="21.15" customHeight="1" thickBot="1" x14ac:dyDescent="0.6">
      <c r="A34" s="78"/>
      <c r="B34" s="79"/>
      <c r="C34" s="79"/>
      <c r="D34" s="79"/>
      <c r="E34" s="79"/>
      <c r="F34" s="79"/>
      <c r="G34" s="241">
        <f>VLOOKUP(G31,市町村データ!A2:P106,MATCH(手順書_丁目_世帯密度!$F$66, 市町村データ!A1:P1, 0),FALSE)</f>
        <v>20</v>
      </c>
      <c r="H34" s="153"/>
      <c r="I34" s="153"/>
      <c r="J34" s="240"/>
      <c r="K34" s="246">
        <f>VLOOKUP(K31,市町村データ!A2:P106,MATCH(手順書_丁目_世帯密度!$F$66, 市町村データ!A1:P1, 0),FALSE)</f>
        <v>29</v>
      </c>
      <c r="L34" s="153"/>
      <c r="M34" s="153"/>
      <c r="N34" s="240"/>
      <c r="O34" s="298">
        <f>VLOOKUP(O31,市町村データ!A2:P106,MATCH(手順書_丁目_世帯密度!$F$66, 市町村データ!A1:P1, 0),FALSE)</f>
        <v>29</v>
      </c>
      <c r="P34" s="153"/>
      <c r="Q34" s="153"/>
      <c r="R34" s="240"/>
      <c r="S34" s="256">
        <f>VLOOKUP(S31,市町村データ!A2:P106,MATCH(手順書_丁目_世帯密度!$F$66, 市町村データ!A1:P1, 0),FALSE)</f>
        <v>43.6</v>
      </c>
      <c r="T34" s="153"/>
      <c r="U34" s="153"/>
      <c r="V34" s="240"/>
      <c r="W34" s="85"/>
      <c r="X34" s="79"/>
      <c r="Y34" s="79"/>
      <c r="Z34" s="79"/>
      <c r="AA34" s="296">
        <f>VLOOKUP(AA31,市町村データ!A2:P106,MATCH(手順書_丁目_世帯密度!$F$66, 市町村データ!A1:P1, 0),FALSE)</f>
        <v>18</v>
      </c>
      <c r="AB34" s="153"/>
      <c r="AC34" s="153"/>
      <c r="AD34" s="240"/>
      <c r="AE34" s="296">
        <f>VLOOKUP(AE31,市町村データ!A2:P106,MATCH(手順書_丁目_世帯密度!$F$66, 市町村データ!A1:P1, 0),FALSE)</f>
        <v>18.7</v>
      </c>
      <c r="AF34" s="153"/>
      <c r="AG34" s="153"/>
      <c r="AH34" s="240"/>
      <c r="AI34" s="258">
        <f>VLOOKUP(AI31,市町村データ!A2:P106,MATCH(手順書_丁目_世帯密度!$F$66, 市町村データ!A1:P1, 0),FALSE)</f>
        <v>25.8</v>
      </c>
      <c r="AJ34" s="153"/>
      <c r="AK34" s="153"/>
      <c r="AL34" s="240"/>
      <c r="AM34" s="253">
        <f>VLOOKUP(AM31,市町村データ!A2:P106,MATCH(手順書_丁目_世帯密度!$F$66, 市町村データ!A1:P1, 0),FALSE)</f>
        <v>16.8</v>
      </c>
      <c r="AN34" s="153"/>
      <c r="AO34" s="153"/>
      <c r="AP34" s="240"/>
      <c r="AQ34" s="85"/>
      <c r="AR34" s="79"/>
      <c r="AS34" s="79"/>
      <c r="AT34" s="79"/>
      <c r="AU34" s="256">
        <f>VLOOKUP(AU31,市町村データ!A2:P106,MATCH(手順書_丁目_世帯密度!$F$66, 市町村データ!A1:P1, 0),FALSE)</f>
        <v>9.9</v>
      </c>
      <c r="AV34" s="153"/>
      <c r="AW34" s="153"/>
      <c r="AX34" s="240"/>
      <c r="AY34" s="258">
        <f>VLOOKUP(AY31,市町村データ!A2:P106,MATCH(手順書_丁目_世帯密度!$F$66, 市町村データ!A1:P1, 0),FALSE)</f>
        <v>11.9</v>
      </c>
      <c r="AZ34" s="153"/>
      <c r="BA34" s="153"/>
      <c r="BB34" s="240"/>
      <c r="BC34" s="257">
        <f>VLOOKUP(BC31,市町村データ!A2:P106,MATCH(手順書_丁目_世帯密度!$F$66, 市町村データ!A1:P1, 0),FALSE)</f>
        <v>12</v>
      </c>
      <c r="BD34" s="153"/>
      <c r="BE34" s="153"/>
      <c r="BF34" s="240"/>
      <c r="BG34" s="253">
        <f>VLOOKUP(BG31,市町村データ!A2:P106,MATCH(手順書_丁目_世帯密度!$F$66, 市町村データ!A1:P1, 0),FALSE)</f>
        <v>13.5</v>
      </c>
      <c r="BH34" s="153"/>
      <c r="BI34" s="153"/>
      <c r="BJ34" s="240"/>
      <c r="BK34" s="246">
        <f>VLOOKUP(BK31,市町村データ!A2:P106,MATCH(手順書_丁目_世帯密度!$F$66, 市町村データ!A1:P1, 0),FALSE)</f>
        <v>8</v>
      </c>
      <c r="BL34" s="153"/>
      <c r="BM34" s="153"/>
      <c r="BN34" s="240"/>
      <c r="BO34" s="85"/>
      <c r="BP34" s="52"/>
      <c r="BQ34" s="52"/>
      <c r="BR34" s="52"/>
      <c r="BS34" s="79"/>
      <c r="BT34" s="78"/>
    </row>
    <row r="35" spans="1:72" ht="21.15" customHeight="1" x14ac:dyDescent="0.55000000000000004">
      <c r="A35" s="78"/>
      <c r="B35" s="79"/>
      <c r="C35" s="81" t="s">
        <v>68</v>
      </c>
      <c r="D35" s="79"/>
      <c r="E35" s="79"/>
      <c r="F35" s="79"/>
      <c r="G35" s="84"/>
      <c r="H35" s="84"/>
      <c r="I35" s="84"/>
      <c r="J35" s="84"/>
      <c r="K35" s="84"/>
      <c r="L35" s="84"/>
      <c r="M35" s="84"/>
      <c r="N35" s="84"/>
      <c r="O35" s="84"/>
      <c r="P35" s="84"/>
      <c r="Q35" s="84"/>
      <c r="R35" s="84"/>
      <c r="S35" s="84"/>
      <c r="T35" s="84"/>
      <c r="U35" s="84"/>
      <c r="V35" s="84"/>
      <c r="W35" s="79"/>
      <c r="X35" s="79"/>
      <c r="Y35" s="79"/>
      <c r="Z35" s="79"/>
      <c r="AA35" s="82">
        <v>67</v>
      </c>
      <c r="AB35" s="142" t="str">
        <f>VLOOKUP(AA35,市町村データ!A2:P106,MATCH(手順書_丁目_世帯密度!$G$63, 市町村データ!A1:P1, 0),FALSE)</f>
        <v>石神3</v>
      </c>
      <c r="AC35" s="154"/>
      <c r="AD35" s="159"/>
      <c r="AE35" s="82">
        <v>68</v>
      </c>
      <c r="AF35" s="142" t="str">
        <f>VLOOKUP(AE35,市町村データ!A2:P106,MATCH(手順書_丁目_世帯密度!$G$63, 市町村データ!A1:P1, 0),FALSE)</f>
        <v>石神2</v>
      </c>
      <c r="AG35" s="154"/>
      <c r="AH35" s="159"/>
      <c r="AI35" s="97"/>
      <c r="AJ35" s="84"/>
      <c r="AK35" s="84"/>
      <c r="AL35" s="84"/>
      <c r="AM35" s="95"/>
      <c r="AN35" s="84"/>
      <c r="AO35" s="84"/>
      <c r="AP35" s="84"/>
      <c r="AQ35" s="86"/>
      <c r="AR35" s="79"/>
      <c r="AS35" s="79"/>
      <c r="AT35" s="79"/>
      <c r="AU35" s="95"/>
      <c r="AV35" s="84"/>
      <c r="AW35" s="84"/>
      <c r="AX35" s="84"/>
      <c r="AY35" s="95"/>
      <c r="AZ35" s="84"/>
      <c r="BA35" s="84"/>
      <c r="BB35" s="84"/>
      <c r="BC35" s="82">
        <v>69</v>
      </c>
      <c r="BD35" s="142" t="str">
        <f>VLOOKUP(BC35,市町村データ!A2:P106,MATCH(手順書_丁目_世帯密度!$G$63, 市町村データ!A1:P1, 0),FALSE)</f>
        <v>片山1</v>
      </c>
      <c r="BE35" s="154"/>
      <c r="BF35" s="159"/>
      <c r="BG35" s="82">
        <v>70</v>
      </c>
      <c r="BH35" s="142" t="str">
        <f>VLOOKUP(BG35,市町村データ!A2:P106,MATCH(手順書_丁目_世帯密度!$G$63, 市町村データ!A1:P1, 0),FALSE)</f>
        <v>片山2</v>
      </c>
      <c r="BI35" s="154"/>
      <c r="BJ35" s="159"/>
      <c r="BK35" s="82">
        <v>71</v>
      </c>
      <c r="BL35" s="142" t="str">
        <f>VLOOKUP(BK35,市町村データ!A2:P106,MATCH(手順書_丁目_世帯密度!$G$63, 市町村データ!A1:P1, 0),FALSE)</f>
        <v>片山3</v>
      </c>
      <c r="BM35" s="154"/>
      <c r="BN35" s="159"/>
      <c r="BO35" s="91"/>
      <c r="BP35" s="79"/>
      <c r="BQ35" s="79"/>
      <c r="BR35" s="79"/>
      <c r="BS35" s="79"/>
      <c r="BT35" s="78"/>
    </row>
    <row r="36" spans="1:72" ht="21.15" customHeight="1" x14ac:dyDescent="0.55000000000000004">
      <c r="A36" s="78"/>
      <c r="B36" s="79"/>
      <c r="C36" s="79"/>
      <c r="D36" s="79"/>
      <c r="E36" s="79"/>
      <c r="F36" s="79"/>
      <c r="G36" s="79"/>
      <c r="H36" s="79"/>
      <c r="I36" s="79"/>
      <c r="J36" s="79"/>
      <c r="K36" s="79"/>
      <c r="L36" s="79"/>
      <c r="M36" s="79"/>
      <c r="N36" s="79"/>
      <c r="O36" s="79"/>
      <c r="P36" s="79"/>
      <c r="Q36" s="79"/>
      <c r="R36" s="79"/>
      <c r="S36" s="79"/>
      <c r="T36" s="79"/>
      <c r="U36" s="79"/>
      <c r="V36" s="79"/>
      <c r="W36" s="79"/>
      <c r="X36" s="79"/>
      <c r="Y36" s="79"/>
      <c r="Z36" s="79"/>
      <c r="AA36" s="252">
        <f>VLOOKUP(AA35,市町村データ!A2:P106,MATCH(手順書_丁目_世帯密度!$F$64, 市町村データ!A1:P1, 0),FALSE)</f>
        <v>76.599999999999994</v>
      </c>
      <c r="AB36" s="156"/>
      <c r="AC36" s="156"/>
      <c r="AD36" s="158"/>
      <c r="AE36" s="299">
        <f>VLOOKUP(AE35,市町村データ!A2:P106,MATCH(手順書_丁目_世帯密度!$F$64, 市町村データ!A1:P1, 0),FALSE)</f>
        <v>51.4</v>
      </c>
      <c r="AF36" s="156"/>
      <c r="AG36" s="156"/>
      <c r="AH36" s="158"/>
      <c r="AI36" s="98"/>
      <c r="AJ36" s="50"/>
      <c r="AK36" s="50"/>
      <c r="AL36" s="50"/>
      <c r="AM36" s="50"/>
      <c r="AN36" s="50"/>
      <c r="AO36" s="50"/>
      <c r="AP36" s="50"/>
      <c r="AQ36" s="50"/>
      <c r="AR36" s="50"/>
      <c r="AS36" s="50"/>
      <c r="AT36" s="50"/>
      <c r="AU36" s="50"/>
      <c r="AV36" s="50"/>
      <c r="AW36" s="50"/>
      <c r="AX36" s="50"/>
      <c r="AY36" s="50"/>
      <c r="AZ36" s="50"/>
      <c r="BA36" s="50"/>
      <c r="BB36" s="50"/>
      <c r="BC36" s="295">
        <f>VLOOKUP(BC35,市町村データ!A2:P106,MATCH(手順書_丁目_世帯密度!$F$64, 市町村データ!A1:P1, 0),FALSE)</f>
        <v>46.5</v>
      </c>
      <c r="BD36" s="156"/>
      <c r="BE36" s="156"/>
      <c r="BF36" s="158"/>
      <c r="BG36" s="254">
        <f>VLOOKUP(BG35,市町村データ!A2:P106,MATCH(手順書_丁目_世帯密度!$F$64, 市町村データ!A1:P1, 0),FALSE)</f>
        <v>33.4</v>
      </c>
      <c r="BH36" s="156"/>
      <c r="BI36" s="156"/>
      <c r="BJ36" s="158"/>
      <c r="BK36" s="299">
        <f>VLOOKUP(BK35,市町村データ!A2:P106,MATCH(手順書_丁目_世帯密度!$F$64, 市町村データ!A1:P1, 0),FALSE)</f>
        <v>49.6</v>
      </c>
      <c r="BL36" s="156"/>
      <c r="BM36" s="156"/>
      <c r="BN36" s="158"/>
      <c r="BO36" s="98"/>
      <c r="BP36" s="50"/>
      <c r="BQ36" s="50"/>
      <c r="BR36" s="50"/>
      <c r="BS36" s="79"/>
      <c r="BT36" s="78"/>
    </row>
    <row r="37" spans="1:72" ht="21.15" customHeight="1" x14ac:dyDescent="0.55000000000000004">
      <c r="A37" s="78"/>
      <c r="B37" s="79"/>
      <c r="C37" s="79"/>
      <c r="D37" s="79"/>
      <c r="E37" s="79"/>
      <c r="F37" s="79"/>
      <c r="G37" s="79"/>
      <c r="H37" s="79"/>
      <c r="I37" s="79"/>
      <c r="J37" s="79"/>
      <c r="K37" s="79"/>
      <c r="L37" s="79"/>
      <c r="M37" s="79"/>
      <c r="N37" s="79"/>
      <c r="O37" s="79"/>
      <c r="P37" s="79"/>
      <c r="Q37" s="79"/>
      <c r="R37" s="79"/>
      <c r="S37" s="79"/>
      <c r="T37" s="79"/>
      <c r="U37" s="79"/>
      <c r="V37" s="79"/>
      <c r="W37" s="79"/>
      <c r="X37" s="79"/>
      <c r="Y37" s="79"/>
      <c r="Z37" s="79"/>
      <c r="AA37" s="250">
        <f>VLOOKUP(AA35,市町村データ!A2:P106,MATCH(手順書_丁目_世帯密度!$F$65, 市町村データ!A1:P1, 0),FALSE)</f>
        <v>1049</v>
      </c>
      <c r="AB37" s="156"/>
      <c r="AC37" s="156"/>
      <c r="AD37" s="158"/>
      <c r="AE37" s="300">
        <f>VLOOKUP(AE35,市町村データ!A2:P106,MATCH(手順書_丁目_世帯密度!$F$65, 市町村データ!A1:P1, 0),FALSE)</f>
        <v>796</v>
      </c>
      <c r="AF37" s="156"/>
      <c r="AG37" s="156"/>
      <c r="AH37" s="158"/>
      <c r="AI37" s="99"/>
      <c r="AJ37" s="51"/>
      <c r="AK37" s="51"/>
      <c r="AL37" s="51"/>
      <c r="AM37" s="51"/>
      <c r="AN37" s="51"/>
      <c r="AO37" s="51"/>
      <c r="AP37" s="51"/>
      <c r="AQ37" s="51"/>
      <c r="AR37" s="51"/>
      <c r="AS37" s="51"/>
      <c r="AT37" s="51"/>
      <c r="AU37" s="51"/>
      <c r="AV37" s="51"/>
      <c r="AW37" s="51"/>
      <c r="AX37" s="51"/>
      <c r="AY37" s="51"/>
      <c r="AZ37" s="51"/>
      <c r="BA37" s="51"/>
      <c r="BB37" s="51"/>
      <c r="BC37" s="297">
        <f>VLOOKUP(BC35,市町村データ!A2:P106,MATCH(手順書_丁目_世帯密度!$F$65, 市町村データ!A1:P1, 0),FALSE)</f>
        <v>1069</v>
      </c>
      <c r="BD37" s="156"/>
      <c r="BE37" s="156"/>
      <c r="BF37" s="158"/>
      <c r="BG37" s="255">
        <f>VLOOKUP(BG35,市町村データ!A2:P106,MATCH(手順書_丁目_世帯密度!$F$65, 市町村データ!A1:P1, 0),FALSE)</f>
        <v>601</v>
      </c>
      <c r="BH37" s="156"/>
      <c r="BI37" s="156"/>
      <c r="BJ37" s="158"/>
      <c r="BK37" s="300">
        <f>VLOOKUP(BK35,市町村データ!A2:P106,MATCH(手順書_丁目_世帯密度!$F$65, 市町村データ!A1:P1, 0),FALSE)</f>
        <v>1587</v>
      </c>
      <c r="BL37" s="156"/>
      <c r="BM37" s="156"/>
      <c r="BN37" s="158"/>
      <c r="BO37" s="99"/>
      <c r="BP37" s="51"/>
      <c r="BQ37" s="51"/>
      <c r="BR37" s="51"/>
      <c r="BS37" s="79"/>
      <c r="BT37" s="78"/>
    </row>
    <row r="38" spans="1:72" ht="21.15" customHeight="1" thickBot="1" x14ac:dyDescent="0.6">
      <c r="A38" s="78"/>
      <c r="B38" s="79"/>
      <c r="C38" s="79"/>
      <c r="D38" s="79"/>
      <c r="E38" s="79"/>
      <c r="F38" s="79"/>
      <c r="G38" s="79"/>
      <c r="H38" s="79"/>
      <c r="I38" s="79"/>
      <c r="J38" s="79"/>
      <c r="K38" s="79"/>
      <c r="L38" s="79"/>
      <c r="M38" s="79"/>
      <c r="N38" s="79"/>
      <c r="O38" s="79"/>
      <c r="P38" s="79"/>
      <c r="Q38" s="79"/>
      <c r="R38" s="79"/>
      <c r="S38" s="79"/>
      <c r="T38" s="79"/>
      <c r="U38" s="79"/>
      <c r="V38" s="79"/>
      <c r="W38" s="79"/>
      <c r="X38" s="79"/>
      <c r="Y38" s="79"/>
      <c r="Z38" s="79"/>
      <c r="AA38" s="251">
        <f>VLOOKUP(AA35,市町村データ!A2:P106,MATCH(手順書_丁目_世帯密度!$F$66, 市町村データ!A1:P1, 0),FALSE)</f>
        <v>13.7</v>
      </c>
      <c r="AB38" s="153"/>
      <c r="AC38" s="153"/>
      <c r="AD38" s="240"/>
      <c r="AE38" s="298">
        <f>VLOOKUP(AE35,市町村データ!A2:P106,MATCH(手順書_丁目_世帯密度!$F$66, 市町村データ!A1:P1, 0),FALSE)</f>
        <v>15.5</v>
      </c>
      <c r="AF38" s="153"/>
      <c r="AG38" s="153"/>
      <c r="AH38" s="240"/>
      <c r="AI38" s="99"/>
      <c r="AJ38" s="51"/>
      <c r="AK38" s="51"/>
      <c r="AL38" s="51"/>
      <c r="AM38" s="51"/>
      <c r="AN38" s="51"/>
      <c r="AO38" s="51"/>
      <c r="AP38" s="51"/>
      <c r="AQ38" s="51"/>
      <c r="AR38" s="51"/>
      <c r="AS38" s="51"/>
      <c r="AT38" s="51"/>
      <c r="AU38" s="51"/>
      <c r="AV38" s="51"/>
      <c r="AW38" s="51"/>
      <c r="AX38" s="51"/>
      <c r="AY38" s="51"/>
      <c r="AZ38" s="51"/>
      <c r="BA38" s="51"/>
      <c r="BB38" s="51"/>
      <c r="BC38" s="296">
        <f>VLOOKUP(BC35,市町村データ!A2:P106,MATCH(手順書_丁目_世帯密度!$F$66, 市町村データ!A1:P1, 0),FALSE)</f>
        <v>23</v>
      </c>
      <c r="BD38" s="153"/>
      <c r="BE38" s="153"/>
      <c r="BF38" s="240"/>
      <c r="BG38" s="253">
        <f>VLOOKUP(BG35,市町村データ!A2:P106,MATCH(手順書_丁目_世帯密度!$F$66, 市町村データ!A1:P1, 0),FALSE)</f>
        <v>18</v>
      </c>
      <c r="BH38" s="153"/>
      <c r="BI38" s="153"/>
      <c r="BJ38" s="240"/>
      <c r="BK38" s="298">
        <f>VLOOKUP(BK35,市町村データ!A2:P106,MATCH(手順書_丁目_世帯密度!$F$66, 市町村データ!A1:P1, 0),FALSE)</f>
        <v>32</v>
      </c>
      <c r="BL38" s="153"/>
      <c r="BM38" s="153"/>
      <c r="BN38" s="240"/>
      <c r="BO38" s="99"/>
      <c r="BP38" s="51"/>
      <c r="BQ38" s="51"/>
      <c r="BR38" s="51"/>
      <c r="BS38" s="79"/>
      <c r="BT38" s="78"/>
    </row>
    <row r="39" spans="1:72" ht="21.15" customHeight="1" x14ac:dyDescent="0.55000000000000004">
      <c r="A39" s="78"/>
      <c r="B39" s="79"/>
      <c r="C39" s="81" t="s">
        <v>516</v>
      </c>
      <c r="D39" s="79"/>
      <c r="E39" s="79"/>
      <c r="F39" s="79"/>
      <c r="G39" s="79"/>
      <c r="H39" s="79"/>
      <c r="I39" s="79"/>
      <c r="J39" s="79"/>
      <c r="K39" s="79"/>
      <c r="L39" s="79"/>
      <c r="M39" s="79"/>
      <c r="N39" s="79"/>
      <c r="O39" s="79"/>
      <c r="P39" s="79"/>
      <c r="Q39" s="79"/>
      <c r="R39" s="79"/>
      <c r="S39" s="79"/>
      <c r="T39" s="79"/>
      <c r="U39" s="79"/>
      <c r="V39" s="79"/>
      <c r="W39" s="79"/>
      <c r="X39" s="79"/>
      <c r="Y39" s="79"/>
      <c r="Z39" s="79"/>
      <c r="AA39" s="84"/>
      <c r="AB39" s="84"/>
      <c r="AC39" s="84"/>
      <c r="AD39" s="84"/>
      <c r="AE39" s="84"/>
      <c r="AF39" s="84"/>
      <c r="AG39" s="84"/>
      <c r="AH39" s="84"/>
      <c r="AI39" s="51"/>
      <c r="AJ39" s="51"/>
      <c r="AK39" s="51"/>
      <c r="AL39" s="51"/>
      <c r="AM39" s="51"/>
      <c r="AN39" s="51"/>
      <c r="AO39" s="51"/>
      <c r="AP39" s="51"/>
      <c r="AQ39" s="51"/>
      <c r="AR39" s="51"/>
      <c r="AS39" s="51"/>
      <c r="AT39" s="51"/>
      <c r="AU39" s="51"/>
      <c r="AV39" s="51"/>
      <c r="AW39" s="51"/>
      <c r="AX39" s="51"/>
      <c r="AY39" s="82">
        <v>72</v>
      </c>
      <c r="AZ39" s="142" t="str">
        <f>VLOOKUP(AY39,市町村データ!A2:P106,MATCH(手順書_丁目_世帯密度!$G$63, 市町村データ!A1:P1, 0),FALSE)</f>
        <v>野寺1</v>
      </c>
      <c r="BA39" s="154"/>
      <c r="BB39" s="159"/>
      <c r="BC39" s="82">
        <v>73</v>
      </c>
      <c r="BD39" s="142" t="str">
        <f>VLOOKUP(BC39,市町村データ!A2:P106,MATCH(手順書_丁目_世帯密度!$G$63, 市町村データ!A1:P1, 0),FALSE)</f>
        <v>野寺2</v>
      </c>
      <c r="BE39" s="154"/>
      <c r="BF39" s="159"/>
      <c r="BG39" s="82">
        <v>74</v>
      </c>
      <c r="BH39" s="142" t="str">
        <f>VLOOKUP(BG39,市町村データ!A2:P106,MATCH(手順書_丁目_世帯密度!$G$63, 市町村データ!A1:P1, 0),FALSE)</f>
        <v>野寺3</v>
      </c>
      <c r="BI39" s="154"/>
      <c r="BJ39" s="159"/>
      <c r="BK39" s="82">
        <v>75</v>
      </c>
      <c r="BL39" s="142" t="str">
        <f>VLOOKUP(BK39,市町村データ!A2:P106,MATCH(手順書_丁目_世帯密度!$G$63, 市町村データ!A1:P1, 0),FALSE)</f>
        <v>野寺4</v>
      </c>
      <c r="BM39" s="154"/>
      <c r="BN39" s="159"/>
      <c r="BO39" s="82">
        <v>76</v>
      </c>
      <c r="BP39" s="142" t="str">
        <f>VLOOKUP(BO39,市町村データ!A2:P106,MATCH(手順書_丁目_世帯密度!$G$63, 市町村データ!A1:P1, 0),FALSE)</f>
        <v>野寺5</v>
      </c>
      <c r="BQ39" s="154"/>
      <c r="BR39" s="159"/>
      <c r="BS39" s="85"/>
      <c r="BT39" s="78"/>
    </row>
    <row r="40" spans="1:72" ht="21.15" customHeight="1" x14ac:dyDescent="0.55000000000000004">
      <c r="A40" s="78"/>
      <c r="B40" s="79"/>
      <c r="C40" s="79"/>
      <c r="D40" s="79"/>
      <c r="E40" s="79"/>
      <c r="F40" s="79"/>
      <c r="G40" s="79"/>
      <c r="H40" s="79"/>
      <c r="I40" s="79"/>
      <c r="J40" s="79"/>
      <c r="K40" s="79"/>
      <c r="L40" s="79"/>
      <c r="M40" s="79"/>
      <c r="N40" s="79"/>
      <c r="O40" s="79"/>
      <c r="P40" s="79"/>
      <c r="Q40" s="79"/>
      <c r="R40" s="79"/>
      <c r="S40" s="79"/>
      <c r="T40" s="79"/>
      <c r="U40" s="79"/>
      <c r="V40" s="79"/>
      <c r="W40" s="79"/>
      <c r="X40" s="79"/>
      <c r="Y40" s="79"/>
      <c r="Z40" s="79"/>
      <c r="AA40" s="79"/>
      <c r="AB40" s="79"/>
      <c r="AC40" s="79"/>
      <c r="AD40" s="79"/>
      <c r="AE40" s="79"/>
      <c r="AF40" s="79"/>
      <c r="AG40" s="79"/>
      <c r="AH40" s="79"/>
      <c r="AI40" s="51"/>
      <c r="AJ40" s="51"/>
      <c r="AK40" s="51"/>
      <c r="AL40" s="51"/>
      <c r="AM40" s="51"/>
      <c r="AN40" s="51"/>
      <c r="AO40" s="51"/>
      <c r="AP40" s="51"/>
      <c r="AQ40" s="51"/>
      <c r="AR40" s="51"/>
      <c r="AS40" s="51"/>
      <c r="AT40" s="51"/>
      <c r="AU40" s="51"/>
      <c r="AV40" s="51"/>
      <c r="AW40" s="51"/>
      <c r="AX40" s="51"/>
      <c r="AY40" s="248">
        <f>VLOOKUP(AY39,市町村データ!A2:P106,MATCH(手順書_丁目_世帯密度!$F$64, 市町村データ!A1:P1, 0),FALSE)</f>
        <v>62.8</v>
      </c>
      <c r="AZ40" s="156"/>
      <c r="BA40" s="156"/>
      <c r="BB40" s="158"/>
      <c r="BC40" s="295">
        <f>VLOOKUP(BC39,市町村データ!A2:P106,MATCH(手順書_丁目_世帯密度!$F$64, 市町村データ!A1:P1, 0),FALSE)</f>
        <v>44.7</v>
      </c>
      <c r="BD40" s="156"/>
      <c r="BE40" s="156"/>
      <c r="BF40" s="158"/>
      <c r="BG40" s="295">
        <f>VLOOKUP(BG39,市町村データ!A2:P106,MATCH(手順書_丁目_世帯密度!$F$64, 市町村データ!A1:P1, 0),FALSE)</f>
        <v>44</v>
      </c>
      <c r="BH40" s="156"/>
      <c r="BI40" s="156"/>
      <c r="BJ40" s="158"/>
      <c r="BK40" s="248">
        <f>VLOOKUP(BK39,市町村データ!A2:P106,MATCH(手順書_丁目_世帯密度!$F$64, 市町村データ!A1:P1, 0),FALSE)</f>
        <v>60</v>
      </c>
      <c r="BL40" s="156"/>
      <c r="BM40" s="156"/>
      <c r="BN40" s="158"/>
      <c r="BO40" s="248">
        <f>VLOOKUP(BO39,市町村データ!A2:P106,MATCH(手順書_丁目_世帯密度!$F$64, 市町村データ!A1:P1, 0),FALSE)</f>
        <v>65</v>
      </c>
      <c r="BP40" s="156"/>
      <c r="BQ40" s="156"/>
      <c r="BR40" s="158"/>
      <c r="BS40" s="85"/>
      <c r="BT40" s="78"/>
    </row>
    <row r="41" spans="1:72" ht="21.15" customHeight="1" x14ac:dyDescent="0.55000000000000004">
      <c r="A41" s="78"/>
      <c r="B41" s="79"/>
      <c r="C41" s="79"/>
      <c r="D41" s="79"/>
      <c r="E41" s="79"/>
      <c r="F41" s="79"/>
      <c r="G41" s="79"/>
      <c r="H41" s="79"/>
      <c r="I41" s="79"/>
      <c r="J41" s="79"/>
      <c r="K41" s="79"/>
      <c r="L41" s="79"/>
      <c r="M41" s="79"/>
      <c r="N41" s="79"/>
      <c r="O41" s="79"/>
      <c r="P41" s="79"/>
      <c r="Q41" s="79"/>
      <c r="R41" s="79"/>
      <c r="S41" s="79"/>
      <c r="T41" s="79"/>
      <c r="U41" s="79"/>
      <c r="V41" s="79"/>
      <c r="W41" s="79"/>
      <c r="X41" s="79"/>
      <c r="Y41" s="79"/>
      <c r="Z41" s="79"/>
      <c r="AA41" s="79"/>
      <c r="AB41" s="79"/>
      <c r="AC41" s="79"/>
      <c r="AD41" s="79"/>
      <c r="AE41" s="79"/>
      <c r="AF41" s="79"/>
      <c r="AG41" s="79"/>
      <c r="AH41" s="79"/>
      <c r="AI41" s="51"/>
      <c r="AJ41" s="51"/>
      <c r="AK41" s="51"/>
      <c r="AL41" s="51"/>
      <c r="AM41" s="51"/>
      <c r="AN41" s="51"/>
      <c r="AO41" s="51"/>
      <c r="AP41" s="51"/>
      <c r="AQ41" s="51"/>
      <c r="AR41" s="51"/>
      <c r="AS41" s="51"/>
      <c r="AT41" s="51"/>
      <c r="AU41" s="51"/>
      <c r="AV41" s="51"/>
      <c r="AW41" s="51"/>
      <c r="AX41" s="51"/>
      <c r="AY41" s="244">
        <f>VLOOKUP(AY39,市町村データ!A2:P106,MATCH(手順書_丁目_世帯密度!$F$65, 市町村データ!A1:P1, 0),FALSE)</f>
        <v>691</v>
      </c>
      <c r="AZ41" s="156"/>
      <c r="BA41" s="156"/>
      <c r="BB41" s="158"/>
      <c r="BC41" s="297">
        <f>VLOOKUP(BC39,市町村データ!A2:P106,MATCH(手順書_丁目_世帯密度!$F$65, 市町村データ!A1:P1, 0),FALSE)</f>
        <v>1185</v>
      </c>
      <c r="BD41" s="156"/>
      <c r="BE41" s="156"/>
      <c r="BF41" s="158"/>
      <c r="BG41" s="297">
        <f>VLOOKUP(BG39,市町村データ!A2:P106,MATCH(手順書_丁目_世帯密度!$F$65, 市町村データ!A1:P1, 0),FALSE)</f>
        <v>933</v>
      </c>
      <c r="BH41" s="156"/>
      <c r="BI41" s="156"/>
      <c r="BJ41" s="158"/>
      <c r="BK41" s="244">
        <f>VLOOKUP(BK39,市町村データ!A2:P106,MATCH(手順書_丁目_世帯密度!$F$65, 市町村データ!A1:P1, 0),FALSE)</f>
        <v>1199</v>
      </c>
      <c r="BL41" s="156"/>
      <c r="BM41" s="156"/>
      <c r="BN41" s="158"/>
      <c r="BO41" s="244">
        <f>VLOOKUP(BO39,市町村データ!A2:P106,MATCH(手順書_丁目_世帯密度!$F$65, 市町村データ!A1:P1, 0),FALSE)</f>
        <v>682</v>
      </c>
      <c r="BP41" s="156"/>
      <c r="BQ41" s="156"/>
      <c r="BR41" s="158"/>
      <c r="BS41" s="85"/>
      <c r="BT41" s="78"/>
    </row>
    <row r="42" spans="1:72" ht="21.15" customHeight="1" thickBot="1" x14ac:dyDescent="0.6">
      <c r="A42" s="78"/>
      <c r="B42" s="79"/>
      <c r="C42" s="79"/>
      <c r="D42" s="79"/>
      <c r="E42" s="79"/>
      <c r="F42" s="79"/>
      <c r="G42" s="79"/>
      <c r="H42" s="79"/>
      <c r="I42" s="79"/>
      <c r="J42" s="79"/>
      <c r="K42" s="79"/>
      <c r="L42" s="79"/>
      <c r="M42" s="79"/>
      <c r="N42" s="79"/>
      <c r="O42" s="79"/>
      <c r="P42" s="79"/>
      <c r="Q42" s="79"/>
      <c r="R42" s="79"/>
      <c r="S42" s="79"/>
      <c r="T42" s="79"/>
      <c r="U42" s="79"/>
      <c r="V42" s="79"/>
      <c r="W42" s="79"/>
      <c r="X42" s="79"/>
      <c r="Y42" s="79"/>
      <c r="Z42" s="79"/>
      <c r="AA42" s="79"/>
      <c r="AB42" s="79"/>
      <c r="AC42" s="79"/>
      <c r="AD42" s="79"/>
      <c r="AE42" s="79"/>
      <c r="AF42" s="79"/>
      <c r="AG42" s="79"/>
      <c r="AH42" s="79"/>
      <c r="AI42" s="51"/>
      <c r="AJ42" s="51"/>
      <c r="AK42" s="51"/>
      <c r="AL42" s="51"/>
      <c r="AM42" s="51"/>
      <c r="AN42" s="51"/>
      <c r="AO42" s="51"/>
      <c r="AP42" s="51"/>
      <c r="AQ42" s="51"/>
      <c r="AR42" s="51"/>
      <c r="AS42" s="51"/>
      <c r="AT42" s="51"/>
      <c r="AU42" s="51"/>
      <c r="AV42" s="51"/>
      <c r="AW42" s="51"/>
      <c r="AX42" s="51"/>
      <c r="AY42" s="246">
        <f>VLOOKUP(AY39,市町村データ!A2:P106,MATCH(手順書_丁目_世帯密度!$F$66, 市町村データ!A1:P1, 0),FALSE)</f>
        <v>11</v>
      </c>
      <c r="AZ42" s="153"/>
      <c r="BA42" s="153"/>
      <c r="BB42" s="240"/>
      <c r="BC42" s="296">
        <f>VLOOKUP(BC39,市町村データ!A2:P106,MATCH(手順書_丁目_世帯密度!$F$66, 市町村データ!A1:P1, 0),FALSE)</f>
        <v>26.5</v>
      </c>
      <c r="BD42" s="153"/>
      <c r="BE42" s="153"/>
      <c r="BF42" s="240"/>
      <c r="BG42" s="296">
        <f>VLOOKUP(BG39,市町村データ!A2:P106,MATCH(手順書_丁目_世帯密度!$F$66, 市町村データ!A1:P1, 0),FALSE)</f>
        <v>21.2</v>
      </c>
      <c r="BH42" s="153"/>
      <c r="BI42" s="153"/>
      <c r="BJ42" s="240"/>
      <c r="BK42" s="246">
        <f>VLOOKUP(BK39,市町村データ!A2:P106,MATCH(手順書_丁目_世帯密度!$F$66, 市町村データ!A1:P1, 0),FALSE)</f>
        <v>20</v>
      </c>
      <c r="BL42" s="153"/>
      <c r="BM42" s="153"/>
      <c r="BN42" s="240"/>
      <c r="BO42" s="246">
        <f>VLOOKUP(BO39,市町村データ!A2:P106,MATCH(手順書_丁目_世帯密度!$F$66, 市町村データ!A1:P1, 0),FALSE)</f>
        <v>10.5</v>
      </c>
      <c r="BP42" s="153"/>
      <c r="BQ42" s="153"/>
      <c r="BR42" s="240"/>
      <c r="BS42" s="85"/>
      <c r="BT42" s="78"/>
    </row>
    <row r="43" spans="1:72" ht="21.15" customHeight="1" x14ac:dyDescent="0.55000000000000004">
      <c r="A43" s="78"/>
      <c r="B43" s="79"/>
      <c r="C43" s="81" t="s">
        <v>518</v>
      </c>
      <c r="D43" s="79"/>
      <c r="E43" s="79"/>
      <c r="F43" s="79"/>
      <c r="G43" s="79"/>
      <c r="H43" s="79"/>
      <c r="I43" s="79"/>
      <c r="J43" s="79"/>
      <c r="K43" s="79"/>
      <c r="L43" s="79"/>
      <c r="M43" s="79"/>
      <c r="N43" s="79"/>
      <c r="O43" s="79"/>
      <c r="P43" s="79"/>
      <c r="Q43" s="79"/>
      <c r="R43" s="79"/>
      <c r="S43" s="79"/>
      <c r="T43" s="79"/>
      <c r="U43" s="79"/>
      <c r="V43" s="79"/>
      <c r="W43" s="79"/>
      <c r="X43" s="79"/>
      <c r="Y43" s="79"/>
      <c r="Z43" s="79"/>
      <c r="AA43" s="79"/>
      <c r="AB43" s="79"/>
      <c r="AC43" s="79"/>
      <c r="AD43" s="79"/>
      <c r="AE43" s="79"/>
      <c r="AF43" s="79"/>
      <c r="AG43" s="79"/>
      <c r="AH43" s="79"/>
      <c r="AI43" s="51"/>
      <c r="AJ43" s="51"/>
      <c r="AK43" s="51"/>
      <c r="AL43" s="51"/>
      <c r="AM43" s="51"/>
      <c r="AN43" s="51"/>
      <c r="AO43" s="51"/>
      <c r="AP43" s="51"/>
      <c r="AQ43" s="51"/>
      <c r="AR43" s="51"/>
      <c r="AS43" s="51"/>
      <c r="AT43" s="51"/>
      <c r="AU43" s="51"/>
      <c r="AV43" s="51"/>
      <c r="AW43" s="51"/>
      <c r="AX43" s="51"/>
      <c r="AY43" s="82">
        <v>77</v>
      </c>
      <c r="AZ43" s="142" t="str">
        <f>VLOOKUP(AY43,市町村データ!A2:P106,MATCH(手順書_丁目_世帯密度!$G$63, 市町村データ!A1:P1, 0),FALSE)</f>
        <v>栗原1</v>
      </c>
      <c r="BA43" s="154"/>
      <c r="BB43" s="159"/>
      <c r="BC43" s="82">
        <v>78</v>
      </c>
      <c r="BD43" s="142" t="str">
        <f>VLOOKUP(BC43,市町村データ!A2:P106,MATCH(手順書_丁目_世帯密度!$G$63, 市町村データ!A1:P1, 0),FALSE)</f>
        <v>栗原2</v>
      </c>
      <c r="BE43" s="154"/>
      <c r="BF43" s="159"/>
      <c r="BG43" s="82">
        <v>79</v>
      </c>
      <c r="BH43" s="142" t="str">
        <f>VLOOKUP(BG43,市町村データ!A2:P106,MATCH(手順書_丁目_世帯密度!$G$63, 市町村データ!A1:P1, 0),FALSE)</f>
        <v>栗原3</v>
      </c>
      <c r="BI43" s="154"/>
      <c r="BJ43" s="159"/>
      <c r="BK43" s="100"/>
      <c r="BL43" s="101"/>
      <c r="BM43" s="101"/>
      <c r="BN43" s="101"/>
      <c r="BO43" s="101"/>
      <c r="BP43" s="101"/>
      <c r="BQ43" s="101"/>
      <c r="BR43" s="101"/>
      <c r="BS43" s="79"/>
      <c r="BT43" s="78"/>
    </row>
    <row r="44" spans="1:72" ht="21.15" customHeight="1" x14ac:dyDescent="0.55000000000000004">
      <c r="A44" s="78"/>
      <c r="B44" s="79"/>
      <c r="C44" s="79"/>
      <c r="D44" s="79"/>
      <c r="E44" s="79"/>
      <c r="F44" s="79"/>
      <c r="G44" s="79"/>
      <c r="H44" s="79"/>
      <c r="I44" s="79"/>
      <c r="J44" s="79"/>
      <c r="K44" s="79"/>
      <c r="L44" s="79"/>
      <c r="M44" s="79"/>
      <c r="N44" s="79"/>
      <c r="O44" s="79"/>
      <c r="P44" s="79"/>
      <c r="Q44" s="79"/>
      <c r="R44" s="79"/>
      <c r="S44" s="79"/>
      <c r="T44" s="79"/>
      <c r="U44" s="79"/>
      <c r="V44" s="79"/>
      <c r="W44" s="79"/>
      <c r="X44" s="79"/>
      <c r="Y44" s="79"/>
      <c r="Z44" s="79"/>
      <c r="AA44" s="79"/>
      <c r="AB44" s="79"/>
      <c r="AC44" s="79"/>
      <c r="AD44" s="79"/>
      <c r="AE44" s="79"/>
      <c r="AF44" s="79"/>
      <c r="AG44" s="79"/>
      <c r="AH44" s="79"/>
      <c r="AI44" s="51"/>
      <c r="AJ44" s="51"/>
      <c r="AK44" s="51"/>
      <c r="AL44" s="51"/>
      <c r="AM44" s="51"/>
      <c r="AN44" s="51"/>
      <c r="AO44" s="51"/>
      <c r="AP44" s="51"/>
      <c r="AQ44" s="51"/>
      <c r="AR44" s="51"/>
      <c r="AS44" s="51"/>
      <c r="AT44" s="51"/>
      <c r="AU44" s="51"/>
      <c r="AV44" s="51"/>
      <c r="AW44" s="51"/>
      <c r="AX44" s="51"/>
      <c r="AY44" s="252">
        <f>VLOOKUP(AY43,市町村データ!A2:P106,MATCH(手順書_丁目_世帯密度!$F$64, 市町村データ!A1:P1, 0),FALSE)</f>
        <v>70.7</v>
      </c>
      <c r="AZ44" s="156"/>
      <c r="BA44" s="156"/>
      <c r="BB44" s="158"/>
      <c r="BC44" s="295">
        <f>VLOOKUP(BC43,市町村データ!A2:P106,MATCH(手順書_丁目_世帯密度!$F$64, 市町村データ!A1:P1, 0),FALSE)</f>
        <v>44</v>
      </c>
      <c r="BD44" s="156"/>
      <c r="BE44" s="156"/>
      <c r="BF44" s="158"/>
      <c r="BG44" s="248">
        <f>VLOOKUP(BG43,市町村データ!A2:P106,MATCH(手順書_丁目_世帯密度!$F$64, 市町村データ!A1:P1, 0),FALSE)</f>
        <v>69.099999999999994</v>
      </c>
      <c r="BH44" s="156"/>
      <c r="BI44" s="156"/>
      <c r="BJ44" s="158"/>
      <c r="BK44" s="99"/>
      <c r="BL44" s="51"/>
      <c r="BM44" s="51"/>
      <c r="BN44" s="51"/>
      <c r="BO44" s="51"/>
      <c r="BP44" s="51"/>
      <c r="BQ44" s="51"/>
      <c r="BR44" s="51"/>
      <c r="BS44" s="79"/>
      <c r="BT44" s="78"/>
    </row>
    <row r="45" spans="1:72" ht="21.15" customHeight="1" x14ac:dyDescent="0.55000000000000004">
      <c r="A45" s="78"/>
      <c r="B45" s="79"/>
      <c r="C45" s="79"/>
      <c r="D45" s="79"/>
      <c r="E45" s="79"/>
      <c r="F45" s="79"/>
      <c r="G45" s="79"/>
      <c r="H45" s="79"/>
      <c r="I45" s="79"/>
      <c r="J45" s="79"/>
      <c r="K45" s="79"/>
      <c r="L45" s="79"/>
      <c r="M45" s="79"/>
      <c r="N45" s="79"/>
      <c r="O45" s="79"/>
      <c r="P45" s="79"/>
      <c r="Q45" s="79"/>
      <c r="R45" s="79"/>
      <c r="S45" s="79"/>
      <c r="T45" s="79"/>
      <c r="U45" s="79"/>
      <c r="V45" s="79"/>
      <c r="W45" s="79"/>
      <c r="X45" s="79"/>
      <c r="Y45" s="79"/>
      <c r="Z45" s="79"/>
      <c r="AA45" s="79"/>
      <c r="AB45" s="79"/>
      <c r="AC45" s="79"/>
      <c r="AD45" s="79"/>
      <c r="AE45" s="79"/>
      <c r="AF45" s="79"/>
      <c r="AG45" s="79"/>
      <c r="AH45" s="79"/>
      <c r="AI45" s="51"/>
      <c r="AJ45" s="51"/>
      <c r="AK45" s="51"/>
      <c r="AL45" s="51"/>
      <c r="AM45" s="51"/>
      <c r="AN45" s="51"/>
      <c r="AO45" s="51"/>
      <c r="AP45" s="51"/>
      <c r="AQ45" s="51"/>
      <c r="AR45" s="51"/>
      <c r="AS45" s="51"/>
      <c r="AT45" s="51"/>
      <c r="AU45" s="51"/>
      <c r="AV45" s="51"/>
      <c r="AW45" s="51"/>
      <c r="AX45" s="51"/>
      <c r="AY45" s="250">
        <f>VLOOKUP(AY43,市町村データ!A2:P106,MATCH(手順書_丁目_世帯密度!$F$65, 市町村データ!A1:P1, 0),FALSE)</f>
        <v>1548</v>
      </c>
      <c r="AZ45" s="156"/>
      <c r="BA45" s="156"/>
      <c r="BB45" s="158"/>
      <c r="BC45" s="297">
        <f>VLOOKUP(BC43,市町村データ!A2:P106,MATCH(手順書_丁目_世帯密度!$F$65, 市町村データ!A1:P1, 0),FALSE)</f>
        <v>440</v>
      </c>
      <c r="BD45" s="156"/>
      <c r="BE45" s="156"/>
      <c r="BF45" s="158"/>
      <c r="BG45" s="244">
        <f>VLOOKUP(BG43,市町村データ!A2:P106,MATCH(手順書_丁目_世帯密度!$F$65, 市町村データ!A1:P1, 0),FALSE)</f>
        <v>1036</v>
      </c>
      <c r="BH45" s="156"/>
      <c r="BI45" s="156"/>
      <c r="BJ45" s="158"/>
      <c r="BK45" s="99"/>
      <c r="BL45" s="51"/>
      <c r="BM45" s="51"/>
      <c r="BN45" s="51"/>
      <c r="BO45" s="51"/>
      <c r="BP45" s="51"/>
      <c r="BQ45" s="51"/>
      <c r="BR45" s="51"/>
      <c r="BS45" s="79"/>
      <c r="BT45" s="78"/>
    </row>
    <row r="46" spans="1:72" ht="21.15" customHeight="1" thickBot="1" x14ac:dyDescent="0.6">
      <c r="A46" s="78"/>
      <c r="B46" s="79"/>
      <c r="C46" s="79"/>
      <c r="D46" s="79"/>
      <c r="E46" s="79"/>
      <c r="F46" s="79"/>
      <c r="G46" s="79"/>
      <c r="H46" s="79"/>
      <c r="I46" s="79"/>
      <c r="J46" s="79"/>
      <c r="K46" s="79"/>
      <c r="L46" s="79"/>
      <c r="M46" s="79"/>
      <c r="N46" s="79"/>
      <c r="O46" s="79"/>
      <c r="P46" s="79"/>
      <c r="Q46" s="79"/>
      <c r="R46" s="79"/>
      <c r="S46" s="79"/>
      <c r="T46" s="79"/>
      <c r="U46" s="79"/>
      <c r="V46" s="79"/>
      <c r="W46" s="79"/>
      <c r="X46" s="79"/>
      <c r="Y46" s="79"/>
      <c r="Z46" s="79"/>
      <c r="AA46" s="79"/>
      <c r="AB46" s="79"/>
      <c r="AC46" s="79"/>
      <c r="AD46" s="79"/>
      <c r="AE46" s="79"/>
      <c r="AF46" s="79"/>
      <c r="AG46" s="79"/>
      <c r="AH46" s="79"/>
      <c r="AI46" s="51"/>
      <c r="AJ46" s="51"/>
      <c r="AK46" s="51"/>
      <c r="AL46" s="51"/>
      <c r="AM46" s="51"/>
      <c r="AN46" s="51"/>
      <c r="AO46" s="51"/>
      <c r="AP46" s="51"/>
      <c r="AQ46" s="51"/>
      <c r="AR46" s="51"/>
      <c r="AS46" s="51"/>
      <c r="AT46" s="51"/>
      <c r="AU46" s="51"/>
      <c r="AV46" s="51"/>
      <c r="AW46" s="51"/>
      <c r="AX46" s="51"/>
      <c r="AY46" s="251">
        <f>VLOOKUP(AY43,市町村データ!A2:P106,MATCH(手順書_丁目_世帯密度!$F$66, 市町村データ!A1:P1, 0),FALSE)</f>
        <v>21.9</v>
      </c>
      <c r="AZ46" s="153"/>
      <c r="BA46" s="153"/>
      <c r="BB46" s="240"/>
      <c r="BC46" s="296">
        <f>VLOOKUP(BC43,市町村データ!A2:P106,MATCH(手順書_丁目_世帯密度!$F$66, 市町村データ!A1:P1, 0),FALSE)</f>
        <v>10</v>
      </c>
      <c r="BD46" s="153"/>
      <c r="BE46" s="153"/>
      <c r="BF46" s="240"/>
      <c r="BG46" s="246">
        <f>VLOOKUP(BG43,市町村データ!A2:P106,MATCH(手順書_丁目_世帯密度!$F$66, 市町村データ!A1:P1, 0),FALSE)</f>
        <v>15</v>
      </c>
      <c r="BH46" s="153"/>
      <c r="BI46" s="153"/>
      <c r="BJ46" s="240"/>
      <c r="BK46" s="99"/>
      <c r="BL46" s="51"/>
      <c r="BM46" s="51"/>
      <c r="BN46" s="51"/>
      <c r="BO46" s="51"/>
      <c r="BP46" s="51"/>
      <c r="BQ46" s="51"/>
      <c r="BR46" s="51"/>
      <c r="BS46" s="79"/>
      <c r="BT46" s="78"/>
    </row>
    <row r="47" spans="1:72" ht="21.15" customHeight="1" x14ac:dyDescent="0.55000000000000004">
      <c r="A47" s="78"/>
      <c r="B47" s="79"/>
      <c r="C47" s="81" t="s">
        <v>520</v>
      </c>
      <c r="D47" s="79"/>
      <c r="E47" s="79"/>
      <c r="F47" s="79"/>
      <c r="G47" s="79"/>
      <c r="H47" s="79"/>
      <c r="I47" s="79"/>
      <c r="J47" s="79"/>
      <c r="K47" s="79"/>
      <c r="L47" s="79"/>
      <c r="M47" s="79"/>
      <c r="N47" s="79"/>
      <c r="O47" s="79"/>
      <c r="P47" s="79"/>
      <c r="Q47" s="79"/>
      <c r="R47" s="79"/>
      <c r="S47" s="79"/>
      <c r="T47" s="79"/>
      <c r="U47" s="79"/>
      <c r="V47" s="79"/>
      <c r="W47" s="79"/>
      <c r="X47" s="79"/>
      <c r="Y47" s="79"/>
      <c r="Z47" s="79"/>
      <c r="AA47" s="79"/>
      <c r="AB47" s="79"/>
      <c r="AC47" s="79"/>
      <c r="AD47" s="79"/>
      <c r="AE47" s="79"/>
      <c r="AF47" s="79"/>
      <c r="AG47" s="79"/>
      <c r="AH47" s="79"/>
      <c r="AI47" s="51"/>
      <c r="AJ47" s="51"/>
      <c r="AK47" s="51"/>
      <c r="AL47" s="51"/>
      <c r="AM47" s="51"/>
      <c r="AN47" s="51"/>
      <c r="AO47" s="51"/>
      <c r="AP47" s="51"/>
      <c r="AQ47" s="51"/>
      <c r="AR47" s="51"/>
      <c r="AS47" s="51"/>
      <c r="AT47" s="51"/>
      <c r="AU47" s="51"/>
      <c r="AV47" s="51"/>
      <c r="AW47" s="51"/>
      <c r="AX47" s="51"/>
      <c r="AY47" s="82">
        <v>80</v>
      </c>
      <c r="AZ47" s="142" t="str">
        <f>VLOOKUP(AY47,市町村データ!A2:P106,MATCH(手順書_丁目_世帯密度!$G$63, 市町村データ!A1:P1, 0),FALSE)</f>
        <v>栗原6</v>
      </c>
      <c r="BA47" s="154"/>
      <c r="BB47" s="159"/>
      <c r="BC47" s="82">
        <v>81</v>
      </c>
      <c r="BD47" s="142" t="str">
        <f>VLOOKUP(BC47,市町村データ!A2:P106,MATCH(手順書_丁目_世帯密度!$G$63, 市町村データ!A1:P1, 0),FALSE)</f>
        <v>栗原5</v>
      </c>
      <c r="BE47" s="154"/>
      <c r="BF47" s="159"/>
      <c r="BG47" s="82">
        <v>82</v>
      </c>
      <c r="BH47" s="142" t="str">
        <f>VLOOKUP(BG47,市町村データ!A2:P106,MATCH(手順書_丁目_世帯密度!$G$63, 市町村データ!A1:P1, 0),FALSE)</f>
        <v>栗原4</v>
      </c>
      <c r="BI47" s="154"/>
      <c r="BJ47" s="159"/>
      <c r="BK47" s="99"/>
      <c r="BL47" s="51"/>
      <c r="BM47" s="51"/>
      <c r="BN47" s="51"/>
      <c r="BO47" s="51"/>
      <c r="BP47" s="51"/>
      <c r="BQ47" s="51"/>
      <c r="BR47" s="51"/>
      <c r="BS47" s="79"/>
      <c r="BT47" s="78"/>
    </row>
    <row r="48" spans="1:72" ht="21.15" customHeight="1" x14ac:dyDescent="0.55000000000000004">
      <c r="A48" s="78"/>
      <c r="B48" s="79"/>
      <c r="C48" s="79"/>
      <c r="D48" s="79"/>
      <c r="E48" s="79"/>
      <c r="F48" s="79"/>
      <c r="G48" s="79"/>
      <c r="H48" s="79"/>
      <c r="I48" s="79"/>
      <c r="J48" s="79"/>
      <c r="K48" s="79"/>
      <c r="L48" s="79"/>
      <c r="M48" s="79"/>
      <c r="N48" s="79"/>
      <c r="O48" s="79"/>
      <c r="P48" s="79"/>
      <c r="Q48" s="79"/>
      <c r="R48" s="79"/>
      <c r="S48" s="79"/>
      <c r="T48" s="79"/>
      <c r="U48" s="79"/>
      <c r="V48" s="79"/>
      <c r="W48" s="79"/>
      <c r="X48" s="79"/>
      <c r="Y48" s="79"/>
      <c r="Z48" s="79"/>
      <c r="AA48" s="79"/>
      <c r="AB48" s="79"/>
      <c r="AC48" s="79"/>
      <c r="AD48" s="79"/>
      <c r="AE48" s="79"/>
      <c r="AF48" s="79"/>
      <c r="AG48" s="79"/>
      <c r="AH48" s="79"/>
      <c r="AI48" s="51"/>
      <c r="AJ48" s="51"/>
      <c r="AK48" s="51"/>
      <c r="AL48" s="51"/>
      <c r="AM48" s="51"/>
      <c r="AN48" s="51"/>
      <c r="AO48" s="51"/>
      <c r="AP48" s="51"/>
      <c r="AQ48" s="51"/>
      <c r="AR48" s="51"/>
      <c r="AS48" s="51"/>
      <c r="AT48" s="51"/>
      <c r="AU48" s="51"/>
      <c r="AV48" s="51"/>
      <c r="AW48" s="51"/>
      <c r="AX48" s="51"/>
      <c r="AY48" s="242">
        <f>VLOOKUP(AY47,市町村データ!A2:P106,MATCH(手順書_丁目_世帯密度!$F$64, 市町村データ!A1:P1, 0),FALSE)</f>
        <v>116.8</v>
      </c>
      <c r="AZ48" s="156"/>
      <c r="BA48" s="156"/>
      <c r="BB48" s="158"/>
      <c r="BC48" s="242">
        <f>VLOOKUP(BC47,市町村データ!A2:P106,MATCH(手順書_丁目_世帯密度!$F$64, 市町村データ!A1:P1, 0),FALSE)</f>
        <v>111.2</v>
      </c>
      <c r="BD48" s="156"/>
      <c r="BE48" s="156"/>
      <c r="BF48" s="158"/>
      <c r="BG48" s="249">
        <f>VLOOKUP(BG47,市町村データ!A2:P106,MATCH(手順書_丁目_世帯密度!$F$64, 市町村データ!A1:P1, 0),FALSE)</f>
        <v>83.3</v>
      </c>
      <c r="BH48" s="156"/>
      <c r="BI48" s="156"/>
      <c r="BJ48" s="158"/>
      <c r="BK48" s="99"/>
      <c r="BL48" s="51"/>
      <c r="BM48" s="51"/>
      <c r="BN48" s="51"/>
      <c r="BO48" s="51"/>
      <c r="BP48" s="51"/>
      <c r="BQ48" s="51"/>
      <c r="BR48" s="51"/>
      <c r="BS48" s="79"/>
      <c r="BT48" s="78"/>
    </row>
    <row r="49" spans="1:72" ht="21.15" customHeight="1" x14ac:dyDescent="0.55000000000000004">
      <c r="A49" s="78"/>
      <c r="B49" s="79"/>
      <c r="C49" s="79"/>
      <c r="D49" s="79"/>
      <c r="E49" s="79"/>
      <c r="F49" s="79"/>
      <c r="G49" s="79"/>
      <c r="H49" s="79"/>
      <c r="I49" s="79"/>
      <c r="J49" s="79"/>
      <c r="K49" s="79"/>
      <c r="L49" s="79"/>
      <c r="M49" s="79"/>
      <c r="N49" s="79"/>
      <c r="O49" s="79"/>
      <c r="P49" s="79"/>
      <c r="Q49" s="79"/>
      <c r="R49" s="79"/>
      <c r="S49" s="79"/>
      <c r="T49" s="79"/>
      <c r="U49" s="79"/>
      <c r="V49" s="79"/>
      <c r="W49" s="79"/>
      <c r="X49" s="79"/>
      <c r="Y49" s="79"/>
      <c r="Z49" s="79"/>
      <c r="AA49" s="79"/>
      <c r="AB49" s="79"/>
      <c r="AC49" s="79"/>
      <c r="AD49" s="79"/>
      <c r="AE49" s="79"/>
      <c r="AF49" s="79"/>
      <c r="AG49" s="79"/>
      <c r="AH49" s="79"/>
      <c r="AI49" s="51"/>
      <c r="AJ49" s="51"/>
      <c r="AK49" s="51"/>
      <c r="AL49" s="51"/>
      <c r="AM49" s="51"/>
      <c r="AN49" s="51"/>
      <c r="AO49" s="51"/>
      <c r="AP49" s="51"/>
      <c r="AQ49" s="51"/>
      <c r="AR49" s="51"/>
      <c r="AS49" s="51"/>
      <c r="AT49" s="51"/>
      <c r="AU49" s="51"/>
      <c r="AV49" s="51"/>
      <c r="AW49" s="51"/>
      <c r="AX49" s="51"/>
      <c r="AY49" s="237">
        <f>VLOOKUP(AY47,市町村データ!A2:P106,MATCH(手順書_丁目_世帯密度!$F$65, 市町村データ!A1:P1, 0),FALSE)</f>
        <v>1635</v>
      </c>
      <c r="AZ49" s="156"/>
      <c r="BA49" s="156"/>
      <c r="BB49" s="158"/>
      <c r="BC49" s="237">
        <f>VLOOKUP(BC47,市町村データ!A2:P106,MATCH(手順書_丁目_世帯密度!$F$65, 市町村データ!A1:P1, 0),FALSE)</f>
        <v>1613</v>
      </c>
      <c r="BD49" s="156"/>
      <c r="BE49" s="156"/>
      <c r="BF49" s="158"/>
      <c r="BG49" s="245">
        <f>VLOOKUP(BG47,市町村データ!A2:P106,MATCH(手順書_丁目_世帯密度!$F$65, 市町村データ!A1:P1, 0),FALSE)</f>
        <v>1083</v>
      </c>
      <c r="BH49" s="156"/>
      <c r="BI49" s="156"/>
      <c r="BJ49" s="158"/>
      <c r="BK49" s="99"/>
      <c r="BL49" s="51"/>
      <c r="BM49" s="51"/>
      <c r="BN49" s="51"/>
      <c r="BO49" s="51"/>
      <c r="BP49" s="51"/>
      <c r="BQ49" s="51"/>
      <c r="BR49" s="51"/>
      <c r="BS49" s="79"/>
      <c r="BT49" s="78"/>
    </row>
    <row r="50" spans="1:72" ht="21.15" customHeight="1" thickBot="1" x14ac:dyDescent="0.6">
      <c r="A50" s="78"/>
      <c r="B50" s="79"/>
      <c r="C50" s="79"/>
      <c r="D50" s="79"/>
      <c r="E50" s="79"/>
      <c r="F50" s="79"/>
      <c r="G50" s="79"/>
      <c r="H50" s="79"/>
      <c r="I50" s="79"/>
      <c r="J50" s="79"/>
      <c r="K50" s="79"/>
      <c r="L50" s="79"/>
      <c r="M50" s="79"/>
      <c r="N50" s="79"/>
      <c r="O50" s="79"/>
      <c r="P50" s="79"/>
      <c r="Q50" s="79"/>
      <c r="R50" s="79"/>
      <c r="S50" s="79"/>
      <c r="T50" s="79"/>
      <c r="U50" s="79"/>
      <c r="V50" s="79"/>
      <c r="W50" s="79"/>
      <c r="X50" s="79"/>
      <c r="Y50" s="79"/>
      <c r="Z50" s="79"/>
      <c r="AA50" s="79"/>
      <c r="AB50" s="79"/>
      <c r="AC50" s="79"/>
      <c r="AD50" s="79"/>
      <c r="AE50" s="79"/>
      <c r="AF50" s="79"/>
      <c r="AG50" s="79"/>
      <c r="AH50" s="79"/>
      <c r="AI50" s="79"/>
      <c r="AJ50" s="79"/>
      <c r="AK50" s="79"/>
      <c r="AL50" s="79"/>
      <c r="AM50" s="79"/>
      <c r="AN50" s="79"/>
      <c r="AO50" s="79"/>
      <c r="AP50" s="79"/>
      <c r="AQ50" s="79"/>
      <c r="AR50" s="79"/>
      <c r="AS50" s="79"/>
      <c r="AT50" s="79"/>
      <c r="AU50" s="79"/>
      <c r="AV50" s="51"/>
      <c r="AW50" s="51"/>
      <c r="AX50" s="51"/>
      <c r="AY50" s="239">
        <f>VLOOKUP(AY47,市町村データ!A2:P106,MATCH(手順書_丁目_世帯密度!$F$66, 市町村データ!A1:P1, 0),FALSE)</f>
        <v>14</v>
      </c>
      <c r="AZ50" s="153"/>
      <c r="BA50" s="153"/>
      <c r="BB50" s="240"/>
      <c r="BC50" s="239">
        <f>VLOOKUP(BC47,市町村データ!A2:P106,MATCH(手順書_丁目_世帯密度!$F$66, 市町村データ!A1:P1, 0),FALSE)</f>
        <v>14.5</v>
      </c>
      <c r="BD50" s="153"/>
      <c r="BE50" s="153"/>
      <c r="BF50" s="240"/>
      <c r="BG50" s="247">
        <f>VLOOKUP(BG47,市町村データ!A2:P106,MATCH(手順書_丁目_世帯密度!$F$66, 市町村データ!A1:P1, 0),FALSE)</f>
        <v>13</v>
      </c>
      <c r="BH50" s="153"/>
      <c r="BI50" s="153"/>
      <c r="BJ50" s="240"/>
      <c r="BK50" s="85"/>
      <c r="BL50" s="79"/>
      <c r="BM50" s="79"/>
      <c r="BN50" s="79"/>
      <c r="BO50" s="51"/>
      <c r="BP50" s="51"/>
      <c r="BQ50" s="51"/>
      <c r="BR50" s="51"/>
      <c r="BS50" s="51"/>
      <c r="BT50" s="78"/>
    </row>
    <row r="51" spans="1:72" ht="21.15" customHeight="1" x14ac:dyDescent="0.55000000000000004">
      <c r="A51" s="78"/>
      <c r="B51" s="79" t="s">
        <v>162</v>
      </c>
      <c r="C51" s="79"/>
      <c r="D51" s="79"/>
      <c r="E51" s="79"/>
      <c r="F51" s="79"/>
      <c r="G51" s="102"/>
      <c r="H51" s="79"/>
      <c r="I51" s="79"/>
      <c r="J51" s="79"/>
      <c r="K51" s="79"/>
      <c r="L51" s="79"/>
      <c r="M51" s="79"/>
      <c r="N51" s="79"/>
      <c r="O51" s="79"/>
      <c r="P51" s="79"/>
      <c r="Q51" s="79"/>
      <c r="R51" s="79"/>
      <c r="S51" s="79"/>
      <c r="T51" s="79"/>
      <c r="U51" s="79"/>
      <c r="V51" s="79"/>
      <c r="W51" s="79"/>
      <c r="X51" s="79"/>
      <c r="Y51" s="79"/>
      <c r="Z51" s="79"/>
      <c r="AA51" s="79"/>
      <c r="AB51" s="79"/>
      <c r="AC51" s="79"/>
      <c r="AD51" s="79"/>
      <c r="AE51" s="79"/>
      <c r="AF51" s="79"/>
      <c r="AG51" s="79"/>
      <c r="AH51" s="79"/>
      <c r="AI51" s="79"/>
      <c r="AJ51" s="79"/>
      <c r="AK51" s="79"/>
      <c r="AL51" s="79"/>
      <c r="AM51" s="52"/>
      <c r="AN51" s="52"/>
      <c r="AO51" s="52"/>
      <c r="AP51" s="52"/>
      <c r="AQ51" s="52"/>
      <c r="AR51" s="52"/>
      <c r="AS51" s="52"/>
      <c r="AT51" s="52"/>
      <c r="AU51" s="52"/>
      <c r="AV51" s="52"/>
      <c r="AW51" s="52"/>
      <c r="AX51" s="52"/>
      <c r="AY51" s="103"/>
      <c r="AZ51" s="103"/>
      <c r="BA51" s="103"/>
      <c r="BB51" s="103"/>
      <c r="BC51" s="103"/>
      <c r="BD51" s="103"/>
      <c r="BE51" s="103"/>
      <c r="BF51" s="103"/>
      <c r="BG51" s="103"/>
      <c r="BH51" s="103"/>
      <c r="BI51" s="103"/>
      <c r="BJ51" s="103"/>
      <c r="BK51" s="52"/>
      <c r="BL51" s="52"/>
      <c r="BM51" s="52"/>
      <c r="BN51" s="52"/>
      <c r="BO51" s="52"/>
      <c r="BP51" s="52"/>
      <c r="BQ51" s="52"/>
      <c r="BR51" s="52"/>
      <c r="BS51" s="52"/>
      <c r="BT51" s="78"/>
    </row>
    <row r="52" spans="1:72" ht="21.15" customHeight="1" x14ac:dyDescent="0.55000000000000004">
      <c r="A52" s="78"/>
      <c r="B52" s="79" t="s">
        <v>161</v>
      </c>
      <c r="C52" s="79"/>
      <c r="D52" s="79"/>
      <c r="E52" s="79"/>
      <c r="F52" s="79"/>
      <c r="G52" s="79"/>
      <c r="H52" s="79"/>
      <c r="I52" s="79"/>
      <c r="J52" s="79"/>
      <c r="K52" s="79"/>
      <c r="L52" s="79"/>
      <c r="M52" s="79"/>
      <c r="N52" s="79"/>
      <c r="O52" s="79"/>
      <c r="P52" s="79"/>
      <c r="Q52" s="79"/>
      <c r="R52" s="79"/>
      <c r="S52" s="79"/>
      <c r="T52" s="79"/>
      <c r="U52" s="79"/>
      <c r="V52" s="79"/>
      <c r="W52" s="79"/>
      <c r="X52" s="79"/>
      <c r="Y52" s="79"/>
      <c r="Z52" s="79"/>
      <c r="AA52" s="79"/>
      <c r="AB52" s="79"/>
      <c r="AC52" s="79"/>
      <c r="AD52" s="79"/>
      <c r="AE52" s="79"/>
      <c r="AF52" s="79"/>
      <c r="AG52" s="79"/>
      <c r="AH52" s="79"/>
      <c r="AI52" s="79"/>
      <c r="AJ52" s="79"/>
      <c r="AK52" s="79"/>
      <c r="AL52" s="79"/>
      <c r="AM52" s="79"/>
      <c r="AN52" s="79"/>
      <c r="AO52" s="79"/>
      <c r="AP52" s="79"/>
      <c r="AQ52" s="79"/>
      <c r="AR52" s="79"/>
      <c r="AS52" s="79"/>
      <c r="AT52" s="79"/>
      <c r="AU52" s="79"/>
      <c r="AV52" s="79"/>
      <c r="AW52" s="79"/>
      <c r="AX52" s="79"/>
      <c r="AY52" s="79"/>
      <c r="AZ52" s="79"/>
      <c r="BA52" s="79"/>
      <c r="BB52" s="79"/>
      <c r="BC52" s="79"/>
      <c r="BD52" s="79"/>
      <c r="BE52" s="79"/>
      <c r="BF52" s="79"/>
      <c r="BG52" s="79"/>
      <c r="BH52" s="79"/>
      <c r="BI52" s="79"/>
      <c r="BJ52" s="79"/>
      <c r="BK52" s="79"/>
      <c r="BL52" s="79"/>
      <c r="BM52" s="79"/>
      <c r="BN52" s="79"/>
      <c r="BO52" s="79"/>
      <c r="BP52" s="79"/>
      <c r="BQ52" s="79"/>
      <c r="BR52" s="79"/>
      <c r="BS52" s="79"/>
      <c r="BT52" s="78"/>
    </row>
    <row r="53" spans="1:72" ht="21.15" customHeight="1" x14ac:dyDescent="0.55000000000000004">
      <c r="A53" s="78"/>
      <c r="B53" s="78"/>
      <c r="C53" s="78"/>
      <c r="D53" s="78"/>
      <c r="E53" s="78"/>
      <c r="F53" s="78"/>
      <c r="G53" s="78"/>
      <c r="H53" s="78"/>
      <c r="I53" s="78"/>
      <c r="J53" s="78"/>
      <c r="K53" s="78"/>
      <c r="L53" s="78"/>
      <c r="M53" s="78"/>
      <c r="N53" s="78"/>
      <c r="O53" s="78"/>
      <c r="P53" s="78"/>
      <c r="Q53" s="78"/>
      <c r="R53" s="78"/>
      <c r="S53" s="78"/>
      <c r="T53" s="78"/>
      <c r="U53" s="78"/>
      <c r="V53" s="78"/>
      <c r="W53" s="78"/>
      <c r="X53" s="78"/>
      <c r="Y53" s="78"/>
      <c r="Z53" s="78"/>
      <c r="AA53" s="78"/>
      <c r="AB53" s="78"/>
      <c r="AC53" s="78"/>
      <c r="AD53" s="78"/>
      <c r="AE53" s="78"/>
      <c r="AF53" s="78"/>
      <c r="AG53" s="78"/>
      <c r="AH53" s="78"/>
      <c r="AI53" s="78"/>
      <c r="AJ53" s="78"/>
      <c r="AK53" s="78"/>
      <c r="AL53" s="78"/>
      <c r="AM53" s="78"/>
      <c r="AN53" s="78"/>
      <c r="AO53" s="78"/>
      <c r="AP53" s="78"/>
      <c r="AQ53" s="78"/>
      <c r="AR53" s="78"/>
      <c r="AS53" s="78"/>
      <c r="AT53" s="78"/>
      <c r="AU53" s="78"/>
      <c r="AV53" s="78"/>
      <c r="AW53" s="78"/>
      <c r="AX53" s="78"/>
      <c r="AY53" s="78"/>
      <c r="AZ53" s="78"/>
      <c r="BA53" s="78"/>
      <c r="BB53" s="78"/>
      <c r="BC53" s="78"/>
      <c r="BD53" s="78"/>
      <c r="BE53" s="78"/>
      <c r="BF53" s="78"/>
      <c r="BG53" s="78"/>
      <c r="BH53" s="78"/>
      <c r="BI53" s="78"/>
      <c r="BJ53" s="78"/>
      <c r="BK53" s="78"/>
      <c r="BL53" s="78"/>
      <c r="BM53" s="78"/>
      <c r="BN53" s="78"/>
      <c r="BO53" s="78"/>
      <c r="BP53" s="78"/>
      <c r="BQ53" s="78"/>
      <c r="BR53" s="78"/>
      <c r="BS53" s="78"/>
      <c r="BT53" s="78"/>
    </row>
  </sheetData>
  <mergeCells count="357">
    <mergeCell ref="K8:N8"/>
    <mergeCell ref="O8:R8"/>
    <mergeCell ref="S8:V8"/>
    <mergeCell ref="W8:Z8"/>
    <mergeCell ref="AA8:AD8"/>
    <mergeCell ref="AE8:AH8"/>
    <mergeCell ref="L7:N7"/>
    <mergeCell ref="P7:R7"/>
    <mergeCell ref="T7:V7"/>
    <mergeCell ref="X7:Z7"/>
    <mergeCell ref="AB7:AD7"/>
    <mergeCell ref="AF7:AH7"/>
    <mergeCell ref="K10:N10"/>
    <mergeCell ref="O10:R10"/>
    <mergeCell ref="S10:V10"/>
    <mergeCell ref="W10:Z10"/>
    <mergeCell ref="AA10:AD10"/>
    <mergeCell ref="AE10:AH10"/>
    <mergeCell ref="K9:N9"/>
    <mergeCell ref="O9:R9"/>
    <mergeCell ref="S9:V9"/>
    <mergeCell ref="W9:Z9"/>
    <mergeCell ref="AA9:AD9"/>
    <mergeCell ref="AE9:AH9"/>
    <mergeCell ref="AJ11:AL11"/>
    <mergeCell ref="AN11:AP11"/>
    <mergeCell ref="G12:J12"/>
    <mergeCell ref="K12:N12"/>
    <mergeCell ref="S12:V12"/>
    <mergeCell ref="W12:Z12"/>
    <mergeCell ref="AA12:AD12"/>
    <mergeCell ref="AE12:AH12"/>
    <mergeCell ref="AI12:AL12"/>
    <mergeCell ref="AM12:AP12"/>
    <mergeCell ref="H11:J11"/>
    <mergeCell ref="L11:N11"/>
    <mergeCell ref="T11:V11"/>
    <mergeCell ref="X11:Z11"/>
    <mergeCell ref="AB11:AD11"/>
    <mergeCell ref="AF11:AH11"/>
    <mergeCell ref="AI13:AL13"/>
    <mergeCell ref="AM13:AP13"/>
    <mergeCell ref="G14:J14"/>
    <mergeCell ref="K14:N14"/>
    <mergeCell ref="S14:V14"/>
    <mergeCell ref="W14:Z14"/>
    <mergeCell ref="AA14:AD14"/>
    <mergeCell ref="AE14:AH14"/>
    <mergeCell ref="AI14:AL14"/>
    <mergeCell ref="AM14:AP14"/>
    <mergeCell ref="G13:J13"/>
    <mergeCell ref="K13:N13"/>
    <mergeCell ref="S13:V13"/>
    <mergeCell ref="W13:Z13"/>
    <mergeCell ref="AA13:AD13"/>
    <mergeCell ref="AE13:AH13"/>
    <mergeCell ref="AF15:AH15"/>
    <mergeCell ref="AJ15:AL15"/>
    <mergeCell ref="AN15:AP15"/>
    <mergeCell ref="G16:J16"/>
    <mergeCell ref="K16:N16"/>
    <mergeCell ref="O16:R16"/>
    <mergeCell ref="S16:V16"/>
    <mergeCell ref="W16:Z16"/>
    <mergeCell ref="AA16:AD16"/>
    <mergeCell ref="AE16:AH16"/>
    <mergeCell ref="H15:J15"/>
    <mergeCell ref="L15:N15"/>
    <mergeCell ref="P15:R15"/>
    <mergeCell ref="T15:V15"/>
    <mergeCell ref="X15:Z15"/>
    <mergeCell ref="AB15:AD15"/>
    <mergeCell ref="AI16:AL16"/>
    <mergeCell ref="AM16:AP16"/>
    <mergeCell ref="G17:J17"/>
    <mergeCell ref="K17:N17"/>
    <mergeCell ref="O17:R17"/>
    <mergeCell ref="S17:V17"/>
    <mergeCell ref="W17:Z17"/>
    <mergeCell ref="AA17:AD17"/>
    <mergeCell ref="AE17:AH17"/>
    <mergeCell ref="AI17:AL17"/>
    <mergeCell ref="AM17:AP17"/>
    <mergeCell ref="G18:J18"/>
    <mergeCell ref="K18:N18"/>
    <mergeCell ref="O18:R18"/>
    <mergeCell ref="S18:V18"/>
    <mergeCell ref="W18:Z18"/>
    <mergeCell ref="AA18:AD18"/>
    <mergeCell ref="AE18:AH18"/>
    <mergeCell ref="AI18:AL18"/>
    <mergeCell ref="AM18:AP18"/>
    <mergeCell ref="AN19:AP19"/>
    <mergeCell ref="AR19:AT19"/>
    <mergeCell ref="O20:R20"/>
    <mergeCell ref="S20:V20"/>
    <mergeCell ref="W20:Z20"/>
    <mergeCell ref="AA20:AD20"/>
    <mergeCell ref="AE20:AH20"/>
    <mergeCell ref="AI20:AL20"/>
    <mergeCell ref="AM20:AP20"/>
    <mergeCell ref="AQ20:AT20"/>
    <mergeCell ref="P19:R19"/>
    <mergeCell ref="T19:V19"/>
    <mergeCell ref="X19:Z19"/>
    <mergeCell ref="AB19:AD19"/>
    <mergeCell ref="AF19:AH19"/>
    <mergeCell ref="AJ19:AL19"/>
    <mergeCell ref="AM21:AP21"/>
    <mergeCell ref="AQ21:AT21"/>
    <mergeCell ref="O22:R22"/>
    <mergeCell ref="S22:V22"/>
    <mergeCell ref="W22:Z22"/>
    <mergeCell ref="AA22:AD22"/>
    <mergeCell ref="AE22:AH22"/>
    <mergeCell ref="AI22:AL22"/>
    <mergeCell ref="AM22:AP22"/>
    <mergeCell ref="AQ22:AT22"/>
    <mergeCell ref="O21:R21"/>
    <mergeCell ref="S21:V21"/>
    <mergeCell ref="W21:Z21"/>
    <mergeCell ref="AA21:AD21"/>
    <mergeCell ref="AE21:AH21"/>
    <mergeCell ref="AI21:AL21"/>
    <mergeCell ref="AN23:AP23"/>
    <mergeCell ref="AR23:AT23"/>
    <mergeCell ref="AV23:AX23"/>
    <mergeCell ref="AZ23:BB23"/>
    <mergeCell ref="O24:R24"/>
    <mergeCell ref="S24:V24"/>
    <mergeCell ref="W24:Z24"/>
    <mergeCell ref="AA24:AD24"/>
    <mergeCell ref="AE24:AH24"/>
    <mergeCell ref="AI24:AL24"/>
    <mergeCell ref="P23:R23"/>
    <mergeCell ref="T23:V23"/>
    <mergeCell ref="X23:Z23"/>
    <mergeCell ref="AB23:AD23"/>
    <mergeCell ref="AF23:AH23"/>
    <mergeCell ref="AJ23:AL23"/>
    <mergeCell ref="AY25:BB25"/>
    <mergeCell ref="O26:R26"/>
    <mergeCell ref="S26:V26"/>
    <mergeCell ref="W26:Z26"/>
    <mergeCell ref="AA26:AD26"/>
    <mergeCell ref="AE26:AH26"/>
    <mergeCell ref="AI26:AL26"/>
    <mergeCell ref="AM24:AP24"/>
    <mergeCell ref="AQ24:AT24"/>
    <mergeCell ref="AU24:AX24"/>
    <mergeCell ref="AY24:BB24"/>
    <mergeCell ref="O25:R25"/>
    <mergeCell ref="S25:V25"/>
    <mergeCell ref="W25:Z25"/>
    <mergeCell ref="AA25:AD25"/>
    <mergeCell ref="AE25:AH25"/>
    <mergeCell ref="AI25:AL25"/>
    <mergeCell ref="T27:V27"/>
    <mergeCell ref="X27:Z27"/>
    <mergeCell ref="AB27:AD27"/>
    <mergeCell ref="AF27:AH27"/>
    <mergeCell ref="AJ27:AL27"/>
    <mergeCell ref="AN27:AP27"/>
    <mergeCell ref="AM25:AP25"/>
    <mergeCell ref="AQ25:AT25"/>
    <mergeCell ref="AU25:AX25"/>
    <mergeCell ref="AR27:AT27"/>
    <mergeCell ref="AV27:AX27"/>
    <mergeCell ref="AZ27:BB27"/>
    <mergeCell ref="BD27:BF27"/>
    <mergeCell ref="BH27:BJ27"/>
    <mergeCell ref="BL27:BN27"/>
    <mergeCell ref="AM26:AP26"/>
    <mergeCell ref="AQ26:AT26"/>
    <mergeCell ref="AU26:AX26"/>
    <mergeCell ref="AY26:BB26"/>
    <mergeCell ref="AQ28:AT28"/>
    <mergeCell ref="AU28:AX28"/>
    <mergeCell ref="AY28:BB28"/>
    <mergeCell ref="BC28:BF28"/>
    <mergeCell ref="BG28:BJ28"/>
    <mergeCell ref="BK28:BN28"/>
    <mergeCell ref="S28:V28"/>
    <mergeCell ref="W28:Z28"/>
    <mergeCell ref="AA28:AD28"/>
    <mergeCell ref="AE28:AH28"/>
    <mergeCell ref="AI28:AL28"/>
    <mergeCell ref="AM28:AP28"/>
    <mergeCell ref="AQ29:AT29"/>
    <mergeCell ref="AU29:AX29"/>
    <mergeCell ref="AY29:BB29"/>
    <mergeCell ref="BC29:BF29"/>
    <mergeCell ref="BG29:BJ29"/>
    <mergeCell ref="BK29:BN29"/>
    <mergeCell ref="S29:V29"/>
    <mergeCell ref="W29:Z29"/>
    <mergeCell ref="AA29:AD29"/>
    <mergeCell ref="AE29:AH29"/>
    <mergeCell ref="AI29:AL29"/>
    <mergeCell ref="AM29:AP29"/>
    <mergeCell ref="AQ30:AT30"/>
    <mergeCell ref="AU30:AX30"/>
    <mergeCell ref="AY30:BB30"/>
    <mergeCell ref="BC30:BF30"/>
    <mergeCell ref="BG30:BJ30"/>
    <mergeCell ref="BK30:BN30"/>
    <mergeCell ref="S30:V30"/>
    <mergeCell ref="W30:Z30"/>
    <mergeCell ref="AA30:AD30"/>
    <mergeCell ref="AE30:AH30"/>
    <mergeCell ref="AI30:AL30"/>
    <mergeCell ref="AM30:AP30"/>
    <mergeCell ref="BL31:BN31"/>
    <mergeCell ref="G32:J32"/>
    <mergeCell ref="K32:N32"/>
    <mergeCell ref="O32:R32"/>
    <mergeCell ref="S32:V32"/>
    <mergeCell ref="AA32:AD32"/>
    <mergeCell ref="AE32:AH32"/>
    <mergeCell ref="AI32:AL32"/>
    <mergeCell ref="AM32:AP32"/>
    <mergeCell ref="AU32:AX32"/>
    <mergeCell ref="AJ31:AL31"/>
    <mergeCell ref="AN31:AP31"/>
    <mergeCell ref="AV31:AX31"/>
    <mergeCell ref="AZ31:BB31"/>
    <mergeCell ref="BD31:BF31"/>
    <mergeCell ref="BH31:BJ31"/>
    <mergeCell ref="H31:J31"/>
    <mergeCell ref="L31:N31"/>
    <mergeCell ref="P31:R31"/>
    <mergeCell ref="T31:V31"/>
    <mergeCell ref="AB31:AD31"/>
    <mergeCell ref="AF31:AH31"/>
    <mergeCell ref="AY32:BB32"/>
    <mergeCell ref="BC32:BF32"/>
    <mergeCell ref="BG32:BJ32"/>
    <mergeCell ref="BK32:BN32"/>
    <mergeCell ref="G33:J33"/>
    <mergeCell ref="K33:N33"/>
    <mergeCell ref="O33:R33"/>
    <mergeCell ref="S33:V33"/>
    <mergeCell ref="AA33:AD33"/>
    <mergeCell ref="AE33:AH33"/>
    <mergeCell ref="BK33:BN33"/>
    <mergeCell ref="G34:J34"/>
    <mergeCell ref="K34:N34"/>
    <mergeCell ref="O34:R34"/>
    <mergeCell ref="S34:V34"/>
    <mergeCell ref="AA34:AD34"/>
    <mergeCell ref="AE34:AH34"/>
    <mergeCell ref="AI34:AL34"/>
    <mergeCell ref="AM34:AP34"/>
    <mergeCell ref="AU34:AX34"/>
    <mergeCell ref="AI33:AL33"/>
    <mergeCell ref="AM33:AP33"/>
    <mergeCell ref="AU33:AX33"/>
    <mergeCell ref="AY33:BB33"/>
    <mergeCell ref="BC33:BF33"/>
    <mergeCell ref="BG33:BJ33"/>
    <mergeCell ref="AY34:BB34"/>
    <mergeCell ref="BC34:BF34"/>
    <mergeCell ref="BG34:BJ34"/>
    <mergeCell ref="BK34:BN34"/>
    <mergeCell ref="AB35:AD35"/>
    <mergeCell ref="AF35:AH35"/>
    <mergeCell ref="BD35:BF35"/>
    <mergeCell ref="BH35:BJ35"/>
    <mergeCell ref="BL35:BN35"/>
    <mergeCell ref="AA36:AD36"/>
    <mergeCell ref="AE36:AH36"/>
    <mergeCell ref="BC36:BF36"/>
    <mergeCell ref="BG36:BJ36"/>
    <mergeCell ref="BK36:BN36"/>
    <mergeCell ref="AA37:AD37"/>
    <mergeCell ref="AE37:AH37"/>
    <mergeCell ref="BC37:BF37"/>
    <mergeCell ref="BG37:BJ37"/>
    <mergeCell ref="BK37:BN37"/>
    <mergeCell ref="AA38:AD38"/>
    <mergeCell ref="AE38:AH38"/>
    <mergeCell ref="BC38:BF38"/>
    <mergeCell ref="BG38:BJ38"/>
    <mergeCell ref="BK38:BN38"/>
    <mergeCell ref="AZ39:BB39"/>
    <mergeCell ref="BD39:BF39"/>
    <mergeCell ref="BH39:BJ39"/>
    <mergeCell ref="BL39:BN39"/>
    <mergeCell ref="BK41:BN41"/>
    <mergeCell ref="BO41:BR41"/>
    <mergeCell ref="AY42:BB42"/>
    <mergeCell ref="BC42:BF42"/>
    <mergeCell ref="BG42:BJ42"/>
    <mergeCell ref="BK42:BN42"/>
    <mergeCell ref="BO42:BR42"/>
    <mergeCell ref="BP39:BR39"/>
    <mergeCell ref="AY40:BB40"/>
    <mergeCell ref="BC40:BF40"/>
    <mergeCell ref="BG40:BJ40"/>
    <mergeCell ref="BK40:BN40"/>
    <mergeCell ref="BO40:BR40"/>
    <mergeCell ref="AY50:BB50"/>
    <mergeCell ref="BC50:BF50"/>
    <mergeCell ref="BG50:BJ50"/>
    <mergeCell ref="AZ47:BB47"/>
    <mergeCell ref="BD47:BF47"/>
    <mergeCell ref="BH47:BJ47"/>
    <mergeCell ref="AY48:BB48"/>
    <mergeCell ref="BC48:BF48"/>
    <mergeCell ref="BG48:BJ48"/>
    <mergeCell ref="BO5:BQ5"/>
    <mergeCell ref="BN6:BQ6"/>
    <mergeCell ref="BN7:BQ7"/>
    <mergeCell ref="BN8:BQ8"/>
    <mergeCell ref="BN10:BP10"/>
    <mergeCell ref="BQ10:BR10"/>
    <mergeCell ref="AY49:BB49"/>
    <mergeCell ref="BC49:BF49"/>
    <mergeCell ref="BG49:BJ49"/>
    <mergeCell ref="AY45:BB45"/>
    <mergeCell ref="BC45:BF45"/>
    <mergeCell ref="BG45:BJ45"/>
    <mergeCell ref="AY46:BB46"/>
    <mergeCell ref="BC46:BF46"/>
    <mergeCell ref="BG46:BJ46"/>
    <mergeCell ref="AZ43:BB43"/>
    <mergeCell ref="BD43:BF43"/>
    <mergeCell ref="BH43:BJ43"/>
    <mergeCell ref="AY44:BB44"/>
    <mergeCell ref="BC44:BF44"/>
    <mergeCell ref="BG44:BJ44"/>
    <mergeCell ref="AY41:BB41"/>
    <mergeCell ref="BC41:BF41"/>
    <mergeCell ref="BG41:BJ41"/>
    <mergeCell ref="BN14:BP14"/>
    <mergeCell ref="BQ14:BR14"/>
    <mergeCell ref="BN15:BP15"/>
    <mergeCell ref="BQ15:BR15"/>
    <mergeCell ref="BN16:BP16"/>
    <mergeCell ref="BQ16:BR16"/>
    <mergeCell ref="BN11:BP11"/>
    <mergeCell ref="BQ11:BR11"/>
    <mergeCell ref="BN12:BP12"/>
    <mergeCell ref="BQ12:BR12"/>
    <mergeCell ref="BN13:BP13"/>
    <mergeCell ref="BQ13:BR13"/>
    <mergeCell ref="BN20:BP20"/>
    <mergeCell ref="BQ20:BR20"/>
    <mergeCell ref="BN21:BP21"/>
    <mergeCell ref="BQ21:BR21"/>
    <mergeCell ref="BN22:BP22"/>
    <mergeCell ref="BN17:BP17"/>
    <mergeCell ref="BQ17:BR17"/>
    <mergeCell ref="BN18:BP18"/>
    <mergeCell ref="BQ18:BR18"/>
    <mergeCell ref="BN19:BP19"/>
    <mergeCell ref="BQ19:BR19"/>
  </mergeCells>
  <phoneticPr fontId="1"/>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F2052-5211-4F63-916F-7AAD412887E5}">
  <sheetPr codeName="Sheet13">
    <tabColor rgb="FF0F8472"/>
  </sheetPr>
  <dimension ref="A1:AG154"/>
  <sheetViews>
    <sheetView zoomScaleNormal="100" workbookViewId="0"/>
  </sheetViews>
  <sheetFormatPr defaultColWidth="3.5" defaultRowHeight="21" customHeight="1" x14ac:dyDescent="0.55000000000000004"/>
  <cols>
    <col min="1" max="16384" width="3.5" style="11"/>
  </cols>
  <sheetData>
    <row r="1" spans="1:33" ht="21" customHeight="1" x14ac:dyDescent="0.55000000000000004">
      <c r="A1" s="37"/>
      <c r="F1" s="37" t="s">
        <v>171</v>
      </c>
      <c r="G1" s="37"/>
      <c r="I1" s="37"/>
      <c r="M1" s="37"/>
      <c r="Q1" s="37" t="s">
        <v>172</v>
      </c>
      <c r="V1" s="37"/>
      <c r="AF1" s="37" t="s">
        <v>170</v>
      </c>
    </row>
    <row r="2" spans="1:33" ht="21" customHeight="1" x14ac:dyDescent="0.55000000000000004">
      <c r="B2" s="13" t="s">
        <v>766</v>
      </c>
      <c r="C2" s="12"/>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row>
    <row r="10" spans="1:33" ht="21" customHeight="1" x14ac:dyDescent="0.55000000000000004">
      <c r="G10" s="35" t="s">
        <v>767</v>
      </c>
      <c r="H10" s="27"/>
      <c r="I10" s="27"/>
      <c r="J10" s="27"/>
      <c r="K10" s="27"/>
      <c r="L10" s="11" t="s">
        <v>768</v>
      </c>
    </row>
    <row r="13" spans="1:33" ht="21" customHeight="1" x14ac:dyDescent="0.55000000000000004">
      <c r="D13" s="13" t="s">
        <v>32</v>
      </c>
      <c r="E13" s="12"/>
      <c r="F13" s="12"/>
      <c r="G13" s="12"/>
      <c r="H13" s="12"/>
      <c r="I13" s="12"/>
      <c r="J13" s="12"/>
      <c r="K13" s="12"/>
      <c r="L13" s="12"/>
      <c r="M13" s="12"/>
      <c r="N13" s="12"/>
      <c r="O13" s="12"/>
      <c r="P13" s="12"/>
      <c r="Q13" s="12"/>
      <c r="R13" s="12"/>
      <c r="S13" s="12"/>
      <c r="T13" s="12"/>
      <c r="U13" s="12"/>
      <c r="V13" s="12"/>
      <c r="W13" s="12"/>
      <c r="X13" s="12"/>
      <c r="Y13" s="12"/>
      <c r="Z13" s="12"/>
      <c r="AA13" s="12"/>
      <c r="AB13" s="12"/>
      <c r="AC13" s="12"/>
      <c r="AD13" s="12"/>
      <c r="AE13" s="12"/>
      <c r="AF13" s="12"/>
      <c r="AG13" s="12"/>
    </row>
    <row r="21" spans="1:33" ht="21" customHeight="1" x14ac:dyDescent="0.55000000000000004">
      <c r="G21" s="11" t="s">
        <v>141</v>
      </c>
    </row>
    <row r="22" spans="1:33" ht="21" customHeight="1" x14ac:dyDescent="0.55000000000000004">
      <c r="F22" s="14" t="s">
        <v>30</v>
      </c>
      <c r="G22" s="11" t="s">
        <v>140</v>
      </c>
    </row>
    <row r="23" spans="1:33" ht="21" customHeight="1" x14ac:dyDescent="0.55000000000000004">
      <c r="F23" s="14"/>
    </row>
    <row r="24" spans="1:33" ht="21" customHeight="1" thickBot="1" x14ac:dyDescent="0.45">
      <c r="F24" s="26" t="s">
        <v>40</v>
      </c>
      <c r="Q24" s="26" t="s">
        <v>41</v>
      </c>
    </row>
    <row r="25" spans="1:33" ht="21" customHeight="1" thickTop="1" thickBot="1" x14ac:dyDescent="0.6">
      <c r="A25" s="37" t="s">
        <v>147</v>
      </c>
      <c r="F25" s="111" t="s">
        <v>755</v>
      </c>
      <c r="G25" s="112"/>
      <c r="H25" s="112"/>
      <c r="I25" s="112"/>
      <c r="J25" s="112"/>
      <c r="K25" s="112"/>
      <c r="L25" s="112"/>
      <c r="M25" s="112"/>
      <c r="N25" s="112"/>
      <c r="O25" s="113"/>
      <c r="Q25" s="111" t="s">
        <v>583</v>
      </c>
      <c r="R25" s="112"/>
      <c r="S25" s="112"/>
      <c r="T25" s="113"/>
    </row>
    <row r="26" spans="1:33" ht="21" customHeight="1" thickTop="1" x14ac:dyDescent="0.55000000000000004"/>
    <row r="28" spans="1:33" ht="21" customHeight="1" x14ac:dyDescent="0.55000000000000004">
      <c r="D28" s="13" t="s">
        <v>33</v>
      </c>
      <c r="E28" s="12"/>
      <c r="F28" s="12"/>
      <c r="G28" s="12"/>
      <c r="H28" s="12"/>
      <c r="I28" s="12"/>
      <c r="J28" s="12"/>
      <c r="K28" s="12"/>
      <c r="L28" s="12"/>
      <c r="M28" s="12"/>
      <c r="N28" s="12"/>
      <c r="O28" s="12"/>
      <c r="P28" s="12"/>
      <c r="Q28" s="12"/>
      <c r="R28" s="12"/>
      <c r="S28" s="12"/>
      <c r="T28" s="12"/>
      <c r="U28" s="12"/>
      <c r="V28" s="12"/>
      <c r="W28" s="12"/>
      <c r="X28" s="12"/>
      <c r="Y28" s="12"/>
      <c r="Z28" s="12"/>
      <c r="AA28" s="12"/>
      <c r="AB28" s="12"/>
      <c r="AC28" s="12"/>
      <c r="AD28" s="12"/>
      <c r="AE28" s="12"/>
      <c r="AF28" s="12"/>
      <c r="AG28" s="12"/>
    </row>
    <row r="35" spans="1:33" ht="21" customHeight="1" x14ac:dyDescent="0.55000000000000004">
      <c r="H35" s="11" t="s">
        <v>142</v>
      </c>
    </row>
    <row r="36" spans="1:33" ht="21" customHeight="1" x14ac:dyDescent="0.55000000000000004">
      <c r="F36" s="14"/>
      <c r="G36" s="14" t="s">
        <v>30</v>
      </c>
      <c r="H36" s="11" t="s">
        <v>143</v>
      </c>
    </row>
    <row r="37" spans="1:33" ht="21" customHeight="1" x14ac:dyDescent="0.55000000000000004">
      <c r="F37" s="14"/>
    </row>
    <row r="38" spans="1:33" ht="21" customHeight="1" x14ac:dyDescent="0.55000000000000004">
      <c r="F38" s="14"/>
      <c r="G38" s="11" t="s">
        <v>79</v>
      </c>
    </row>
    <row r="39" spans="1:33" ht="21" customHeight="1" thickBot="1" x14ac:dyDescent="0.45">
      <c r="F39" s="26" t="s">
        <v>40</v>
      </c>
      <c r="Q39" s="26" t="s">
        <v>42</v>
      </c>
    </row>
    <row r="40" spans="1:33" ht="21" customHeight="1" thickTop="1" thickBot="1" x14ac:dyDescent="0.6">
      <c r="A40" s="37" t="s">
        <v>159</v>
      </c>
      <c r="F40" s="111" t="s">
        <v>763</v>
      </c>
      <c r="G40" s="112"/>
      <c r="H40" s="112"/>
      <c r="I40" s="112"/>
      <c r="J40" s="112"/>
      <c r="K40" s="112"/>
      <c r="L40" s="112"/>
      <c r="M40" s="112"/>
      <c r="N40" s="112"/>
      <c r="O40" s="113"/>
      <c r="Q40" s="111" t="s">
        <v>132</v>
      </c>
      <c r="R40" s="113"/>
    </row>
    <row r="41" spans="1:33" ht="21" customHeight="1" thickTop="1" x14ac:dyDescent="0.55000000000000004"/>
    <row r="43" spans="1:33" ht="21" customHeight="1" x14ac:dyDescent="0.55000000000000004">
      <c r="D43" s="13" t="s">
        <v>34</v>
      </c>
      <c r="E43" s="12"/>
      <c r="F43" s="12"/>
      <c r="G43" s="12"/>
      <c r="H43" s="12"/>
      <c r="I43" s="12"/>
      <c r="J43" s="12"/>
      <c r="K43" s="12"/>
      <c r="L43" s="12"/>
      <c r="M43" s="12"/>
      <c r="N43" s="12"/>
      <c r="O43" s="12"/>
      <c r="P43" s="12"/>
      <c r="Q43" s="12"/>
      <c r="R43" s="12"/>
      <c r="S43" s="12"/>
      <c r="T43" s="12"/>
      <c r="U43" s="12"/>
      <c r="V43" s="12"/>
      <c r="W43" s="12"/>
      <c r="X43" s="12"/>
      <c r="Y43" s="12"/>
      <c r="Z43" s="12"/>
      <c r="AA43" s="12"/>
      <c r="AB43" s="12"/>
      <c r="AC43" s="12"/>
      <c r="AD43" s="12"/>
      <c r="AE43" s="12"/>
      <c r="AF43" s="12"/>
      <c r="AG43" s="12"/>
    </row>
    <row r="55" spans="1:20" ht="21" customHeight="1" x14ac:dyDescent="0.55000000000000004">
      <c r="F55" s="14" t="s">
        <v>30</v>
      </c>
      <c r="G55" s="11" t="s">
        <v>36</v>
      </c>
    </row>
    <row r="56" spans="1:20" ht="21" customHeight="1" x14ac:dyDescent="0.55000000000000004">
      <c r="P56" s="29" t="s">
        <v>85</v>
      </c>
      <c r="Q56" s="29"/>
      <c r="R56" s="29"/>
      <c r="S56" s="29"/>
      <c r="T56" s="11" t="s">
        <v>145</v>
      </c>
    </row>
    <row r="57" spans="1:20" ht="21" customHeight="1" x14ac:dyDescent="0.55000000000000004">
      <c r="F57" s="14"/>
      <c r="P57" s="14" t="s">
        <v>30</v>
      </c>
      <c r="Q57" s="11" t="s">
        <v>144</v>
      </c>
    </row>
    <row r="58" spans="1:20" ht="21" customHeight="1" x14ac:dyDescent="0.55000000000000004">
      <c r="F58" s="14"/>
    </row>
    <row r="59" spans="1:20" ht="21" customHeight="1" thickBot="1" x14ac:dyDescent="0.45">
      <c r="F59" s="14"/>
      <c r="Q59" s="26" t="s">
        <v>43</v>
      </c>
    </row>
    <row r="60" spans="1:20" ht="21" customHeight="1" thickTop="1" thickBot="1" x14ac:dyDescent="0.6">
      <c r="A60" s="37" t="s">
        <v>194</v>
      </c>
      <c r="F60" s="14"/>
      <c r="Q60" s="111" t="s">
        <v>778</v>
      </c>
      <c r="R60" s="113"/>
    </row>
    <row r="61" spans="1:20" ht="21" customHeight="1" thickTop="1" x14ac:dyDescent="0.55000000000000004">
      <c r="E61" s="11" t="s">
        <v>197</v>
      </c>
    </row>
    <row r="62" spans="1:20" ht="21" customHeight="1" thickBot="1" x14ac:dyDescent="0.6">
      <c r="E62" s="24"/>
      <c r="F62" s="39" t="s">
        <v>16</v>
      </c>
      <c r="G62" s="40" t="s">
        <v>17</v>
      </c>
      <c r="H62" s="40" t="s">
        <v>18</v>
      </c>
      <c r="I62" s="40" t="s">
        <v>19</v>
      </c>
      <c r="J62" s="24"/>
    </row>
    <row r="63" spans="1:20" ht="21" customHeight="1" x14ac:dyDescent="0.55000000000000004">
      <c r="A63" s="37" t="s">
        <v>158</v>
      </c>
      <c r="E63" s="24"/>
      <c r="F63" s="8"/>
      <c r="G63" s="114" t="s">
        <v>24</v>
      </c>
      <c r="H63" s="114"/>
      <c r="I63" s="115"/>
      <c r="J63" s="24"/>
    </row>
    <row r="64" spans="1:20" ht="21" customHeight="1" x14ac:dyDescent="0.55000000000000004">
      <c r="E64" s="24"/>
      <c r="F64" s="204" t="s">
        <v>751</v>
      </c>
      <c r="G64" s="205"/>
      <c r="H64" s="205"/>
      <c r="I64" s="206"/>
      <c r="J64" s="24"/>
    </row>
    <row r="65" spans="1:33" ht="21" customHeight="1" x14ac:dyDescent="0.55000000000000004">
      <c r="E65" s="24"/>
      <c r="F65" s="207" t="s">
        <v>200</v>
      </c>
      <c r="G65" s="208"/>
      <c r="H65" s="208"/>
      <c r="I65" s="209"/>
      <c r="J65" s="24"/>
    </row>
    <row r="66" spans="1:33" ht="21" customHeight="1" thickBot="1" x14ac:dyDescent="0.6">
      <c r="A66" s="37"/>
      <c r="E66" s="24"/>
      <c r="F66" s="130" t="s">
        <v>630</v>
      </c>
      <c r="G66" s="131"/>
      <c r="H66" s="131"/>
      <c r="I66" s="132"/>
      <c r="J66" s="24"/>
    </row>
    <row r="67" spans="1:33" ht="21" customHeight="1" x14ac:dyDescent="0.55000000000000004">
      <c r="E67" s="24"/>
      <c r="F67" s="24"/>
      <c r="G67" s="24"/>
      <c r="H67" s="24"/>
      <c r="I67" s="24"/>
      <c r="J67" s="24"/>
    </row>
    <row r="68" spans="1:33" ht="21" customHeight="1" thickBot="1" x14ac:dyDescent="0.45">
      <c r="Q68" s="26" t="s">
        <v>191</v>
      </c>
    </row>
    <row r="69" spans="1:33" ht="21" customHeight="1" thickTop="1" thickBot="1" x14ac:dyDescent="0.6">
      <c r="A69" s="37" t="s">
        <v>196</v>
      </c>
      <c r="Q69" s="111" t="s">
        <v>195</v>
      </c>
      <c r="R69" s="112"/>
      <c r="S69" s="112"/>
      <c r="T69" s="113"/>
    </row>
    <row r="70" spans="1:33" ht="21" customHeight="1" thickTop="1" x14ac:dyDescent="0.55000000000000004">
      <c r="Q70" s="45" t="s">
        <v>187</v>
      </c>
    </row>
    <row r="72" spans="1:33" ht="21" customHeight="1" x14ac:dyDescent="0.55000000000000004">
      <c r="G72" s="11" t="s">
        <v>37</v>
      </c>
    </row>
    <row r="75" spans="1:33" ht="21" customHeight="1" x14ac:dyDescent="0.55000000000000004">
      <c r="D75" s="13" t="s">
        <v>35</v>
      </c>
      <c r="E75" s="12"/>
      <c r="F75" s="12"/>
      <c r="G75" s="12"/>
      <c r="H75" s="12"/>
      <c r="I75" s="12"/>
      <c r="J75" s="12"/>
      <c r="K75" s="12"/>
      <c r="L75" s="12"/>
      <c r="M75" s="12"/>
      <c r="N75" s="12"/>
      <c r="O75" s="12"/>
      <c r="P75" s="12"/>
      <c r="Q75" s="12"/>
      <c r="R75" s="12"/>
      <c r="S75" s="12"/>
      <c r="T75" s="12"/>
      <c r="U75" s="12"/>
      <c r="V75" s="12"/>
      <c r="W75" s="12"/>
      <c r="X75" s="12"/>
      <c r="Y75" s="12"/>
      <c r="Z75" s="12"/>
      <c r="AA75" s="12"/>
      <c r="AB75" s="12"/>
      <c r="AC75" s="12"/>
      <c r="AD75" s="12"/>
      <c r="AE75" s="12"/>
      <c r="AF75" s="12"/>
      <c r="AG75" s="12"/>
    </row>
    <row r="95" spans="8:8" ht="21" customHeight="1" x14ac:dyDescent="0.55000000000000004">
      <c r="H95" s="11" t="s">
        <v>146</v>
      </c>
    </row>
    <row r="97" spans="1:18" ht="21" customHeight="1" thickBot="1" x14ac:dyDescent="0.45">
      <c r="Q97" s="26" t="s">
        <v>160</v>
      </c>
    </row>
    <row r="98" spans="1:18" ht="21" customHeight="1" thickTop="1" thickBot="1" x14ac:dyDescent="0.6">
      <c r="A98" s="37" t="s">
        <v>185</v>
      </c>
      <c r="Q98" s="111" t="s">
        <v>779</v>
      </c>
      <c r="R98" s="113"/>
    </row>
    <row r="99" spans="1:18" ht="21" customHeight="1" thickTop="1" x14ac:dyDescent="0.55000000000000004"/>
    <row r="100" spans="1:18" ht="21" customHeight="1" x14ac:dyDescent="0.55000000000000004">
      <c r="G100" s="14" t="s">
        <v>30</v>
      </c>
      <c r="H100" s="11" t="s">
        <v>184</v>
      </c>
    </row>
    <row r="102" spans="1:18" ht="21" customHeight="1" thickBot="1" x14ac:dyDescent="0.6">
      <c r="E102" s="38"/>
      <c r="F102" s="39" t="s">
        <v>16</v>
      </c>
      <c r="G102" s="40" t="s">
        <v>17</v>
      </c>
      <c r="H102" s="40" t="s">
        <v>18</v>
      </c>
      <c r="I102" s="40" t="s">
        <v>19</v>
      </c>
      <c r="J102" s="40" t="s">
        <v>20</v>
      </c>
      <c r="K102" s="40" t="s">
        <v>21</v>
      </c>
      <c r="L102" s="40" t="s">
        <v>22</v>
      </c>
      <c r="M102" s="40" t="s">
        <v>23</v>
      </c>
      <c r="N102" s="41"/>
    </row>
    <row r="103" spans="1:18" ht="21" customHeight="1" x14ac:dyDescent="0.55000000000000004">
      <c r="A103" s="37" t="s">
        <v>157</v>
      </c>
      <c r="E103" s="38">
        <v>1</v>
      </c>
      <c r="F103" s="11" t="s">
        <v>39</v>
      </c>
      <c r="G103" s="198" t="s">
        <v>28</v>
      </c>
      <c r="H103" s="199"/>
      <c r="I103" s="199"/>
      <c r="J103" s="200" t="s">
        <v>27</v>
      </c>
      <c r="K103" s="201"/>
      <c r="L103" s="138" t="s">
        <v>29</v>
      </c>
      <c r="M103" s="138"/>
      <c r="N103" s="25"/>
    </row>
    <row r="104" spans="1:18" ht="21" customHeight="1" x14ac:dyDescent="0.55000000000000004">
      <c r="E104" s="38">
        <v>2</v>
      </c>
      <c r="F104" s="11">
        <v>1</v>
      </c>
      <c r="G104" s="176">
        <v>110</v>
      </c>
      <c r="H104" s="139"/>
      <c r="I104" s="139"/>
      <c r="J104" s="202"/>
      <c r="K104" s="203"/>
      <c r="L104" s="187"/>
      <c r="M104" s="187"/>
      <c r="N104" s="25"/>
    </row>
    <row r="105" spans="1:18" ht="21" customHeight="1" x14ac:dyDescent="0.55000000000000004">
      <c r="E105" s="38">
        <v>3</v>
      </c>
      <c r="F105" s="11">
        <v>2</v>
      </c>
      <c r="G105" s="176">
        <v>100</v>
      </c>
      <c r="H105" s="139"/>
      <c r="I105" s="139"/>
      <c r="J105" s="185"/>
      <c r="K105" s="186"/>
      <c r="L105" s="187"/>
      <c r="M105" s="187"/>
      <c r="N105" s="25"/>
    </row>
    <row r="106" spans="1:18" ht="21" customHeight="1" x14ac:dyDescent="0.55000000000000004">
      <c r="E106" s="38">
        <v>4</v>
      </c>
      <c r="F106" s="11">
        <v>3</v>
      </c>
      <c r="G106" s="176">
        <v>90</v>
      </c>
      <c r="H106" s="139"/>
      <c r="I106" s="139"/>
      <c r="J106" s="188"/>
      <c r="K106" s="189"/>
      <c r="L106" s="175"/>
      <c r="M106" s="175"/>
      <c r="N106" s="25"/>
    </row>
    <row r="107" spans="1:18" ht="21" customHeight="1" x14ac:dyDescent="0.55000000000000004">
      <c r="E107" s="38">
        <v>5</v>
      </c>
      <c r="F107" s="11">
        <v>4</v>
      </c>
      <c r="G107" s="194">
        <v>80</v>
      </c>
      <c r="H107" s="195"/>
      <c r="I107" s="195"/>
      <c r="J107" s="183"/>
      <c r="K107" s="184"/>
      <c r="L107" s="175"/>
      <c r="M107" s="175"/>
      <c r="N107" s="25"/>
    </row>
    <row r="108" spans="1:18" ht="21" customHeight="1" x14ac:dyDescent="0.55000000000000004">
      <c r="E108" s="38">
        <v>6</v>
      </c>
      <c r="F108" s="11">
        <v>5</v>
      </c>
      <c r="G108" s="176">
        <v>70</v>
      </c>
      <c r="H108" s="139"/>
      <c r="I108" s="139"/>
      <c r="J108" s="196"/>
      <c r="K108" s="197"/>
      <c r="L108" s="175"/>
      <c r="M108" s="175"/>
      <c r="N108" s="25"/>
    </row>
    <row r="109" spans="1:18" ht="21" customHeight="1" x14ac:dyDescent="0.55000000000000004">
      <c r="E109" s="38">
        <v>7</v>
      </c>
      <c r="F109" s="11">
        <v>6</v>
      </c>
      <c r="G109" s="176">
        <v>60</v>
      </c>
      <c r="H109" s="139"/>
      <c r="I109" s="139"/>
      <c r="J109" s="192"/>
      <c r="K109" s="193"/>
      <c r="L109" s="175"/>
      <c r="M109" s="175"/>
      <c r="N109" s="25"/>
    </row>
    <row r="110" spans="1:18" ht="21" customHeight="1" x14ac:dyDescent="0.55000000000000004">
      <c r="E110" s="38">
        <v>8</v>
      </c>
      <c r="F110" s="11">
        <v>7</v>
      </c>
      <c r="G110" s="176">
        <v>50</v>
      </c>
      <c r="H110" s="139"/>
      <c r="I110" s="139"/>
      <c r="J110" s="289"/>
      <c r="K110" s="290"/>
      <c r="L110" s="175"/>
      <c r="M110" s="175"/>
      <c r="N110" s="25"/>
    </row>
    <row r="111" spans="1:18" ht="21" customHeight="1" x14ac:dyDescent="0.55000000000000004">
      <c r="E111" s="38">
        <v>9</v>
      </c>
      <c r="F111" s="11">
        <v>8</v>
      </c>
      <c r="G111" s="176">
        <v>40</v>
      </c>
      <c r="H111" s="139"/>
      <c r="I111" s="139"/>
      <c r="J111" s="291"/>
      <c r="K111" s="292"/>
      <c r="L111" s="175"/>
      <c r="M111" s="175"/>
      <c r="N111" s="25"/>
    </row>
    <row r="112" spans="1:18" ht="21" customHeight="1" x14ac:dyDescent="0.55000000000000004">
      <c r="E112" s="38">
        <v>10</v>
      </c>
      <c r="F112" s="11">
        <v>9</v>
      </c>
      <c r="G112" s="176">
        <v>30</v>
      </c>
      <c r="H112" s="139"/>
      <c r="I112" s="139"/>
      <c r="J112" s="190"/>
      <c r="K112" s="191"/>
      <c r="L112" s="175"/>
      <c r="M112" s="175"/>
      <c r="N112" s="25"/>
    </row>
    <row r="113" spans="1:33" ht="21" customHeight="1" x14ac:dyDescent="0.55000000000000004">
      <c r="E113" s="38">
        <v>11</v>
      </c>
      <c r="F113" s="11">
        <v>10</v>
      </c>
      <c r="G113" s="176">
        <v>20</v>
      </c>
      <c r="H113" s="139"/>
      <c r="I113" s="139"/>
      <c r="J113" s="181"/>
      <c r="K113" s="182"/>
      <c r="L113" s="175"/>
      <c r="M113" s="175"/>
      <c r="N113" s="25"/>
    </row>
    <row r="114" spans="1:33" ht="21" customHeight="1" x14ac:dyDescent="0.55000000000000004">
      <c r="E114" s="38">
        <v>12</v>
      </c>
      <c r="F114" s="11">
        <v>11</v>
      </c>
      <c r="G114" s="176">
        <v>10</v>
      </c>
      <c r="H114" s="139"/>
      <c r="I114" s="139"/>
      <c r="J114" s="177"/>
      <c r="K114" s="178"/>
      <c r="L114" s="70"/>
      <c r="M114" s="70"/>
      <c r="N114" s="25"/>
    </row>
    <row r="115" spans="1:33" ht="21" customHeight="1" thickBot="1" x14ac:dyDescent="0.6">
      <c r="E115" s="38">
        <v>13</v>
      </c>
      <c r="F115" s="11">
        <v>12</v>
      </c>
      <c r="G115" s="173">
        <v>0</v>
      </c>
      <c r="H115" s="174"/>
      <c r="I115" s="174"/>
      <c r="J115" s="74"/>
      <c r="K115" s="75"/>
      <c r="L115" s="70"/>
      <c r="M115" s="70"/>
      <c r="N115" s="25"/>
    </row>
    <row r="116" spans="1:33" ht="21" customHeight="1" x14ac:dyDescent="0.55000000000000004">
      <c r="E116" s="38"/>
      <c r="F116" s="25"/>
      <c r="G116" s="25"/>
      <c r="H116" s="25"/>
      <c r="I116" s="25"/>
      <c r="J116" s="25"/>
      <c r="K116" s="25"/>
      <c r="L116" s="25"/>
      <c r="M116" s="25"/>
      <c r="N116" s="25"/>
    </row>
    <row r="118" spans="1:33" ht="21" customHeight="1" thickBot="1" x14ac:dyDescent="0.45">
      <c r="Q118" s="26" t="s">
        <v>191</v>
      </c>
    </row>
    <row r="119" spans="1:33" ht="21" customHeight="1" thickTop="1" thickBot="1" x14ac:dyDescent="0.6">
      <c r="A119" s="37" t="s">
        <v>190</v>
      </c>
      <c r="Q119" s="111" t="s">
        <v>753</v>
      </c>
      <c r="R119" s="112"/>
      <c r="S119" s="112"/>
      <c r="T119" s="113"/>
    </row>
    <row r="120" spans="1:33" ht="21" customHeight="1" thickTop="1" x14ac:dyDescent="0.55000000000000004">
      <c r="Q120" s="45" t="s">
        <v>187</v>
      </c>
    </row>
    <row r="121" spans="1:33" ht="21" customHeight="1" thickBot="1" x14ac:dyDescent="0.45">
      <c r="F121" s="26" t="s">
        <v>44</v>
      </c>
    </row>
    <row r="122" spans="1:33" ht="21" customHeight="1" thickTop="1" thickBot="1" x14ac:dyDescent="0.6">
      <c r="A122" s="37" t="s">
        <v>188</v>
      </c>
      <c r="F122" s="111" t="s">
        <v>754</v>
      </c>
      <c r="G122" s="112"/>
      <c r="H122" s="112"/>
      <c r="I122" s="113"/>
    </row>
    <row r="123" spans="1:33" ht="21" customHeight="1" thickTop="1" x14ac:dyDescent="0.55000000000000004">
      <c r="F123" s="45" t="s">
        <v>187</v>
      </c>
    </row>
    <row r="126" spans="1:33" ht="21" customHeight="1" x14ac:dyDescent="0.55000000000000004">
      <c r="D126" s="13" t="s">
        <v>35</v>
      </c>
      <c r="E126" s="12"/>
      <c r="F126" s="12"/>
      <c r="G126" s="12"/>
      <c r="H126" s="12"/>
      <c r="I126" s="12"/>
      <c r="J126" s="12"/>
      <c r="K126" s="12"/>
      <c r="L126" s="12"/>
      <c r="M126" s="12"/>
      <c r="N126" s="12"/>
      <c r="O126" s="12"/>
      <c r="P126" s="12"/>
      <c r="Q126" s="12"/>
      <c r="R126" s="12"/>
      <c r="S126" s="12"/>
      <c r="T126" s="12"/>
      <c r="U126" s="12"/>
      <c r="V126" s="12"/>
      <c r="W126" s="12"/>
      <c r="X126" s="12"/>
      <c r="Y126" s="12"/>
      <c r="Z126" s="12"/>
      <c r="AA126" s="12"/>
      <c r="AB126" s="12"/>
      <c r="AC126" s="12"/>
      <c r="AD126" s="12"/>
      <c r="AE126" s="12"/>
      <c r="AF126" s="12"/>
      <c r="AG126" s="12"/>
    </row>
    <row r="128" spans="1:33" ht="21" customHeight="1" thickBot="1" x14ac:dyDescent="0.6">
      <c r="F128" s="14" t="s">
        <v>30</v>
      </c>
      <c r="G128" s="11" t="s">
        <v>31</v>
      </c>
    </row>
    <row r="129" spans="6:14" ht="21" customHeight="1" x14ac:dyDescent="0.55000000000000004">
      <c r="F129" s="15"/>
      <c r="G129" s="16"/>
      <c r="H129" s="16"/>
      <c r="I129" s="16"/>
      <c r="J129" s="16"/>
      <c r="K129" s="16"/>
      <c r="L129" s="16"/>
      <c r="M129" s="16"/>
      <c r="N129" s="17"/>
    </row>
    <row r="130" spans="6:14" ht="21" customHeight="1" x14ac:dyDescent="0.55000000000000004">
      <c r="F130" s="18"/>
      <c r="N130" s="19"/>
    </row>
    <row r="131" spans="6:14" ht="21" customHeight="1" x14ac:dyDescent="0.55000000000000004">
      <c r="F131" s="18"/>
      <c r="N131" s="19"/>
    </row>
    <row r="132" spans="6:14" ht="21" customHeight="1" thickBot="1" x14ac:dyDescent="0.6">
      <c r="F132" s="20"/>
      <c r="G132" s="21"/>
      <c r="H132" s="21"/>
      <c r="I132" s="21"/>
      <c r="J132" s="21"/>
      <c r="K132" s="21"/>
      <c r="L132" s="21"/>
      <c r="M132" s="21"/>
      <c r="N132" s="22"/>
    </row>
    <row r="151" spans="1:8" ht="21" customHeight="1" x14ac:dyDescent="0.55000000000000004">
      <c r="H151" s="11" t="s">
        <v>81</v>
      </c>
    </row>
    <row r="153" spans="1:8" ht="21" customHeight="1" x14ac:dyDescent="0.55000000000000004">
      <c r="B153" s="11" t="s">
        <v>28</v>
      </c>
    </row>
    <row r="154" spans="1:8" ht="21" customHeight="1" x14ac:dyDescent="0.55000000000000004">
      <c r="A154" s="37" t="s">
        <v>133</v>
      </c>
    </row>
  </sheetData>
  <mergeCells count="49">
    <mergeCell ref="G103:I103"/>
    <mergeCell ref="J103:K103"/>
    <mergeCell ref="L103:M103"/>
    <mergeCell ref="F25:O25"/>
    <mergeCell ref="Q25:T25"/>
    <mergeCell ref="F40:O40"/>
    <mergeCell ref="Q40:R40"/>
    <mergeCell ref="Q60:R60"/>
    <mergeCell ref="G63:I63"/>
    <mergeCell ref="F64:I64"/>
    <mergeCell ref="F65:I65"/>
    <mergeCell ref="F66:I66"/>
    <mergeCell ref="Q69:T69"/>
    <mergeCell ref="Q98:R98"/>
    <mergeCell ref="G104:I104"/>
    <mergeCell ref="J104:K104"/>
    <mergeCell ref="L104:M104"/>
    <mergeCell ref="G105:I105"/>
    <mergeCell ref="J105:K105"/>
    <mergeCell ref="L105:M105"/>
    <mergeCell ref="G106:I106"/>
    <mergeCell ref="J106:K106"/>
    <mergeCell ref="L106:M106"/>
    <mergeCell ref="G107:I107"/>
    <mergeCell ref="J107:K107"/>
    <mergeCell ref="L107:M107"/>
    <mergeCell ref="G108:I108"/>
    <mergeCell ref="J108:K108"/>
    <mergeCell ref="L108:M108"/>
    <mergeCell ref="G109:I109"/>
    <mergeCell ref="J109:K109"/>
    <mergeCell ref="L109:M109"/>
    <mergeCell ref="G110:I110"/>
    <mergeCell ref="J110:K110"/>
    <mergeCell ref="L110:M110"/>
    <mergeCell ref="G111:I111"/>
    <mergeCell ref="J111:K111"/>
    <mergeCell ref="L111:M111"/>
    <mergeCell ref="G112:I112"/>
    <mergeCell ref="J112:K112"/>
    <mergeCell ref="L112:M112"/>
    <mergeCell ref="G113:I113"/>
    <mergeCell ref="J113:K113"/>
    <mergeCell ref="L113:M113"/>
    <mergeCell ref="G114:I114"/>
    <mergeCell ref="J114:K114"/>
    <mergeCell ref="G115:I115"/>
    <mergeCell ref="Q119:T119"/>
    <mergeCell ref="F122:I122"/>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0289" r:id="rId3" name="Button 1">
              <controlPr defaultSize="0" print="0" autoFill="0" autoPict="0" macro="[0]!設定_人口_ボタン1_Click">
                <anchor moveWithCells="1" sizeWithCells="1">
                  <from>
                    <xdr:col>6</xdr:col>
                    <xdr:colOff>82550</xdr:colOff>
                    <xdr:row>128</xdr:row>
                    <xdr:rowOff>184150</xdr:rowOff>
                  </from>
                  <to>
                    <xdr:col>12</xdr:col>
                    <xdr:colOff>139700</xdr:colOff>
                    <xdr:row>131</xdr:row>
                    <xdr:rowOff>57150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DC32B-3B44-4766-8A02-4BDB4B3AD2B6}">
  <sheetPr codeName="Sheet28"/>
  <dimension ref="A1:BT53"/>
  <sheetViews>
    <sheetView zoomScale="80" zoomScaleNormal="80" workbookViewId="0"/>
  </sheetViews>
  <sheetFormatPr defaultColWidth="3.5" defaultRowHeight="21.15" customHeight="1" x14ac:dyDescent="0.55000000000000004"/>
  <sheetData>
    <row r="1" spans="1:72" ht="21.15" customHeight="1" x14ac:dyDescent="0.55000000000000004">
      <c r="A1" s="78"/>
      <c r="B1" s="78"/>
      <c r="C1" s="78"/>
      <c r="D1" s="78"/>
      <c r="E1" s="78"/>
      <c r="F1" s="78"/>
      <c r="G1" s="78"/>
      <c r="H1" s="78"/>
      <c r="I1" s="78"/>
      <c r="J1" s="78"/>
      <c r="K1" s="78"/>
      <c r="L1" s="78"/>
      <c r="M1" s="78"/>
      <c r="N1" s="78"/>
      <c r="O1" s="78"/>
      <c r="P1" s="78"/>
      <c r="Q1" s="78"/>
      <c r="R1" s="78"/>
      <c r="S1" s="78"/>
      <c r="T1" s="78"/>
      <c r="U1" s="78"/>
      <c r="V1" s="78"/>
      <c r="W1" s="78"/>
      <c r="X1" s="78"/>
      <c r="Y1" s="78"/>
      <c r="Z1" s="78"/>
      <c r="AA1" s="78"/>
      <c r="AB1" s="78"/>
      <c r="AC1" s="78"/>
      <c r="AD1" s="78"/>
      <c r="AE1" s="78"/>
      <c r="AF1" s="78"/>
      <c r="AG1" s="78"/>
      <c r="AH1" s="78"/>
      <c r="AI1" s="78"/>
      <c r="AJ1" s="78"/>
      <c r="AK1" s="78"/>
      <c r="AL1" s="78"/>
      <c r="AM1" s="78"/>
      <c r="AN1" s="78"/>
      <c r="AO1" s="78"/>
      <c r="AP1" s="78"/>
      <c r="AQ1" s="78"/>
      <c r="AR1" s="78"/>
      <c r="AS1" s="78"/>
      <c r="AT1" s="78"/>
      <c r="AU1" s="78"/>
      <c r="AV1" s="78"/>
      <c r="AW1" s="78"/>
      <c r="AX1" s="78"/>
      <c r="AY1" s="78"/>
      <c r="AZ1" s="78"/>
      <c r="BA1" s="78"/>
      <c r="BB1" s="78"/>
      <c r="BC1" s="78"/>
      <c r="BD1" s="78"/>
      <c r="BE1" s="78"/>
      <c r="BF1" s="78"/>
      <c r="BG1" s="78"/>
      <c r="BH1" s="78"/>
      <c r="BI1" s="78"/>
      <c r="BJ1" s="78"/>
      <c r="BK1" s="78"/>
      <c r="BL1" s="78"/>
      <c r="BM1" s="78"/>
      <c r="BN1" s="78"/>
      <c r="BO1" s="78"/>
      <c r="BP1" s="78"/>
      <c r="BQ1" s="78"/>
      <c r="BR1" s="78"/>
      <c r="BS1" s="78"/>
      <c r="BT1" s="78"/>
    </row>
    <row r="2" spans="1:72" ht="21.15" customHeight="1" x14ac:dyDescent="0.55000000000000004">
      <c r="A2" s="78"/>
      <c r="B2" s="79"/>
      <c r="C2" s="79"/>
      <c r="D2" s="79"/>
      <c r="E2" s="79"/>
      <c r="F2" s="79"/>
      <c r="G2" s="79"/>
      <c r="H2" s="79"/>
      <c r="I2" s="79"/>
      <c r="J2" s="79"/>
      <c r="K2" s="79"/>
      <c r="L2" s="79"/>
      <c r="M2" s="79"/>
      <c r="N2" s="79"/>
      <c r="O2" s="79"/>
      <c r="P2" s="79"/>
      <c r="Q2" s="79"/>
      <c r="R2" s="79"/>
      <c r="S2" s="79"/>
      <c r="T2" s="79"/>
      <c r="U2" s="79"/>
      <c r="V2" s="79"/>
      <c r="W2" s="79"/>
      <c r="X2" s="79"/>
      <c r="Y2" s="79"/>
      <c r="Z2" s="79"/>
      <c r="AA2" s="79"/>
      <c r="AB2" s="79"/>
      <c r="AC2" s="79"/>
      <c r="AD2" s="79"/>
      <c r="AE2" s="79"/>
      <c r="AF2" s="79"/>
      <c r="AG2" s="79"/>
      <c r="AH2" s="79"/>
      <c r="AI2" s="79"/>
      <c r="AJ2" s="79"/>
      <c r="AK2" s="79"/>
      <c r="AL2" s="79"/>
      <c r="AM2" s="79"/>
      <c r="AN2" s="79"/>
      <c r="AO2" s="79"/>
      <c r="AP2" s="79"/>
      <c r="AQ2" s="79"/>
      <c r="AR2" s="79"/>
      <c r="AS2" s="79"/>
      <c r="AT2" s="79"/>
      <c r="AU2" s="79"/>
      <c r="AV2" s="79"/>
      <c r="AW2" s="79"/>
      <c r="AX2" s="79"/>
      <c r="AY2" s="79"/>
      <c r="AZ2" s="79"/>
      <c r="BA2" s="79"/>
      <c r="BB2" s="79"/>
      <c r="BC2" s="79"/>
      <c r="BD2" s="79"/>
      <c r="BE2" s="79"/>
      <c r="BF2" s="79"/>
      <c r="BG2" s="79"/>
      <c r="BH2" s="79"/>
      <c r="BI2" s="79"/>
      <c r="BJ2" s="79"/>
      <c r="BK2" s="79"/>
      <c r="BL2" s="79"/>
      <c r="BM2" s="79"/>
      <c r="BN2" s="79"/>
      <c r="BO2" s="79"/>
      <c r="BP2" s="79"/>
      <c r="BQ2" s="79"/>
      <c r="BR2" s="79"/>
      <c r="BS2" s="79"/>
      <c r="BT2" s="78"/>
    </row>
    <row r="3" spans="1:72" ht="21.15" customHeight="1" x14ac:dyDescent="0.55000000000000004">
      <c r="A3" s="78"/>
      <c r="B3" s="79"/>
      <c r="C3" s="79"/>
      <c r="D3" s="80"/>
      <c r="E3" s="80"/>
      <c r="F3" s="80"/>
      <c r="G3" s="81" t="s">
        <v>62</v>
      </c>
      <c r="H3" s="79"/>
      <c r="I3" s="79"/>
      <c r="J3" s="79"/>
      <c r="K3" s="81" t="s">
        <v>61</v>
      </c>
      <c r="L3" s="79"/>
      <c r="M3" s="79"/>
      <c r="N3" s="79"/>
      <c r="O3" s="81" t="s">
        <v>60</v>
      </c>
      <c r="P3" s="79"/>
      <c r="Q3" s="79"/>
      <c r="R3" s="79"/>
      <c r="S3" s="81" t="s">
        <v>59</v>
      </c>
      <c r="T3" s="79"/>
      <c r="U3" s="79"/>
      <c r="V3" s="79"/>
      <c r="W3" s="81" t="s">
        <v>58</v>
      </c>
      <c r="X3" s="79"/>
      <c r="Y3" s="79"/>
      <c r="Z3" s="79"/>
      <c r="AA3" s="81" t="s">
        <v>57</v>
      </c>
      <c r="AB3" s="79"/>
      <c r="AC3" s="79"/>
      <c r="AD3" s="79"/>
      <c r="AE3" s="81" t="s">
        <v>56</v>
      </c>
      <c r="AF3" s="79"/>
      <c r="AG3" s="79"/>
      <c r="AH3" s="79"/>
      <c r="AI3" s="81" t="s">
        <v>55</v>
      </c>
      <c r="AJ3" s="79"/>
      <c r="AK3" s="79"/>
      <c r="AL3" s="79"/>
      <c r="AM3" s="81" t="s">
        <v>54</v>
      </c>
      <c r="AN3" s="79"/>
      <c r="AO3" s="79"/>
      <c r="AP3" s="79"/>
      <c r="AQ3" s="81" t="s">
        <v>53</v>
      </c>
      <c r="AR3" s="79"/>
      <c r="AS3" s="79"/>
      <c r="AT3" s="79"/>
      <c r="AU3" s="81" t="s">
        <v>52</v>
      </c>
      <c r="AV3" s="79"/>
      <c r="AW3" s="79"/>
      <c r="AX3" s="79"/>
      <c r="AY3" s="81" t="s">
        <v>51</v>
      </c>
      <c r="AZ3" s="79"/>
      <c r="BA3" s="79"/>
      <c r="BB3" s="79"/>
      <c r="BC3" s="81" t="s">
        <v>50</v>
      </c>
      <c r="BD3" s="79"/>
      <c r="BE3" s="79"/>
      <c r="BF3" s="79"/>
      <c r="BG3" s="81" t="s">
        <v>49</v>
      </c>
      <c r="BH3" s="79"/>
      <c r="BI3" s="79"/>
      <c r="BJ3" s="79"/>
      <c r="BK3" s="81" t="s">
        <v>48</v>
      </c>
      <c r="BL3" s="79"/>
      <c r="BM3" s="79"/>
      <c r="BN3" s="79"/>
      <c r="BO3" s="81" t="s">
        <v>47</v>
      </c>
      <c r="BP3" s="79"/>
      <c r="BQ3" s="79"/>
      <c r="BR3" s="79"/>
      <c r="BS3" s="79"/>
      <c r="BT3" s="78"/>
    </row>
    <row r="4" spans="1:72" ht="21.15" customHeight="1" thickBot="1" x14ac:dyDescent="0.6">
      <c r="A4" s="78"/>
      <c r="B4" s="79"/>
      <c r="C4" s="80"/>
      <c r="D4" s="80"/>
      <c r="E4" s="80"/>
      <c r="F4" s="80"/>
      <c r="G4" s="79"/>
      <c r="H4" s="79"/>
      <c r="I4" s="79"/>
      <c r="J4" s="79"/>
      <c r="K4" s="79"/>
      <c r="L4" s="79"/>
      <c r="M4" s="79"/>
      <c r="N4" s="79"/>
      <c r="O4" s="79"/>
      <c r="P4" s="79"/>
      <c r="Q4" s="79"/>
      <c r="R4" s="79"/>
      <c r="S4" s="79"/>
      <c r="T4" s="79"/>
      <c r="U4" s="79"/>
      <c r="V4" s="79"/>
      <c r="W4" s="79"/>
      <c r="X4" s="79"/>
      <c r="Y4" s="79"/>
      <c r="Z4" s="79"/>
      <c r="AA4" s="79"/>
      <c r="AB4" s="79"/>
      <c r="AC4" s="79"/>
      <c r="AD4" s="79"/>
      <c r="AE4" s="79"/>
      <c r="AF4" s="79"/>
      <c r="AG4" s="79"/>
      <c r="AH4" s="79"/>
      <c r="AI4" s="79"/>
      <c r="AJ4" s="79"/>
      <c r="AK4" s="79"/>
      <c r="AL4" s="79"/>
      <c r="AM4" s="79"/>
      <c r="AN4" s="79"/>
      <c r="AO4" s="79"/>
      <c r="AP4" s="79"/>
      <c r="AQ4" s="79"/>
      <c r="AR4" s="79"/>
      <c r="AS4" s="79"/>
      <c r="AT4" s="79"/>
      <c r="AU4" s="79"/>
      <c r="AV4" s="79"/>
      <c r="AW4" s="79"/>
      <c r="AX4" s="79"/>
      <c r="AY4" s="79"/>
      <c r="AZ4" s="79"/>
      <c r="BA4" s="79"/>
      <c r="BB4" s="79"/>
      <c r="BC4" s="79"/>
      <c r="BD4" s="79"/>
      <c r="BE4" s="79"/>
      <c r="BF4" s="79"/>
      <c r="BG4" s="79"/>
      <c r="BH4" s="79"/>
      <c r="BI4" s="79"/>
      <c r="BJ4" s="79"/>
      <c r="BK4" s="79"/>
      <c r="BL4" s="79"/>
      <c r="BM4" s="79"/>
      <c r="BN4" s="79"/>
      <c r="BO4" s="79"/>
      <c r="BP4" s="79"/>
      <c r="BQ4" s="79"/>
      <c r="BR4" s="79"/>
      <c r="BS4" s="79"/>
      <c r="BT4" s="78"/>
    </row>
    <row r="5" spans="1:72" ht="21.15" customHeight="1" x14ac:dyDescent="0.55000000000000004">
      <c r="A5" s="78"/>
      <c r="B5" s="79"/>
      <c r="C5" s="80"/>
      <c r="D5" s="80"/>
      <c r="E5" s="80"/>
      <c r="F5" s="80"/>
      <c r="G5" s="79"/>
      <c r="H5" s="79"/>
      <c r="I5" s="79"/>
      <c r="J5" s="79"/>
      <c r="K5" s="79"/>
      <c r="L5" s="79"/>
      <c r="M5" s="79"/>
      <c r="N5" s="79"/>
      <c r="O5" s="79"/>
      <c r="P5" s="79"/>
      <c r="Q5" s="79"/>
      <c r="R5" s="79"/>
      <c r="S5" s="79"/>
      <c r="T5" s="79"/>
      <c r="U5" s="79"/>
      <c r="V5" s="79"/>
      <c r="W5" s="79"/>
      <c r="X5" s="79"/>
      <c r="Y5" s="79"/>
      <c r="Z5" s="79"/>
      <c r="AA5" s="79"/>
      <c r="AB5" s="79"/>
      <c r="AC5" s="79"/>
      <c r="AD5" s="79"/>
      <c r="AE5" s="79"/>
      <c r="AF5" s="79"/>
      <c r="AG5" s="79"/>
      <c r="AH5" s="79"/>
      <c r="AI5" s="79"/>
      <c r="AJ5" s="79"/>
      <c r="AK5" s="79"/>
      <c r="AL5" s="79"/>
      <c r="AM5" s="79"/>
      <c r="AN5" s="79"/>
      <c r="AO5" s="79"/>
      <c r="AP5" s="79"/>
      <c r="AQ5" s="79"/>
      <c r="AR5" s="79"/>
      <c r="AS5" s="79"/>
      <c r="AT5" s="79"/>
      <c r="AU5" s="79"/>
      <c r="AV5" s="79"/>
      <c r="AW5" s="79"/>
      <c r="AX5" s="79"/>
      <c r="AY5" s="79"/>
      <c r="AZ5" s="79"/>
      <c r="BA5" s="79"/>
      <c r="BB5" s="79"/>
      <c r="BC5" s="79"/>
      <c r="BD5" s="79"/>
      <c r="BE5" s="79"/>
      <c r="BF5" s="79"/>
      <c r="BG5" s="79"/>
      <c r="BH5" s="79"/>
      <c r="BI5" s="79"/>
      <c r="BJ5" s="79"/>
      <c r="BK5" s="79"/>
      <c r="BL5" s="79"/>
      <c r="BM5" s="79"/>
      <c r="BN5" s="104"/>
      <c r="BO5" s="142" t="s">
        <v>69</v>
      </c>
      <c r="BP5" s="142"/>
      <c r="BQ5" s="143"/>
      <c r="BR5" s="79"/>
      <c r="BS5" s="79"/>
      <c r="BT5" s="78"/>
    </row>
    <row r="6" spans="1:72" ht="21.15" customHeight="1" thickBot="1" x14ac:dyDescent="0.6">
      <c r="A6" s="78"/>
      <c r="B6" s="79"/>
      <c r="C6" s="80"/>
      <c r="D6" s="80"/>
      <c r="E6" s="80"/>
      <c r="F6" s="80"/>
      <c r="G6" s="79"/>
      <c r="H6" s="79"/>
      <c r="I6" s="79"/>
      <c r="J6" s="79"/>
      <c r="K6" s="79"/>
      <c r="L6" s="79"/>
      <c r="M6" s="79"/>
      <c r="N6" s="79"/>
      <c r="O6" s="79"/>
      <c r="P6" s="79"/>
      <c r="Q6" s="79"/>
      <c r="R6" s="79"/>
      <c r="S6" s="79"/>
      <c r="T6" s="79"/>
      <c r="U6" s="79"/>
      <c r="V6" s="79"/>
      <c r="W6" s="79"/>
      <c r="X6" s="79"/>
      <c r="Y6" s="79"/>
      <c r="Z6" s="79"/>
      <c r="AA6" s="79"/>
      <c r="AB6" s="79"/>
      <c r="AC6" s="79"/>
      <c r="AD6" s="79"/>
      <c r="AE6" s="79"/>
      <c r="AF6" s="79"/>
      <c r="AG6" s="79"/>
      <c r="AH6" s="79"/>
      <c r="AI6" s="79"/>
      <c r="AJ6" s="79"/>
      <c r="AK6" s="79"/>
      <c r="AL6" s="79"/>
      <c r="AM6" s="79"/>
      <c r="AN6" s="79"/>
      <c r="AO6" s="79"/>
      <c r="AP6" s="79"/>
      <c r="AQ6" s="79"/>
      <c r="AR6" s="79"/>
      <c r="AS6" s="79"/>
      <c r="AT6" s="79"/>
      <c r="AU6" s="79"/>
      <c r="AV6" s="79"/>
      <c r="AW6" s="79"/>
      <c r="AX6" s="79"/>
      <c r="AY6" s="79"/>
      <c r="AZ6" s="79"/>
      <c r="BA6" s="79"/>
      <c r="BB6" s="79"/>
      <c r="BC6" s="79"/>
      <c r="BD6" s="79"/>
      <c r="BE6" s="79"/>
      <c r="BF6" s="79"/>
      <c r="BG6" s="79"/>
      <c r="BH6" s="79"/>
      <c r="BI6" s="79"/>
      <c r="BJ6" s="79"/>
      <c r="BK6" s="79"/>
      <c r="BL6" s="79"/>
      <c r="BM6" s="79"/>
      <c r="BN6" s="230" t="s">
        <v>749</v>
      </c>
      <c r="BO6" s="218"/>
      <c r="BP6" s="218"/>
      <c r="BQ6" s="231"/>
      <c r="BR6" s="79"/>
      <c r="BS6" s="79"/>
      <c r="BT6" s="78"/>
    </row>
    <row r="7" spans="1:72" ht="21.15" customHeight="1" x14ac:dyDescent="0.55000000000000004">
      <c r="A7" s="78"/>
      <c r="B7" s="79"/>
      <c r="C7" s="81" t="s">
        <v>46</v>
      </c>
      <c r="D7" s="79"/>
      <c r="E7" s="79"/>
      <c r="F7" s="79"/>
      <c r="G7" s="79"/>
      <c r="H7" s="79"/>
      <c r="I7" s="79"/>
      <c r="J7" s="79"/>
      <c r="K7" s="82" t="s">
        <v>46</v>
      </c>
      <c r="L7" s="142" t="str">
        <f>VLOOKUP(K7,市町村データ!A2:P106,MATCH(手順書_大字_世帯密度!$G$63, 市町村データ!A1:P1, 0),FALSE)</f>
        <v>新座</v>
      </c>
      <c r="M7" s="154"/>
      <c r="N7" s="154"/>
      <c r="O7" s="83"/>
      <c r="P7" s="84"/>
      <c r="Q7" s="84"/>
      <c r="R7" s="84"/>
      <c r="S7" s="83"/>
      <c r="T7" s="84"/>
      <c r="U7" s="84"/>
      <c r="V7" s="84"/>
      <c r="W7" s="82" t="s">
        <v>63</v>
      </c>
      <c r="X7" s="142" t="str">
        <f>VLOOKUP(W7,市町村データ!A2:P106,MATCH(手順書_大字_世帯密度!$G$63, 市町村データ!A1:P1, 0),FALSE)</f>
        <v>北野</v>
      </c>
      <c r="Y7" s="154"/>
      <c r="Z7" s="159"/>
      <c r="AA7" s="82" t="s">
        <v>134</v>
      </c>
      <c r="AB7" s="142" t="str">
        <f>VLOOKUP(AA7,市町村データ!A2:P106,MATCH(手順書_大字_世帯密度!$G$63, 市町村データ!A1:P1, 0),FALSE)</f>
        <v>東北</v>
      </c>
      <c r="AC7" s="154"/>
      <c r="AD7" s="154"/>
      <c r="AE7" s="84"/>
      <c r="AF7" s="84"/>
      <c r="AG7" s="84"/>
      <c r="AH7" s="84"/>
      <c r="AI7" s="85"/>
      <c r="AJ7" s="79"/>
      <c r="AK7" s="79"/>
      <c r="AL7" s="79"/>
      <c r="AM7" s="86"/>
      <c r="AN7" s="79"/>
      <c r="AO7" s="79"/>
      <c r="AP7" s="79"/>
      <c r="AQ7" s="86"/>
      <c r="AR7" s="79"/>
      <c r="AS7" s="79"/>
      <c r="AT7" s="79"/>
      <c r="AU7" s="79"/>
      <c r="AV7" s="79"/>
      <c r="AW7" s="79"/>
      <c r="AX7" s="79"/>
      <c r="AY7" s="79"/>
      <c r="AZ7" s="79"/>
      <c r="BA7" s="79"/>
      <c r="BB7" s="79"/>
      <c r="BC7" s="79"/>
      <c r="BD7" s="79"/>
      <c r="BE7" s="79"/>
      <c r="BF7" s="79"/>
      <c r="BG7" s="79"/>
      <c r="BH7" s="79"/>
      <c r="BI7" s="79"/>
      <c r="BJ7" s="79"/>
      <c r="BK7" s="86"/>
      <c r="BL7" s="79"/>
      <c r="BM7" s="79"/>
      <c r="BN7" s="232" t="s">
        <v>752</v>
      </c>
      <c r="BO7" s="218"/>
      <c r="BP7" s="218"/>
      <c r="BQ7" s="231"/>
      <c r="BR7" s="79"/>
      <c r="BS7" s="79"/>
      <c r="BT7" s="78"/>
    </row>
    <row r="8" spans="1:72" ht="21.15" customHeight="1" thickBot="1" x14ac:dyDescent="0.6">
      <c r="A8" s="78"/>
      <c r="B8" s="79"/>
      <c r="C8" s="79"/>
      <c r="D8" s="79"/>
      <c r="E8" s="79"/>
      <c r="F8" s="79"/>
      <c r="G8" s="79"/>
      <c r="H8" s="79"/>
      <c r="I8" s="79"/>
      <c r="J8" s="79"/>
      <c r="K8" s="249">
        <f>VLOOKUP(K7,市町村データ!A2:P106,MATCH(手順書_大字_世帯密度!$F$64, 市町村データ!A1:P1, 0),FALSE)</f>
        <v>89.4</v>
      </c>
      <c r="L8" s="156"/>
      <c r="M8" s="156"/>
      <c r="N8" s="156"/>
      <c r="O8" s="87"/>
      <c r="P8" s="87"/>
      <c r="Q8" s="87"/>
      <c r="R8" s="87"/>
      <c r="S8" s="87"/>
      <c r="T8" s="87"/>
      <c r="U8" s="87"/>
      <c r="V8" s="87"/>
      <c r="W8" s="299">
        <f>VLOOKUP(W7,市町村データ!A2:P106,MATCH(手順書_大字_世帯密度!$F$64, 市町村データ!A1:P1, 0),FALSE)</f>
        <v>56.3</v>
      </c>
      <c r="X8" s="156"/>
      <c r="Y8" s="156"/>
      <c r="Z8" s="158"/>
      <c r="AA8" s="249">
        <f>VLOOKUP(AA7,市町村データ!A2:P106,MATCH(手順書_大字_世帯密度!$F$64, 市町村データ!A1:P1, 0),FALSE)</f>
        <v>88.1</v>
      </c>
      <c r="AB8" s="156"/>
      <c r="AC8" s="156"/>
      <c r="AD8" s="156"/>
      <c r="AE8" s="87"/>
      <c r="AF8" s="87"/>
      <c r="AG8" s="87"/>
      <c r="AH8" s="87"/>
      <c r="AI8" s="85"/>
      <c r="AJ8" s="79"/>
      <c r="AK8" s="79"/>
      <c r="AL8" s="79"/>
      <c r="AM8" s="87"/>
      <c r="AN8" s="87"/>
      <c r="AO8" s="87"/>
      <c r="AP8" s="87"/>
      <c r="AQ8" s="87"/>
      <c r="AR8" s="87"/>
      <c r="AS8" s="87"/>
      <c r="AT8" s="87"/>
      <c r="AU8" s="79"/>
      <c r="AV8" s="79"/>
      <c r="AW8" s="79"/>
      <c r="AX8" s="79"/>
      <c r="AY8" s="79"/>
      <c r="AZ8" s="79"/>
      <c r="BA8" s="79"/>
      <c r="BB8" s="79"/>
      <c r="BC8" s="79"/>
      <c r="BD8" s="79"/>
      <c r="BE8" s="79"/>
      <c r="BF8" s="79"/>
      <c r="BG8" s="79"/>
      <c r="BH8" s="79"/>
      <c r="BI8" s="79"/>
      <c r="BJ8" s="79"/>
      <c r="BK8" s="79"/>
      <c r="BL8" s="79"/>
      <c r="BM8" s="79"/>
      <c r="BN8" s="147" t="s">
        <v>625</v>
      </c>
      <c r="BO8" s="148"/>
      <c r="BP8" s="148"/>
      <c r="BQ8" s="149"/>
      <c r="BR8" s="79"/>
      <c r="BS8" s="88"/>
      <c r="BT8" s="78"/>
    </row>
    <row r="9" spans="1:72" ht="21.15" customHeight="1" thickBot="1" x14ac:dyDescent="0.6">
      <c r="A9" s="78"/>
      <c r="B9" s="79"/>
      <c r="C9" s="79"/>
      <c r="D9" s="79"/>
      <c r="E9" s="79"/>
      <c r="F9" s="79"/>
      <c r="G9" s="79"/>
      <c r="H9" s="79"/>
      <c r="I9" s="79"/>
      <c r="J9" s="79"/>
      <c r="K9" s="245">
        <f>VLOOKUP(K7,市町村データ!A2:P106,MATCH(手順書_大字_世帯密度!$F$65, 市町村データ!A1:P1, 0),FALSE)</f>
        <v>4202</v>
      </c>
      <c r="L9" s="156"/>
      <c r="M9" s="156"/>
      <c r="N9" s="156"/>
      <c r="O9" s="89"/>
      <c r="P9" s="89"/>
      <c r="Q9" s="89"/>
      <c r="R9" s="89"/>
      <c r="S9" s="89"/>
      <c r="T9" s="89"/>
      <c r="U9" s="89"/>
      <c r="V9" s="89"/>
      <c r="W9" s="300">
        <f>VLOOKUP(W7,市町村データ!A2:P106,MATCH(手順書_大字_世帯密度!$F$65, 市町村データ!A1:P1, 0),FALSE)</f>
        <v>3601</v>
      </c>
      <c r="X9" s="156"/>
      <c r="Y9" s="156"/>
      <c r="Z9" s="158"/>
      <c r="AA9" s="245">
        <f>VLOOKUP(AA7,市町村データ!A2:P106,MATCH(手順書_大字_世帯密度!$F$65, 市町村データ!A1:P1, 0),FALSE)</f>
        <v>4493</v>
      </c>
      <c r="AB9" s="156"/>
      <c r="AC9" s="156"/>
      <c r="AD9" s="156"/>
      <c r="AE9" s="87"/>
      <c r="AF9" s="87"/>
      <c r="AG9" s="87"/>
      <c r="AH9" s="87"/>
      <c r="AI9" s="85"/>
      <c r="AJ9" s="79"/>
      <c r="AK9" s="79"/>
      <c r="AL9" s="79"/>
      <c r="AM9" s="89"/>
      <c r="AN9" s="89"/>
      <c r="AO9" s="89"/>
      <c r="AP9" s="89"/>
      <c r="AQ9" s="89"/>
      <c r="AR9" s="89"/>
      <c r="AS9" s="89"/>
      <c r="AT9" s="89"/>
      <c r="AU9" s="79"/>
      <c r="AV9" s="79"/>
      <c r="AW9" s="79"/>
      <c r="AX9" s="79"/>
      <c r="AY9" s="79"/>
      <c r="AZ9" s="79"/>
      <c r="BA9" s="79"/>
      <c r="BB9" s="79"/>
      <c r="BC9" s="79"/>
      <c r="BD9" s="79"/>
      <c r="BE9" s="79"/>
      <c r="BF9" s="79"/>
      <c r="BG9" s="79"/>
      <c r="BH9" s="79"/>
      <c r="BI9" s="79"/>
      <c r="BJ9" s="79"/>
      <c r="BK9" s="79"/>
      <c r="BL9" s="79"/>
      <c r="BM9" s="79"/>
      <c r="BN9" s="79"/>
      <c r="BO9" s="79"/>
      <c r="BP9" s="79"/>
      <c r="BQ9" s="79"/>
      <c r="BR9" s="79"/>
      <c r="BS9" s="88"/>
      <c r="BT9" s="78"/>
    </row>
    <row r="10" spans="1:72" ht="21.15" customHeight="1" thickBot="1" x14ac:dyDescent="0.6">
      <c r="A10" s="78"/>
      <c r="B10" s="79"/>
      <c r="C10" s="79"/>
      <c r="D10" s="79"/>
      <c r="E10" s="79"/>
      <c r="F10" s="79"/>
      <c r="G10" s="79"/>
      <c r="H10" s="79"/>
      <c r="I10" s="79"/>
      <c r="J10" s="79"/>
      <c r="K10" s="247">
        <f>VLOOKUP(K7,市町村データ!A2:P106,MATCH(手順書_大字_世帯密度!$F$66, 市町村データ!A1:P1, 0),FALSE)</f>
        <v>47</v>
      </c>
      <c r="L10" s="153"/>
      <c r="M10" s="153"/>
      <c r="N10" s="153"/>
      <c r="O10" s="79"/>
      <c r="P10" s="79"/>
      <c r="Q10" s="79"/>
      <c r="R10" s="79"/>
      <c r="S10" s="79"/>
      <c r="T10" s="79"/>
      <c r="U10" s="79"/>
      <c r="V10" s="79"/>
      <c r="W10" s="312">
        <f>VLOOKUP(W7,市町村データ!A2:P106,MATCH(手順書_大字_世帯密度!$F$66, 市町村データ!A1:P1, 0),FALSE)</f>
        <v>64</v>
      </c>
      <c r="X10" s="156"/>
      <c r="Y10" s="156"/>
      <c r="Z10" s="158"/>
      <c r="AA10" s="247">
        <f>VLOOKUP(AA7,市町村データ!A2:P106,MATCH(手順書_大字_世帯密度!$F$66, 市町村データ!A1:P1, 0),FALSE)</f>
        <v>51</v>
      </c>
      <c r="AB10" s="153"/>
      <c r="AC10" s="153"/>
      <c r="AD10" s="153"/>
      <c r="AE10" s="79"/>
      <c r="AF10" s="79"/>
      <c r="AG10" s="79"/>
      <c r="AH10" s="79"/>
      <c r="AI10" s="85"/>
      <c r="AJ10" s="79"/>
      <c r="AK10" s="79"/>
      <c r="AL10" s="79"/>
      <c r="AM10" s="79"/>
      <c r="AN10" s="79"/>
      <c r="AO10" s="79"/>
      <c r="AP10" s="79"/>
      <c r="AQ10" s="79"/>
      <c r="AR10" s="79"/>
      <c r="AS10" s="79"/>
      <c r="AT10" s="79"/>
      <c r="AU10" s="79"/>
      <c r="AV10" s="79"/>
      <c r="AW10" s="79"/>
      <c r="AX10" s="79"/>
      <c r="AY10" s="79"/>
      <c r="AZ10" s="79"/>
      <c r="BA10" s="79"/>
      <c r="BB10" s="79"/>
      <c r="BC10" s="79"/>
      <c r="BD10" s="79"/>
      <c r="BE10" s="79"/>
      <c r="BF10" s="79"/>
      <c r="BG10" s="79"/>
      <c r="BH10" s="79"/>
      <c r="BI10" s="79"/>
      <c r="BJ10" s="79"/>
      <c r="BK10" s="79"/>
      <c r="BL10" s="79"/>
      <c r="BM10" s="79"/>
      <c r="BN10" s="233" t="s">
        <v>71</v>
      </c>
      <c r="BO10" s="234"/>
      <c r="BP10" s="234"/>
      <c r="BQ10" s="235" t="s">
        <v>70</v>
      </c>
      <c r="BR10" s="236"/>
      <c r="BS10" s="88"/>
      <c r="BT10" s="78"/>
    </row>
    <row r="11" spans="1:72" ht="21.15" customHeight="1" x14ac:dyDescent="0.55000000000000004">
      <c r="A11" s="78"/>
      <c r="B11" s="79"/>
      <c r="C11" s="81" t="s">
        <v>63</v>
      </c>
      <c r="D11" s="79"/>
      <c r="E11" s="79"/>
      <c r="F11" s="79"/>
      <c r="G11" s="82" t="s">
        <v>64</v>
      </c>
      <c r="H11" s="142" t="str">
        <f>VLOOKUP(G11,市町村データ!A2:P106,MATCH(手順書_大字_世帯密度!$G$63, 市町村データ!A1:P1, 0),FALSE)</f>
        <v>中野</v>
      </c>
      <c r="I11" s="154"/>
      <c r="J11" s="159"/>
      <c r="K11" s="82" t="s">
        <v>65</v>
      </c>
      <c r="L11" s="142" t="str">
        <f>VLOOKUP(K11,市町村データ!A2:P106,MATCH(手順書_大字_世帯密度!$G$63, 市町村データ!A1:P1, 0),FALSE)</f>
        <v>大和田</v>
      </c>
      <c r="M11" s="154"/>
      <c r="N11" s="154"/>
      <c r="O11" s="84"/>
      <c r="P11" s="84"/>
      <c r="Q11" s="84"/>
      <c r="R11" s="84"/>
      <c r="S11" s="90"/>
      <c r="T11" s="84"/>
      <c r="U11" s="84"/>
      <c r="V11" s="84"/>
      <c r="W11" s="85"/>
      <c r="X11" s="79"/>
      <c r="Y11" s="79"/>
      <c r="Z11" s="79"/>
      <c r="AA11" s="84"/>
      <c r="AB11" s="84"/>
      <c r="AC11" s="84"/>
      <c r="AD11" s="84"/>
      <c r="AE11" s="82" t="s">
        <v>66</v>
      </c>
      <c r="AF11" s="142" t="str">
        <f>VLOOKUP(AE11,市町村データ!A2:P106,MATCH(手順書_大字_世帯密度!$G$63, 市町村データ!A1:P1, 0),FALSE)</f>
        <v>東</v>
      </c>
      <c r="AG11" s="154"/>
      <c r="AH11" s="154"/>
      <c r="AI11" s="84"/>
      <c r="AJ11" s="84"/>
      <c r="AK11" s="84"/>
      <c r="AL11" s="84"/>
      <c r="AM11" s="84"/>
      <c r="AN11" s="84"/>
      <c r="AO11" s="84"/>
      <c r="AP11" s="84"/>
      <c r="AQ11" s="91"/>
      <c r="AR11" s="79"/>
      <c r="AS11" s="79"/>
      <c r="AT11" s="79"/>
      <c r="AU11" s="79"/>
      <c r="AV11" s="79"/>
      <c r="AW11" s="79"/>
      <c r="AX11" s="79"/>
      <c r="AY11" s="79"/>
      <c r="AZ11" s="79"/>
      <c r="BA11" s="79"/>
      <c r="BB11" s="79"/>
      <c r="BC11" s="79"/>
      <c r="BD11" s="79"/>
      <c r="BE11" s="79"/>
      <c r="BF11" s="79"/>
      <c r="BG11" s="79"/>
      <c r="BH11" s="79"/>
      <c r="BI11" s="79"/>
      <c r="BJ11" s="79"/>
      <c r="BK11" s="79"/>
      <c r="BL11" s="79"/>
      <c r="BM11" s="79"/>
      <c r="BN11" s="214">
        <v>110</v>
      </c>
      <c r="BO11" s="218"/>
      <c r="BP11" s="218"/>
      <c r="BQ11" s="227"/>
      <c r="BR11" s="217"/>
      <c r="BS11" s="88"/>
      <c r="BT11" s="78"/>
    </row>
    <row r="12" spans="1:72" ht="21.15" customHeight="1" x14ac:dyDescent="0.55000000000000004">
      <c r="A12" s="78"/>
      <c r="B12" s="79"/>
      <c r="C12" s="79"/>
      <c r="D12" s="79"/>
      <c r="E12" s="79"/>
      <c r="F12" s="79"/>
      <c r="G12" s="262">
        <f>VLOOKUP(G11,市町村データ!A2:P106,MATCH(手順書_大字_世帯密度!$F$64, 市町村データ!A1:P1, 0),FALSE)</f>
        <v>3.9</v>
      </c>
      <c r="H12" s="156"/>
      <c r="I12" s="156"/>
      <c r="J12" s="158"/>
      <c r="K12" s="263">
        <f>VLOOKUP(K11,市町村データ!A2:P106,MATCH(手順書_大字_世帯密度!$F$64, 市町村データ!A1:P1, 0),FALSE)</f>
        <v>24.3</v>
      </c>
      <c r="L12" s="156"/>
      <c r="M12" s="156"/>
      <c r="N12" s="156"/>
      <c r="O12" s="79"/>
      <c r="P12" s="79"/>
      <c r="Q12" s="79"/>
      <c r="R12" s="79"/>
      <c r="S12" s="87"/>
      <c r="T12" s="87"/>
      <c r="U12" s="87"/>
      <c r="V12" s="87"/>
      <c r="W12" s="92"/>
      <c r="X12" s="87"/>
      <c r="Y12" s="87"/>
      <c r="Z12" s="87"/>
      <c r="AA12" s="87"/>
      <c r="AB12" s="87"/>
      <c r="AC12" s="87"/>
      <c r="AD12" s="87"/>
      <c r="AE12" s="252">
        <f>VLOOKUP(AE11,市町村データ!A2:P106,MATCH(手順書_大字_世帯密度!$F$64, 市町村データ!A1:P1, 0),FALSE)</f>
        <v>70.900000000000006</v>
      </c>
      <c r="AF12" s="156"/>
      <c r="AG12" s="156"/>
      <c r="AH12" s="156"/>
      <c r="AI12" s="87"/>
      <c r="AJ12" s="87"/>
      <c r="AK12" s="87"/>
      <c r="AL12" s="87"/>
      <c r="AM12" s="87"/>
      <c r="AN12" s="87"/>
      <c r="AO12" s="87"/>
      <c r="AP12" s="87"/>
      <c r="AQ12" s="92"/>
      <c r="AR12" s="87"/>
      <c r="AS12" s="87"/>
      <c r="AT12" s="87"/>
      <c r="AU12" s="79"/>
      <c r="AV12" s="79"/>
      <c r="AW12" s="79"/>
      <c r="AX12" s="79"/>
      <c r="AY12" s="79"/>
      <c r="AZ12" s="79"/>
      <c r="BA12" s="79"/>
      <c r="BB12" s="79"/>
      <c r="BC12" s="79"/>
      <c r="BD12" s="79"/>
      <c r="BE12" s="79"/>
      <c r="BF12" s="79"/>
      <c r="BG12" s="79"/>
      <c r="BH12" s="79"/>
      <c r="BI12" s="79"/>
      <c r="BJ12" s="79"/>
      <c r="BK12" s="79"/>
      <c r="BL12" s="79"/>
      <c r="BM12" s="79"/>
      <c r="BN12" s="214">
        <v>100</v>
      </c>
      <c r="BO12" s="218"/>
      <c r="BP12" s="218"/>
      <c r="BQ12" s="228"/>
      <c r="BR12" s="217"/>
      <c r="BS12" s="88"/>
      <c r="BT12" s="78"/>
    </row>
    <row r="13" spans="1:72" ht="21.15" customHeight="1" x14ac:dyDescent="0.55000000000000004">
      <c r="A13" s="78"/>
      <c r="B13" s="79"/>
      <c r="C13" s="79"/>
      <c r="D13" s="79"/>
      <c r="E13" s="79"/>
      <c r="F13" s="79"/>
      <c r="G13" s="260">
        <f>VLOOKUP(G11,市町村データ!A2:P106,MATCH(手順書_大字_世帯密度!$F$65, 市町村データ!A1:P1, 0),FALSE)</f>
        <v>285</v>
      </c>
      <c r="H13" s="156"/>
      <c r="I13" s="156"/>
      <c r="J13" s="158"/>
      <c r="K13" s="261">
        <f>VLOOKUP(K11,市町村データ!A2:P106,MATCH(手順書_大字_世帯密度!$F$65, 市町村データ!A1:P1, 0),FALSE)</f>
        <v>4328</v>
      </c>
      <c r="L13" s="156"/>
      <c r="M13" s="156"/>
      <c r="N13" s="156"/>
      <c r="O13" s="79"/>
      <c r="P13" s="79"/>
      <c r="Q13" s="79"/>
      <c r="R13" s="79"/>
      <c r="S13" s="87"/>
      <c r="T13" s="87"/>
      <c r="U13" s="87"/>
      <c r="V13" s="87"/>
      <c r="W13" s="92"/>
      <c r="X13" s="87"/>
      <c r="Y13" s="87"/>
      <c r="Z13" s="87"/>
      <c r="AA13" s="87"/>
      <c r="AB13" s="87"/>
      <c r="AC13" s="87"/>
      <c r="AD13" s="87"/>
      <c r="AE13" s="250">
        <f>VLOOKUP(AE11,市町村データ!A2:P106,MATCH(手順書_大字_世帯密度!$F$65, 市町村データ!A1:P1, 0),FALSE)</f>
        <v>3330</v>
      </c>
      <c r="AF13" s="156"/>
      <c r="AG13" s="156"/>
      <c r="AH13" s="156"/>
      <c r="AI13" s="87"/>
      <c r="AJ13" s="87"/>
      <c r="AK13" s="87"/>
      <c r="AL13" s="87"/>
      <c r="AM13" s="87"/>
      <c r="AN13" s="87"/>
      <c r="AO13" s="87"/>
      <c r="AP13" s="87"/>
      <c r="AQ13" s="93"/>
      <c r="AR13" s="89"/>
      <c r="AS13" s="89"/>
      <c r="AT13" s="89"/>
      <c r="AU13" s="79"/>
      <c r="AV13" s="79"/>
      <c r="AW13" s="79"/>
      <c r="AX13" s="79"/>
      <c r="AY13" s="79"/>
      <c r="AZ13" s="79"/>
      <c r="BA13" s="79"/>
      <c r="BB13" s="79"/>
      <c r="BC13" s="79"/>
      <c r="BD13" s="79"/>
      <c r="BE13" s="79"/>
      <c r="BF13" s="79"/>
      <c r="BG13" s="79"/>
      <c r="BH13" s="79"/>
      <c r="BI13" s="79"/>
      <c r="BJ13" s="79"/>
      <c r="BK13" s="79"/>
      <c r="BL13" s="79"/>
      <c r="BM13" s="79"/>
      <c r="BN13" s="214">
        <v>90</v>
      </c>
      <c r="BO13" s="218"/>
      <c r="BP13" s="218"/>
      <c r="BQ13" s="229"/>
      <c r="BR13" s="217"/>
      <c r="BS13" s="88"/>
      <c r="BT13" s="78"/>
    </row>
    <row r="14" spans="1:72" ht="21.15" customHeight="1" thickBot="1" x14ac:dyDescent="0.6">
      <c r="A14" s="78"/>
      <c r="B14" s="79"/>
      <c r="C14" s="79"/>
      <c r="D14" s="79"/>
      <c r="E14" s="79"/>
      <c r="F14" s="79"/>
      <c r="G14" s="313">
        <f>VLOOKUP(G11,市町村データ!A2:P106,MATCH(手順書_大字_世帯密度!$F$66, 市町村データ!A1:P1, 0),FALSE)</f>
        <v>73.7</v>
      </c>
      <c r="H14" s="156"/>
      <c r="I14" s="156"/>
      <c r="J14" s="158"/>
      <c r="K14" s="311">
        <f>VLOOKUP(K11,市町村データ!A2:P106,MATCH(手順書_大字_世帯密度!$F$66, 市町村データ!A1:P1, 0),FALSE)</f>
        <v>178.2</v>
      </c>
      <c r="L14" s="156"/>
      <c r="M14" s="156"/>
      <c r="N14" s="156"/>
      <c r="O14" s="79"/>
      <c r="P14" s="79"/>
      <c r="Q14" s="79"/>
      <c r="R14" s="79"/>
      <c r="S14" s="79"/>
      <c r="T14" s="79"/>
      <c r="U14" s="79"/>
      <c r="V14" s="79"/>
      <c r="W14" s="85"/>
      <c r="X14" s="79"/>
      <c r="Y14" s="79"/>
      <c r="Z14" s="79"/>
      <c r="AA14" s="79"/>
      <c r="AB14" s="79"/>
      <c r="AC14" s="79"/>
      <c r="AD14" s="79"/>
      <c r="AE14" s="251">
        <f>VLOOKUP(AE11,市町村データ!A2:P106,MATCH(手順書_大字_世帯密度!$F$66, 市町村データ!A1:P1, 0),FALSE)</f>
        <v>47</v>
      </c>
      <c r="AF14" s="153"/>
      <c r="AG14" s="153"/>
      <c r="AH14" s="153"/>
      <c r="AI14" s="79"/>
      <c r="AJ14" s="79"/>
      <c r="AK14" s="79"/>
      <c r="AL14" s="79"/>
      <c r="AM14" s="79"/>
      <c r="AN14" s="79"/>
      <c r="AO14" s="79"/>
      <c r="AP14" s="79"/>
      <c r="AQ14" s="85"/>
      <c r="AR14" s="79"/>
      <c r="AS14" s="79"/>
      <c r="AT14" s="79"/>
      <c r="AU14" s="79"/>
      <c r="AV14" s="79"/>
      <c r="AW14" s="79"/>
      <c r="AX14" s="79"/>
      <c r="AY14" s="79"/>
      <c r="AZ14" s="79"/>
      <c r="BA14" s="79"/>
      <c r="BB14" s="79"/>
      <c r="BC14" s="79"/>
      <c r="BD14" s="79"/>
      <c r="BE14" s="79"/>
      <c r="BF14" s="79"/>
      <c r="BG14" s="79"/>
      <c r="BH14" s="79"/>
      <c r="BI14" s="79"/>
      <c r="BJ14" s="79"/>
      <c r="BK14" s="79"/>
      <c r="BL14" s="79"/>
      <c r="BM14" s="79"/>
      <c r="BN14" s="221">
        <v>80</v>
      </c>
      <c r="BO14" s="222"/>
      <c r="BP14" s="222"/>
      <c r="BQ14" s="223"/>
      <c r="BR14" s="217"/>
      <c r="BS14" s="88"/>
      <c r="BT14" s="78"/>
    </row>
    <row r="15" spans="1:72" ht="21.15" customHeight="1" x14ac:dyDescent="0.55000000000000004">
      <c r="A15" s="78"/>
      <c r="B15" s="79"/>
      <c r="C15" s="81" t="s">
        <v>134</v>
      </c>
      <c r="D15" s="79"/>
      <c r="E15" s="79"/>
      <c r="F15" s="79"/>
      <c r="G15" s="85"/>
      <c r="H15" s="79"/>
      <c r="I15" s="79"/>
      <c r="J15" s="79"/>
      <c r="K15" s="85"/>
      <c r="L15" s="79"/>
      <c r="M15" s="79"/>
      <c r="N15" s="79"/>
      <c r="O15" s="94"/>
      <c r="P15" s="79"/>
      <c r="Q15" s="79"/>
      <c r="R15" s="79"/>
      <c r="S15" s="94"/>
      <c r="T15" s="79"/>
      <c r="U15" s="79"/>
      <c r="V15" s="79"/>
      <c r="W15" s="82" t="s">
        <v>67</v>
      </c>
      <c r="X15" s="142" t="str">
        <f>VLOOKUP(W15,市町村データ!A2:P106,MATCH(手順書_大字_世帯密度!$G$63, 市町村データ!A1:P1, 0),FALSE)</f>
        <v>野火止</v>
      </c>
      <c r="Y15" s="154"/>
      <c r="Z15" s="154"/>
      <c r="AA15" s="84"/>
      <c r="AB15" s="84"/>
      <c r="AC15" s="84"/>
      <c r="AD15" s="84"/>
      <c r="AE15" s="84"/>
      <c r="AF15" s="84"/>
      <c r="AG15" s="84"/>
      <c r="AH15" s="84"/>
      <c r="AI15" s="84"/>
      <c r="AJ15" s="84"/>
      <c r="AK15" s="84"/>
      <c r="AL15" s="84"/>
      <c r="AM15" s="82" t="s">
        <v>68</v>
      </c>
      <c r="AN15" s="142" t="str">
        <f>VLOOKUP(AM15,市町村データ!A2:P106,MATCH(手順書_大字_世帯密度!$G$63, 市町村データ!A1:P1, 0),FALSE)</f>
        <v>畑中</v>
      </c>
      <c r="AO15" s="154"/>
      <c r="AP15" s="159"/>
      <c r="AQ15" s="91"/>
      <c r="AR15" s="79"/>
      <c r="AS15" s="79"/>
      <c r="AT15" s="79"/>
      <c r="AU15" s="79"/>
      <c r="AV15" s="79"/>
      <c r="AW15" s="79"/>
      <c r="AX15" s="79"/>
      <c r="AY15" s="79"/>
      <c r="AZ15" s="79"/>
      <c r="BA15" s="79"/>
      <c r="BB15" s="79"/>
      <c r="BC15" s="79"/>
      <c r="BD15" s="79"/>
      <c r="BE15" s="79"/>
      <c r="BF15" s="79"/>
      <c r="BG15" s="79"/>
      <c r="BH15" s="79"/>
      <c r="BI15" s="79"/>
      <c r="BJ15" s="79"/>
      <c r="BK15" s="86"/>
      <c r="BL15" s="79"/>
      <c r="BM15" s="79"/>
      <c r="BN15" s="214">
        <v>70</v>
      </c>
      <c r="BO15" s="218"/>
      <c r="BP15" s="218"/>
      <c r="BQ15" s="224"/>
      <c r="BR15" s="217"/>
      <c r="BS15" s="88"/>
      <c r="BT15" s="78"/>
    </row>
    <row r="16" spans="1:72" ht="21.15" customHeight="1" x14ac:dyDescent="0.55000000000000004">
      <c r="A16" s="78"/>
      <c r="B16" s="79"/>
      <c r="C16" s="79"/>
      <c r="D16" s="79"/>
      <c r="E16" s="79"/>
      <c r="F16" s="79"/>
      <c r="G16" s="92"/>
      <c r="H16" s="87"/>
      <c r="I16" s="87"/>
      <c r="J16" s="87"/>
      <c r="K16" s="92"/>
      <c r="L16" s="87"/>
      <c r="M16" s="87"/>
      <c r="N16" s="87"/>
      <c r="O16" s="87"/>
      <c r="P16" s="87"/>
      <c r="Q16" s="87"/>
      <c r="R16" s="87"/>
      <c r="S16" s="87"/>
      <c r="T16" s="87"/>
      <c r="U16" s="87"/>
      <c r="V16" s="87"/>
      <c r="W16" s="254">
        <f>VLOOKUP(W15,市町村データ!A2:P106,MATCH(手順書_大字_世帯密度!$F$64, 市町村データ!A1:P1, 0),FALSE)</f>
        <v>30.8</v>
      </c>
      <c r="X16" s="156"/>
      <c r="Y16" s="156"/>
      <c r="Z16" s="156"/>
      <c r="AA16" s="87"/>
      <c r="AB16" s="87"/>
      <c r="AC16" s="87"/>
      <c r="AD16" s="87"/>
      <c r="AE16" s="87"/>
      <c r="AF16" s="87"/>
      <c r="AG16" s="87"/>
      <c r="AH16" s="87"/>
      <c r="AI16" s="87"/>
      <c r="AJ16" s="87"/>
      <c r="AK16" s="87"/>
      <c r="AL16" s="87"/>
      <c r="AM16" s="254">
        <f>VLOOKUP(AM15,市町村データ!A2:P106,MATCH(手順書_大字_世帯密度!$F$64, 市町村データ!A1:P1, 0),FALSE)</f>
        <v>39.4</v>
      </c>
      <c r="AN16" s="156"/>
      <c r="AO16" s="156"/>
      <c r="AP16" s="158"/>
      <c r="AQ16" s="92"/>
      <c r="AR16" s="87"/>
      <c r="AS16" s="87"/>
      <c r="AT16" s="87"/>
      <c r="AU16" s="79"/>
      <c r="AV16" s="79"/>
      <c r="AW16" s="79"/>
      <c r="AX16" s="79"/>
      <c r="AY16" s="79"/>
      <c r="AZ16" s="79"/>
      <c r="BA16" s="79"/>
      <c r="BB16" s="79"/>
      <c r="BC16" s="79"/>
      <c r="BD16" s="79"/>
      <c r="BE16" s="79"/>
      <c r="BF16" s="79"/>
      <c r="BG16" s="79"/>
      <c r="BH16" s="79"/>
      <c r="BI16" s="79"/>
      <c r="BJ16" s="79"/>
      <c r="BK16" s="87"/>
      <c r="BL16" s="87"/>
      <c r="BM16" s="87"/>
      <c r="BN16" s="214">
        <v>60</v>
      </c>
      <c r="BO16" s="225"/>
      <c r="BP16" s="225"/>
      <c r="BQ16" s="226"/>
      <c r="BR16" s="217"/>
      <c r="BS16" s="88"/>
      <c r="BT16" s="78"/>
    </row>
    <row r="17" spans="1:72" ht="21.15" customHeight="1" x14ac:dyDescent="0.55000000000000004">
      <c r="A17" s="78"/>
      <c r="B17" s="79"/>
      <c r="C17" s="79"/>
      <c r="D17" s="79"/>
      <c r="E17" s="79"/>
      <c r="F17" s="79"/>
      <c r="G17" s="92"/>
      <c r="H17" s="87"/>
      <c r="I17" s="87"/>
      <c r="J17" s="87"/>
      <c r="K17" s="92"/>
      <c r="L17" s="87"/>
      <c r="M17" s="87"/>
      <c r="N17" s="87"/>
      <c r="O17" s="87"/>
      <c r="P17" s="87"/>
      <c r="Q17" s="87"/>
      <c r="R17" s="87"/>
      <c r="S17" s="87"/>
      <c r="T17" s="87"/>
      <c r="U17" s="87"/>
      <c r="V17" s="87"/>
      <c r="W17" s="255">
        <f>VLOOKUP(W15,市町村データ!A2:P106,MATCH(手順書_大字_世帯密度!$F$65, 市町村データ!A1:P1, 0),FALSE)</f>
        <v>15021</v>
      </c>
      <c r="X17" s="156"/>
      <c r="Y17" s="156"/>
      <c r="Z17" s="156"/>
      <c r="AA17" s="87"/>
      <c r="AB17" s="87"/>
      <c r="AC17" s="87"/>
      <c r="AD17" s="87"/>
      <c r="AE17" s="87"/>
      <c r="AF17" s="87"/>
      <c r="AG17" s="87"/>
      <c r="AH17" s="87"/>
      <c r="AI17" s="87"/>
      <c r="AJ17" s="87"/>
      <c r="AK17" s="87"/>
      <c r="AL17" s="87"/>
      <c r="AM17" s="255">
        <f>VLOOKUP(AM15,市町村データ!A2:P106,MATCH(手順書_大字_世帯密度!$F$65, 市町村データ!A1:P1, 0),FALSE)</f>
        <v>4562</v>
      </c>
      <c r="AN17" s="156"/>
      <c r="AO17" s="156"/>
      <c r="AP17" s="158"/>
      <c r="AQ17" s="93"/>
      <c r="AR17" s="89"/>
      <c r="AS17" s="89"/>
      <c r="AT17" s="89"/>
      <c r="AU17" s="79"/>
      <c r="AV17" s="79"/>
      <c r="AW17" s="79"/>
      <c r="AX17" s="79"/>
      <c r="AY17" s="79"/>
      <c r="AZ17" s="79"/>
      <c r="BA17" s="79"/>
      <c r="BB17" s="79"/>
      <c r="BC17" s="79"/>
      <c r="BD17" s="79"/>
      <c r="BE17" s="79"/>
      <c r="BF17" s="79"/>
      <c r="BG17" s="79"/>
      <c r="BH17" s="79"/>
      <c r="BI17" s="79"/>
      <c r="BJ17" s="79"/>
      <c r="BK17" s="89"/>
      <c r="BL17" s="89"/>
      <c r="BM17" s="89"/>
      <c r="BN17" s="214">
        <v>50</v>
      </c>
      <c r="BO17" s="215"/>
      <c r="BP17" s="215"/>
      <c r="BQ17" s="293"/>
      <c r="BR17" s="217"/>
      <c r="BS17" s="79"/>
      <c r="BT17" s="78"/>
    </row>
    <row r="18" spans="1:72" ht="21.15" customHeight="1" thickBot="1" x14ac:dyDescent="0.6">
      <c r="A18" s="78"/>
      <c r="B18" s="79"/>
      <c r="C18" s="79"/>
      <c r="D18" s="79"/>
      <c r="E18" s="79"/>
      <c r="F18" s="79"/>
      <c r="G18" s="85"/>
      <c r="H18" s="79"/>
      <c r="I18" s="79"/>
      <c r="J18" s="79"/>
      <c r="K18" s="85"/>
      <c r="L18" s="79"/>
      <c r="M18" s="79"/>
      <c r="N18" s="79"/>
      <c r="O18" s="79"/>
      <c r="P18" s="79"/>
      <c r="Q18" s="79"/>
      <c r="R18" s="79"/>
      <c r="S18" s="79"/>
      <c r="T18" s="79"/>
      <c r="U18" s="79"/>
      <c r="V18" s="79"/>
      <c r="W18" s="307">
        <f>VLOOKUP(W15,市町村データ!A2:P106,MATCH(手順書_大字_世帯密度!$F$66, 市町村データ!A1:P1, 0),FALSE)</f>
        <v>487.2</v>
      </c>
      <c r="X18" s="156"/>
      <c r="Y18" s="156"/>
      <c r="Z18" s="156"/>
      <c r="AA18" s="79"/>
      <c r="AB18" s="79"/>
      <c r="AC18" s="79"/>
      <c r="AD18" s="79"/>
      <c r="AE18" s="79"/>
      <c r="AF18" s="79"/>
      <c r="AG18" s="79"/>
      <c r="AH18" s="79"/>
      <c r="AI18" s="79"/>
      <c r="AJ18" s="79"/>
      <c r="AK18" s="79"/>
      <c r="AL18" s="79"/>
      <c r="AM18" s="307">
        <f>VLOOKUP(AM15,市町村データ!A2:P106,MATCH(手順書_大字_世帯密度!$F$66, 市町村データ!A1:P1, 0),FALSE)</f>
        <v>115.8</v>
      </c>
      <c r="AN18" s="156"/>
      <c r="AO18" s="156"/>
      <c r="AP18" s="158"/>
      <c r="AQ18" s="85"/>
      <c r="AR18" s="79"/>
      <c r="AS18" s="79"/>
      <c r="AT18" s="79"/>
      <c r="AU18" s="79"/>
      <c r="AV18" s="79"/>
      <c r="AW18" s="79"/>
      <c r="AX18" s="79"/>
      <c r="AY18" s="79"/>
      <c r="AZ18" s="79"/>
      <c r="BA18" s="79"/>
      <c r="BB18" s="79"/>
      <c r="BC18" s="79"/>
      <c r="BD18" s="79"/>
      <c r="BE18" s="79"/>
      <c r="BF18" s="79"/>
      <c r="BG18" s="79"/>
      <c r="BH18" s="79"/>
      <c r="BI18" s="79"/>
      <c r="BJ18" s="79"/>
      <c r="BK18" s="79"/>
      <c r="BL18" s="79"/>
      <c r="BM18" s="79"/>
      <c r="BN18" s="214">
        <v>40</v>
      </c>
      <c r="BO18" s="218"/>
      <c r="BP18" s="218"/>
      <c r="BQ18" s="294"/>
      <c r="BR18" s="217"/>
      <c r="BS18" s="79"/>
      <c r="BT18" s="78"/>
    </row>
    <row r="19" spans="1:72" ht="21.15" customHeight="1" x14ac:dyDescent="0.55000000000000004">
      <c r="A19" s="78"/>
      <c r="B19" s="79"/>
      <c r="C19" s="81" t="s">
        <v>64</v>
      </c>
      <c r="D19" s="79"/>
      <c r="E19" s="79"/>
      <c r="F19" s="79"/>
      <c r="G19" s="95"/>
      <c r="H19" s="84"/>
      <c r="I19" s="84"/>
      <c r="J19" s="84"/>
      <c r="K19" s="95"/>
      <c r="L19" s="84"/>
      <c r="M19" s="84"/>
      <c r="N19" s="84"/>
      <c r="O19" s="82" t="s">
        <v>516</v>
      </c>
      <c r="P19" s="142" t="str">
        <f>VLOOKUP(O19,市町村データ!A2:P106,MATCH(手順書_大字_世帯密度!$G$63, 市町村データ!A1:P1, 0),FALSE)</f>
        <v>菅沢</v>
      </c>
      <c r="Q19" s="154"/>
      <c r="R19" s="154"/>
      <c r="S19" s="84"/>
      <c r="T19" s="84"/>
      <c r="U19" s="84"/>
      <c r="V19" s="84"/>
      <c r="W19" s="85"/>
      <c r="X19" s="79"/>
      <c r="Y19" s="79"/>
      <c r="Z19" s="79"/>
      <c r="AA19" s="79"/>
      <c r="AB19" s="79"/>
      <c r="AC19" s="79"/>
      <c r="AD19" s="79"/>
      <c r="AE19" s="79"/>
      <c r="AF19" s="79"/>
      <c r="AG19" s="79"/>
      <c r="AH19" s="79"/>
      <c r="AI19" s="79"/>
      <c r="AJ19" s="79"/>
      <c r="AK19" s="79"/>
      <c r="AL19" s="79"/>
      <c r="AM19" s="85"/>
      <c r="AN19" s="79"/>
      <c r="AO19" s="79"/>
      <c r="AP19" s="79"/>
      <c r="AQ19" s="84"/>
      <c r="AR19" s="84"/>
      <c r="AS19" s="84"/>
      <c r="AT19" s="84"/>
      <c r="AU19" s="91"/>
      <c r="AV19" s="79"/>
      <c r="AW19" s="79"/>
      <c r="AX19" s="79"/>
      <c r="AY19" s="86"/>
      <c r="AZ19" s="79"/>
      <c r="BA19" s="79"/>
      <c r="BB19" s="79"/>
      <c r="BC19" s="86"/>
      <c r="BD19" s="79"/>
      <c r="BE19" s="79"/>
      <c r="BF19" s="79"/>
      <c r="BG19" s="86"/>
      <c r="BH19" s="79"/>
      <c r="BI19" s="79"/>
      <c r="BJ19" s="79"/>
      <c r="BK19" s="86"/>
      <c r="BL19" s="79"/>
      <c r="BM19" s="79"/>
      <c r="BN19" s="214">
        <v>30</v>
      </c>
      <c r="BO19" s="218"/>
      <c r="BP19" s="218"/>
      <c r="BQ19" s="216"/>
      <c r="BR19" s="217"/>
      <c r="BS19" s="79"/>
      <c r="BT19" s="78"/>
    </row>
    <row r="20" spans="1:72" ht="21.15" customHeight="1" x14ac:dyDescent="0.55000000000000004">
      <c r="A20" s="78"/>
      <c r="B20" s="79"/>
      <c r="C20" s="79"/>
      <c r="D20" s="79"/>
      <c r="E20" s="79"/>
      <c r="F20" s="79"/>
      <c r="G20" s="87"/>
      <c r="H20" s="87"/>
      <c r="I20" s="87"/>
      <c r="J20" s="87"/>
      <c r="K20" s="87"/>
      <c r="L20" s="87"/>
      <c r="M20" s="87"/>
      <c r="N20" s="87"/>
      <c r="O20" s="262">
        <f>VLOOKUP(O19,市町村データ!A2:P106,MATCH(手順書_大字_世帯密度!$F$64, 市町村データ!A1:P1, 0),FALSE)</f>
        <v>8.4</v>
      </c>
      <c r="P20" s="156"/>
      <c r="Q20" s="156"/>
      <c r="R20" s="156"/>
      <c r="S20" s="87"/>
      <c r="T20" s="87"/>
      <c r="U20" s="87"/>
      <c r="V20" s="87"/>
      <c r="W20" s="92"/>
      <c r="X20" s="87"/>
      <c r="Y20" s="87"/>
      <c r="Z20" s="87"/>
      <c r="AA20" s="87"/>
      <c r="AB20" s="87"/>
      <c r="AC20" s="87"/>
      <c r="AD20" s="87"/>
      <c r="AE20" s="87"/>
      <c r="AF20" s="87"/>
      <c r="AG20" s="87"/>
      <c r="AH20" s="87"/>
      <c r="AI20" s="87"/>
      <c r="AJ20" s="87"/>
      <c r="AK20" s="87"/>
      <c r="AL20" s="87"/>
      <c r="AM20" s="92"/>
      <c r="AN20" s="87"/>
      <c r="AO20" s="87"/>
      <c r="AP20" s="87"/>
      <c r="AQ20" s="87"/>
      <c r="AR20" s="87"/>
      <c r="AS20" s="87"/>
      <c r="AT20" s="87"/>
      <c r="AU20" s="92"/>
      <c r="AV20" s="87"/>
      <c r="AW20" s="87"/>
      <c r="AX20" s="87"/>
      <c r="AY20" s="87"/>
      <c r="AZ20" s="87"/>
      <c r="BA20" s="87"/>
      <c r="BB20" s="87"/>
      <c r="BC20" s="87"/>
      <c r="BD20" s="87"/>
      <c r="BE20" s="87"/>
      <c r="BF20" s="87"/>
      <c r="BG20" s="87"/>
      <c r="BH20" s="87"/>
      <c r="BI20" s="87"/>
      <c r="BJ20" s="87"/>
      <c r="BK20" s="87"/>
      <c r="BL20" s="87"/>
      <c r="BM20" s="87"/>
      <c r="BN20" s="214">
        <v>20</v>
      </c>
      <c r="BO20" s="225"/>
      <c r="BP20" s="225"/>
      <c r="BQ20" s="219"/>
      <c r="BR20" s="217"/>
      <c r="BS20" s="79"/>
      <c r="BT20" s="78"/>
    </row>
    <row r="21" spans="1:72" ht="21.15" customHeight="1" x14ac:dyDescent="0.55000000000000004">
      <c r="A21" s="78"/>
      <c r="B21" s="79"/>
      <c r="C21" s="79"/>
      <c r="D21" s="79"/>
      <c r="E21" s="79"/>
      <c r="F21" s="79"/>
      <c r="G21" s="89"/>
      <c r="H21" s="89"/>
      <c r="I21" s="89"/>
      <c r="J21" s="89"/>
      <c r="K21" s="89"/>
      <c r="L21" s="89"/>
      <c r="M21" s="89"/>
      <c r="N21" s="89"/>
      <c r="O21" s="260">
        <f>VLOOKUP(O19,市町村データ!A2:P106,MATCH(手順書_大字_世帯密度!$F$65, 市町村データ!A1:P1, 0),FALSE)</f>
        <v>692</v>
      </c>
      <c r="P21" s="156"/>
      <c r="Q21" s="156"/>
      <c r="R21" s="156"/>
      <c r="S21" s="87"/>
      <c r="T21" s="87"/>
      <c r="U21" s="87"/>
      <c r="V21" s="87"/>
      <c r="W21" s="92"/>
      <c r="X21" s="87"/>
      <c r="Y21" s="87"/>
      <c r="Z21" s="87"/>
      <c r="AA21" s="87"/>
      <c r="AB21" s="87"/>
      <c r="AC21" s="87"/>
      <c r="AD21" s="87"/>
      <c r="AE21" s="87"/>
      <c r="AF21" s="87"/>
      <c r="AG21" s="87"/>
      <c r="AH21" s="87"/>
      <c r="AI21" s="87"/>
      <c r="AJ21" s="87"/>
      <c r="AK21" s="87"/>
      <c r="AL21" s="87"/>
      <c r="AM21" s="92"/>
      <c r="AN21" s="87"/>
      <c r="AO21" s="87"/>
      <c r="AP21" s="87"/>
      <c r="AQ21" s="87"/>
      <c r="AR21" s="87"/>
      <c r="AS21" s="87"/>
      <c r="AT21" s="87"/>
      <c r="AU21" s="93"/>
      <c r="AV21" s="89"/>
      <c r="AW21" s="89"/>
      <c r="AX21" s="89"/>
      <c r="AY21" s="89"/>
      <c r="AZ21" s="89"/>
      <c r="BA21" s="89"/>
      <c r="BB21" s="89"/>
      <c r="BC21" s="89"/>
      <c r="BD21" s="89"/>
      <c r="BE21" s="89"/>
      <c r="BF21" s="89"/>
      <c r="BG21" s="89"/>
      <c r="BH21" s="89"/>
      <c r="BI21" s="89"/>
      <c r="BJ21" s="89"/>
      <c r="BK21" s="89"/>
      <c r="BL21" s="89"/>
      <c r="BM21" s="89"/>
      <c r="BN21" s="214">
        <v>10</v>
      </c>
      <c r="BO21" s="215"/>
      <c r="BP21" s="215"/>
      <c r="BQ21" s="220"/>
      <c r="BR21" s="217"/>
      <c r="BS21" s="79"/>
      <c r="BT21" s="78"/>
    </row>
    <row r="22" spans="1:72" ht="21.15" customHeight="1" thickBot="1" x14ac:dyDescent="0.6">
      <c r="A22" s="78"/>
      <c r="B22" s="79"/>
      <c r="C22" s="79"/>
      <c r="D22" s="79"/>
      <c r="E22" s="79"/>
      <c r="F22" s="79"/>
      <c r="G22" s="79"/>
      <c r="H22" s="79"/>
      <c r="I22" s="79"/>
      <c r="J22" s="79"/>
      <c r="K22" s="79"/>
      <c r="L22" s="79"/>
      <c r="M22" s="79"/>
      <c r="N22" s="79"/>
      <c r="O22" s="256">
        <f>VLOOKUP(O19,市町村データ!A2:P106,MATCH(手順書_大字_世帯密度!$F$66, 市町村データ!A1:P1, 0),FALSE)</f>
        <v>82.1</v>
      </c>
      <c r="P22" s="153"/>
      <c r="Q22" s="153"/>
      <c r="R22" s="153"/>
      <c r="S22" s="79"/>
      <c r="T22" s="79"/>
      <c r="U22" s="79"/>
      <c r="V22" s="79"/>
      <c r="W22" s="85"/>
      <c r="X22" s="79"/>
      <c r="Y22" s="79"/>
      <c r="Z22" s="79"/>
      <c r="AA22" s="79"/>
      <c r="AB22" s="79"/>
      <c r="AC22" s="79"/>
      <c r="AD22" s="79"/>
      <c r="AE22" s="79"/>
      <c r="AF22" s="79"/>
      <c r="AG22" s="79"/>
      <c r="AH22" s="79"/>
      <c r="AI22" s="79"/>
      <c r="AJ22" s="79"/>
      <c r="AK22" s="79"/>
      <c r="AL22" s="79"/>
      <c r="AM22" s="85"/>
      <c r="AN22" s="79"/>
      <c r="AO22" s="79"/>
      <c r="AP22" s="79"/>
      <c r="AQ22" s="79"/>
      <c r="AR22" s="79"/>
      <c r="AS22" s="79"/>
      <c r="AT22" s="79"/>
      <c r="AU22" s="85"/>
      <c r="AV22" s="79"/>
      <c r="AW22" s="79"/>
      <c r="AX22" s="79"/>
      <c r="AY22" s="79"/>
      <c r="AZ22" s="79"/>
      <c r="BA22" s="79"/>
      <c r="BB22" s="79"/>
      <c r="BC22" s="79"/>
      <c r="BD22" s="79"/>
      <c r="BE22" s="79"/>
      <c r="BF22" s="79"/>
      <c r="BG22" s="79"/>
      <c r="BH22" s="79"/>
      <c r="BI22" s="79"/>
      <c r="BJ22" s="79"/>
      <c r="BK22" s="79"/>
      <c r="BL22" s="79"/>
      <c r="BM22" s="79"/>
      <c r="BN22" s="210">
        <v>0</v>
      </c>
      <c r="BO22" s="148"/>
      <c r="BP22" s="148"/>
      <c r="BQ22" s="107"/>
      <c r="BR22" s="108"/>
      <c r="BS22" s="79"/>
      <c r="BT22" s="78"/>
    </row>
    <row r="23" spans="1:72" ht="21.15" customHeight="1" x14ac:dyDescent="0.55000000000000004">
      <c r="A23" s="78"/>
      <c r="B23" s="79"/>
      <c r="C23" s="81" t="s">
        <v>65</v>
      </c>
      <c r="D23" s="79"/>
      <c r="E23" s="79"/>
      <c r="F23" s="79"/>
      <c r="G23" s="79"/>
      <c r="H23" s="79"/>
      <c r="I23" s="79"/>
      <c r="J23" s="79"/>
      <c r="K23" s="79"/>
      <c r="L23" s="79"/>
      <c r="M23" s="79"/>
      <c r="N23" s="79"/>
      <c r="O23" s="82" t="s">
        <v>518</v>
      </c>
      <c r="P23" s="142" t="str">
        <f>VLOOKUP(O23,市町村データ!A2:P106,MATCH(手順書_大字_世帯密度!$G$63, 市町村データ!A1:P1, 0),FALSE)</f>
        <v>あたご</v>
      </c>
      <c r="Q23" s="154"/>
      <c r="R23" s="154"/>
      <c r="S23" s="84"/>
      <c r="T23" s="84"/>
      <c r="U23" s="84"/>
      <c r="V23" s="84"/>
      <c r="W23" s="84"/>
      <c r="X23" s="84"/>
      <c r="Y23" s="84"/>
      <c r="Z23" s="84"/>
      <c r="AA23" s="82" t="s">
        <v>520</v>
      </c>
      <c r="AB23" s="142" t="str">
        <f>VLOOKUP(AA23,市町村データ!A2:P106,MATCH(手順書_大字_世帯密度!$G$63, 市町村データ!A1:P1, 0),FALSE)</f>
        <v>本多</v>
      </c>
      <c r="AC23" s="154"/>
      <c r="AD23" s="154"/>
      <c r="AE23" s="84"/>
      <c r="AF23" s="84"/>
      <c r="AG23" s="84"/>
      <c r="AH23" s="84"/>
      <c r="AI23" s="82" t="s">
        <v>533</v>
      </c>
      <c r="AJ23" s="142" t="str">
        <f>VLOOKUP(AI23,市町村データ!A2:P106,MATCH(手順書_大字_世帯密度!$G$63, 市町村データ!A1:P1, 0),FALSE)</f>
        <v>堀ノ内</v>
      </c>
      <c r="AK23" s="154"/>
      <c r="AL23" s="159"/>
      <c r="AM23" s="82" t="s">
        <v>536</v>
      </c>
      <c r="AN23" s="142" t="str">
        <f>VLOOKUP(AM23,市町村データ!A2:P106,MATCH(手順書_大字_世帯密度!$G$63, 市町村データ!A1:P1, 0),FALSE)</f>
        <v>馬場</v>
      </c>
      <c r="AO23" s="154"/>
      <c r="AP23" s="154"/>
      <c r="AQ23" s="84"/>
      <c r="AR23" s="84"/>
      <c r="AS23" s="84"/>
      <c r="AT23" s="84"/>
      <c r="AU23" s="82" t="s">
        <v>539</v>
      </c>
      <c r="AV23" s="142" t="str">
        <f>VLOOKUP(AU23,市町村データ!A2:P106,MATCH(手順書_大字_世帯密度!$G$63, 市町村データ!A1:P1, 0),FALSE)</f>
        <v>新塚</v>
      </c>
      <c r="AW23" s="154"/>
      <c r="AX23" s="154"/>
      <c r="AY23" s="84"/>
      <c r="AZ23" s="84"/>
      <c r="BA23" s="84"/>
      <c r="BB23" s="84"/>
      <c r="BC23" s="91"/>
      <c r="BD23" s="79"/>
      <c r="BE23" s="79"/>
      <c r="BF23" s="79"/>
      <c r="BG23" s="86"/>
      <c r="BH23" s="79"/>
      <c r="BI23" s="79"/>
      <c r="BJ23" s="79"/>
      <c r="BK23" s="79"/>
      <c r="BL23" s="79"/>
      <c r="BM23" s="79"/>
      <c r="BN23" s="79"/>
      <c r="BO23" s="86"/>
      <c r="BP23" s="79"/>
      <c r="BQ23" s="79"/>
      <c r="BR23" s="79"/>
      <c r="BS23" s="79"/>
      <c r="BT23" s="78"/>
    </row>
    <row r="24" spans="1:72" ht="21.15" customHeight="1" x14ac:dyDescent="0.55000000000000004">
      <c r="A24" s="78"/>
      <c r="B24" s="79"/>
      <c r="C24" s="79"/>
      <c r="D24" s="79"/>
      <c r="E24" s="79"/>
      <c r="F24" s="79"/>
      <c r="G24" s="79"/>
      <c r="H24" s="79"/>
      <c r="I24" s="79"/>
      <c r="J24" s="79"/>
      <c r="K24" s="79"/>
      <c r="L24" s="79"/>
      <c r="M24" s="79"/>
      <c r="N24" s="79"/>
      <c r="O24" s="264">
        <f>VLOOKUP(O23,市町村データ!A2:P106,MATCH(手順書_大字_世帯密度!$F$64, 市町村データ!A1:P1, 0),FALSE)</f>
        <v>13.1</v>
      </c>
      <c r="P24" s="156"/>
      <c r="Q24" s="156"/>
      <c r="R24" s="156"/>
      <c r="S24" s="87"/>
      <c r="T24" s="87"/>
      <c r="U24" s="87"/>
      <c r="V24" s="87"/>
      <c r="W24" s="87"/>
      <c r="X24" s="87"/>
      <c r="Y24" s="87"/>
      <c r="Z24" s="87"/>
      <c r="AA24" s="262">
        <f>VLOOKUP(AA23,市町村データ!A2:P106,MATCH(手順書_大字_世帯密度!$F$64, 市町村データ!A1:P1, 0),FALSE)</f>
        <v>6.7</v>
      </c>
      <c r="AB24" s="156"/>
      <c r="AC24" s="156"/>
      <c r="AD24" s="156"/>
      <c r="AE24" s="87"/>
      <c r="AF24" s="87"/>
      <c r="AG24" s="87"/>
      <c r="AH24" s="87"/>
      <c r="AI24" s="264">
        <f>VLOOKUP(AI23,市町村データ!A2:P106,MATCH(手順書_大字_世帯密度!$F$64, 市町村データ!A1:P1, 0),FALSE)</f>
        <v>9.9</v>
      </c>
      <c r="AJ24" s="156"/>
      <c r="AK24" s="156"/>
      <c r="AL24" s="158"/>
      <c r="AM24" s="263">
        <f>VLOOKUP(AM23,市町村データ!A2:P106,MATCH(手順書_大字_世帯密度!$F$64, 市町村データ!A1:P1, 0),FALSE)</f>
        <v>20.9</v>
      </c>
      <c r="AN24" s="156"/>
      <c r="AO24" s="156"/>
      <c r="AP24" s="156"/>
      <c r="AQ24" s="87"/>
      <c r="AR24" s="87"/>
      <c r="AS24" s="87"/>
      <c r="AT24" s="87"/>
      <c r="AU24" s="262">
        <f>VLOOKUP(AU23,市町村データ!A2:P106,MATCH(手順書_大字_世帯密度!$F$64, 市町村データ!A1:P1, 0),FALSE)</f>
        <v>9</v>
      </c>
      <c r="AV24" s="156"/>
      <c r="AW24" s="156"/>
      <c r="AX24" s="156"/>
      <c r="AY24" s="87"/>
      <c r="AZ24" s="87"/>
      <c r="BA24" s="87"/>
      <c r="BB24" s="87"/>
      <c r="BC24" s="92"/>
      <c r="BD24" s="87"/>
      <c r="BE24" s="87"/>
      <c r="BF24" s="87"/>
      <c r="BG24" s="87"/>
      <c r="BH24" s="87"/>
      <c r="BI24" s="87"/>
      <c r="BJ24" s="87"/>
      <c r="BK24" s="79"/>
      <c r="BL24" s="79"/>
      <c r="BM24" s="79"/>
      <c r="BN24" s="79"/>
      <c r="BO24" s="87"/>
      <c r="BP24" s="50"/>
      <c r="BQ24" s="50"/>
      <c r="BR24" s="50"/>
      <c r="BS24" s="79"/>
      <c r="BT24" s="78"/>
    </row>
    <row r="25" spans="1:72" ht="21.15" customHeight="1" x14ac:dyDescent="0.55000000000000004">
      <c r="A25" s="78"/>
      <c r="B25" s="79"/>
      <c r="C25" s="79"/>
      <c r="D25" s="79"/>
      <c r="E25" s="79"/>
      <c r="F25" s="79"/>
      <c r="G25" s="79"/>
      <c r="H25" s="79"/>
      <c r="I25" s="79"/>
      <c r="J25" s="79"/>
      <c r="K25" s="79"/>
      <c r="L25" s="79"/>
      <c r="M25" s="79"/>
      <c r="N25" s="79"/>
      <c r="O25" s="259">
        <f>VLOOKUP(O23,市町村データ!A2:P106,MATCH(手順書_大字_世帯密度!$F$65, 市町村データ!A1:P1, 0),FALSE)</f>
        <v>730</v>
      </c>
      <c r="P25" s="156"/>
      <c r="Q25" s="156"/>
      <c r="R25" s="156"/>
      <c r="S25" s="87"/>
      <c r="T25" s="87"/>
      <c r="U25" s="87"/>
      <c r="V25" s="87"/>
      <c r="W25" s="87"/>
      <c r="X25" s="87"/>
      <c r="Y25" s="87"/>
      <c r="Z25" s="87"/>
      <c r="AA25" s="260">
        <f>VLOOKUP(AA23,市町村データ!A2:P106,MATCH(手順書_大字_世帯密度!$F$65, 市町村データ!A1:P1, 0),FALSE)</f>
        <v>622</v>
      </c>
      <c r="AB25" s="156"/>
      <c r="AC25" s="156"/>
      <c r="AD25" s="156"/>
      <c r="AE25" s="87"/>
      <c r="AF25" s="87"/>
      <c r="AG25" s="87"/>
      <c r="AH25" s="87"/>
      <c r="AI25" s="259">
        <f>VLOOKUP(AI23,市町村データ!A2:P106,MATCH(手順書_大字_世帯密度!$F$65, 市町村データ!A1:P1, 0),FALSE)</f>
        <v>778</v>
      </c>
      <c r="AJ25" s="156"/>
      <c r="AK25" s="156"/>
      <c r="AL25" s="158"/>
      <c r="AM25" s="261">
        <f>VLOOKUP(AM23,市町村データ!A2:P106,MATCH(手順書_大字_世帯密度!$F$65, 市町村データ!A1:P1, 0),FALSE)</f>
        <v>2637</v>
      </c>
      <c r="AN25" s="156"/>
      <c r="AO25" s="156"/>
      <c r="AP25" s="156"/>
      <c r="AQ25" s="87"/>
      <c r="AR25" s="87"/>
      <c r="AS25" s="87"/>
      <c r="AT25" s="87"/>
      <c r="AU25" s="260">
        <f>VLOOKUP(AU23,市町村データ!A2:P106,MATCH(手順書_大字_世帯密度!$F$65, 市町村データ!A1:P1, 0),FALSE)</f>
        <v>568</v>
      </c>
      <c r="AV25" s="156"/>
      <c r="AW25" s="156"/>
      <c r="AX25" s="156"/>
      <c r="AY25" s="87"/>
      <c r="AZ25" s="87"/>
      <c r="BA25" s="87"/>
      <c r="BB25" s="87"/>
      <c r="BC25" s="93"/>
      <c r="BD25" s="89"/>
      <c r="BE25" s="89"/>
      <c r="BF25" s="89"/>
      <c r="BG25" s="89"/>
      <c r="BH25" s="89"/>
      <c r="BI25" s="89"/>
      <c r="BJ25" s="89"/>
      <c r="BK25" s="79"/>
      <c r="BL25" s="79"/>
      <c r="BM25" s="79"/>
      <c r="BN25" s="79"/>
      <c r="BO25" s="89"/>
      <c r="BP25" s="51"/>
      <c r="BQ25" s="51"/>
      <c r="BR25" s="51"/>
      <c r="BS25" s="79"/>
      <c r="BT25" s="78"/>
    </row>
    <row r="26" spans="1:72" ht="21.15" customHeight="1" thickBot="1" x14ac:dyDescent="0.6">
      <c r="A26" s="78"/>
      <c r="B26" s="79"/>
      <c r="C26" s="79"/>
      <c r="D26" s="79"/>
      <c r="E26" s="79"/>
      <c r="F26" s="79"/>
      <c r="G26" s="79"/>
      <c r="H26" s="79"/>
      <c r="I26" s="79"/>
      <c r="J26" s="79"/>
      <c r="K26" s="79"/>
      <c r="L26" s="79"/>
      <c r="M26" s="79"/>
      <c r="N26" s="79"/>
      <c r="O26" s="258">
        <f>VLOOKUP(O23,市町村データ!A2:P106,MATCH(手順書_大字_世帯密度!$F$66, 市町村データ!A1:P1, 0),FALSE)</f>
        <v>55.6</v>
      </c>
      <c r="P26" s="153"/>
      <c r="Q26" s="153"/>
      <c r="R26" s="153"/>
      <c r="S26" s="79"/>
      <c r="T26" s="79"/>
      <c r="U26" s="79"/>
      <c r="V26" s="79"/>
      <c r="W26" s="79"/>
      <c r="X26" s="79"/>
      <c r="Y26" s="79"/>
      <c r="Z26" s="79"/>
      <c r="AA26" s="256">
        <f>VLOOKUP(AA23,市町村データ!A2:P106,MATCH(手順書_大字_世帯密度!$F$66, 市町村データ!A1:P1, 0),FALSE)</f>
        <v>93.1</v>
      </c>
      <c r="AB26" s="153"/>
      <c r="AC26" s="153"/>
      <c r="AD26" s="153"/>
      <c r="AE26" s="79"/>
      <c r="AF26" s="79"/>
      <c r="AG26" s="79"/>
      <c r="AH26" s="79"/>
      <c r="AI26" s="309">
        <f>VLOOKUP(AI23,市町村データ!A2:P106,MATCH(手順書_大字_世帯密度!$F$66, 市町村データ!A1:P1, 0),FALSE)</f>
        <v>78.2</v>
      </c>
      <c r="AJ26" s="156"/>
      <c r="AK26" s="156"/>
      <c r="AL26" s="158"/>
      <c r="AM26" s="311">
        <f>VLOOKUP(AM23,市町村データ!A2:P106,MATCH(手順書_大字_世帯密度!$F$66, 市町村データ!A1:P1, 0),FALSE)</f>
        <v>125.9</v>
      </c>
      <c r="AN26" s="156"/>
      <c r="AO26" s="156"/>
      <c r="AP26" s="156"/>
      <c r="AQ26" s="79"/>
      <c r="AR26" s="79"/>
      <c r="AS26" s="79"/>
      <c r="AT26" s="79"/>
      <c r="AU26" s="256">
        <f>VLOOKUP(AU23,市町村データ!A2:P106,MATCH(手順書_大字_世帯密度!$F$66, 市町村データ!A1:P1, 0),FALSE)</f>
        <v>62.9</v>
      </c>
      <c r="AV26" s="153"/>
      <c r="AW26" s="153"/>
      <c r="AX26" s="153"/>
      <c r="AY26" s="79"/>
      <c r="AZ26" s="79"/>
      <c r="BA26" s="79"/>
      <c r="BB26" s="79"/>
      <c r="BC26" s="85"/>
      <c r="BD26" s="79"/>
      <c r="BE26" s="79"/>
      <c r="BF26" s="79"/>
      <c r="BG26" s="79"/>
      <c r="BH26" s="79"/>
      <c r="BI26" s="79"/>
      <c r="BJ26" s="79"/>
      <c r="BK26" s="79"/>
      <c r="BL26" s="79"/>
      <c r="BM26" s="79"/>
      <c r="BN26" s="79"/>
      <c r="BO26" s="79"/>
      <c r="BP26" s="52"/>
      <c r="BQ26" s="52"/>
      <c r="BR26" s="52"/>
      <c r="BS26" s="79"/>
      <c r="BT26" s="78"/>
    </row>
    <row r="27" spans="1:72" ht="21.15" customHeight="1" x14ac:dyDescent="0.55000000000000004">
      <c r="A27" s="78"/>
      <c r="B27" s="79"/>
      <c r="C27" s="81" t="s">
        <v>66</v>
      </c>
      <c r="D27" s="79"/>
      <c r="E27" s="79"/>
      <c r="F27" s="79"/>
      <c r="G27" s="79"/>
      <c r="H27" s="79"/>
      <c r="I27" s="79"/>
      <c r="J27" s="79"/>
      <c r="K27" s="79"/>
      <c r="L27" s="79"/>
      <c r="M27" s="79"/>
      <c r="N27" s="79"/>
      <c r="O27" s="84"/>
      <c r="P27" s="84"/>
      <c r="Q27" s="84"/>
      <c r="R27" s="84"/>
      <c r="S27" s="82" t="s">
        <v>542</v>
      </c>
      <c r="T27" s="142" t="str">
        <f>VLOOKUP(S27,市町村データ!A2:P106,MATCH(手順書_大字_世帯密度!$G$63, 市町村データ!A1:P1, 0),FALSE)</f>
        <v>西堀</v>
      </c>
      <c r="U27" s="154"/>
      <c r="V27" s="154"/>
      <c r="W27" s="84"/>
      <c r="X27" s="84"/>
      <c r="Y27" s="84"/>
      <c r="Z27" s="84"/>
      <c r="AA27" s="82" t="s">
        <v>544</v>
      </c>
      <c r="AB27" s="142" t="str">
        <f>VLOOKUP(AA27,市町村データ!A2:P106,MATCH(手順書_大字_世帯密度!$G$63, 市町村データ!A1:P1, 0),FALSE)</f>
        <v>石神</v>
      </c>
      <c r="AC27" s="154"/>
      <c r="AD27" s="159"/>
      <c r="AE27" s="96"/>
      <c r="AF27" s="84"/>
      <c r="AG27" s="84"/>
      <c r="AH27" s="84"/>
      <c r="AI27" s="79"/>
      <c r="AJ27" s="79"/>
      <c r="AK27" s="79"/>
      <c r="AL27" s="79"/>
      <c r="AM27" s="85"/>
      <c r="AN27" s="79"/>
      <c r="AO27" s="79"/>
      <c r="AP27" s="79"/>
      <c r="AQ27" s="79"/>
      <c r="AR27" s="79"/>
      <c r="AS27" s="79"/>
      <c r="AT27" s="79"/>
      <c r="AU27" s="82" t="s">
        <v>546</v>
      </c>
      <c r="AV27" s="142" t="str">
        <f>VLOOKUP(AU27,市町村データ!A2:P106,MATCH(手順書_大字_世帯密度!$G$63, 市町村データ!A1:P1, 0),FALSE)</f>
        <v>栄</v>
      </c>
      <c r="AW27" s="154"/>
      <c r="AX27" s="154"/>
      <c r="AY27" s="84"/>
      <c r="AZ27" s="84"/>
      <c r="BA27" s="84"/>
      <c r="BB27" s="84"/>
      <c r="BC27" s="84"/>
      <c r="BD27" s="84"/>
      <c r="BE27" s="84"/>
      <c r="BF27" s="84"/>
      <c r="BG27" s="84"/>
      <c r="BH27" s="84"/>
      <c r="BI27" s="84"/>
      <c r="BJ27" s="84"/>
      <c r="BK27" s="84"/>
      <c r="BL27" s="84"/>
      <c r="BM27" s="84"/>
      <c r="BN27" s="84"/>
      <c r="BO27" s="91"/>
      <c r="BP27" s="79"/>
      <c r="BQ27" s="79"/>
      <c r="BR27" s="79"/>
      <c r="BS27" s="79"/>
      <c r="BT27" s="78"/>
    </row>
    <row r="28" spans="1:72" ht="21.15" customHeight="1" x14ac:dyDescent="0.55000000000000004">
      <c r="A28" s="78"/>
      <c r="B28" s="79"/>
      <c r="C28" s="79"/>
      <c r="D28" s="79"/>
      <c r="E28" s="79"/>
      <c r="F28" s="79"/>
      <c r="G28" s="79"/>
      <c r="H28" s="79"/>
      <c r="I28" s="79"/>
      <c r="J28" s="79"/>
      <c r="K28" s="79"/>
      <c r="L28" s="79"/>
      <c r="M28" s="79"/>
      <c r="N28" s="79"/>
      <c r="O28" s="79"/>
      <c r="P28" s="79"/>
      <c r="Q28" s="79"/>
      <c r="R28" s="79"/>
      <c r="S28" s="263">
        <f>VLOOKUP(S27,市町村データ!A2:P106,MATCH(手順書_大字_世帯密度!$F$64, 市町村データ!A1:P1, 0),FALSE)</f>
        <v>26.1</v>
      </c>
      <c r="T28" s="156"/>
      <c r="U28" s="156"/>
      <c r="V28" s="156"/>
      <c r="W28" s="87"/>
      <c r="X28" s="87"/>
      <c r="Y28" s="87"/>
      <c r="Z28" s="87"/>
      <c r="AA28" s="299">
        <f>VLOOKUP(AA27,市町村データ!A2:P106,MATCH(手順書_大字_世帯密度!$F$64, 市町村データ!A1:P1, 0),FALSE)</f>
        <v>54.6</v>
      </c>
      <c r="AB28" s="156"/>
      <c r="AC28" s="156"/>
      <c r="AD28" s="158"/>
      <c r="AE28" s="92"/>
      <c r="AF28" s="87"/>
      <c r="AG28" s="87"/>
      <c r="AH28" s="87"/>
      <c r="AI28" s="87"/>
      <c r="AJ28" s="87"/>
      <c r="AK28" s="87"/>
      <c r="AL28" s="87"/>
      <c r="AM28" s="92"/>
      <c r="AN28" s="87"/>
      <c r="AO28" s="87"/>
      <c r="AP28" s="87"/>
      <c r="AQ28" s="87"/>
      <c r="AR28" s="87"/>
      <c r="AS28" s="87"/>
      <c r="AT28" s="87"/>
      <c r="AU28" s="252">
        <f>VLOOKUP(AU27,市町村データ!A2:P106,MATCH(手順書_大字_世帯密度!$F$64, 市町村データ!A1:P1, 0),FALSE)</f>
        <v>70</v>
      </c>
      <c r="AV28" s="156"/>
      <c r="AW28" s="156"/>
      <c r="AX28" s="156"/>
      <c r="AY28" s="87"/>
      <c r="AZ28" s="87"/>
      <c r="BA28" s="87"/>
      <c r="BB28" s="87"/>
      <c r="BC28" s="87"/>
      <c r="BD28" s="87"/>
      <c r="BE28" s="87"/>
      <c r="BF28" s="87"/>
      <c r="BG28" s="87"/>
      <c r="BH28" s="87"/>
      <c r="BI28" s="87"/>
      <c r="BJ28" s="87"/>
      <c r="BK28" s="87"/>
      <c r="BL28" s="87"/>
      <c r="BM28" s="87"/>
      <c r="BN28" s="87"/>
      <c r="BO28" s="92"/>
      <c r="BP28" s="50"/>
      <c r="BQ28" s="50"/>
      <c r="BR28" s="50"/>
      <c r="BS28" s="79"/>
      <c r="BT28" s="78"/>
    </row>
    <row r="29" spans="1:72" ht="21.15" customHeight="1" x14ac:dyDescent="0.55000000000000004">
      <c r="A29" s="78"/>
      <c r="B29" s="79"/>
      <c r="C29" s="79"/>
      <c r="D29" s="79"/>
      <c r="E29" s="79"/>
      <c r="F29" s="79"/>
      <c r="G29" s="79"/>
      <c r="H29" s="79"/>
      <c r="I29" s="79"/>
      <c r="J29" s="79"/>
      <c r="K29" s="79"/>
      <c r="L29" s="79"/>
      <c r="M29" s="79"/>
      <c r="N29" s="79"/>
      <c r="O29" s="79"/>
      <c r="P29" s="79"/>
      <c r="Q29" s="79"/>
      <c r="R29" s="79"/>
      <c r="S29" s="261">
        <f>VLOOKUP(S27,市町村データ!A2:P106,MATCH(手順書_大字_世帯密度!$F$65, 市町村データ!A1:P1, 0),FALSE)</f>
        <v>2730</v>
      </c>
      <c r="T29" s="156"/>
      <c r="U29" s="156"/>
      <c r="V29" s="156"/>
      <c r="W29" s="87"/>
      <c r="X29" s="87"/>
      <c r="Y29" s="87"/>
      <c r="Z29" s="87"/>
      <c r="AA29" s="300">
        <f>VLOOKUP(AA27,市町村データ!A2:P106,MATCH(手順書_大字_世帯密度!$F$65, 市町村データ!A1:P1, 0),FALSE)</f>
        <v>4250</v>
      </c>
      <c r="AB29" s="156"/>
      <c r="AC29" s="156"/>
      <c r="AD29" s="158"/>
      <c r="AE29" s="92"/>
      <c r="AF29" s="87"/>
      <c r="AG29" s="87"/>
      <c r="AH29" s="87"/>
      <c r="AI29" s="87"/>
      <c r="AJ29" s="87"/>
      <c r="AK29" s="87"/>
      <c r="AL29" s="87"/>
      <c r="AM29" s="92"/>
      <c r="AN29" s="87"/>
      <c r="AO29" s="87"/>
      <c r="AP29" s="87"/>
      <c r="AQ29" s="87"/>
      <c r="AR29" s="87"/>
      <c r="AS29" s="87"/>
      <c r="AT29" s="87"/>
      <c r="AU29" s="250">
        <f>VLOOKUP(AU27,市町村データ!A2:P106,MATCH(手順書_大字_世帯密度!$F$65, 市町村データ!A1:P1, 0),FALSE)</f>
        <v>4762</v>
      </c>
      <c r="AV29" s="156"/>
      <c r="AW29" s="156"/>
      <c r="AX29" s="156"/>
      <c r="AY29" s="87"/>
      <c r="AZ29" s="87"/>
      <c r="BA29" s="87"/>
      <c r="BB29" s="87"/>
      <c r="BC29" s="87"/>
      <c r="BD29" s="87"/>
      <c r="BE29" s="87"/>
      <c r="BF29" s="87"/>
      <c r="BG29" s="87"/>
      <c r="BH29" s="87"/>
      <c r="BI29" s="87"/>
      <c r="BJ29" s="87"/>
      <c r="BK29" s="87"/>
      <c r="BL29" s="87"/>
      <c r="BM29" s="87"/>
      <c r="BN29" s="87"/>
      <c r="BO29" s="93"/>
      <c r="BP29" s="51"/>
      <c r="BQ29" s="51"/>
      <c r="BR29" s="51"/>
      <c r="BS29" s="79"/>
      <c r="BT29" s="78"/>
    </row>
    <row r="30" spans="1:72" ht="21.15" customHeight="1" thickBot="1" x14ac:dyDescent="0.6">
      <c r="A30" s="78"/>
      <c r="B30" s="79"/>
      <c r="C30" s="79"/>
      <c r="D30" s="79"/>
      <c r="E30" s="79"/>
      <c r="F30" s="79"/>
      <c r="G30" s="79"/>
      <c r="H30" s="79"/>
      <c r="I30" s="79"/>
      <c r="J30" s="79"/>
      <c r="K30" s="79"/>
      <c r="L30" s="79"/>
      <c r="M30" s="79"/>
      <c r="N30" s="79"/>
      <c r="O30" s="79"/>
      <c r="P30" s="79"/>
      <c r="Q30" s="79"/>
      <c r="R30" s="79"/>
      <c r="S30" s="311">
        <f>VLOOKUP(S27,市町村データ!A2:P106,MATCH(手順書_大字_世帯密度!$F$66, 市町村データ!A1:P1, 0),FALSE)</f>
        <v>104.6</v>
      </c>
      <c r="T30" s="156"/>
      <c r="U30" s="156"/>
      <c r="V30" s="156"/>
      <c r="W30" s="79"/>
      <c r="X30" s="79"/>
      <c r="Y30" s="79"/>
      <c r="Z30" s="79"/>
      <c r="AA30" s="312">
        <f>VLOOKUP(AA27,市町村データ!A2:P106,MATCH(手順書_大字_世帯密度!$F$66, 市町村データ!A1:P1, 0),FALSE)</f>
        <v>77.900000000000006</v>
      </c>
      <c r="AB30" s="156"/>
      <c r="AC30" s="156"/>
      <c r="AD30" s="158"/>
      <c r="AE30" s="85"/>
      <c r="AF30" s="79"/>
      <c r="AG30" s="79"/>
      <c r="AH30" s="79"/>
      <c r="AI30" s="79"/>
      <c r="AJ30" s="79"/>
      <c r="AK30" s="79"/>
      <c r="AL30" s="79"/>
      <c r="AM30" s="85"/>
      <c r="AN30" s="79"/>
      <c r="AO30" s="79"/>
      <c r="AP30" s="79"/>
      <c r="AQ30" s="79"/>
      <c r="AR30" s="79"/>
      <c r="AS30" s="79"/>
      <c r="AT30" s="79"/>
      <c r="AU30" s="251">
        <f>VLOOKUP(AU27,市町村データ!A2:P106,MATCH(手順書_大字_世帯密度!$F$66, 市町村データ!A1:P1, 0),FALSE)</f>
        <v>68</v>
      </c>
      <c r="AV30" s="153"/>
      <c r="AW30" s="153"/>
      <c r="AX30" s="153"/>
      <c r="AY30" s="79"/>
      <c r="AZ30" s="79"/>
      <c r="BA30" s="79"/>
      <c r="BB30" s="79"/>
      <c r="BC30" s="79"/>
      <c r="BD30" s="79"/>
      <c r="BE30" s="79"/>
      <c r="BF30" s="79"/>
      <c r="BG30" s="79"/>
      <c r="BH30" s="79"/>
      <c r="BI30" s="79"/>
      <c r="BJ30" s="79"/>
      <c r="BK30" s="79"/>
      <c r="BL30" s="79"/>
      <c r="BM30" s="79"/>
      <c r="BN30" s="79"/>
      <c r="BO30" s="85"/>
      <c r="BP30" s="52"/>
      <c r="BQ30" s="52"/>
      <c r="BR30" s="52"/>
      <c r="BS30" s="79"/>
      <c r="BT30" s="78"/>
    </row>
    <row r="31" spans="1:72" ht="21.15" customHeight="1" x14ac:dyDescent="0.55000000000000004">
      <c r="A31" s="78"/>
      <c r="B31" s="79"/>
      <c r="C31" s="81" t="s">
        <v>67</v>
      </c>
      <c r="D31" s="79"/>
      <c r="E31" s="79"/>
      <c r="F31" s="79"/>
      <c r="G31" s="82" t="s">
        <v>548</v>
      </c>
      <c r="H31" s="142" t="str">
        <f>VLOOKUP(G31,市町村データ!A2:P106,MATCH(手順書_大字_世帯密度!$G$63, 市町村データ!A1:P1, 0),FALSE)</f>
        <v>新堀</v>
      </c>
      <c r="I31" s="154"/>
      <c r="J31" s="154"/>
      <c r="K31" s="84"/>
      <c r="L31" s="84"/>
      <c r="M31" s="84"/>
      <c r="N31" s="84"/>
      <c r="O31" s="84"/>
      <c r="P31" s="84"/>
      <c r="Q31" s="84"/>
      <c r="R31" s="84"/>
      <c r="S31" s="85"/>
      <c r="T31" s="79"/>
      <c r="U31" s="79"/>
      <c r="V31" s="79"/>
      <c r="W31" s="96"/>
      <c r="X31" s="84"/>
      <c r="Y31" s="84"/>
      <c r="Z31" s="84"/>
      <c r="AA31" s="85"/>
      <c r="AB31" s="79"/>
      <c r="AC31" s="79"/>
      <c r="AD31" s="79"/>
      <c r="AE31" s="84"/>
      <c r="AF31" s="84"/>
      <c r="AG31" s="84"/>
      <c r="AH31" s="84"/>
      <c r="AI31" s="82" t="s">
        <v>550</v>
      </c>
      <c r="AJ31" s="142" t="str">
        <f>VLOOKUP(AI31,市町村データ!A2:P106,MATCH(手順書_大字_世帯密度!$G$63, 市町村データ!A1:P1, 0),FALSE)</f>
        <v>道場</v>
      </c>
      <c r="AK31" s="154"/>
      <c r="AL31" s="154"/>
      <c r="AM31" s="84"/>
      <c r="AN31" s="84"/>
      <c r="AO31" s="84"/>
      <c r="AP31" s="84"/>
      <c r="AQ31" s="97"/>
      <c r="AR31" s="84"/>
      <c r="AS31" s="84"/>
      <c r="AT31" s="84"/>
      <c r="AU31" s="82" t="s">
        <v>552</v>
      </c>
      <c r="AV31" s="142" t="str">
        <f>VLOOKUP(AU31,市町村データ!A2:P106,MATCH(手順書_大字_世帯密度!$G$63, 市町村データ!A1:P1, 0),FALSE)</f>
        <v>池田</v>
      </c>
      <c r="AW31" s="154"/>
      <c r="AX31" s="154"/>
      <c r="AY31" s="84"/>
      <c r="AZ31" s="84"/>
      <c r="BA31" s="84"/>
      <c r="BB31" s="84"/>
      <c r="BC31" s="84"/>
      <c r="BD31" s="84"/>
      <c r="BE31" s="84"/>
      <c r="BF31" s="84"/>
      <c r="BG31" s="84"/>
      <c r="BH31" s="84"/>
      <c r="BI31" s="84"/>
      <c r="BJ31" s="84"/>
      <c r="BK31" s="84"/>
      <c r="BL31" s="84"/>
      <c r="BM31" s="84"/>
      <c r="BN31" s="84"/>
      <c r="BO31" s="91"/>
      <c r="BP31" s="79"/>
      <c r="BQ31" s="79"/>
      <c r="BR31" s="79"/>
      <c r="BS31" s="79"/>
      <c r="BT31" s="78"/>
    </row>
    <row r="32" spans="1:72" ht="21.15" customHeight="1" x14ac:dyDescent="0.55000000000000004">
      <c r="A32" s="78"/>
      <c r="B32" s="79"/>
      <c r="C32" s="79"/>
      <c r="D32" s="79"/>
      <c r="E32" s="79"/>
      <c r="F32" s="79"/>
      <c r="G32" s="248">
        <f>VLOOKUP(G31,市町村データ!A2:P106,MATCH(手順書_大字_世帯密度!$F$64, 市町村データ!A1:P1, 0),FALSE)</f>
        <v>68.8</v>
      </c>
      <c r="H32" s="156"/>
      <c r="I32" s="156"/>
      <c r="J32" s="156"/>
      <c r="K32" s="87"/>
      <c r="L32" s="87"/>
      <c r="M32" s="87"/>
      <c r="N32" s="87"/>
      <c r="O32" s="87"/>
      <c r="P32" s="87"/>
      <c r="Q32" s="87"/>
      <c r="R32" s="87"/>
      <c r="S32" s="92"/>
      <c r="T32" s="87"/>
      <c r="U32" s="87"/>
      <c r="V32" s="87"/>
      <c r="W32" s="85"/>
      <c r="X32" s="79"/>
      <c r="Y32" s="79"/>
      <c r="Z32" s="79"/>
      <c r="AA32" s="92"/>
      <c r="AB32" s="87"/>
      <c r="AC32" s="87"/>
      <c r="AD32" s="87"/>
      <c r="AE32" s="87"/>
      <c r="AF32" s="87"/>
      <c r="AG32" s="87"/>
      <c r="AH32" s="87"/>
      <c r="AI32" s="264">
        <f>VLOOKUP(AI31,市町村データ!A2:P106,MATCH(手順書_大字_世帯密度!$F$64, 市町村データ!A1:P1, 0),FALSE)</f>
        <v>18.100000000000001</v>
      </c>
      <c r="AJ32" s="156"/>
      <c r="AK32" s="156"/>
      <c r="AL32" s="156"/>
      <c r="AM32" s="87"/>
      <c r="AN32" s="87"/>
      <c r="AO32" s="87"/>
      <c r="AP32" s="87"/>
      <c r="AQ32" s="92"/>
      <c r="AR32" s="87"/>
      <c r="AS32" s="87"/>
      <c r="AT32" s="87"/>
      <c r="AU32" s="263">
        <f>VLOOKUP(AU31,市町村データ!A2:P106,MATCH(手順書_大字_世帯密度!$F$64, 市町村データ!A1:P1, 0),FALSE)</f>
        <v>26.2</v>
      </c>
      <c r="AV32" s="156"/>
      <c r="AW32" s="156"/>
      <c r="AX32" s="156"/>
      <c r="AY32" s="87"/>
      <c r="AZ32" s="87"/>
      <c r="BA32" s="87"/>
      <c r="BB32" s="87"/>
      <c r="BC32" s="87"/>
      <c r="BD32" s="87"/>
      <c r="BE32" s="87"/>
      <c r="BF32" s="87"/>
      <c r="BG32" s="87"/>
      <c r="BH32" s="87"/>
      <c r="BI32" s="87"/>
      <c r="BJ32" s="87"/>
      <c r="BK32" s="87"/>
      <c r="BL32" s="87"/>
      <c r="BM32" s="87"/>
      <c r="BN32" s="87"/>
      <c r="BO32" s="92"/>
      <c r="BP32" s="50"/>
      <c r="BQ32" s="50"/>
      <c r="BR32" s="50"/>
      <c r="BS32" s="79"/>
      <c r="BT32" s="78"/>
    </row>
    <row r="33" spans="1:72" ht="21.15" customHeight="1" x14ac:dyDescent="0.55000000000000004">
      <c r="A33" s="78"/>
      <c r="B33" s="79"/>
      <c r="C33" s="79"/>
      <c r="D33" s="79"/>
      <c r="E33" s="79"/>
      <c r="F33" s="79"/>
      <c r="G33" s="244">
        <f>VLOOKUP(G31,市町村データ!A2:P106,MATCH(手順書_大字_世帯密度!$F$65, 市町村データ!A1:P1, 0),FALSE)</f>
        <v>5364</v>
      </c>
      <c r="H33" s="156"/>
      <c r="I33" s="156"/>
      <c r="J33" s="156"/>
      <c r="K33" s="87"/>
      <c r="L33" s="87"/>
      <c r="M33" s="87"/>
      <c r="N33" s="87"/>
      <c r="O33" s="87"/>
      <c r="P33" s="87"/>
      <c r="Q33" s="87"/>
      <c r="R33" s="87"/>
      <c r="S33" s="92"/>
      <c r="T33" s="87"/>
      <c r="U33" s="87"/>
      <c r="V33" s="87"/>
      <c r="W33" s="85"/>
      <c r="X33" s="79"/>
      <c r="Y33" s="79"/>
      <c r="Z33" s="79"/>
      <c r="AA33" s="92"/>
      <c r="AB33" s="87"/>
      <c r="AC33" s="87"/>
      <c r="AD33" s="87"/>
      <c r="AE33" s="87"/>
      <c r="AF33" s="87"/>
      <c r="AG33" s="87"/>
      <c r="AH33" s="87"/>
      <c r="AI33" s="259">
        <f>VLOOKUP(AI31,市町村データ!A2:P106,MATCH(手順書_大字_世帯密度!$F$65, 市町村データ!A1:P1, 0),FALSE)</f>
        <v>772</v>
      </c>
      <c r="AJ33" s="156"/>
      <c r="AK33" s="156"/>
      <c r="AL33" s="156"/>
      <c r="AM33" s="87"/>
      <c r="AN33" s="87"/>
      <c r="AO33" s="87"/>
      <c r="AP33" s="87"/>
      <c r="AQ33" s="93"/>
      <c r="AR33" s="89"/>
      <c r="AS33" s="89"/>
      <c r="AT33" s="89"/>
      <c r="AU33" s="261">
        <f>VLOOKUP(AU31,市町村データ!A2:P106,MATCH(手順書_大字_世帯密度!$F$65, 市町村データ!A1:P1, 0),FALSE)</f>
        <v>1448</v>
      </c>
      <c r="AV33" s="156"/>
      <c r="AW33" s="156"/>
      <c r="AX33" s="156"/>
      <c r="AY33" s="87"/>
      <c r="AZ33" s="87"/>
      <c r="BA33" s="87"/>
      <c r="BB33" s="87"/>
      <c r="BC33" s="87"/>
      <c r="BD33" s="87"/>
      <c r="BE33" s="87"/>
      <c r="BF33" s="87"/>
      <c r="BG33" s="87"/>
      <c r="BH33" s="87"/>
      <c r="BI33" s="87"/>
      <c r="BJ33" s="87"/>
      <c r="BK33" s="87"/>
      <c r="BL33" s="87"/>
      <c r="BM33" s="87"/>
      <c r="BN33" s="87"/>
      <c r="BO33" s="93"/>
      <c r="BP33" s="51"/>
      <c r="BQ33" s="51"/>
      <c r="BR33" s="51"/>
      <c r="BS33" s="79"/>
      <c r="BT33" s="78"/>
    </row>
    <row r="34" spans="1:72" ht="21.15" customHeight="1" thickBot="1" x14ac:dyDescent="0.6">
      <c r="A34" s="78"/>
      <c r="B34" s="79"/>
      <c r="C34" s="79"/>
      <c r="D34" s="79"/>
      <c r="E34" s="79"/>
      <c r="F34" s="79"/>
      <c r="G34" s="246">
        <f>VLOOKUP(G31,市町村データ!A2:P106,MATCH(手順書_大字_世帯密度!$F$66, 市町村データ!A1:P1, 0),FALSE)</f>
        <v>78</v>
      </c>
      <c r="H34" s="153"/>
      <c r="I34" s="153"/>
      <c r="J34" s="153"/>
      <c r="K34" s="79"/>
      <c r="L34" s="79"/>
      <c r="M34" s="79"/>
      <c r="N34" s="79"/>
      <c r="O34" s="79"/>
      <c r="P34" s="79"/>
      <c r="Q34" s="79"/>
      <c r="R34" s="79"/>
      <c r="S34" s="85"/>
      <c r="T34" s="79"/>
      <c r="U34" s="79"/>
      <c r="V34" s="79"/>
      <c r="W34" s="85"/>
      <c r="X34" s="79"/>
      <c r="Y34" s="79"/>
      <c r="Z34" s="79"/>
      <c r="AA34" s="85"/>
      <c r="AB34" s="79"/>
      <c r="AC34" s="79"/>
      <c r="AD34" s="79"/>
      <c r="AE34" s="79"/>
      <c r="AF34" s="79"/>
      <c r="AG34" s="79"/>
      <c r="AH34" s="79"/>
      <c r="AI34" s="258">
        <f>VLOOKUP(AI31,市町村データ!A2:P106,MATCH(手順書_大字_世帯密度!$F$66, 市町村データ!A1:P1, 0),FALSE)</f>
        <v>42.6</v>
      </c>
      <c r="AJ34" s="153"/>
      <c r="AK34" s="153"/>
      <c r="AL34" s="153"/>
      <c r="AM34" s="79"/>
      <c r="AN34" s="79"/>
      <c r="AO34" s="79"/>
      <c r="AP34" s="79"/>
      <c r="AQ34" s="85"/>
      <c r="AR34" s="79"/>
      <c r="AS34" s="79"/>
      <c r="AT34" s="79"/>
      <c r="AU34" s="257">
        <f>VLOOKUP(AU31,市町村データ!A2:P106,MATCH(手順書_大字_世帯密度!$F$66, 市町村データ!A1:P1, 0),FALSE)</f>
        <v>55.3</v>
      </c>
      <c r="AV34" s="153"/>
      <c r="AW34" s="153"/>
      <c r="AX34" s="153"/>
      <c r="AY34" s="79"/>
      <c r="AZ34" s="79"/>
      <c r="BA34" s="79"/>
      <c r="BB34" s="79"/>
      <c r="BC34" s="79"/>
      <c r="BD34" s="79"/>
      <c r="BE34" s="79"/>
      <c r="BF34" s="79"/>
      <c r="BG34" s="79"/>
      <c r="BH34" s="79"/>
      <c r="BI34" s="79"/>
      <c r="BJ34" s="79"/>
      <c r="BK34" s="79"/>
      <c r="BL34" s="79"/>
      <c r="BM34" s="79"/>
      <c r="BN34" s="79"/>
      <c r="BO34" s="85"/>
      <c r="BP34" s="52"/>
      <c r="BQ34" s="52"/>
      <c r="BR34" s="52"/>
      <c r="BS34" s="79"/>
      <c r="BT34" s="78"/>
    </row>
    <row r="35" spans="1:72" ht="21.15" customHeight="1" x14ac:dyDescent="0.55000000000000004">
      <c r="A35" s="78"/>
      <c r="B35" s="79"/>
      <c r="C35" s="81" t="s">
        <v>68</v>
      </c>
      <c r="D35" s="79"/>
      <c r="E35" s="79"/>
      <c r="F35" s="79"/>
      <c r="G35" s="84"/>
      <c r="H35" s="84"/>
      <c r="I35" s="84"/>
      <c r="J35" s="84"/>
      <c r="K35" s="84"/>
      <c r="L35" s="84"/>
      <c r="M35" s="84"/>
      <c r="N35" s="84"/>
      <c r="O35" s="84"/>
      <c r="P35" s="84"/>
      <c r="Q35" s="84"/>
      <c r="R35" s="84"/>
      <c r="S35" s="84"/>
      <c r="T35" s="84"/>
      <c r="U35" s="84"/>
      <c r="V35" s="84"/>
      <c r="W35" s="79"/>
      <c r="X35" s="79"/>
      <c r="Y35" s="79"/>
      <c r="Z35" s="79"/>
      <c r="AA35" s="85"/>
      <c r="AB35" s="79"/>
      <c r="AC35" s="79"/>
      <c r="AD35" s="79"/>
      <c r="AE35" s="79"/>
      <c r="AF35" s="79"/>
      <c r="AG35" s="79"/>
      <c r="AH35" s="79"/>
      <c r="AI35" s="97"/>
      <c r="AJ35" s="84"/>
      <c r="AK35" s="84"/>
      <c r="AL35" s="84"/>
      <c r="AM35" s="95"/>
      <c r="AN35" s="84"/>
      <c r="AO35" s="84"/>
      <c r="AP35" s="84"/>
      <c r="AQ35" s="86"/>
      <c r="AR35" s="79"/>
      <c r="AS35" s="79"/>
      <c r="AT35" s="79"/>
      <c r="AU35" s="95"/>
      <c r="AV35" s="84"/>
      <c r="AW35" s="84"/>
      <c r="AX35" s="84"/>
      <c r="AY35" s="95"/>
      <c r="AZ35" s="84"/>
      <c r="BA35" s="84"/>
      <c r="BB35" s="84"/>
      <c r="BC35" s="82" t="s">
        <v>554</v>
      </c>
      <c r="BD35" s="142" t="str">
        <f>VLOOKUP(BC35,市町村データ!A2:P106,MATCH(手順書_大字_世帯密度!$G$63, 市町村データ!A1:P1, 0),FALSE)</f>
        <v>片山</v>
      </c>
      <c r="BE35" s="154"/>
      <c r="BF35" s="154"/>
      <c r="BG35" s="84"/>
      <c r="BH35" s="84"/>
      <c r="BI35" s="84"/>
      <c r="BJ35" s="84"/>
      <c r="BK35" s="84"/>
      <c r="BL35" s="84"/>
      <c r="BM35" s="84"/>
      <c r="BN35" s="84"/>
      <c r="BO35" s="91"/>
      <c r="BP35" s="79"/>
      <c r="BQ35" s="79"/>
      <c r="BR35" s="79"/>
      <c r="BS35" s="79"/>
      <c r="BT35" s="78"/>
    </row>
    <row r="36" spans="1:72" ht="21.15" customHeight="1" x14ac:dyDescent="0.55000000000000004">
      <c r="A36" s="78"/>
      <c r="B36" s="79"/>
      <c r="C36" s="79"/>
      <c r="D36" s="79"/>
      <c r="E36" s="79"/>
      <c r="F36" s="79"/>
      <c r="G36" s="79"/>
      <c r="H36" s="79"/>
      <c r="I36" s="79"/>
      <c r="J36" s="79"/>
      <c r="K36" s="79"/>
      <c r="L36" s="79"/>
      <c r="M36" s="79"/>
      <c r="N36" s="79"/>
      <c r="O36" s="79"/>
      <c r="P36" s="79"/>
      <c r="Q36" s="79"/>
      <c r="R36" s="79"/>
      <c r="S36" s="79"/>
      <c r="T36" s="79"/>
      <c r="U36" s="79"/>
      <c r="V36" s="79"/>
      <c r="W36" s="79"/>
      <c r="X36" s="79"/>
      <c r="Y36" s="79"/>
      <c r="Z36" s="79"/>
      <c r="AA36" s="92"/>
      <c r="AB36" s="87"/>
      <c r="AC36" s="87"/>
      <c r="AD36" s="87"/>
      <c r="AE36" s="87"/>
      <c r="AF36" s="87"/>
      <c r="AG36" s="87"/>
      <c r="AH36" s="87"/>
      <c r="AI36" s="98"/>
      <c r="AJ36" s="50"/>
      <c r="AK36" s="50"/>
      <c r="AL36" s="50"/>
      <c r="AM36" s="50"/>
      <c r="AN36" s="50"/>
      <c r="AO36" s="50"/>
      <c r="AP36" s="50"/>
      <c r="AQ36" s="50"/>
      <c r="AR36" s="50"/>
      <c r="AS36" s="50"/>
      <c r="AT36" s="50"/>
      <c r="AU36" s="50"/>
      <c r="AV36" s="50"/>
      <c r="AW36" s="50"/>
      <c r="AX36" s="50"/>
      <c r="AY36" s="50"/>
      <c r="AZ36" s="50"/>
      <c r="BA36" s="50"/>
      <c r="BB36" s="50"/>
      <c r="BC36" s="295">
        <f>VLOOKUP(BC35,市町村データ!A2:P106,MATCH(手順書_大字_世帯密度!$F$64, 市町村データ!A1:P1, 0),FALSE)</f>
        <v>44.6</v>
      </c>
      <c r="BD36" s="156"/>
      <c r="BE36" s="156"/>
      <c r="BF36" s="156"/>
      <c r="BG36" s="87"/>
      <c r="BH36" s="87"/>
      <c r="BI36" s="87"/>
      <c r="BJ36" s="87"/>
      <c r="BK36" s="87"/>
      <c r="BL36" s="87"/>
      <c r="BM36" s="87"/>
      <c r="BN36" s="87"/>
      <c r="BO36" s="98"/>
      <c r="BP36" s="50"/>
      <c r="BQ36" s="50"/>
      <c r="BR36" s="50"/>
      <c r="BS36" s="79"/>
      <c r="BT36" s="78"/>
    </row>
    <row r="37" spans="1:72" ht="21.15" customHeight="1" x14ac:dyDescent="0.55000000000000004">
      <c r="A37" s="78"/>
      <c r="B37" s="79"/>
      <c r="C37" s="79"/>
      <c r="D37" s="79"/>
      <c r="E37" s="79"/>
      <c r="F37" s="79"/>
      <c r="G37" s="79"/>
      <c r="H37" s="79"/>
      <c r="I37" s="79"/>
      <c r="J37" s="79"/>
      <c r="K37" s="79"/>
      <c r="L37" s="79"/>
      <c r="M37" s="79"/>
      <c r="N37" s="79"/>
      <c r="O37" s="79"/>
      <c r="P37" s="79"/>
      <c r="Q37" s="79"/>
      <c r="R37" s="79"/>
      <c r="S37" s="79"/>
      <c r="T37" s="79"/>
      <c r="U37" s="79"/>
      <c r="V37" s="79"/>
      <c r="W37" s="79"/>
      <c r="X37" s="79"/>
      <c r="Y37" s="79"/>
      <c r="Z37" s="79"/>
      <c r="AA37" s="92"/>
      <c r="AB37" s="87"/>
      <c r="AC37" s="87"/>
      <c r="AD37" s="87"/>
      <c r="AE37" s="87"/>
      <c r="AF37" s="87"/>
      <c r="AG37" s="87"/>
      <c r="AH37" s="87"/>
      <c r="AI37" s="99"/>
      <c r="AJ37" s="51"/>
      <c r="AK37" s="51"/>
      <c r="AL37" s="51"/>
      <c r="AM37" s="51"/>
      <c r="AN37" s="51"/>
      <c r="AO37" s="51"/>
      <c r="AP37" s="51"/>
      <c r="AQ37" s="51"/>
      <c r="AR37" s="51"/>
      <c r="AS37" s="51"/>
      <c r="AT37" s="51"/>
      <c r="AU37" s="51"/>
      <c r="AV37" s="51"/>
      <c r="AW37" s="51"/>
      <c r="AX37" s="51"/>
      <c r="AY37" s="51"/>
      <c r="AZ37" s="51"/>
      <c r="BA37" s="51"/>
      <c r="BB37" s="51"/>
      <c r="BC37" s="297">
        <f>VLOOKUP(BC35,市町村データ!A2:P106,MATCH(手順書_大字_世帯密度!$F$65, 市町村データ!A1:P1, 0),FALSE)</f>
        <v>3257</v>
      </c>
      <c r="BD37" s="156"/>
      <c r="BE37" s="156"/>
      <c r="BF37" s="156"/>
      <c r="BG37" s="87"/>
      <c r="BH37" s="87"/>
      <c r="BI37" s="87"/>
      <c r="BJ37" s="87"/>
      <c r="BK37" s="87"/>
      <c r="BL37" s="87"/>
      <c r="BM37" s="87"/>
      <c r="BN37" s="87"/>
      <c r="BO37" s="99"/>
      <c r="BP37" s="51"/>
      <c r="BQ37" s="51"/>
      <c r="BR37" s="51"/>
      <c r="BS37" s="79"/>
      <c r="BT37" s="78"/>
    </row>
    <row r="38" spans="1:72" ht="21.15" customHeight="1" thickBot="1" x14ac:dyDescent="0.6">
      <c r="A38" s="78"/>
      <c r="B38" s="79"/>
      <c r="C38" s="79"/>
      <c r="D38" s="79"/>
      <c r="E38" s="79"/>
      <c r="F38" s="79"/>
      <c r="G38" s="79"/>
      <c r="H38" s="79"/>
      <c r="I38" s="79"/>
      <c r="J38" s="79"/>
      <c r="K38" s="79"/>
      <c r="L38" s="79"/>
      <c r="M38" s="79"/>
      <c r="N38" s="79"/>
      <c r="O38" s="79"/>
      <c r="P38" s="79"/>
      <c r="Q38" s="79"/>
      <c r="R38" s="79"/>
      <c r="S38" s="79"/>
      <c r="T38" s="79"/>
      <c r="U38" s="79"/>
      <c r="V38" s="79"/>
      <c r="W38" s="79"/>
      <c r="X38" s="79"/>
      <c r="Y38" s="79"/>
      <c r="Z38" s="79"/>
      <c r="AA38" s="85"/>
      <c r="AB38" s="79"/>
      <c r="AC38" s="79"/>
      <c r="AD38" s="79"/>
      <c r="AE38" s="79"/>
      <c r="AF38" s="79"/>
      <c r="AG38" s="79"/>
      <c r="AH38" s="79"/>
      <c r="AI38" s="99"/>
      <c r="AJ38" s="51"/>
      <c r="AK38" s="51"/>
      <c r="AL38" s="51"/>
      <c r="AM38" s="51"/>
      <c r="AN38" s="51"/>
      <c r="AO38" s="51"/>
      <c r="AP38" s="51"/>
      <c r="AQ38" s="51"/>
      <c r="AR38" s="51"/>
      <c r="AS38" s="51"/>
      <c r="AT38" s="51"/>
      <c r="AU38" s="51"/>
      <c r="AV38" s="51"/>
      <c r="AW38" s="51"/>
      <c r="AX38" s="51"/>
      <c r="AY38" s="51"/>
      <c r="AZ38" s="51"/>
      <c r="BA38" s="51"/>
      <c r="BB38" s="51"/>
      <c r="BC38" s="296">
        <f>VLOOKUP(BC35,市町村データ!A2:P106,MATCH(手順書_大字_世帯密度!$F$66, 市町村データ!A1:P1, 0),FALSE)</f>
        <v>73</v>
      </c>
      <c r="BD38" s="153"/>
      <c r="BE38" s="153"/>
      <c r="BF38" s="153"/>
      <c r="BG38" s="79"/>
      <c r="BH38" s="79"/>
      <c r="BI38" s="79"/>
      <c r="BJ38" s="79"/>
      <c r="BK38" s="79"/>
      <c r="BL38" s="79"/>
      <c r="BM38" s="79"/>
      <c r="BN38" s="79"/>
      <c r="BO38" s="99"/>
      <c r="BP38" s="51"/>
      <c r="BQ38" s="51"/>
      <c r="BR38" s="51"/>
      <c r="BS38" s="79"/>
      <c r="BT38" s="78"/>
    </row>
    <row r="39" spans="1:72" ht="21.15" customHeight="1" x14ac:dyDescent="0.55000000000000004">
      <c r="A39" s="78"/>
      <c r="B39" s="79"/>
      <c r="C39" s="81" t="s">
        <v>516</v>
      </c>
      <c r="D39" s="79"/>
      <c r="E39" s="79"/>
      <c r="F39" s="79"/>
      <c r="G39" s="79"/>
      <c r="H39" s="79"/>
      <c r="I39" s="79"/>
      <c r="J39" s="79"/>
      <c r="K39" s="79"/>
      <c r="L39" s="79"/>
      <c r="M39" s="79"/>
      <c r="N39" s="79"/>
      <c r="O39" s="79"/>
      <c r="P39" s="79"/>
      <c r="Q39" s="79"/>
      <c r="R39" s="79"/>
      <c r="S39" s="79"/>
      <c r="T39" s="79"/>
      <c r="U39" s="79"/>
      <c r="V39" s="79"/>
      <c r="W39" s="79"/>
      <c r="X39" s="79"/>
      <c r="Y39" s="79"/>
      <c r="Z39" s="79"/>
      <c r="AA39" s="84"/>
      <c r="AB39" s="84"/>
      <c r="AC39" s="84"/>
      <c r="AD39" s="84"/>
      <c r="AE39" s="84"/>
      <c r="AF39" s="84"/>
      <c r="AG39" s="84"/>
      <c r="AH39" s="84"/>
      <c r="AI39" s="51"/>
      <c r="AJ39" s="51"/>
      <c r="AK39" s="51"/>
      <c r="AL39" s="51"/>
      <c r="AM39" s="51"/>
      <c r="AN39" s="51"/>
      <c r="AO39" s="51"/>
      <c r="AP39" s="51"/>
      <c r="AQ39" s="51"/>
      <c r="AR39" s="51"/>
      <c r="AS39" s="51"/>
      <c r="AT39" s="51"/>
      <c r="AU39" s="51"/>
      <c r="AV39" s="51"/>
      <c r="AW39" s="51"/>
      <c r="AX39" s="51"/>
      <c r="AY39" s="82" t="s">
        <v>556</v>
      </c>
      <c r="AZ39" s="142" t="str">
        <f>VLOOKUP(AY39,市町村データ!A2:P106,MATCH(手順書_大字_世帯密度!$G$63, 市町村データ!A1:P1, 0),FALSE)</f>
        <v>野寺</v>
      </c>
      <c r="BA39" s="154"/>
      <c r="BB39" s="154"/>
      <c r="BC39" s="84"/>
      <c r="BD39" s="84"/>
      <c r="BE39" s="84"/>
      <c r="BF39" s="84"/>
      <c r="BG39" s="84"/>
      <c r="BH39" s="84"/>
      <c r="BI39" s="84"/>
      <c r="BJ39" s="84"/>
      <c r="BK39" s="84"/>
      <c r="BL39" s="84"/>
      <c r="BM39" s="84"/>
      <c r="BN39" s="84"/>
      <c r="BO39" s="84"/>
      <c r="BP39" s="84"/>
      <c r="BQ39" s="84"/>
      <c r="BR39" s="84"/>
      <c r="BS39" s="85"/>
      <c r="BT39" s="78"/>
    </row>
    <row r="40" spans="1:72" ht="21.15" customHeight="1" x14ac:dyDescent="0.55000000000000004">
      <c r="A40" s="78"/>
      <c r="B40" s="79"/>
      <c r="C40" s="79"/>
      <c r="D40" s="79"/>
      <c r="E40" s="79"/>
      <c r="F40" s="79"/>
      <c r="G40" s="79"/>
      <c r="H40" s="79"/>
      <c r="I40" s="79"/>
      <c r="J40" s="79"/>
      <c r="K40" s="79"/>
      <c r="L40" s="79"/>
      <c r="M40" s="79"/>
      <c r="N40" s="79"/>
      <c r="O40" s="79"/>
      <c r="P40" s="79"/>
      <c r="Q40" s="79"/>
      <c r="R40" s="79"/>
      <c r="S40" s="79"/>
      <c r="T40" s="79"/>
      <c r="U40" s="79"/>
      <c r="V40" s="79"/>
      <c r="W40" s="79"/>
      <c r="X40" s="79"/>
      <c r="Y40" s="79"/>
      <c r="Z40" s="79"/>
      <c r="AA40" s="79"/>
      <c r="AB40" s="79"/>
      <c r="AC40" s="79"/>
      <c r="AD40" s="79"/>
      <c r="AE40" s="79"/>
      <c r="AF40" s="79"/>
      <c r="AG40" s="79"/>
      <c r="AH40" s="79"/>
      <c r="AI40" s="51"/>
      <c r="AJ40" s="51"/>
      <c r="AK40" s="51"/>
      <c r="AL40" s="51"/>
      <c r="AM40" s="51"/>
      <c r="AN40" s="51"/>
      <c r="AO40" s="51"/>
      <c r="AP40" s="51"/>
      <c r="AQ40" s="51"/>
      <c r="AR40" s="51"/>
      <c r="AS40" s="51"/>
      <c r="AT40" s="51"/>
      <c r="AU40" s="51"/>
      <c r="AV40" s="51"/>
      <c r="AW40" s="51"/>
      <c r="AX40" s="51"/>
      <c r="AY40" s="299">
        <f>VLOOKUP(AY39,市町村データ!A2:P106,MATCH(手順書_大字_世帯密度!$F$64, 市町村データ!A1:P1, 0),FALSE)</f>
        <v>52.6</v>
      </c>
      <c r="AZ40" s="156"/>
      <c r="BA40" s="156"/>
      <c r="BB40" s="156"/>
      <c r="BC40" s="87"/>
      <c r="BD40" s="87"/>
      <c r="BE40" s="87"/>
      <c r="BF40" s="87"/>
      <c r="BG40" s="87"/>
      <c r="BH40" s="87"/>
      <c r="BI40" s="87"/>
      <c r="BJ40" s="87"/>
      <c r="BK40" s="87"/>
      <c r="BL40" s="87"/>
      <c r="BM40" s="87"/>
      <c r="BN40" s="87"/>
      <c r="BO40" s="87"/>
      <c r="BP40" s="87"/>
      <c r="BQ40" s="87"/>
      <c r="BR40" s="87"/>
      <c r="BS40" s="85"/>
      <c r="BT40" s="78"/>
    </row>
    <row r="41" spans="1:72" ht="21.15" customHeight="1" x14ac:dyDescent="0.55000000000000004">
      <c r="A41" s="78"/>
      <c r="B41" s="79"/>
      <c r="C41" s="79"/>
      <c r="D41" s="79"/>
      <c r="E41" s="79"/>
      <c r="F41" s="79"/>
      <c r="G41" s="79"/>
      <c r="H41" s="79"/>
      <c r="I41" s="79"/>
      <c r="J41" s="79"/>
      <c r="K41" s="79"/>
      <c r="L41" s="79"/>
      <c r="M41" s="79"/>
      <c r="N41" s="79"/>
      <c r="O41" s="79"/>
      <c r="P41" s="79"/>
      <c r="Q41" s="79"/>
      <c r="R41" s="79"/>
      <c r="S41" s="79"/>
      <c r="T41" s="79"/>
      <c r="U41" s="79"/>
      <c r="V41" s="79"/>
      <c r="W41" s="79"/>
      <c r="X41" s="79"/>
      <c r="Y41" s="79"/>
      <c r="Z41" s="79"/>
      <c r="AA41" s="79"/>
      <c r="AB41" s="79"/>
      <c r="AC41" s="79"/>
      <c r="AD41" s="79"/>
      <c r="AE41" s="79"/>
      <c r="AF41" s="79"/>
      <c r="AG41" s="79"/>
      <c r="AH41" s="79"/>
      <c r="AI41" s="51"/>
      <c r="AJ41" s="51"/>
      <c r="AK41" s="51"/>
      <c r="AL41" s="51"/>
      <c r="AM41" s="51"/>
      <c r="AN41" s="51"/>
      <c r="AO41" s="51"/>
      <c r="AP41" s="51"/>
      <c r="AQ41" s="51"/>
      <c r="AR41" s="51"/>
      <c r="AS41" s="51"/>
      <c r="AT41" s="51"/>
      <c r="AU41" s="51"/>
      <c r="AV41" s="51"/>
      <c r="AW41" s="51"/>
      <c r="AX41" s="51"/>
      <c r="AY41" s="300">
        <f>VLOOKUP(AY39,市町村データ!A2:P106,MATCH(手順書_大字_世帯密度!$F$65, 市町村データ!A1:P1, 0),FALSE)</f>
        <v>4690</v>
      </c>
      <c r="AZ41" s="156"/>
      <c r="BA41" s="156"/>
      <c r="BB41" s="156"/>
      <c r="BC41" s="87"/>
      <c r="BD41" s="87"/>
      <c r="BE41" s="87"/>
      <c r="BF41" s="87"/>
      <c r="BG41" s="87"/>
      <c r="BH41" s="87"/>
      <c r="BI41" s="87"/>
      <c r="BJ41" s="87"/>
      <c r="BK41" s="87"/>
      <c r="BL41" s="87"/>
      <c r="BM41" s="87"/>
      <c r="BN41" s="87"/>
      <c r="BO41" s="87"/>
      <c r="BP41" s="87"/>
      <c r="BQ41" s="87"/>
      <c r="BR41" s="87"/>
      <c r="BS41" s="85"/>
      <c r="BT41" s="78"/>
    </row>
    <row r="42" spans="1:72" ht="21.15" customHeight="1" thickBot="1" x14ac:dyDescent="0.6">
      <c r="A42" s="78"/>
      <c r="B42" s="79"/>
      <c r="C42" s="79"/>
      <c r="D42" s="79"/>
      <c r="E42" s="79"/>
      <c r="F42" s="79"/>
      <c r="G42" s="79"/>
      <c r="H42" s="79"/>
      <c r="I42" s="79"/>
      <c r="J42" s="79"/>
      <c r="K42" s="79"/>
      <c r="L42" s="79"/>
      <c r="M42" s="79"/>
      <c r="N42" s="79"/>
      <c r="O42" s="79"/>
      <c r="P42" s="79"/>
      <c r="Q42" s="79"/>
      <c r="R42" s="79"/>
      <c r="S42" s="79"/>
      <c r="T42" s="79"/>
      <c r="U42" s="79"/>
      <c r="V42" s="79"/>
      <c r="W42" s="79"/>
      <c r="X42" s="79"/>
      <c r="Y42" s="79"/>
      <c r="Z42" s="79"/>
      <c r="AA42" s="79"/>
      <c r="AB42" s="79"/>
      <c r="AC42" s="79"/>
      <c r="AD42" s="79"/>
      <c r="AE42" s="79"/>
      <c r="AF42" s="79"/>
      <c r="AG42" s="79"/>
      <c r="AH42" s="79"/>
      <c r="AI42" s="51"/>
      <c r="AJ42" s="51"/>
      <c r="AK42" s="51"/>
      <c r="AL42" s="51"/>
      <c r="AM42" s="51"/>
      <c r="AN42" s="51"/>
      <c r="AO42" s="51"/>
      <c r="AP42" s="51"/>
      <c r="AQ42" s="51"/>
      <c r="AR42" s="51"/>
      <c r="AS42" s="51"/>
      <c r="AT42" s="51"/>
      <c r="AU42" s="51"/>
      <c r="AV42" s="51"/>
      <c r="AW42" s="51"/>
      <c r="AX42" s="51"/>
      <c r="AY42" s="298">
        <f>VLOOKUP(AY39,市町村データ!A2:P106,MATCH(手順書_大字_世帯密度!$F$66, 市町村データ!A1:P1, 0),FALSE)</f>
        <v>89.2</v>
      </c>
      <c r="AZ42" s="153"/>
      <c r="BA42" s="153"/>
      <c r="BB42" s="153"/>
      <c r="BC42" s="79"/>
      <c r="BD42" s="79"/>
      <c r="BE42" s="79"/>
      <c r="BF42" s="79"/>
      <c r="BG42" s="79"/>
      <c r="BH42" s="79"/>
      <c r="BI42" s="79"/>
      <c r="BJ42" s="79"/>
      <c r="BK42" s="79"/>
      <c r="BL42" s="79"/>
      <c r="BM42" s="79"/>
      <c r="BN42" s="79"/>
      <c r="BO42" s="79"/>
      <c r="BP42" s="79"/>
      <c r="BQ42" s="79"/>
      <c r="BR42" s="79"/>
      <c r="BS42" s="85"/>
      <c r="BT42" s="78"/>
    </row>
    <row r="43" spans="1:72" ht="21.15" customHeight="1" x14ac:dyDescent="0.55000000000000004">
      <c r="A43" s="78"/>
      <c r="B43" s="79"/>
      <c r="C43" s="81" t="s">
        <v>518</v>
      </c>
      <c r="D43" s="79"/>
      <c r="E43" s="79"/>
      <c r="F43" s="79"/>
      <c r="G43" s="79"/>
      <c r="H43" s="79"/>
      <c r="I43" s="79"/>
      <c r="J43" s="79"/>
      <c r="K43" s="79"/>
      <c r="L43" s="79"/>
      <c r="M43" s="79"/>
      <c r="N43" s="79"/>
      <c r="O43" s="79"/>
      <c r="P43" s="79"/>
      <c r="Q43" s="79"/>
      <c r="R43" s="79"/>
      <c r="S43" s="79"/>
      <c r="T43" s="79"/>
      <c r="U43" s="79"/>
      <c r="V43" s="79"/>
      <c r="W43" s="79"/>
      <c r="X43" s="79"/>
      <c r="Y43" s="79"/>
      <c r="Z43" s="79"/>
      <c r="AA43" s="79"/>
      <c r="AB43" s="79"/>
      <c r="AC43" s="79"/>
      <c r="AD43" s="79"/>
      <c r="AE43" s="79"/>
      <c r="AF43" s="79"/>
      <c r="AG43" s="79"/>
      <c r="AH43" s="79"/>
      <c r="AI43" s="51"/>
      <c r="AJ43" s="51"/>
      <c r="AK43" s="51"/>
      <c r="AL43" s="51"/>
      <c r="AM43" s="51"/>
      <c r="AN43" s="51"/>
      <c r="AO43" s="51"/>
      <c r="AP43" s="51"/>
      <c r="AQ43" s="51"/>
      <c r="AR43" s="51"/>
      <c r="AS43" s="51"/>
      <c r="AT43" s="51"/>
      <c r="AU43" s="51"/>
      <c r="AV43" s="51"/>
      <c r="AW43" s="51"/>
      <c r="AX43" s="51"/>
      <c r="AY43" s="82" t="s">
        <v>558</v>
      </c>
      <c r="AZ43" s="142" t="str">
        <f>VLOOKUP(AY43,市町村データ!A2:P106,MATCH(手順書_大字_世帯密度!$G$63, 市町村データ!A1:P1, 0),FALSE)</f>
        <v>栗原</v>
      </c>
      <c r="BA43" s="154"/>
      <c r="BB43" s="154"/>
      <c r="BC43" s="84"/>
      <c r="BD43" s="84"/>
      <c r="BE43" s="84"/>
      <c r="BF43" s="84"/>
      <c r="BG43" s="84"/>
      <c r="BH43" s="84"/>
      <c r="BI43" s="84"/>
      <c r="BJ43" s="84"/>
      <c r="BK43" s="100"/>
      <c r="BL43" s="101"/>
      <c r="BM43" s="101"/>
      <c r="BN43" s="101"/>
      <c r="BO43" s="101"/>
      <c r="BP43" s="101"/>
      <c r="BQ43" s="101"/>
      <c r="BR43" s="101"/>
      <c r="BS43" s="79"/>
      <c r="BT43" s="78"/>
    </row>
    <row r="44" spans="1:72" ht="21.15" customHeight="1" x14ac:dyDescent="0.55000000000000004">
      <c r="A44" s="78"/>
      <c r="B44" s="79"/>
      <c r="C44" s="79"/>
      <c r="D44" s="79"/>
      <c r="E44" s="79"/>
      <c r="F44" s="79"/>
      <c r="G44" s="79"/>
      <c r="H44" s="79"/>
      <c r="I44" s="79"/>
      <c r="J44" s="79"/>
      <c r="K44" s="79"/>
      <c r="L44" s="79"/>
      <c r="M44" s="79"/>
      <c r="N44" s="79"/>
      <c r="O44" s="79"/>
      <c r="P44" s="79"/>
      <c r="Q44" s="79"/>
      <c r="R44" s="79"/>
      <c r="S44" s="79"/>
      <c r="T44" s="79"/>
      <c r="U44" s="79"/>
      <c r="V44" s="79"/>
      <c r="W44" s="79"/>
      <c r="X44" s="79"/>
      <c r="Y44" s="79"/>
      <c r="Z44" s="79"/>
      <c r="AA44" s="79"/>
      <c r="AB44" s="79"/>
      <c r="AC44" s="79"/>
      <c r="AD44" s="79"/>
      <c r="AE44" s="79"/>
      <c r="AF44" s="79"/>
      <c r="AG44" s="79"/>
      <c r="AH44" s="79"/>
      <c r="AI44" s="51"/>
      <c r="AJ44" s="51"/>
      <c r="AK44" s="51"/>
      <c r="AL44" s="51"/>
      <c r="AM44" s="51"/>
      <c r="AN44" s="51"/>
      <c r="AO44" s="51"/>
      <c r="AP44" s="51"/>
      <c r="AQ44" s="51"/>
      <c r="AR44" s="51"/>
      <c r="AS44" s="51"/>
      <c r="AT44" s="51"/>
      <c r="AU44" s="51"/>
      <c r="AV44" s="51"/>
      <c r="AW44" s="51"/>
      <c r="AX44" s="51"/>
      <c r="AY44" s="249">
        <f>VLOOKUP(AY43,市町村データ!A2:P106,MATCH(手順書_大字_世帯密度!$F$64, 市町村データ!A1:P1, 0),FALSE)</f>
        <v>83.2</v>
      </c>
      <c r="AZ44" s="156"/>
      <c r="BA44" s="156"/>
      <c r="BB44" s="156"/>
      <c r="BC44" s="87"/>
      <c r="BD44" s="87"/>
      <c r="BE44" s="87"/>
      <c r="BF44" s="87"/>
      <c r="BG44" s="87"/>
      <c r="BH44" s="87"/>
      <c r="BI44" s="87"/>
      <c r="BJ44" s="87"/>
      <c r="BK44" s="99"/>
      <c r="BL44" s="51"/>
      <c r="BM44" s="51"/>
      <c r="BN44" s="51"/>
      <c r="BO44" s="51"/>
      <c r="BP44" s="51"/>
      <c r="BQ44" s="51"/>
      <c r="BR44" s="51"/>
      <c r="BS44" s="79"/>
      <c r="BT44" s="78"/>
    </row>
    <row r="45" spans="1:72" ht="21.15" customHeight="1" x14ac:dyDescent="0.55000000000000004">
      <c r="A45" s="78"/>
      <c r="B45" s="79"/>
      <c r="C45" s="79"/>
      <c r="D45" s="79"/>
      <c r="E45" s="79"/>
      <c r="F45" s="79"/>
      <c r="G45" s="79"/>
      <c r="H45" s="79"/>
      <c r="I45" s="79"/>
      <c r="J45" s="79"/>
      <c r="K45" s="79"/>
      <c r="L45" s="79"/>
      <c r="M45" s="79"/>
      <c r="N45" s="79"/>
      <c r="O45" s="79"/>
      <c r="P45" s="79"/>
      <c r="Q45" s="79"/>
      <c r="R45" s="79"/>
      <c r="S45" s="79"/>
      <c r="T45" s="79"/>
      <c r="U45" s="79"/>
      <c r="V45" s="79"/>
      <c r="W45" s="79"/>
      <c r="X45" s="79"/>
      <c r="Y45" s="79"/>
      <c r="Z45" s="79"/>
      <c r="AA45" s="79"/>
      <c r="AB45" s="79"/>
      <c r="AC45" s="79"/>
      <c r="AD45" s="79"/>
      <c r="AE45" s="79"/>
      <c r="AF45" s="79"/>
      <c r="AG45" s="79"/>
      <c r="AH45" s="79"/>
      <c r="AI45" s="51"/>
      <c r="AJ45" s="51"/>
      <c r="AK45" s="51"/>
      <c r="AL45" s="51"/>
      <c r="AM45" s="51"/>
      <c r="AN45" s="51"/>
      <c r="AO45" s="51"/>
      <c r="AP45" s="51"/>
      <c r="AQ45" s="51"/>
      <c r="AR45" s="51"/>
      <c r="AS45" s="51"/>
      <c r="AT45" s="51"/>
      <c r="AU45" s="51"/>
      <c r="AV45" s="51"/>
      <c r="AW45" s="51"/>
      <c r="AX45" s="51"/>
      <c r="AY45" s="245">
        <f>VLOOKUP(AY43,市町村データ!A2:P106,MATCH(手順書_大字_世帯密度!$F$65, 市町村データ!A1:P1, 0),FALSE)</f>
        <v>7355</v>
      </c>
      <c r="AZ45" s="156"/>
      <c r="BA45" s="156"/>
      <c r="BB45" s="156"/>
      <c r="BC45" s="87"/>
      <c r="BD45" s="87"/>
      <c r="BE45" s="87"/>
      <c r="BF45" s="87"/>
      <c r="BG45" s="87"/>
      <c r="BH45" s="87"/>
      <c r="BI45" s="87"/>
      <c r="BJ45" s="87"/>
      <c r="BK45" s="99"/>
      <c r="BL45" s="51"/>
      <c r="BM45" s="51"/>
      <c r="BN45" s="51"/>
      <c r="BO45" s="51"/>
      <c r="BP45" s="51"/>
      <c r="BQ45" s="51"/>
      <c r="BR45" s="51"/>
      <c r="BS45" s="79"/>
      <c r="BT45" s="78"/>
    </row>
    <row r="46" spans="1:72" ht="21.15" customHeight="1" x14ac:dyDescent="0.55000000000000004">
      <c r="A46" s="78"/>
      <c r="B46" s="79"/>
      <c r="C46" s="79"/>
      <c r="D46" s="79"/>
      <c r="E46" s="79"/>
      <c r="F46" s="79"/>
      <c r="G46" s="79"/>
      <c r="H46" s="79"/>
      <c r="I46" s="79"/>
      <c r="J46" s="79"/>
      <c r="K46" s="79"/>
      <c r="L46" s="79"/>
      <c r="M46" s="79"/>
      <c r="N46" s="79"/>
      <c r="O46" s="79"/>
      <c r="P46" s="79"/>
      <c r="Q46" s="79"/>
      <c r="R46" s="79"/>
      <c r="S46" s="79"/>
      <c r="T46" s="79"/>
      <c r="U46" s="79"/>
      <c r="V46" s="79"/>
      <c r="W46" s="79"/>
      <c r="X46" s="79"/>
      <c r="Y46" s="79"/>
      <c r="Z46" s="79"/>
      <c r="AA46" s="79"/>
      <c r="AB46" s="79"/>
      <c r="AC46" s="79"/>
      <c r="AD46" s="79"/>
      <c r="AE46" s="79"/>
      <c r="AF46" s="79"/>
      <c r="AG46" s="79"/>
      <c r="AH46" s="79"/>
      <c r="AI46" s="51"/>
      <c r="AJ46" s="51"/>
      <c r="AK46" s="51"/>
      <c r="AL46" s="51"/>
      <c r="AM46" s="51"/>
      <c r="AN46" s="51"/>
      <c r="AO46" s="51"/>
      <c r="AP46" s="51"/>
      <c r="AQ46" s="51"/>
      <c r="AR46" s="51"/>
      <c r="AS46" s="51"/>
      <c r="AT46" s="51"/>
      <c r="AU46" s="51"/>
      <c r="AV46" s="51"/>
      <c r="AW46" s="51"/>
      <c r="AX46" s="51"/>
      <c r="AY46" s="310">
        <f>VLOOKUP(AY43,市町村データ!A2:P106,MATCH(手順書_大字_世帯密度!$F$66, 市町村データ!A1:P1, 0),FALSE)</f>
        <v>88.4</v>
      </c>
      <c r="AZ46" s="156"/>
      <c r="BA46" s="156"/>
      <c r="BB46" s="156"/>
      <c r="BC46" s="79"/>
      <c r="BD46" s="79"/>
      <c r="BE46" s="79"/>
      <c r="BF46" s="79"/>
      <c r="BG46" s="79"/>
      <c r="BH46" s="79"/>
      <c r="BI46" s="79"/>
      <c r="BJ46" s="79"/>
      <c r="BK46" s="99"/>
      <c r="BL46" s="51"/>
      <c r="BM46" s="51"/>
      <c r="BN46" s="51"/>
      <c r="BO46" s="51"/>
      <c r="BP46" s="51"/>
      <c r="BQ46" s="51"/>
      <c r="BR46" s="51"/>
      <c r="BS46" s="79"/>
      <c r="BT46" s="78"/>
    </row>
    <row r="47" spans="1:72" ht="21.15" customHeight="1" x14ac:dyDescent="0.55000000000000004">
      <c r="A47" s="78"/>
      <c r="B47" s="79"/>
      <c r="C47" s="81" t="s">
        <v>520</v>
      </c>
      <c r="D47" s="79"/>
      <c r="E47" s="79"/>
      <c r="F47" s="79"/>
      <c r="G47" s="79"/>
      <c r="H47" s="79"/>
      <c r="I47" s="79"/>
      <c r="J47" s="79"/>
      <c r="K47" s="79"/>
      <c r="L47" s="79"/>
      <c r="M47" s="79"/>
      <c r="N47" s="79"/>
      <c r="O47" s="79"/>
      <c r="P47" s="79"/>
      <c r="Q47" s="79"/>
      <c r="R47" s="79"/>
      <c r="S47" s="79"/>
      <c r="T47" s="79"/>
      <c r="U47" s="79"/>
      <c r="V47" s="79"/>
      <c r="W47" s="79"/>
      <c r="X47" s="79"/>
      <c r="Y47" s="79"/>
      <c r="Z47" s="79"/>
      <c r="AA47" s="79"/>
      <c r="AB47" s="79"/>
      <c r="AC47" s="79"/>
      <c r="AD47" s="79"/>
      <c r="AE47" s="79"/>
      <c r="AF47" s="79"/>
      <c r="AG47" s="79"/>
      <c r="AH47" s="79"/>
      <c r="AI47" s="51"/>
      <c r="AJ47" s="51"/>
      <c r="AK47" s="51"/>
      <c r="AL47" s="51"/>
      <c r="AM47" s="51"/>
      <c r="AN47" s="51"/>
      <c r="AO47" s="51"/>
      <c r="AP47" s="51"/>
      <c r="AQ47" s="51"/>
      <c r="AR47" s="51"/>
      <c r="AS47" s="51"/>
      <c r="AT47" s="51"/>
      <c r="AU47" s="51"/>
      <c r="AV47" s="51"/>
      <c r="AW47" s="51"/>
      <c r="AX47" s="51"/>
      <c r="AY47" s="85"/>
      <c r="AZ47" s="79"/>
      <c r="BA47" s="79"/>
      <c r="BB47" s="79"/>
      <c r="BC47" s="79"/>
      <c r="BD47" s="79"/>
      <c r="BE47" s="79"/>
      <c r="BF47" s="79"/>
      <c r="BG47" s="79"/>
      <c r="BH47" s="79"/>
      <c r="BI47" s="79"/>
      <c r="BJ47" s="79"/>
      <c r="BK47" s="99"/>
      <c r="BL47" s="51"/>
      <c r="BM47" s="51"/>
      <c r="BN47" s="51"/>
      <c r="BO47" s="51"/>
      <c r="BP47" s="51"/>
      <c r="BQ47" s="51"/>
      <c r="BR47" s="51"/>
      <c r="BS47" s="79"/>
      <c r="BT47" s="78"/>
    </row>
    <row r="48" spans="1:72" ht="21.15" customHeight="1" x14ac:dyDescent="0.55000000000000004">
      <c r="A48" s="78"/>
      <c r="B48" s="79"/>
      <c r="C48" s="79"/>
      <c r="D48" s="79"/>
      <c r="E48" s="79"/>
      <c r="F48" s="79"/>
      <c r="G48" s="79"/>
      <c r="H48" s="79"/>
      <c r="I48" s="79"/>
      <c r="J48" s="79"/>
      <c r="K48" s="79"/>
      <c r="L48" s="79"/>
      <c r="M48" s="79"/>
      <c r="N48" s="79"/>
      <c r="O48" s="79"/>
      <c r="P48" s="79"/>
      <c r="Q48" s="79"/>
      <c r="R48" s="79"/>
      <c r="S48" s="79"/>
      <c r="T48" s="79"/>
      <c r="U48" s="79"/>
      <c r="V48" s="79"/>
      <c r="W48" s="79"/>
      <c r="X48" s="79"/>
      <c r="Y48" s="79"/>
      <c r="Z48" s="79"/>
      <c r="AA48" s="79"/>
      <c r="AB48" s="79"/>
      <c r="AC48" s="79"/>
      <c r="AD48" s="79"/>
      <c r="AE48" s="79"/>
      <c r="AF48" s="79"/>
      <c r="AG48" s="79"/>
      <c r="AH48" s="79"/>
      <c r="AI48" s="51"/>
      <c r="AJ48" s="51"/>
      <c r="AK48" s="51"/>
      <c r="AL48" s="51"/>
      <c r="AM48" s="51"/>
      <c r="AN48" s="51"/>
      <c r="AO48" s="51"/>
      <c r="AP48" s="51"/>
      <c r="AQ48" s="51"/>
      <c r="AR48" s="51"/>
      <c r="AS48" s="51"/>
      <c r="AT48" s="51"/>
      <c r="AU48" s="51"/>
      <c r="AV48" s="51"/>
      <c r="AW48" s="51"/>
      <c r="AX48" s="51"/>
      <c r="AY48" s="92"/>
      <c r="AZ48" s="87"/>
      <c r="BA48" s="87"/>
      <c r="BB48" s="87"/>
      <c r="BC48" s="87"/>
      <c r="BD48" s="87"/>
      <c r="BE48" s="87"/>
      <c r="BF48" s="87"/>
      <c r="BG48" s="87"/>
      <c r="BH48" s="87"/>
      <c r="BI48" s="87"/>
      <c r="BJ48" s="87"/>
      <c r="BK48" s="99"/>
      <c r="BL48" s="51"/>
      <c r="BM48" s="51"/>
      <c r="BN48" s="51"/>
      <c r="BO48" s="51"/>
      <c r="BP48" s="51"/>
      <c r="BQ48" s="51"/>
      <c r="BR48" s="51"/>
      <c r="BS48" s="79"/>
      <c r="BT48" s="78"/>
    </row>
    <row r="49" spans="1:72" ht="21.15" customHeight="1" x14ac:dyDescent="0.55000000000000004">
      <c r="A49" s="78"/>
      <c r="B49" s="79"/>
      <c r="C49" s="79"/>
      <c r="D49" s="79"/>
      <c r="E49" s="79"/>
      <c r="F49" s="79"/>
      <c r="G49" s="79"/>
      <c r="H49" s="79"/>
      <c r="I49" s="79"/>
      <c r="J49" s="79"/>
      <c r="K49" s="79"/>
      <c r="L49" s="79"/>
      <c r="M49" s="79"/>
      <c r="N49" s="79"/>
      <c r="O49" s="79"/>
      <c r="P49" s="79"/>
      <c r="Q49" s="79"/>
      <c r="R49" s="79"/>
      <c r="S49" s="79"/>
      <c r="T49" s="79"/>
      <c r="U49" s="79"/>
      <c r="V49" s="79"/>
      <c r="W49" s="79"/>
      <c r="X49" s="79"/>
      <c r="Y49" s="79"/>
      <c r="Z49" s="79"/>
      <c r="AA49" s="79"/>
      <c r="AB49" s="79"/>
      <c r="AC49" s="79"/>
      <c r="AD49" s="79"/>
      <c r="AE49" s="79"/>
      <c r="AF49" s="79"/>
      <c r="AG49" s="79"/>
      <c r="AH49" s="79"/>
      <c r="AI49" s="51"/>
      <c r="AJ49" s="51"/>
      <c r="AK49" s="51"/>
      <c r="AL49" s="51"/>
      <c r="AM49" s="51"/>
      <c r="AN49" s="51"/>
      <c r="AO49" s="51"/>
      <c r="AP49" s="51"/>
      <c r="AQ49" s="51"/>
      <c r="AR49" s="51"/>
      <c r="AS49" s="51"/>
      <c r="AT49" s="51"/>
      <c r="AU49" s="51"/>
      <c r="AV49" s="51"/>
      <c r="AW49" s="51"/>
      <c r="AX49" s="51"/>
      <c r="AY49" s="92"/>
      <c r="AZ49" s="87"/>
      <c r="BA49" s="87"/>
      <c r="BB49" s="87"/>
      <c r="BC49" s="87"/>
      <c r="BD49" s="87"/>
      <c r="BE49" s="87"/>
      <c r="BF49" s="87"/>
      <c r="BG49" s="87"/>
      <c r="BH49" s="87"/>
      <c r="BI49" s="87"/>
      <c r="BJ49" s="87"/>
      <c r="BK49" s="99"/>
      <c r="BL49" s="51"/>
      <c r="BM49" s="51"/>
      <c r="BN49" s="51"/>
      <c r="BO49" s="51"/>
      <c r="BP49" s="51"/>
      <c r="BQ49" s="51"/>
      <c r="BR49" s="51"/>
      <c r="BS49" s="79"/>
      <c r="BT49" s="78"/>
    </row>
    <row r="50" spans="1:72" ht="21.15" customHeight="1" thickBot="1" x14ac:dyDescent="0.6">
      <c r="A50" s="78"/>
      <c r="B50" s="79"/>
      <c r="C50" s="79"/>
      <c r="D50" s="79"/>
      <c r="E50" s="79"/>
      <c r="F50" s="79"/>
      <c r="G50" s="79"/>
      <c r="H50" s="79"/>
      <c r="I50" s="79"/>
      <c r="J50" s="79"/>
      <c r="K50" s="79"/>
      <c r="L50" s="79"/>
      <c r="M50" s="79"/>
      <c r="N50" s="79"/>
      <c r="O50" s="79"/>
      <c r="P50" s="79"/>
      <c r="Q50" s="79"/>
      <c r="R50" s="79"/>
      <c r="S50" s="79"/>
      <c r="T50" s="79"/>
      <c r="U50" s="79"/>
      <c r="V50" s="79"/>
      <c r="W50" s="79"/>
      <c r="X50" s="79"/>
      <c r="Y50" s="79"/>
      <c r="Z50" s="79"/>
      <c r="AA50" s="79"/>
      <c r="AB50" s="79"/>
      <c r="AC50" s="79"/>
      <c r="AD50" s="79"/>
      <c r="AE50" s="79"/>
      <c r="AF50" s="79"/>
      <c r="AG50" s="79"/>
      <c r="AH50" s="79"/>
      <c r="AI50" s="79"/>
      <c r="AJ50" s="79"/>
      <c r="AK50" s="79"/>
      <c r="AL50" s="79"/>
      <c r="AM50" s="79"/>
      <c r="AN50" s="79"/>
      <c r="AO50" s="79"/>
      <c r="AP50" s="79"/>
      <c r="AQ50" s="79"/>
      <c r="AR50" s="79"/>
      <c r="AS50" s="79"/>
      <c r="AT50" s="79"/>
      <c r="AU50" s="79"/>
      <c r="AV50" s="51"/>
      <c r="AW50" s="51"/>
      <c r="AX50" s="51"/>
      <c r="AY50" s="85"/>
      <c r="AZ50" s="79"/>
      <c r="BA50" s="79"/>
      <c r="BB50" s="79"/>
      <c r="BC50" s="79"/>
      <c r="BD50" s="79"/>
      <c r="BE50" s="79"/>
      <c r="BF50" s="79"/>
      <c r="BG50" s="79"/>
      <c r="BH50" s="79"/>
      <c r="BI50" s="79"/>
      <c r="BJ50" s="79"/>
      <c r="BK50" s="85"/>
      <c r="BL50" s="79"/>
      <c r="BM50" s="79"/>
      <c r="BN50" s="79"/>
      <c r="BO50" s="51"/>
      <c r="BP50" s="51"/>
      <c r="BQ50" s="51"/>
      <c r="BR50" s="51"/>
      <c r="BS50" s="51"/>
      <c r="BT50" s="78"/>
    </row>
    <row r="51" spans="1:72" ht="21.15" customHeight="1" x14ac:dyDescent="0.55000000000000004">
      <c r="A51" s="78"/>
      <c r="B51" s="79" t="s">
        <v>162</v>
      </c>
      <c r="C51" s="79"/>
      <c r="D51" s="79"/>
      <c r="E51" s="79"/>
      <c r="F51" s="79"/>
      <c r="G51" s="102"/>
      <c r="H51" s="79"/>
      <c r="I51" s="79"/>
      <c r="J51" s="79"/>
      <c r="K51" s="79"/>
      <c r="L51" s="79"/>
      <c r="M51" s="79"/>
      <c r="N51" s="79"/>
      <c r="O51" s="79"/>
      <c r="P51" s="79"/>
      <c r="Q51" s="79"/>
      <c r="R51" s="79"/>
      <c r="S51" s="79"/>
      <c r="T51" s="79"/>
      <c r="U51" s="79"/>
      <c r="V51" s="79"/>
      <c r="W51" s="79"/>
      <c r="X51" s="79"/>
      <c r="Y51" s="79"/>
      <c r="Z51" s="79"/>
      <c r="AA51" s="79"/>
      <c r="AB51" s="79"/>
      <c r="AC51" s="79"/>
      <c r="AD51" s="79"/>
      <c r="AE51" s="79"/>
      <c r="AF51" s="79"/>
      <c r="AG51" s="79"/>
      <c r="AH51" s="79"/>
      <c r="AI51" s="79"/>
      <c r="AJ51" s="79"/>
      <c r="AK51" s="79"/>
      <c r="AL51" s="79"/>
      <c r="AM51" s="52"/>
      <c r="AN51" s="52"/>
      <c r="AO51" s="52"/>
      <c r="AP51" s="52"/>
      <c r="AQ51" s="52"/>
      <c r="AR51" s="52"/>
      <c r="AS51" s="52"/>
      <c r="AT51" s="52"/>
      <c r="AU51" s="52"/>
      <c r="AV51" s="52"/>
      <c r="AW51" s="52"/>
      <c r="AX51" s="52"/>
      <c r="AY51" s="103"/>
      <c r="AZ51" s="103"/>
      <c r="BA51" s="103"/>
      <c r="BB51" s="103"/>
      <c r="BC51" s="103"/>
      <c r="BD51" s="103"/>
      <c r="BE51" s="103"/>
      <c r="BF51" s="103"/>
      <c r="BG51" s="103"/>
      <c r="BH51" s="103"/>
      <c r="BI51" s="103"/>
      <c r="BJ51" s="103"/>
      <c r="BK51" s="52"/>
      <c r="BL51" s="52"/>
      <c r="BM51" s="52"/>
      <c r="BN51" s="52"/>
      <c r="BO51" s="52"/>
      <c r="BP51" s="52"/>
      <c r="BQ51" s="52"/>
      <c r="BR51" s="52"/>
      <c r="BS51" s="52"/>
      <c r="BT51" s="78"/>
    </row>
    <row r="52" spans="1:72" ht="21.15" customHeight="1" x14ac:dyDescent="0.55000000000000004">
      <c r="A52" s="78"/>
      <c r="B52" s="79" t="s">
        <v>161</v>
      </c>
      <c r="C52" s="79"/>
      <c r="D52" s="79"/>
      <c r="E52" s="79"/>
      <c r="F52" s="79"/>
      <c r="G52" s="79"/>
      <c r="H52" s="79"/>
      <c r="I52" s="79"/>
      <c r="J52" s="79"/>
      <c r="K52" s="79"/>
      <c r="L52" s="79"/>
      <c r="M52" s="79"/>
      <c r="N52" s="79"/>
      <c r="O52" s="79"/>
      <c r="P52" s="79"/>
      <c r="Q52" s="79"/>
      <c r="R52" s="79"/>
      <c r="S52" s="79"/>
      <c r="T52" s="79"/>
      <c r="U52" s="79"/>
      <c r="V52" s="79"/>
      <c r="W52" s="79"/>
      <c r="X52" s="79"/>
      <c r="Y52" s="79"/>
      <c r="Z52" s="79"/>
      <c r="AA52" s="79"/>
      <c r="AB52" s="79"/>
      <c r="AC52" s="79"/>
      <c r="AD52" s="79"/>
      <c r="AE52" s="79"/>
      <c r="AF52" s="79"/>
      <c r="AG52" s="79"/>
      <c r="AH52" s="79"/>
      <c r="AI52" s="79"/>
      <c r="AJ52" s="79"/>
      <c r="AK52" s="79"/>
      <c r="AL52" s="79"/>
      <c r="AM52" s="79"/>
      <c r="AN52" s="79"/>
      <c r="AO52" s="79"/>
      <c r="AP52" s="79"/>
      <c r="AQ52" s="79"/>
      <c r="AR52" s="79"/>
      <c r="AS52" s="79"/>
      <c r="AT52" s="79"/>
      <c r="AU52" s="79"/>
      <c r="AV52" s="79"/>
      <c r="AW52" s="79"/>
      <c r="AX52" s="79"/>
      <c r="AY52" s="79"/>
      <c r="AZ52" s="79"/>
      <c r="BA52" s="79"/>
      <c r="BB52" s="79"/>
      <c r="BC52" s="79"/>
      <c r="BD52" s="79"/>
      <c r="BE52" s="79"/>
      <c r="BF52" s="79"/>
      <c r="BG52" s="79"/>
      <c r="BH52" s="79"/>
      <c r="BI52" s="79"/>
      <c r="BJ52" s="79"/>
      <c r="BK52" s="79"/>
      <c r="BL52" s="79"/>
      <c r="BM52" s="79"/>
      <c r="BN52" s="79"/>
      <c r="BO52" s="79"/>
      <c r="BP52" s="79"/>
      <c r="BQ52" s="79"/>
      <c r="BR52" s="79"/>
      <c r="BS52" s="79"/>
      <c r="BT52" s="78"/>
    </row>
    <row r="53" spans="1:72" ht="21.15" customHeight="1" x14ac:dyDescent="0.55000000000000004">
      <c r="A53" s="78"/>
      <c r="B53" s="78"/>
      <c r="C53" s="78"/>
      <c r="D53" s="78"/>
      <c r="E53" s="78"/>
      <c r="F53" s="78"/>
      <c r="G53" s="78"/>
      <c r="H53" s="78"/>
      <c r="I53" s="78"/>
      <c r="J53" s="78"/>
      <c r="K53" s="78"/>
      <c r="L53" s="78"/>
      <c r="M53" s="78"/>
      <c r="N53" s="78"/>
      <c r="O53" s="78"/>
      <c r="P53" s="78"/>
      <c r="Q53" s="78"/>
      <c r="R53" s="78"/>
      <c r="S53" s="78"/>
      <c r="T53" s="78"/>
      <c r="U53" s="78"/>
      <c r="V53" s="78"/>
      <c r="W53" s="78"/>
      <c r="X53" s="78"/>
      <c r="Y53" s="78"/>
      <c r="Z53" s="78"/>
      <c r="AA53" s="78"/>
      <c r="AB53" s="78"/>
      <c r="AC53" s="78"/>
      <c r="AD53" s="78"/>
      <c r="AE53" s="78"/>
      <c r="AF53" s="78"/>
      <c r="AG53" s="78"/>
      <c r="AH53" s="78"/>
      <c r="AI53" s="78"/>
      <c r="AJ53" s="78"/>
      <c r="AK53" s="78"/>
      <c r="AL53" s="78"/>
      <c r="AM53" s="78"/>
      <c r="AN53" s="78"/>
      <c r="AO53" s="78"/>
      <c r="AP53" s="78"/>
      <c r="AQ53" s="78"/>
      <c r="AR53" s="78"/>
      <c r="AS53" s="78"/>
      <c r="AT53" s="78"/>
      <c r="AU53" s="78"/>
      <c r="AV53" s="78"/>
      <c r="AW53" s="78"/>
      <c r="AX53" s="78"/>
      <c r="AY53" s="78"/>
      <c r="AZ53" s="78"/>
      <c r="BA53" s="78"/>
      <c r="BB53" s="78"/>
      <c r="BC53" s="78"/>
      <c r="BD53" s="78"/>
      <c r="BE53" s="78"/>
      <c r="BF53" s="78"/>
      <c r="BG53" s="78"/>
      <c r="BH53" s="78"/>
      <c r="BI53" s="78"/>
      <c r="BJ53" s="78"/>
      <c r="BK53" s="78"/>
      <c r="BL53" s="78"/>
      <c r="BM53" s="78"/>
      <c r="BN53" s="78"/>
      <c r="BO53" s="78"/>
      <c r="BP53" s="78"/>
      <c r="BQ53" s="78"/>
      <c r="BR53" s="78"/>
      <c r="BS53" s="78"/>
      <c r="BT53" s="78"/>
    </row>
  </sheetData>
  <mergeCells count="121">
    <mergeCell ref="K9:N9"/>
    <mergeCell ref="W9:Z9"/>
    <mergeCell ref="AA9:AD9"/>
    <mergeCell ref="K10:N10"/>
    <mergeCell ref="W10:Z10"/>
    <mergeCell ref="AA10:AD10"/>
    <mergeCell ref="L7:N7"/>
    <mergeCell ref="X7:Z7"/>
    <mergeCell ref="AB7:AD7"/>
    <mergeCell ref="K8:N8"/>
    <mergeCell ref="W8:Z8"/>
    <mergeCell ref="AA8:AD8"/>
    <mergeCell ref="G13:J13"/>
    <mergeCell ref="K13:N13"/>
    <mergeCell ref="AE13:AH13"/>
    <mergeCell ref="G14:J14"/>
    <mergeCell ref="K14:N14"/>
    <mergeCell ref="AE14:AH14"/>
    <mergeCell ref="H11:J11"/>
    <mergeCell ref="L11:N11"/>
    <mergeCell ref="AF11:AH11"/>
    <mergeCell ref="G12:J12"/>
    <mergeCell ref="K12:N12"/>
    <mergeCell ref="AE12:AH12"/>
    <mergeCell ref="W18:Z18"/>
    <mergeCell ref="AM18:AP18"/>
    <mergeCell ref="P19:R19"/>
    <mergeCell ref="O20:R20"/>
    <mergeCell ref="O21:R21"/>
    <mergeCell ref="O22:R22"/>
    <mergeCell ref="X15:Z15"/>
    <mergeCell ref="AN15:AP15"/>
    <mergeCell ref="W16:Z16"/>
    <mergeCell ref="AM16:AP16"/>
    <mergeCell ref="W17:Z17"/>
    <mergeCell ref="AM17:AP17"/>
    <mergeCell ref="P23:R23"/>
    <mergeCell ref="AB23:AD23"/>
    <mergeCell ref="AJ23:AL23"/>
    <mergeCell ref="AN23:AP23"/>
    <mergeCell ref="AV23:AX23"/>
    <mergeCell ref="O24:R24"/>
    <mergeCell ref="AA24:AD24"/>
    <mergeCell ref="AI24:AL24"/>
    <mergeCell ref="AM24:AP24"/>
    <mergeCell ref="AU24:AX24"/>
    <mergeCell ref="O25:R25"/>
    <mergeCell ref="AA25:AD25"/>
    <mergeCell ref="AI25:AL25"/>
    <mergeCell ref="AM25:AP25"/>
    <mergeCell ref="AU25:AX25"/>
    <mergeCell ref="O26:R26"/>
    <mergeCell ref="AA26:AD26"/>
    <mergeCell ref="AI26:AL26"/>
    <mergeCell ref="AM26:AP26"/>
    <mergeCell ref="AU26:AX26"/>
    <mergeCell ref="S29:V29"/>
    <mergeCell ref="AA29:AD29"/>
    <mergeCell ref="AU29:AX29"/>
    <mergeCell ref="S30:V30"/>
    <mergeCell ref="AA30:AD30"/>
    <mergeCell ref="AU30:AX30"/>
    <mergeCell ref="T27:V27"/>
    <mergeCell ref="AB27:AD27"/>
    <mergeCell ref="AV27:AX27"/>
    <mergeCell ref="S28:V28"/>
    <mergeCell ref="AA28:AD28"/>
    <mergeCell ref="AU28:AX28"/>
    <mergeCell ref="G33:J33"/>
    <mergeCell ref="AI33:AL33"/>
    <mergeCell ref="AU33:AX33"/>
    <mergeCell ref="G34:J34"/>
    <mergeCell ref="AI34:AL34"/>
    <mergeCell ref="AU34:AX34"/>
    <mergeCell ref="H31:J31"/>
    <mergeCell ref="AJ31:AL31"/>
    <mergeCell ref="AV31:AX31"/>
    <mergeCell ref="G32:J32"/>
    <mergeCell ref="AI32:AL32"/>
    <mergeCell ref="AU32:AX32"/>
    <mergeCell ref="AY44:BB44"/>
    <mergeCell ref="AY45:BB45"/>
    <mergeCell ref="AY46:BB46"/>
    <mergeCell ref="BD35:BF35"/>
    <mergeCell ref="BC36:BF36"/>
    <mergeCell ref="BC37:BF37"/>
    <mergeCell ref="BC38:BF38"/>
    <mergeCell ref="AZ39:BB39"/>
    <mergeCell ref="AY40:BB40"/>
    <mergeCell ref="BO5:BQ5"/>
    <mergeCell ref="BN6:BQ6"/>
    <mergeCell ref="BN7:BQ7"/>
    <mergeCell ref="BN8:BQ8"/>
    <mergeCell ref="BN10:BP10"/>
    <mergeCell ref="BQ10:BR10"/>
    <mergeCell ref="AY41:BB41"/>
    <mergeCell ref="AY42:BB42"/>
    <mergeCell ref="AZ43:BB43"/>
    <mergeCell ref="BN14:BP14"/>
    <mergeCell ref="BQ14:BR14"/>
    <mergeCell ref="BN15:BP15"/>
    <mergeCell ref="BQ15:BR15"/>
    <mergeCell ref="BN16:BP16"/>
    <mergeCell ref="BQ16:BR16"/>
    <mergeCell ref="BN11:BP11"/>
    <mergeCell ref="BQ11:BR11"/>
    <mergeCell ref="BN12:BP12"/>
    <mergeCell ref="BQ12:BR12"/>
    <mergeCell ref="BN13:BP13"/>
    <mergeCell ref="BQ13:BR13"/>
    <mergeCell ref="BN20:BP20"/>
    <mergeCell ref="BQ20:BR20"/>
    <mergeCell ref="BN21:BP21"/>
    <mergeCell ref="BQ21:BR21"/>
    <mergeCell ref="BN22:BP22"/>
    <mergeCell ref="BN17:BP17"/>
    <mergeCell ref="BQ17:BR17"/>
    <mergeCell ref="BN18:BP18"/>
    <mergeCell ref="BQ18:BR18"/>
    <mergeCell ref="BN19:BP19"/>
    <mergeCell ref="BQ19:BR19"/>
  </mergeCell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22</vt:i4>
      </vt:variant>
    </vt:vector>
  </HeadingPairs>
  <TitlesOfParts>
    <vt:vector size="22" baseType="lpstr">
      <vt:lpstr>手順書_はじめに</vt:lpstr>
      <vt:lpstr>自動生成_地図データ</vt:lpstr>
      <vt:lpstr>CHANGELOG</vt:lpstr>
      <vt:lpstr>地図テンプレート_丁目</vt:lpstr>
      <vt:lpstr>地図テンプレート_大字</vt:lpstr>
      <vt:lpstr>市町村データ</vt:lpstr>
      <vt:lpstr>手順書_大字_市町村なまえ</vt:lpstr>
      <vt:lpstr>自動生成_大字_市町村なまえ</vt:lpstr>
      <vt:lpstr>手順書_丁目_交通</vt:lpstr>
      <vt:lpstr>自動生成_大字_交通</vt:lpstr>
      <vt:lpstr>手順書_丁目_人口密度</vt:lpstr>
      <vt:lpstr>自動生成_丁目_人口密度</vt:lpstr>
      <vt:lpstr>手順書_丁目_人口</vt:lpstr>
      <vt:lpstr>自動生成_丁目_人口</vt:lpstr>
      <vt:lpstr>手順書_丁目_世帯数</vt:lpstr>
      <vt:lpstr>自動生成_丁目_世帯数</vt:lpstr>
      <vt:lpstr>手順書_大字_世帯数</vt:lpstr>
      <vt:lpstr>自動生成_大字_世帯数</vt:lpstr>
      <vt:lpstr>手順書_丁目_世帯密度</vt:lpstr>
      <vt:lpstr>自動生成_丁目_世帯密度</vt:lpstr>
      <vt:lpstr>手順書_大字_世帯密度</vt:lpstr>
      <vt:lpstr>自動生成_大字_世帯密度</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智史 高橋</dc:creator>
  <cp:lastModifiedBy>智史 高橋</cp:lastModifiedBy>
  <dcterms:created xsi:type="dcterms:W3CDTF">2025-06-05T11:33:49Z</dcterms:created>
  <dcterms:modified xsi:type="dcterms:W3CDTF">2025-06-14T14:52:50Z</dcterms:modified>
</cp:coreProperties>
</file>