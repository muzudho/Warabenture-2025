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FCF06E1B-89A5-47BD-B056-52C2AA1A5493}" xr6:coauthVersionLast="47" xr6:coauthVersionMax="47" xr10:uidLastSave="{00000000-0000-0000-0000-000000000000}"/>
  <bookViews>
    <workbookView xWindow="1310" yWindow="3270" windowWidth="26840" windowHeight="13070" tabRatio="589" xr2:uid="{F917344C-C780-48F4-9CB5-33E5B2D23EE5}"/>
  </bookViews>
  <sheets>
    <sheet name="手順書_はじめに" sheetId="179" r:id="rId1"/>
    <sheet name="自動生成_地図データ" sheetId="312" r:id="rId2"/>
    <sheet name="CHANGELOG" sheetId="276" r:id="rId3"/>
    <sheet name="地図テンプレート_1" sheetId="9" r:id="rId4"/>
    <sheet name="地図テンプレート_2" sheetId="311" r:id="rId5"/>
    <sheet name="市町村データ" sheetId="5" r:id="rId6"/>
    <sheet name="手順書_市町村なまえ" sheetId="116" r:id="rId7"/>
    <sheet name="自動生成_市町村なまえ" sheetId="316" r:id="rId8"/>
    <sheet name="手順書_人口密度" sheetId="114" r:id="rId9"/>
    <sheet name="自動生成_人口密度" sheetId="323" r:id="rId10"/>
    <sheet name="手順書_人口" sheetId="13" r:id="rId11"/>
    <sheet name="自動生成_人口" sheetId="324" r:id="rId12"/>
  </sheets>
  <functionGroups builtInGroupCount="19"/>
  <definedNames>
    <definedName name="_xlnm._FilterDatabase" localSheetId="5" hidden="1">市町村データ!$A$1:$G$106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26" i="324" l="1"/>
  <c r="AA25" i="324"/>
  <c r="AA24" i="324"/>
  <c r="AB23" i="324"/>
  <c r="AE26" i="324"/>
  <c r="AE25" i="324"/>
  <c r="AE24" i="324"/>
  <c r="AF23" i="324"/>
  <c r="AE30" i="324"/>
  <c r="AE29" i="324"/>
  <c r="AE28" i="324"/>
  <c r="AF27" i="324"/>
  <c r="AI30" i="324"/>
  <c r="AI29" i="324"/>
  <c r="AI28" i="324"/>
  <c r="AJ27" i="324"/>
  <c r="AI26" i="324"/>
  <c r="AI25" i="324"/>
  <c r="AI24" i="324"/>
  <c r="AJ23" i="324"/>
  <c r="AE14" i="324"/>
  <c r="AE13" i="324"/>
  <c r="AE12" i="324"/>
  <c r="AF11" i="324"/>
  <c r="AI14" i="324"/>
  <c r="AI13" i="324"/>
  <c r="AI12" i="324"/>
  <c r="AJ11" i="324"/>
  <c r="AM14" i="324"/>
  <c r="AM13" i="324"/>
  <c r="AM12" i="324"/>
  <c r="AN11" i="324"/>
  <c r="AM30" i="324"/>
  <c r="AM29" i="324"/>
  <c r="AM28" i="324"/>
  <c r="AN27" i="324"/>
  <c r="AQ30" i="324"/>
  <c r="AQ29" i="324"/>
  <c r="AQ28" i="324"/>
  <c r="AR27" i="324"/>
  <c r="AQ26" i="324"/>
  <c r="AQ25" i="324"/>
  <c r="AQ24" i="324"/>
  <c r="AR23" i="324"/>
  <c r="AM26" i="324"/>
  <c r="AM25" i="324"/>
  <c r="AM24" i="324"/>
  <c r="AN23" i="324"/>
  <c r="AM18" i="324"/>
  <c r="AM17" i="324"/>
  <c r="AM16" i="324"/>
  <c r="AN15" i="324"/>
  <c r="AQ22" i="324"/>
  <c r="AQ21" i="324"/>
  <c r="AQ20" i="324"/>
  <c r="AR19" i="324"/>
  <c r="AM22" i="324"/>
  <c r="AM21" i="324"/>
  <c r="AM20" i="324"/>
  <c r="AN19" i="324"/>
  <c r="AI18" i="324"/>
  <c r="AI17" i="324"/>
  <c r="AI16" i="324"/>
  <c r="AJ15" i="324"/>
  <c r="AE18" i="324"/>
  <c r="AE17" i="324"/>
  <c r="AE16" i="324"/>
  <c r="AF15" i="324"/>
  <c r="AA18" i="324"/>
  <c r="AA17" i="324"/>
  <c r="AA16" i="324"/>
  <c r="AB15" i="324"/>
  <c r="W18" i="324"/>
  <c r="W17" i="324"/>
  <c r="W16" i="324"/>
  <c r="X15" i="324"/>
  <c r="W22" i="324"/>
  <c r="W21" i="324"/>
  <c r="W20" i="324"/>
  <c r="X19" i="324"/>
  <c r="AA22" i="324"/>
  <c r="AA21" i="324"/>
  <c r="AA20" i="324"/>
  <c r="AB19" i="324"/>
  <c r="AE22" i="324"/>
  <c r="AE21" i="324"/>
  <c r="AE20" i="324"/>
  <c r="AF19" i="324"/>
  <c r="AI22" i="324"/>
  <c r="AI21" i="324"/>
  <c r="AI20" i="324"/>
  <c r="AJ19" i="324"/>
  <c r="BO42" i="324"/>
  <c r="BO41" i="324"/>
  <c r="BO40" i="324"/>
  <c r="BP39" i="324"/>
  <c r="BK42" i="324"/>
  <c r="BK41" i="324"/>
  <c r="BK40" i="324"/>
  <c r="BL39" i="324"/>
  <c r="BG42" i="324"/>
  <c r="BG41" i="324"/>
  <c r="BG40" i="324"/>
  <c r="BH39" i="324"/>
  <c r="BC42" i="324"/>
  <c r="BC41" i="324"/>
  <c r="BC40" i="324"/>
  <c r="BD39" i="324"/>
  <c r="AY42" i="324"/>
  <c r="AY41" i="324"/>
  <c r="AY40" i="324"/>
  <c r="AZ39" i="324"/>
  <c r="S34" i="324"/>
  <c r="S33" i="324"/>
  <c r="S32" i="324"/>
  <c r="T31" i="324"/>
  <c r="S30" i="324"/>
  <c r="S29" i="324"/>
  <c r="S28" i="324"/>
  <c r="T27" i="324"/>
  <c r="W30" i="324"/>
  <c r="W29" i="324"/>
  <c r="W28" i="324"/>
  <c r="X27" i="324"/>
  <c r="AY26" i="324"/>
  <c r="AY25" i="324"/>
  <c r="AY24" i="324"/>
  <c r="AZ23" i="324"/>
  <c r="AU26" i="324"/>
  <c r="AU25" i="324"/>
  <c r="AU24" i="324"/>
  <c r="AV23" i="324"/>
  <c r="K10" i="324"/>
  <c r="K9" i="324"/>
  <c r="K8" i="324"/>
  <c r="L7" i="324"/>
  <c r="O10" i="324"/>
  <c r="O9" i="324"/>
  <c r="O8" i="324"/>
  <c r="P7" i="324"/>
  <c r="S10" i="324"/>
  <c r="S9" i="324"/>
  <c r="S8" i="324"/>
  <c r="T7" i="324"/>
  <c r="G14" i="324"/>
  <c r="G13" i="324"/>
  <c r="G12" i="324"/>
  <c r="H11" i="324"/>
  <c r="G18" i="324"/>
  <c r="G17" i="324"/>
  <c r="G16" i="324"/>
  <c r="H15" i="324"/>
  <c r="AE10" i="324"/>
  <c r="AE9" i="324"/>
  <c r="AE8" i="324"/>
  <c r="AF7" i="324"/>
  <c r="AA10" i="324"/>
  <c r="AA9" i="324"/>
  <c r="AA8" i="324"/>
  <c r="AB7" i="324"/>
  <c r="AI34" i="324"/>
  <c r="AI33" i="324"/>
  <c r="AI32" i="324"/>
  <c r="AJ31" i="324"/>
  <c r="AM34" i="324"/>
  <c r="AM33" i="324"/>
  <c r="AM32" i="324"/>
  <c r="AN31" i="324"/>
  <c r="O22" i="324"/>
  <c r="O21" i="324"/>
  <c r="O20" i="324"/>
  <c r="P19" i="324"/>
  <c r="S22" i="324"/>
  <c r="S21" i="324"/>
  <c r="S20" i="324"/>
  <c r="T19" i="324"/>
  <c r="G34" i="324"/>
  <c r="G33" i="324"/>
  <c r="G32" i="324"/>
  <c r="H31" i="324"/>
  <c r="K34" i="324"/>
  <c r="K33" i="324"/>
  <c r="K32" i="324"/>
  <c r="L31" i="324"/>
  <c r="O34" i="324"/>
  <c r="O33" i="324"/>
  <c r="O32" i="324"/>
  <c r="P31" i="324"/>
  <c r="BK30" i="324"/>
  <c r="BK29" i="324"/>
  <c r="BK28" i="324"/>
  <c r="BL27" i="324"/>
  <c r="BG30" i="324"/>
  <c r="BG29" i="324"/>
  <c r="BG28" i="324"/>
  <c r="BH27" i="324"/>
  <c r="BC30" i="324"/>
  <c r="BC29" i="324"/>
  <c r="BC28" i="324"/>
  <c r="BD27" i="324"/>
  <c r="AY30" i="324"/>
  <c r="AY29" i="324"/>
  <c r="AY28" i="324"/>
  <c r="AZ27" i="324"/>
  <c r="AU30" i="324"/>
  <c r="AU29" i="324"/>
  <c r="AU28" i="324"/>
  <c r="AV27" i="324"/>
  <c r="AY50" i="324"/>
  <c r="AY49" i="324"/>
  <c r="AY48" i="324"/>
  <c r="AZ47" i="324"/>
  <c r="BC50" i="324"/>
  <c r="BC49" i="324"/>
  <c r="BC48" i="324"/>
  <c r="BD47" i="324"/>
  <c r="BG50" i="324"/>
  <c r="BG49" i="324"/>
  <c r="BG48" i="324"/>
  <c r="BH47" i="324"/>
  <c r="BG46" i="324"/>
  <c r="BG45" i="324"/>
  <c r="BG44" i="324"/>
  <c r="BH43" i="324"/>
  <c r="BC46" i="324"/>
  <c r="BC45" i="324"/>
  <c r="BC44" i="324"/>
  <c r="BD43" i="324"/>
  <c r="AY46" i="324"/>
  <c r="AY45" i="324"/>
  <c r="AY44" i="324"/>
  <c r="AZ43" i="324"/>
  <c r="W10" i="324"/>
  <c r="W9" i="324"/>
  <c r="W8" i="324"/>
  <c r="X7" i="324"/>
  <c r="W14" i="324"/>
  <c r="W13" i="324"/>
  <c r="W12" i="324"/>
  <c r="X11" i="324"/>
  <c r="AA14" i="324"/>
  <c r="AA13" i="324"/>
  <c r="AA12" i="324"/>
  <c r="AB11" i="324"/>
  <c r="BK38" i="324"/>
  <c r="BK37" i="324"/>
  <c r="BK36" i="324"/>
  <c r="BL35" i="324"/>
  <c r="BG38" i="324"/>
  <c r="BG37" i="324"/>
  <c r="BG36" i="324"/>
  <c r="BH35" i="324"/>
  <c r="BC38" i="324"/>
  <c r="BC37" i="324"/>
  <c r="BC36" i="324"/>
  <c r="BD35" i="324"/>
  <c r="S14" i="324"/>
  <c r="S13" i="324"/>
  <c r="S12" i="324"/>
  <c r="T11" i="324"/>
  <c r="K14" i="324"/>
  <c r="K13" i="324"/>
  <c r="K12" i="324"/>
  <c r="L11" i="324"/>
  <c r="K18" i="324"/>
  <c r="K17" i="324"/>
  <c r="K16" i="324"/>
  <c r="L15" i="324"/>
  <c r="O18" i="324"/>
  <c r="O17" i="324"/>
  <c r="O16" i="324"/>
  <c r="P15" i="324"/>
  <c r="S18" i="324"/>
  <c r="S17" i="324"/>
  <c r="S16" i="324"/>
  <c r="T15" i="324"/>
  <c r="AA30" i="324"/>
  <c r="AA29" i="324"/>
  <c r="AA28" i="324"/>
  <c r="AB27" i="324"/>
  <c r="AA34" i="324"/>
  <c r="AA33" i="324"/>
  <c r="AA32" i="324"/>
  <c r="AB31" i="324"/>
  <c r="AA38" i="324"/>
  <c r="AA37" i="324"/>
  <c r="AA36" i="324"/>
  <c r="AB35" i="324"/>
  <c r="AE38" i="324"/>
  <c r="AE37" i="324"/>
  <c r="AE36" i="324"/>
  <c r="AF35" i="324"/>
  <c r="AE34" i="324"/>
  <c r="AE33" i="324"/>
  <c r="AE32" i="324"/>
  <c r="AF31" i="324"/>
  <c r="BK34" i="324"/>
  <c r="BK33" i="324"/>
  <c r="BK32" i="324"/>
  <c r="BL31" i="324"/>
  <c r="BG34" i="324"/>
  <c r="BG33" i="324"/>
  <c r="BG32" i="324"/>
  <c r="BH31" i="324"/>
  <c r="BC34" i="324"/>
  <c r="BC33" i="324"/>
  <c r="BC32" i="324"/>
  <c r="BD31" i="324"/>
  <c r="AY34" i="324"/>
  <c r="AY33" i="324"/>
  <c r="AY32" i="324"/>
  <c r="AZ31" i="324"/>
  <c r="AU34" i="324"/>
  <c r="AU33" i="324"/>
  <c r="AU32" i="324"/>
  <c r="AV31" i="324"/>
  <c r="O26" i="324"/>
  <c r="O25" i="324"/>
  <c r="O24" i="324"/>
  <c r="P23" i="324"/>
  <c r="S26" i="324"/>
  <c r="S25" i="324"/>
  <c r="S24" i="324"/>
  <c r="T23" i="324"/>
  <c r="W26" i="324"/>
  <c r="W25" i="324"/>
  <c r="W24" i="324"/>
  <c r="X23" i="324"/>
  <c r="AA26" i="323"/>
  <c r="AA25" i="323"/>
  <c r="AA24" i="323"/>
  <c r="AB23" i="323"/>
  <c r="AE26" i="323"/>
  <c r="AE25" i="323"/>
  <c r="AE24" i="323"/>
  <c r="AF23" i="323"/>
  <c r="AE30" i="323"/>
  <c r="AE29" i="323"/>
  <c r="AE28" i="323"/>
  <c r="AF27" i="323"/>
  <c r="AI30" i="323"/>
  <c r="AI29" i="323"/>
  <c r="AI28" i="323"/>
  <c r="AJ27" i="323"/>
  <c r="AI26" i="323"/>
  <c r="AI25" i="323"/>
  <c r="AI24" i="323"/>
  <c r="AJ23" i="323"/>
  <c r="AE14" i="323"/>
  <c r="AE13" i="323"/>
  <c r="AE12" i="323"/>
  <c r="AF11" i="323"/>
  <c r="AI14" i="323"/>
  <c r="AI13" i="323"/>
  <c r="AI12" i="323"/>
  <c r="AJ11" i="323"/>
  <c r="AM14" i="323"/>
  <c r="AM13" i="323"/>
  <c r="AM12" i="323"/>
  <c r="AN11" i="323"/>
  <c r="AM30" i="323"/>
  <c r="AM29" i="323"/>
  <c r="AM28" i="323"/>
  <c r="AN27" i="323"/>
  <c r="AQ30" i="323"/>
  <c r="AQ29" i="323"/>
  <c r="AQ28" i="323"/>
  <c r="AR27" i="323"/>
  <c r="AQ26" i="323"/>
  <c r="AQ25" i="323"/>
  <c r="AQ24" i="323"/>
  <c r="AR23" i="323"/>
  <c r="AM26" i="323"/>
  <c r="AM25" i="323"/>
  <c r="AM24" i="323"/>
  <c r="AN23" i="323"/>
  <c r="AM18" i="323"/>
  <c r="AM17" i="323"/>
  <c r="AM16" i="323"/>
  <c r="AN15" i="323"/>
  <c r="AQ22" i="323"/>
  <c r="AQ21" i="323"/>
  <c r="AQ20" i="323"/>
  <c r="AR19" i="323"/>
  <c r="AM22" i="323"/>
  <c r="AM21" i="323"/>
  <c r="AM20" i="323"/>
  <c r="AN19" i="323"/>
  <c r="AI18" i="323"/>
  <c r="AI17" i="323"/>
  <c r="AI16" i="323"/>
  <c r="AJ15" i="323"/>
  <c r="AE18" i="323"/>
  <c r="AE17" i="323"/>
  <c r="AE16" i="323"/>
  <c r="AF15" i="323"/>
  <c r="AA18" i="323"/>
  <c r="AA17" i="323"/>
  <c r="AA16" i="323"/>
  <c r="AB15" i="323"/>
  <c r="W18" i="323"/>
  <c r="W17" i="323"/>
  <c r="W16" i="323"/>
  <c r="X15" i="323"/>
  <c r="W22" i="323"/>
  <c r="W21" i="323"/>
  <c r="W20" i="323"/>
  <c r="X19" i="323"/>
  <c r="AA22" i="323"/>
  <c r="AA21" i="323"/>
  <c r="AA20" i="323"/>
  <c r="AB19" i="323"/>
  <c r="AE22" i="323"/>
  <c r="AE21" i="323"/>
  <c r="AE20" i="323"/>
  <c r="AF19" i="323"/>
  <c r="AI22" i="323"/>
  <c r="AI21" i="323"/>
  <c r="AI20" i="323"/>
  <c r="AJ19" i="323"/>
  <c r="BO42" i="323"/>
  <c r="BO41" i="323"/>
  <c r="BO40" i="323"/>
  <c r="BP39" i="323"/>
  <c r="BK42" i="323"/>
  <c r="BK41" i="323"/>
  <c r="BK40" i="323"/>
  <c r="BL39" i="323"/>
  <c r="BG42" i="323"/>
  <c r="BG41" i="323"/>
  <c r="BG40" i="323"/>
  <c r="BH39" i="323"/>
  <c r="BC42" i="323"/>
  <c r="BC41" i="323"/>
  <c r="BC40" i="323"/>
  <c r="BD39" i="323"/>
  <c r="AY42" i="323"/>
  <c r="AY41" i="323"/>
  <c r="AY40" i="323"/>
  <c r="AZ39" i="323"/>
  <c r="S34" i="323"/>
  <c r="S33" i="323"/>
  <c r="S32" i="323"/>
  <c r="T31" i="323"/>
  <c r="S30" i="323"/>
  <c r="S29" i="323"/>
  <c r="S28" i="323"/>
  <c r="T27" i="323"/>
  <c r="W30" i="323"/>
  <c r="W29" i="323"/>
  <c r="W28" i="323"/>
  <c r="X27" i="323"/>
  <c r="AY26" i="323"/>
  <c r="AY25" i="323"/>
  <c r="AY24" i="323"/>
  <c r="AZ23" i="323"/>
  <c r="AU26" i="323"/>
  <c r="AU25" i="323"/>
  <c r="AU24" i="323"/>
  <c r="AV23" i="323"/>
  <c r="K10" i="323"/>
  <c r="K9" i="323"/>
  <c r="K8" i="323"/>
  <c r="L7" i="323"/>
  <c r="O10" i="323"/>
  <c r="O9" i="323"/>
  <c r="O8" i="323"/>
  <c r="P7" i="323"/>
  <c r="S10" i="323"/>
  <c r="S9" i="323"/>
  <c r="S8" i="323"/>
  <c r="T7" i="323"/>
  <c r="G14" i="323"/>
  <c r="G13" i="323"/>
  <c r="G12" i="323"/>
  <c r="H11" i="323"/>
  <c r="G18" i="323"/>
  <c r="G17" i="323"/>
  <c r="G16" i="323"/>
  <c r="H15" i="323"/>
  <c r="AE10" i="323"/>
  <c r="AE9" i="323"/>
  <c r="AE8" i="323"/>
  <c r="AF7" i="323"/>
  <c r="AA10" i="323"/>
  <c r="AA9" i="323"/>
  <c r="AA8" i="323"/>
  <c r="AB7" i="323"/>
  <c r="AI34" i="323"/>
  <c r="AI33" i="323"/>
  <c r="AI32" i="323"/>
  <c r="AJ31" i="323"/>
  <c r="AM34" i="323"/>
  <c r="AM33" i="323"/>
  <c r="AM32" i="323"/>
  <c r="AN31" i="323"/>
  <c r="O22" i="323"/>
  <c r="O21" i="323"/>
  <c r="O20" i="323"/>
  <c r="P19" i="323"/>
  <c r="S22" i="323"/>
  <c r="S21" i="323"/>
  <c r="S20" i="323"/>
  <c r="T19" i="323"/>
  <c r="G34" i="323"/>
  <c r="G33" i="323"/>
  <c r="G32" i="323"/>
  <c r="H31" i="323"/>
  <c r="K34" i="323"/>
  <c r="K33" i="323"/>
  <c r="K32" i="323"/>
  <c r="L31" i="323"/>
  <c r="O34" i="323"/>
  <c r="O33" i="323"/>
  <c r="O32" i="323"/>
  <c r="P31" i="323"/>
  <c r="BK30" i="323"/>
  <c r="BK29" i="323"/>
  <c r="BK28" i="323"/>
  <c r="BL27" i="323"/>
  <c r="BG30" i="323"/>
  <c r="BG29" i="323"/>
  <c r="BG28" i="323"/>
  <c r="BH27" i="323"/>
  <c r="BC30" i="323"/>
  <c r="BC29" i="323"/>
  <c r="BC28" i="323"/>
  <c r="BD27" i="323"/>
  <c r="AY30" i="323"/>
  <c r="AY29" i="323"/>
  <c r="AY28" i="323"/>
  <c r="AZ27" i="323"/>
  <c r="AU30" i="323"/>
  <c r="AU29" i="323"/>
  <c r="AU28" i="323"/>
  <c r="AV27" i="323"/>
  <c r="AY50" i="323"/>
  <c r="AY49" i="323"/>
  <c r="AY48" i="323"/>
  <c r="AZ47" i="323"/>
  <c r="BC50" i="323"/>
  <c r="BC49" i="323"/>
  <c r="BC48" i="323"/>
  <c r="BD47" i="323"/>
  <c r="BG50" i="323"/>
  <c r="BG49" i="323"/>
  <c r="BG48" i="323"/>
  <c r="BH47" i="323"/>
  <c r="BG46" i="323"/>
  <c r="BG45" i="323"/>
  <c r="BG44" i="323"/>
  <c r="BH43" i="323"/>
  <c r="BC46" i="323"/>
  <c r="BC45" i="323"/>
  <c r="BC44" i="323"/>
  <c r="BD43" i="323"/>
  <c r="AY46" i="323"/>
  <c r="AY45" i="323"/>
  <c r="AY44" i="323"/>
  <c r="AZ43" i="323"/>
  <c r="W10" i="323"/>
  <c r="W9" i="323"/>
  <c r="W8" i="323"/>
  <c r="X7" i="323"/>
  <c r="W14" i="323"/>
  <c r="W13" i="323"/>
  <c r="W12" i="323"/>
  <c r="X11" i="323"/>
  <c r="AA14" i="323"/>
  <c r="AA13" i="323"/>
  <c r="AA12" i="323"/>
  <c r="AB11" i="323"/>
  <c r="BK38" i="323"/>
  <c r="BK37" i="323"/>
  <c r="BK36" i="323"/>
  <c r="BL35" i="323"/>
  <c r="BG38" i="323"/>
  <c r="BG37" i="323"/>
  <c r="BG36" i="323"/>
  <c r="BH35" i="323"/>
  <c r="BC38" i="323"/>
  <c r="BC37" i="323"/>
  <c r="BC36" i="323"/>
  <c r="BD35" i="323"/>
  <c r="S14" i="323"/>
  <c r="S13" i="323"/>
  <c r="S12" i="323"/>
  <c r="T11" i="323"/>
  <c r="K14" i="323"/>
  <c r="K13" i="323"/>
  <c r="K12" i="323"/>
  <c r="L11" i="323"/>
  <c r="K18" i="323"/>
  <c r="K17" i="323"/>
  <c r="K16" i="323"/>
  <c r="L15" i="323"/>
  <c r="O18" i="323"/>
  <c r="O17" i="323"/>
  <c r="O16" i="323"/>
  <c r="P15" i="323"/>
  <c r="S18" i="323"/>
  <c r="S17" i="323"/>
  <c r="S16" i="323"/>
  <c r="T15" i="323"/>
  <c r="AA30" i="323"/>
  <c r="AA29" i="323"/>
  <c r="AA28" i="323"/>
  <c r="AB27" i="323"/>
  <c r="AA34" i="323"/>
  <c r="AA33" i="323"/>
  <c r="AA32" i="323"/>
  <c r="AB31" i="323"/>
  <c r="AA38" i="323"/>
  <c r="AA37" i="323"/>
  <c r="AA36" i="323"/>
  <c r="AB35" i="323"/>
  <c r="AE38" i="323"/>
  <c r="AE37" i="323"/>
  <c r="AE36" i="323"/>
  <c r="AF35" i="323"/>
  <c r="AE34" i="323"/>
  <c r="AE33" i="323"/>
  <c r="AE32" i="323"/>
  <c r="AF31" i="323"/>
  <c r="BK34" i="323"/>
  <c r="BK33" i="323"/>
  <c r="BK32" i="323"/>
  <c r="BL31" i="323"/>
  <c r="BG34" i="323"/>
  <c r="BG33" i="323"/>
  <c r="BG32" i="323"/>
  <c r="BH31" i="323"/>
  <c r="BC34" i="323"/>
  <c r="BC33" i="323"/>
  <c r="BC32" i="323"/>
  <c r="BD31" i="323"/>
  <c r="AY34" i="323"/>
  <c r="AY33" i="323"/>
  <c r="AY32" i="323"/>
  <c r="AZ31" i="323"/>
  <c r="AU34" i="323"/>
  <c r="AU33" i="323"/>
  <c r="AU32" i="323"/>
  <c r="AV31" i="323"/>
  <c r="O26" i="323"/>
  <c r="O25" i="323"/>
  <c r="O24" i="323"/>
  <c r="P23" i="323"/>
  <c r="S26" i="323"/>
  <c r="S25" i="323"/>
  <c r="S24" i="323"/>
  <c r="T23" i="323"/>
  <c r="W26" i="323"/>
  <c r="W25" i="323"/>
  <c r="W24" i="323"/>
  <c r="X23" i="323"/>
  <c r="AA25" i="316"/>
  <c r="AA24" i="316"/>
  <c r="AB23" i="316"/>
  <c r="AI25" i="316"/>
  <c r="AI24" i="316"/>
  <c r="AJ23" i="316"/>
  <c r="AE13" i="316"/>
  <c r="AE12" i="316"/>
  <c r="AF11" i="316"/>
  <c r="AM25" i="316"/>
  <c r="AM24" i="316"/>
  <c r="AN23" i="316"/>
  <c r="AM17" i="316"/>
  <c r="AM16" i="316"/>
  <c r="AN15" i="316"/>
  <c r="W17" i="316"/>
  <c r="W16" i="316"/>
  <c r="X15" i="316"/>
  <c r="AY41" i="316"/>
  <c r="AY40" i="316"/>
  <c r="AZ39" i="316"/>
  <c r="S29" i="316"/>
  <c r="S28" i="316"/>
  <c r="T27" i="316"/>
  <c r="AU25" i="316"/>
  <c r="AU24" i="316"/>
  <c r="AV23" i="316"/>
  <c r="K9" i="316"/>
  <c r="K8" i="316"/>
  <c r="L7" i="316"/>
  <c r="G13" i="316"/>
  <c r="G12" i="316"/>
  <c r="H11" i="316"/>
  <c r="AA9" i="316"/>
  <c r="AA8" i="316"/>
  <c r="AB7" i="316"/>
  <c r="AI33" i="316"/>
  <c r="AI32" i="316"/>
  <c r="AJ31" i="316"/>
  <c r="O21" i="316"/>
  <c r="O20" i="316"/>
  <c r="P19" i="316"/>
  <c r="G33" i="316"/>
  <c r="G32" i="316"/>
  <c r="H31" i="316"/>
  <c r="AU29" i="316"/>
  <c r="AU28" i="316"/>
  <c r="AV27" i="316"/>
  <c r="AY45" i="316"/>
  <c r="AY44" i="316"/>
  <c r="AZ43" i="316"/>
  <c r="W9" i="316"/>
  <c r="W8" i="316"/>
  <c r="X7" i="316"/>
  <c r="BC37" i="316"/>
  <c r="BC36" i="316"/>
  <c r="BD35" i="316"/>
  <c r="K13" i="316"/>
  <c r="K12" i="316"/>
  <c r="L11" i="316"/>
  <c r="AA29" i="316"/>
  <c r="AA28" i="316"/>
  <c r="AB27" i="316"/>
  <c r="AU33" i="316"/>
  <c r="AU32" i="316"/>
  <c r="AV31" i="316"/>
  <c r="O25" i="316"/>
  <c r="O24" i="316"/>
  <c r="P23" i="316"/>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2" i="5"/>
</calcChain>
</file>

<file path=xl/sharedStrings.xml><?xml version="1.0" encoding="utf-8"?>
<sst xmlns="http://schemas.openxmlformats.org/spreadsheetml/2006/main" count="1047" uniqueCount="650">
  <si>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</si>
  <si>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</si>
  <si>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</si>
  <si>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</si>
  <si>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</si>
  <si>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</si>
  <si>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</si>
  <si>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</si>
  <si>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</si>
  <si>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</si>
  <si>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</si>
  <si>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</si>
  <si>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</si>
  <si>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</si>
  <si>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</si>
  <si>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</si>
  <si>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A</t>
    <phoneticPr fontId="1"/>
  </si>
  <si>
    <t>B</t>
    <phoneticPr fontId="1"/>
  </si>
  <si>
    <t>C</t>
    <phoneticPr fontId="1"/>
  </si>
  <si>
    <t>D</t>
    <phoneticPr fontId="1"/>
  </si>
  <si>
    <t>E</t>
    <phoneticPr fontId="1"/>
  </si>
  <si>
    <t>F</t>
    <phoneticPr fontId="1"/>
  </si>
  <si>
    <t>G</t>
    <phoneticPr fontId="1"/>
  </si>
  <si>
    <t>H</t>
    <phoneticPr fontId="1"/>
  </si>
  <si>
    <t>名前</t>
    <rPh sb="0" eb="2">
      <t>ナマエ</t>
    </rPh>
    <phoneticPr fontId="1"/>
  </si>
  <si>
    <t>なまえ</t>
    <phoneticPr fontId="1"/>
  </si>
  <si>
    <t>人口（人）</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</si>
  <si>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</si>
  <si>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</si>
  <si>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</si>
  <si>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</si>
  <si>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</si>
  <si>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</si>
  <si>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</si>
  <si>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</si>
  <si>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</si>
  <si>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</si>
  <si>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</si>
  <si>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</si>
  <si>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</si>
  <si>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</si>
  <si>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</si>
  <si>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</si>
  <si>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</si>
  <si>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</si>
  <si>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</si>
  <si>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</si>
  <si>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</si>
  <si>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</si>
  <si>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</si>
  <si>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</si>
  <si>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た</t>
  </si>
  <si>
    <t>そ</t>
  </si>
  <si>
    <t>せ</t>
  </si>
  <si>
    <t>す</t>
  </si>
  <si>
    <t>し</t>
  </si>
  <si>
    <t>さ</t>
  </si>
  <si>
    <t>こ</t>
  </si>
  <si>
    <t>け</t>
  </si>
  <si>
    <t>く</t>
  </si>
  <si>
    <t>き</t>
  </si>
  <si>
    <t>か</t>
  </si>
  <si>
    <t>お</t>
  </si>
  <si>
    <t>え</t>
  </si>
  <si>
    <t>う</t>
  </si>
  <si>
    <t>い</t>
  </si>
  <si>
    <t>あ</t>
  </si>
  <si>
    <t>B</t>
  </si>
  <si>
    <t>D</t>
  </si>
  <si>
    <t>E</t>
  </si>
  <si>
    <t>F</t>
  </si>
  <si>
    <t>G</t>
  </si>
  <si>
    <t>H</t>
  </si>
  <si>
    <t>名前</t>
  </si>
  <si>
    <t>人口（人）</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</si>
  <si>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</si>
  <si>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</si>
  <si>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</si>
  <si>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</si>
  <si>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</si>
  <si>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</si>
  <si>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</si>
  <si>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</si>
  <si>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</si>
  <si>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</si>
  <si>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</si>
  <si>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</si>
  <si>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</si>
  <si>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</si>
  <si>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</si>
  <si>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</si>
  <si>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</si>
  <si>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</si>
  <si>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</si>
  <si>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</si>
  <si>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</si>
  <si>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</si>
  <si>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</si>
  <si>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</si>
  <si>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</si>
  <si>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</si>
  <si>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G11</t>
  </si>
  <si>
    <t>O15</t>
  </si>
  <si>
    <t>S15</t>
  </si>
  <si>
    <t>W15</t>
  </si>
  <si>
    <t>AA15</t>
  </si>
  <si>
    <t>AE15</t>
  </si>
  <si>
    <t>AI15</t>
  </si>
  <si>
    <t>AM15</t>
  </si>
  <si>
    <t>O19</t>
  </si>
  <si>
    <t>W19</t>
  </si>
  <si>
    <t>AA19</t>
  </si>
  <si>
    <t>AI19</t>
  </si>
  <si>
    <t>AM19</t>
  </si>
  <si>
    <t>AQ19</t>
  </si>
  <si>
    <t>S23</t>
  </si>
  <si>
    <t>AA23</t>
  </si>
  <si>
    <t>AE23</t>
  </si>
  <si>
    <t>AI23</t>
  </si>
  <si>
    <t>AM23</t>
  </si>
  <si>
    <t>AU23</t>
  </si>
  <si>
    <t>AY23</t>
  </si>
  <si>
    <t>S27</t>
  </si>
  <si>
    <t>AI27</t>
  </si>
  <si>
    <t>AM27</t>
  </si>
  <si>
    <t>AQ27</t>
  </si>
  <si>
    <t>AU27</t>
  </si>
  <si>
    <t>AY27</t>
  </si>
  <si>
    <t>BC27</t>
  </si>
  <si>
    <t>BG27</t>
  </si>
  <si>
    <t>BK27</t>
  </si>
  <si>
    <t>AM31</t>
  </si>
  <si>
    <t>AU31</t>
  </si>
  <si>
    <t>AY31</t>
  </si>
  <si>
    <t>BC31</t>
  </si>
  <si>
    <t>BG31</t>
  </si>
  <si>
    <t>BC35</t>
  </si>
  <si>
    <t>BG35</t>
  </si>
  <si>
    <t>BK35</t>
  </si>
  <si>
    <t>K7</t>
  </si>
  <si>
    <t>O7</t>
  </si>
  <si>
    <t>W7</t>
  </si>
  <si>
    <t>A1</t>
    <phoneticPr fontId="1"/>
  </si>
  <si>
    <t>EOF</t>
    <phoneticPr fontId="1"/>
  </si>
  <si>
    <t>C</t>
  </si>
  <si>
    <t>C3</t>
    <phoneticPr fontId="1"/>
  </si>
  <si>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</si>
  <si>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</si>
  <si>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</si>
  <si>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</si>
  <si>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</si>
  <si>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</si>
  <si>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</si>
  <si>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</si>
  <si>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</si>
  <si>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</si>
  <si>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ワークシートの列名を、</t>
    <phoneticPr fontId="1"/>
  </si>
  <si>
    <t>ヒートマップの色の凡例です。</t>
    <rPh sb="7" eb="8">
      <t>イロ</t>
    </rPh>
    <rPh sb="9" eb="11">
      <t>ハンレイ</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</si>
  <si>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</si>
  <si>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</si>
  <si>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</si>
  <si>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</si>
  <si>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</si>
  <si>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</si>
  <si>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</si>
  <si>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</si>
  <si>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</si>
  <si>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</si>
  <si>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</si>
  <si>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</si>
  <si>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</si>
  <si>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</si>
  <si>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</si>
  <si>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</si>
  <si>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</si>
  <si>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</si>
  <si>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</si>
  <si>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</si>
  <si>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</si>
  <si>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</si>
  <si>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</si>
  <si>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</si>
  <si>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</si>
  <si>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</si>
  <si>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B1:F12</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</si>
  <si>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</si>
  <si>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</si>
  <si>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</si>
  <si>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</si>
  <si>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</si>
  <si>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</si>
  <si>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</si>
  <si>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</si>
  <si>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</si>
  <si>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</si>
  <si>
    <t>以下の黄色い枠内に、［以上］列の数値と、［背景色］を設定してください。</t>
    <rPh sb="0" eb="2">
      <t>イカ</t>
    </rPh>
    <rPh sb="3" eb="5">
      <t>キイロ</t>
    </rPh>
    <rPh sb="6" eb="8">
      <t>ワクナイ</t>
    </rPh>
    <rPh sb="11" eb="13">
      <t>イジョウ</t>
    </rPh>
    <rPh sb="14" eb="15">
      <t>レツ</t>
    </rPh>
    <rPh sb="16" eb="18">
      <t>スウチ</t>
    </rPh>
    <rPh sb="21" eb="24">
      <t>ハイケイショク</t>
    </rPh>
    <phoneticPr fontId="1"/>
  </si>
  <si>
    <t>R4.0.9.0</t>
    <phoneticPr fontId="1"/>
  </si>
  <si>
    <t>使っていないのでこのまま。</t>
    <rPh sb="0" eb="1">
      <t>ツカ</t>
    </rPh>
    <phoneticPr fontId="1"/>
  </si>
  <si>
    <t>上の黄色い枠に書かれている番地を使ってください。</t>
    <rPh sb="0" eb="1">
      <t>ウエ</t>
    </rPh>
    <rPh sb="2" eb="4">
      <t>キイロ</t>
    </rPh>
    <rPh sb="5" eb="6">
      <t>ワク</t>
    </rPh>
    <rPh sb="7" eb="8">
      <t>カ</t>
    </rPh>
    <rPh sb="13" eb="15">
      <t>バンチ</t>
    </rPh>
    <rPh sb="16" eb="17">
      <t>ツカ</t>
    </rPh>
    <phoneticPr fontId="1"/>
  </si>
  <si>
    <t>R4.4.0</t>
    <phoneticPr fontId="1"/>
  </si>
  <si>
    <t>今回は使っていないので、このままにして、次の手順へ進んでください。</t>
    <rPh sb="0" eb="2">
      <t>コンカイ</t>
    </rPh>
    <rPh sb="3" eb="4">
      <t>ツカ</t>
    </rPh>
    <rPh sb="20" eb="21">
      <t>ツギ</t>
    </rPh>
    <rPh sb="22" eb="24">
      <t>テジュン</t>
    </rPh>
    <rPh sb="25" eb="26">
      <t>スス</t>
    </rPh>
    <phoneticPr fontId="1"/>
  </si>
  <si>
    <t>R4.3.5.0</t>
    <phoneticPr fontId="1"/>
  </si>
  <si>
    <t>凡例の元データのテーブルの右下隅のセル</t>
    <rPh sb="0" eb="2">
      <t>ハンレイ</t>
    </rPh>
    <rPh sb="3" eb="4">
      <t>モト</t>
    </rPh>
    <rPh sb="13" eb="15">
      <t>ミギシタ</t>
    </rPh>
    <rPh sb="15" eb="16">
      <t>スミ</t>
    </rPh>
    <phoneticPr fontId="1"/>
  </si>
  <si>
    <t>H12</t>
    <phoneticPr fontId="1"/>
  </si>
  <si>
    <t>H2</t>
    <phoneticPr fontId="1"/>
  </si>
  <si>
    <t>R3.0.5.0</t>
    <phoneticPr fontId="1"/>
  </si>
  <si>
    <t>D4</t>
    <phoneticPr fontId="1"/>
  </si>
  <si>
    <t>R3.3.0</t>
    <phoneticPr fontId="1"/>
  </si>
  <si>
    <t>ここに入力できます。</t>
    <rPh sb="3" eb="5">
      <t>ニュウリョク</t>
    </rPh>
    <phoneticPr fontId="1"/>
  </si>
  <si>
    <t>4.0.0</t>
    <phoneticPr fontId="1"/>
  </si>
  <si>
    <t>手順書には画像を挿入するなど、テキストボックス等コントロールの番地がよく変わることから、これによりコントロールが使えなくなることがないよう、
固定セル番地にするのではなく、１行目とA列目にラベルを置くようにし、コントロールの位置にタグ付けする運用に変更するよう作り直した。
また、黄色い枠にはサブ番地を置き、サブ番地による範囲指定を行うように仕様変更した。</t>
    <rPh sb="0" eb="3">
      <t>テジュンショ</t>
    </rPh>
    <rPh sb="5" eb="7">
      <t>ガゾウ</t>
    </rPh>
    <rPh sb="8" eb="10">
      <t>ソウニュウ</t>
    </rPh>
    <rPh sb="23" eb="24">
      <t>トウ</t>
    </rPh>
    <rPh sb="31" eb="33">
      <t>バンチ</t>
    </rPh>
    <rPh sb="36" eb="37">
      <t>カ</t>
    </rPh>
    <rPh sb="56" eb="57">
      <t>ツカ</t>
    </rPh>
    <rPh sb="71" eb="73">
      <t>コテイ</t>
    </rPh>
    <rPh sb="75" eb="77">
      <t>バンチ</t>
    </rPh>
    <rPh sb="87" eb="89">
      <t>ギョウメ</t>
    </rPh>
    <rPh sb="91" eb="93">
      <t>レツメ</t>
    </rPh>
    <rPh sb="98" eb="99">
      <t>オ</t>
    </rPh>
    <rPh sb="112" eb="114">
      <t>イチ</t>
    </rPh>
    <rPh sb="117" eb="118">
      <t>ツ</t>
    </rPh>
    <rPh sb="121" eb="123">
      <t>ウンヨウ</t>
    </rPh>
    <rPh sb="124" eb="126">
      <t>ヘンコウ</t>
    </rPh>
    <rPh sb="130" eb="131">
      <t>ツク</t>
    </rPh>
    <rPh sb="132" eb="133">
      <t>ナオ</t>
    </rPh>
    <rPh sb="140" eb="142">
      <t>キイロ</t>
    </rPh>
    <rPh sb="143" eb="144">
      <t>ワク</t>
    </rPh>
    <rPh sb="148" eb="150">
      <t>バンチ</t>
    </rPh>
    <rPh sb="151" eb="152">
      <t>オ</t>
    </rPh>
    <rPh sb="156" eb="158">
      <t>バンチ</t>
    </rPh>
    <rPh sb="161" eb="165">
      <t>ハンイシテイ</t>
    </rPh>
    <rPh sb="166" eb="167">
      <t>オコナ</t>
    </rPh>
    <rPh sb="171" eb="175">
      <t>シヨウヘンコウ</t>
    </rPh>
    <phoneticPr fontId="1"/>
  </si>
  <si>
    <t>世帯数</t>
    <rPh sb="0" eb="3">
      <t>セタイスウ</t>
    </rPh>
    <phoneticPr fontId="1"/>
  </si>
  <si>
    <t>元データSort</t>
    <rPh sb="0" eb="1">
      <t>モト</t>
    </rPh>
    <phoneticPr fontId="1"/>
  </si>
  <si>
    <t>あたご1</t>
    <phoneticPr fontId="1"/>
  </si>
  <si>
    <t>あたご2</t>
  </si>
  <si>
    <t>あたご2</t>
    <phoneticPr fontId="1"/>
  </si>
  <si>
    <t>あたご3</t>
  </si>
  <si>
    <t>あたご3</t>
    <phoneticPr fontId="1"/>
  </si>
  <si>
    <t>石神</t>
    <phoneticPr fontId="1"/>
  </si>
  <si>
    <t>大和田</t>
    <phoneticPr fontId="1"/>
  </si>
  <si>
    <t>片山</t>
    <phoneticPr fontId="1"/>
  </si>
  <si>
    <t>北野</t>
    <phoneticPr fontId="1"/>
  </si>
  <si>
    <t>栗原</t>
    <phoneticPr fontId="1"/>
  </si>
  <si>
    <t>栄</t>
    <phoneticPr fontId="1"/>
  </si>
  <si>
    <t>菅沢</t>
    <phoneticPr fontId="1"/>
  </si>
  <si>
    <t>東北</t>
    <phoneticPr fontId="1"/>
  </si>
  <si>
    <t>道場</t>
    <phoneticPr fontId="1"/>
  </si>
  <si>
    <t>新座</t>
    <phoneticPr fontId="1"/>
  </si>
  <si>
    <t>西堀</t>
    <phoneticPr fontId="1"/>
  </si>
  <si>
    <t>野寺</t>
    <phoneticPr fontId="1"/>
  </si>
  <si>
    <t>野火止</t>
    <phoneticPr fontId="1"/>
  </si>
  <si>
    <t>馬場</t>
    <phoneticPr fontId="1"/>
  </si>
  <si>
    <t>東</t>
    <phoneticPr fontId="1"/>
  </si>
  <si>
    <t>堀ノ内</t>
    <phoneticPr fontId="1"/>
  </si>
  <si>
    <t>本多</t>
    <phoneticPr fontId="1"/>
  </si>
  <si>
    <t>新塚</t>
    <phoneticPr fontId="1"/>
  </si>
  <si>
    <t>新塚他の地域</t>
    <rPh sb="2" eb="3">
      <t>ホカ</t>
    </rPh>
    <rPh sb="4" eb="6">
      <t>チイキ</t>
    </rPh>
    <phoneticPr fontId="1"/>
  </si>
  <si>
    <t>中野1</t>
  </si>
  <si>
    <t>中野1</t>
    <rPh sb="0" eb="2">
      <t>ナカノ</t>
    </rPh>
    <phoneticPr fontId="1"/>
  </si>
  <si>
    <t>中野2</t>
  </si>
  <si>
    <t>中野2</t>
    <rPh sb="0" eb="2">
      <t>ナカノ</t>
    </rPh>
    <phoneticPr fontId="1"/>
  </si>
  <si>
    <t>新座3</t>
  </si>
  <si>
    <t>新座3</t>
    <rPh sb="0" eb="2">
      <t>ニイザ</t>
    </rPh>
    <phoneticPr fontId="1"/>
  </si>
  <si>
    <t>新座2</t>
  </si>
  <si>
    <t>新座2</t>
    <rPh sb="0" eb="2">
      <t>ニイザ</t>
    </rPh>
    <phoneticPr fontId="1"/>
  </si>
  <si>
    <t>新座1</t>
  </si>
  <si>
    <t>新座1</t>
    <rPh sb="0" eb="2">
      <t>ニイザ</t>
    </rPh>
    <phoneticPr fontId="1"/>
  </si>
  <si>
    <t>大和田4</t>
  </si>
  <si>
    <t>大和田4</t>
    <rPh sb="0" eb="3">
      <t>オオワダ</t>
    </rPh>
    <phoneticPr fontId="1"/>
  </si>
  <si>
    <t>大和田5</t>
  </si>
  <si>
    <t>大和田5</t>
    <rPh sb="0" eb="3">
      <t>オオワダ</t>
    </rPh>
    <phoneticPr fontId="1"/>
  </si>
  <si>
    <t>大和田3</t>
  </si>
  <si>
    <t>大和田3</t>
    <rPh sb="0" eb="3">
      <t>オオワダ</t>
    </rPh>
    <phoneticPr fontId="1"/>
  </si>
  <si>
    <t>大和田2</t>
  </si>
  <si>
    <t>大和田2</t>
    <rPh sb="0" eb="3">
      <t>オオワダ</t>
    </rPh>
    <phoneticPr fontId="1"/>
  </si>
  <si>
    <t>大和田1</t>
  </si>
  <si>
    <t>大和田1</t>
    <rPh sb="0" eb="3">
      <t>オオワダ</t>
    </rPh>
    <phoneticPr fontId="1"/>
  </si>
  <si>
    <t>北野2</t>
  </si>
  <si>
    <t>北野2</t>
    <rPh sb="0" eb="2">
      <t>キタノ</t>
    </rPh>
    <phoneticPr fontId="1"/>
  </si>
  <si>
    <t>北野1</t>
  </si>
  <si>
    <t>北野1</t>
    <rPh sb="0" eb="2">
      <t>キタノ</t>
    </rPh>
    <phoneticPr fontId="1"/>
  </si>
  <si>
    <t>北野3</t>
  </si>
  <si>
    <t>北野3</t>
    <rPh sb="0" eb="2">
      <t>キタノ</t>
    </rPh>
    <phoneticPr fontId="1"/>
  </si>
  <si>
    <t>東北1</t>
  </si>
  <si>
    <t>東北1</t>
    <rPh sb="0" eb="2">
      <t>トウホク</t>
    </rPh>
    <phoneticPr fontId="1"/>
  </si>
  <si>
    <t>東北2</t>
  </si>
  <si>
    <t>東北2</t>
    <rPh sb="0" eb="2">
      <t>トウホク</t>
    </rPh>
    <phoneticPr fontId="1"/>
  </si>
  <si>
    <t>東3</t>
  </si>
  <si>
    <t>東3</t>
    <rPh sb="0" eb="1">
      <t>ヒガシ</t>
    </rPh>
    <phoneticPr fontId="1"/>
  </si>
  <si>
    <t>東2</t>
  </si>
  <si>
    <t>東2</t>
    <rPh sb="0" eb="1">
      <t>ヒガシ</t>
    </rPh>
    <phoneticPr fontId="1"/>
  </si>
  <si>
    <t>東1</t>
  </si>
  <si>
    <t>東1</t>
    <rPh sb="0" eb="1">
      <t>ヒガシ</t>
    </rPh>
    <phoneticPr fontId="1"/>
  </si>
  <si>
    <t>野火止5</t>
  </si>
  <si>
    <t>野火止5</t>
    <rPh sb="0" eb="3">
      <t>ノビドメ</t>
    </rPh>
    <phoneticPr fontId="1"/>
  </si>
  <si>
    <t>野火止6</t>
  </si>
  <si>
    <t>野火止6</t>
    <rPh sb="0" eb="3">
      <t>ノビドメ</t>
    </rPh>
    <phoneticPr fontId="1"/>
  </si>
  <si>
    <t>野火止7</t>
  </si>
  <si>
    <t>野火止7</t>
    <rPh sb="0" eb="3">
      <t>ノビドメ</t>
    </rPh>
    <phoneticPr fontId="1"/>
  </si>
  <si>
    <t>野火止8</t>
  </si>
  <si>
    <t>野火止8</t>
    <rPh sb="0" eb="3">
      <t>ノビドメ</t>
    </rPh>
    <phoneticPr fontId="1"/>
  </si>
  <si>
    <t>野火止4</t>
  </si>
  <si>
    <t>野火止4</t>
    <rPh sb="0" eb="3">
      <t>ノビドメ</t>
    </rPh>
    <phoneticPr fontId="1"/>
  </si>
  <si>
    <t>野火止3</t>
  </si>
  <si>
    <t>野火止3</t>
    <rPh sb="0" eb="3">
      <t>ノビドメ</t>
    </rPh>
    <phoneticPr fontId="1"/>
  </si>
  <si>
    <t>野火止2</t>
  </si>
  <si>
    <t>野火止2</t>
    <rPh sb="0" eb="3">
      <t>ノビドメ</t>
    </rPh>
    <phoneticPr fontId="1"/>
  </si>
  <si>
    <t>野火止1</t>
  </si>
  <si>
    <t>野火止1</t>
    <rPh sb="0" eb="3">
      <t>ノビドメ</t>
    </rPh>
    <phoneticPr fontId="1"/>
  </si>
  <si>
    <t>菅沢1</t>
  </si>
  <si>
    <t>菅沢1</t>
    <rPh sb="0" eb="2">
      <t>スガサワ</t>
    </rPh>
    <phoneticPr fontId="1"/>
  </si>
  <si>
    <t>菅沢2</t>
  </si>
  <si>
    <t>菅沢2</t>
    <rPh sb="0" eb="2">
      <t>スガサワ</t>
    </rPh>
    <phoneticPr fontId="1"/>
  </si>
  <si>
    <t>あたご3</t>
    <phoneticPr fontId="1"/>
  </si>
  <si>
    <t>あたご2</t>
    <phoneticPr fontId="1"/>
  </si>
  <si>
    <t>あたご1</t>
    <phoneticPr fontId="1"/>
  </si>
  <si>
    <t>本多2</t>
  </si>
  <si>
    <t>本多2</t>
    <rPh sb="0" eb="2">
      <t>ホンダ</t>
    </rPh>
    <phoneticPr fontId="1"/>
  </si>
  <si>
    <t>本多1</t>
  </si>
  <si>
    <t>本多1</t>
    <rPh sb="0" eb="2">
      <t>ホンダ</t>
    </rPh>
    <phoneticPr fontId="1"/>
  </si>
  <si>
    <t>西堀1</t>
  </si>
  <si>
    <t>西堀1</t>
    <rPh sb="0" eb="2">
      <t>ニシホリ</t>
    </rPh>
    <phoneticPr fontId="1"/>
  </si>
  <si>
    <t>西堀3</t>
  </si>
  <si>
    <t>西堀3</t>
    <rPh sb="0" eb="2">
      <t>ニシホリ</t>
    </rPh>
    <phoneticPr fontId="1"/>
  </si>
  <si>
    <t>西堀2</t>
  </si>
  <si>
    <t>西堀2</t>
    <rPh sb="0" eb="2">
      <t>ニシホリ</t>
    </rPh>
    <phoneticPr fontId="1"/>
  </si>
  <si>
    <t>新堀1</t>
  </si>
  <si>
    <t>新堀1</t>
    <rPh sb="0" eb="1">
      <t>シン</t>
    </rPh>
    <phoneticPr fontId="1"/>
  </si>
  <si>
    <t>新堀2</t>
  </si>
  <si>
    <t>新堀2</t>
    <rPh sb="0" eb="1">
      <t>シン</t>
    </rPh>
    <phoneticPr fontId="1"/>
  </si>
  <si>
    <t>新堀3</t>
  </si>
  <si>
    <t>新堀3</t>
    <rPh sb="0" eb="1">
      <t>シン</t>
    </rPh>
    <phoneticPr fontId="1"/>
  </si>
  <si>
    <t>畑中3</t>
  </si>
  <si>
    <t>畑中3</t>
    <rPh sb="0" eb="2">
      <t>ハタナカ</t>
    </rPh>
    <phoneticPr fontId="1"/>
  </si>
  <si>
    <t>畑中1</t>
  </si>
  <si>
    <t>畑中1</t>
    <rPh sb="0" eb="2">
      <t>ハタナカ</t>
    </rPh>
    <phoneticPr fontId="1"/>
  </si>
  <si>
    <t>畑中2</t>
  </si>
  <si>
    <t>畑中2</t>
    <rPh sb="0" eb="2">
      <t>ハタナカ</t>
    </rPh>
    <phoneticPr fontId="1"/>
  </si>
  <si>
    <t>馬場1</t>
  </si>
  <si>
    <t>馬場1</t>
    <rPh sb="0" eb="2">
      <t>ババ</t>
    </rPh>
    <phoneticPr fontId="1"/>
  </si>
  <si>
    <t>馬場2</t>
  </si>
  <si>
    <t>馬場2</t>
    <rPh sb="0" eb="2">
      <t>ババ</t>
    </rPh>
    <phoneticPr fontId="1"/>
  </si>
  <si>
    <t>馬場3</t>
  </si>
  <si>
    <t>馬場3</t>
    <rPh sb="0" eb="2">
      <t>ババ</t>
    </rPh>
    <phoneticPr fontId="1"/>
  </si>
  <si>
    <t>馬場4</t>
  </si>
  <si>
    <t>馬場4</t>
    <rPh sb="0" eb="2">
      <t>ババ</t>
    </rPh>
    <phoneticPr fontId="1"/>
  </si>
  <si>
    <t>堀ノ内1</t>
  </si>
  <si>
    <t>堀ノ内1</t>
    <rPh sb="0" eb="1">
      <t>ホリ</t>
    </rPh>
    <rPh sb="2" eb="3">
      <t>ウチ</t>
    </rPh>
    <phoneticPr fontId="1"/>
  </si>
  <si>
    <t>堀ノ内3</t>
  </si>
  <si>
    <t>堀ノ内3</t>
    <rPh sb="0" eb="1">
      <t>ホリ</t>
    </rPh>
    <rPh sb="2" eb="3">
      <t>ウチ</t>
    </rPh>
    <phoneticPr fontId="1"/>
  </si>
  <si>
    <t>堀ノ内2</t>
  </si>
  <si>
    <t>堀ノ内2</t>
    <rPh sb="0" eb="1">
      <t>ホリ</t>
    </rPh>
    <rPh sb="2" eb="3">
      <t>ウチ</t>
    </rPh>
    <phoneticPr fontId="1"/>
  </si>
  <si>
    <t>新塚1</t>
  </si>
  <si>
    <t>新塚1</t>
    <rPh sb="0" eb="2">
      <t>ニイヅカ</t>
    </rPh>
    <phoneticPr fontId="1"/>
  </si>
  <si>
    <t>新塚その他</t>
    <rPh sb="0" eb="2">
      <t>ニイヅカ</t>
    </rPh>
    <rPh sb="4" eb="5">
      <t>タ</t>
    </rPh>
    <phoneticPr fontId="1"/>
  </si>
  <si>
    <t>栄1</t>
  </si>
  <si>
    <t>栄1</t>
    <rPh sb="0" eb="1">
      <t>サカエ</t>
    </rPh>
    <phoneticPr fontId="1"/>
  </si>
  <si>
    <t>栄2</t>
  </si>
  <si>
    <t>栄2</t>
    <rPh sb="0" eb="1">
      <t>サカエ</t>
    </rPh>
    <phoneticPr fontId="1"/>
  </si>
  <si>
    <t>栄3</t>
  </si>
  <si>
    <t>栄3</t>
    <rPh sb="0" eb="1">
      <t>サカエ</t>
    </rPh>
    <phoneticPr fontId="1"/>
  </si>
  <si>
    <t>栄4</t>
  </si>
  <si>
    <t>栄4</t>
    <rPh sb="0" eb="1">
      <t>サカエ</t>
    </rPh>
    <phoneticPr fontId="1"/>
  </si>
  <si>
    <t>栄5</t>
  </si>
  <si>
    <t>栄5</t>
    <rPh sb="0" eb="1">
      <t>サカエ</t>
    </rPh>
    <phoneticPr fontId="1"/>
  </si>
  <si>
    <t>池田1</t>
    <rPh sb="0" eb="2">
      <t>イケダ</t>
    </rPh>
    <phoneticPr fontId="1"/>
  </si>
  <si>
    <t>池田2</t>
  </si>
  <si>
    <t>池田2</t>
    <phoneticPr fontId="1"/>
  </si>
  <si>
    <t>池田3</t>
  </si>
  <si>
    <t>池田3</t>
    <phoneticPr fontId="1"/>
  </si>
  <si>
    <t>池田4</t>
  </si>
  <si>
    <t>池田4</t>
    <phoneticPr fontId="1"/>
  </si>
  <si>
    <t>池田5</t>
  </si>
  <si>
    <t>池田5</t>
    <phoneticPr fontId="1"/>
  </si>
  <si>
    <t>道場2</t>
  </si>
  <si>
    <t>道場2</t>
    <rPh sb="0" eb="2">
      <t>ドウジョウ</t>
    </rPh>
    <phoneticPr fontId="1"/>
  </si>
  <si>
    <t>道場1</t>
  </si>
  <si>
    <t>道場1</t>
    <rPh sb="0" eb="2">
      <t>ドウジョウ</t>
    </rPh>
    <phoneticPr fontId="1"/>
  </si>
  <si>
    <t>片山1</t>
  </si>
  <si>
    <t>片山1</t>
    <rPh sb="0" eb="2">
      <t>カタヤマ</t>
    </rPh>
    <phoneticPr fontId="1"/>
  </si>
  <si>
    <t>片山2</t>
  </si>
  <si>
    <t>片山2</t>
    <rPh sb="0" eb="2">
      <t>カタヤマ</t>
    </rPh>
    <phoneticPr fontId="1"/>
  </si>
  <si>
    <t>片山3</t>
  </si>
  <si>
    <t>片山3</t>
    <rPh sb="0" eb="2">
      <t>カタヤマ</t>
    </rPh>
    <phoneticPr fontId="1"/>
  </si>
  <si>
    <t>野寺1</t>
  </si>
  <si>
    <t>野寺1</t>
    <rPh sb="0" eb="2">
      <t>ノデラ</t>
    </rPh>
    <phoneticPr fontId="1"/>
  </si>
  <si>
    <t>野寺2</t>
  </si>
  <si>
    <t>野寺2</t>
    <rPh sb="0" eb="2">
      <t>ノデラ</t>
    </rPh>
    <phoneticPr fontId="1"/>
  </si>
  <si>
    <t>野寺3</t>
  </si>
  <si>
    <t>野寺3</t>
    <phoneticPr fontId="1"/>
  </si>
  <si>
    <t>野寺4</t>
  </si>
  <si>
    <t>野寺4</t>
    <phoneticPr fontId="1"/>
  </si>
  <si>
    <t>野寺5</t>
  </si>
  <si>
    <t>野寺5</t>
    <phoneticPr fontId="1"/>
  </si>
  <si>
    <t>栗原1</t>
  </si>
  <si>
    <t>栗原1</t>
    <rPh sb="0" eb="2">
      <t>クリハラ</t>
    </rPh>
    <phoneticPr fontId="1"/>
  </si>
  <si>
    <t>栗原2</t>
  </si>
  <si>
    <t>栗原2</t>
    <rPh sb="0" eb="2">
      <t>クリハラ</t>
    </rPh>
    <phoneticPr fontId="1"/>
  </si>
  <si>
    <t>栗原3</t>
  </si>
  <si>
    <t>栗原3</t>
    <rPh sb="0" eb="2">
      <t>クリハラ</t>
    </rPh>
    <phoneticPr fontId="1"/>
  </si>
  <si>
    <t>栗原4</t>
  </si>
  <si>
    <t>栗原4</t>
    <rPh sb="0" eb="2">
      <t>クリハラ</t>
    </rPh>
    <phoneticPr fontId="1"/>
  </si>
  <si>
    <t>栗原5</t>
  </si>
  <si>
    <t>栗原5</t>
    <rPh sb="0" eb="2">
      <t>クリハラ</t>
    </rPh>
    <phoneticPr fontId="1"/>
  </si>
  <si>
    <t>栗原6</t>
  </si>
  <si>
    <t>栗原6</t>
    <rPh sb="0" eb="2">
      <t>クリハラ</t>
    </rPh>
    <phoneticPr fontId="1"/>
  </si>
  <si>
    <t>石神1</t>
  </si>
  <si>
    <t>石神1</t>
    <rPh sb="0" eb="2">
      <t>イシガミ</t>
    </rPh>
    <phoneticPr fontId="1"/>
  </si>
  <si>
    <t>石神2</t>
  </si>
  <si>
    <t>石神2</t>
    <rPh sb="0" eb="2">
      <t>イシガミ</t>
    </rPh>
    <phoneticPr fontId="1"/>
  </si>
  <si>
    <t>石神3</t>
  </si>
  <si>
    <t>石神3</t>
    <rPh sb="0" eb="2">
      <t>イシガミ</t>
    </rPh>
    <phoneticPr fontId="1"/>
  </si>
  <si>
    <t>石神4</t>
  </si>
  <si>
    <t>石神4</t>
    <rPh sb="0" eb="2">
      <t>イシガミ</t>
    </rPh>
    <phoneticPr fontId="1"/>
  </si>
  <si>
    <t>石神5</t>
  </si>
  <si>
    <t>石神5</t>
    <rPh sb="0" eb="2">
      <t>イシガミ</t>
    </rPh>
    <phoneticPr fontId="1"/>
  </si>
  <si>
    <t>郵便番号</t>
  </si>
  <si>
    <t>郵便番号</t>
    <rPh sb="0" eb="4">
      <t>ユウビンバンゴウ</t>
    </rPh>
    <phoneticPr fontId="1"/>
  </si>
  <si>
    <t>352-0021</t>
    <phoneticPr fontId="1"/>
  </si>
  <si>
    <t>あたご</t>
    <phoneticPr fontId="1"/>
  </si>
  <si>
    <t>池田1</t>
    <phoneticPr fontId="1"/>
  </si>
  <si>
    <t>池田</t>
    <phoneticPr fontId="1"/>
  </si>
  <si>
    <t>352-0015</t>
    <phoneticPr fontId="1"/>
  </si>
  <si>
    <t>いけだ1</t>
    <phoneticPr fontId="1"/>
  </si>
  <si>
    <t>いけだ2</t>
    <phoneticPr fontId="1"/>
  </si>
  <si>
    <t>いけだ5</t>
  </si>
  <si>
    <t>いけだ3</t>
  </si>
  <si>
    <t>いけだ4</t>
  </si>
  <si>
    <t>いけだ</t>
    <phoneticPr fontId="1"/>
  </si>
  <si>
    <t>352-0033</t>
    <phoneticPr fontId="1"/>
  </si>
  <si>
    <t>いしがみ1</t>
    <phoneticPr fontId="1"/>
  </si>
  <si>
    <t>いしがみ2</t>
    <phoneticPr fontId="1"/>
  </si>
  <si>
    <t>いしがみ3</t>
  </si>
  <si>
    <t>いしがみ4</t>
  </si>
  <si>
    <t>いしがみ5</t>
  </si>
  <si>
    <t>いしがみ</t>
    <phoneticPr fontId="1"/>
  </si>
  <si>
    <t>352-0004</t>
    <phoneticPr fontId="1"/>
  </si>
  <si>
    <t>おおわだ1</t>
    <phoneticPr fontId="1"/>
  </si>
  <si>
    <t>おおわだ2</t>
    <phoneticPr fontId="1"/>
  </si>
  <si>
    <t>おおわだ3</t>
  </si>
  <si>
    <t>おおわだ4</t>
  </si>
  <si>
    <t>おおわだ5</t>
  </si>
  <si>
    <t>おおわだ</t>
    <phoneticPr fontId="1"/>
  </si>
  <si>
    <t>352-0025</t>
    <phoneticPr fontId="1"/>
  </si>
  <si>
    <t>かたやま1</t>
    <phoneticPr fontId="1"/>
  </si>
  <si>
    <t>かたやま2</t>
    <phoneticPr fontId="1"/>
  </si>
  <si>
    <t>かたやま3</t>
  </si>
  <si>
    <t>かたやま</t>
    <phoneticPr fontId="1"/>
  </si>
  <si>
    <t>352-0003</t>
    <phoneticPr fontId="1"/>
  </si>
  <si>
    <t>きたの1</t>
    <phoneticPr fontId="1"/>
  </si>
  <si>
    <t>きたの2</t>
    <phoneticPr fontId="1"/>
  </si>
  <si>
    <t>きたの3</t>
  </si>
  <si>
    <t>きたの</t>
    <phoneticPr fontId="1"/>
  </si>
  <si>
    <t>352-0035</t>
    <phoneticPr fontId="1"/>
  </si>
  <si>
    <t>くりはら1</t>
    <phoneticPr fontId="1"/>
  </si>
  <si>
    <t>くりはら2</t>
    <phoneticPr fontId="1"/>
  </si>
  <si>
    <t>くりはら3</t>
  </si>
  <si>
    <t>くりはら4</t>
  </si>
  <si>
    <t>くりはら5</t>
  </si>
  <si>
    <t>くりはら6</t>
  </si>
  <si>
    <t>くりはら</t>
    <phoneticPr fontId="1"/>
  </si>
  <si>
    <t>352-0014</t>
    <phoneticPr fontId="1"/>
  </si>
  <si>
    <t>さかえ1</t>
    <phoneticPr fontId="1"/>
  </si>
  <si>
    <t>さかえ2</t>
    <phoneticPr fontId="1"/>
  </si>
  <si>
    <t>さかえ3</t>
  </si>
  <si>
    <t>さかえ4</t>
  </si>
  <si>
    <t>さかえ5</t>
  </si>
  <si>
    <t>さかえ</t>
    <phoneticPr fontId="1"/>
  </si>
  <si>
    <t>しんぼり1</t>
    <phoneticPr fontId="1"/>
  </si>
  <si>
    <t>しんぼり2</t>
    <phoneticPr fontId="1"/>
  </si>
  <si>
    <t>しんぼり3</t>
  </si>
  <si>
    <t>しんぼり</t>
    <phoneticPr fontId="1"/>
  </si>
  <si>
    <t>352-0032</t>
    <phoneticPr fontId="1"/>
  </si>
  <si>
    <t>新堀</t>
    <phoneticPr fontId="1"/>
  </si>
  <si>
    <t>352-0017</t>
    <phoneticPr fontId="1"/>
  </si>
  <si>
    <t>すがさわ1</t>
    <phoneticPr fontId="1"/>
  </si>
  <si>
    <t>すがさわ2</t>
    <phoneticPr fontId="1"/>
  </si>
  <si>
    <t>すがさわ</t>
    <phoneticPr fontId="1"/>
  </si>
  <si>
    <t>352-0001</t>
    <phoneticPr fontId="1"/>
  </si>
  <si>
    <t>とおほく</t>
    <phoneticPr fontId="1"/>
  </si>
  <si>
    <t>とおほく1</t>
    <phoneticPr fontId="1"/>
  </si>
  <si>
    <t>とおほく2</t>
    <phoneticPr fontId="1"/>
  </si>
  <si>
    <t>352-0024</t>
    <phoneticPr fontId="1"/>
  </si>
  <si>
    <t>どうじょう1</t>
    <phoneticPr fontId="1"/>
  </si>
  <si>
    <t>どうじょう2</t>
    <phoneticPr fontId="1"/>
  </si>
  <si>
    <t>どうじょう</t>
    <phoneticPr fontId="1"/>
  </si>
  <si>
    <t>352-0005</t>
    <phoneticPr fontId="1"/>
  </si>
  <si>
    <t>なかの1</t>
    <phoneticPr fontId="1"/>
  </si>
  <si>
    <t>なかの2</t>
    <phoneticPr fontId="1"/>
  </si>
  <si>
    <t>なかの</t>
    <phoneticPr fontId="1"/>
  </si>
  <si>
    <t>中野</t>
    <phoneticPr fontId="1"/>
  </si>
  <si>
    <t>畑中</t>
    <phoneticPr fontId="1"/>
  </si>
  <si>
    <t>352-0006</t>
    <phoneticPr fontId="1"/>
  </si>
  <si>
    <t>にいざ1</t>
    <phoneticPr fontId="1"/>
  </si>
  <si>
    <t>にいざ2</t>
    <phoneticPr fontId="1"/>
  </si>
  <si>
    <t>にいざ3</t>
  </si>
  <si>
    <t>にいざ</t>
    <phoneticPr fontId="1"/>
  </si>
  <si>
    <t>352-0013</t>
    <phoneticPr fontId="1"/>
  </si>
  <si>
    <t>にいづか1</t>
    <phoneticPr fontId="1"/>
  </si>
  <si>
    <t>にいづかほかのちいき</t>
    <phoneticPr fontId="1"/>
  </si>
  <si>
    <t>にいづか</t>
    <phoneticPr fontId="1"/>
  </si>
  <si>
    <t>352-0031</t>
    <phoneticPr fontId="1"/>
  </si>
  <si>
    <t>にしぼり1</t>
    <phoneticPr fontId="1"/>
  </si>
  <si>
    <t>にしぼり2</t>
    <phoneticPr fontId="1"/>
  </si>
  <si>
    <t>にしぼり3</t>
  </si>
  <si>
    <t>にしぼり</t>
    <phoneticPr fontId="1"/>
  </si>
  <si>
    <t>352-0034</t>
    <phoneticPr fontId="1"/>
  </si>
  <si>
    <t>のでら1</t>
    <phoneticPr fontId="1"/>
  </si>
  <si>
    <t>のでら2</t>
    <phoneticPr fontId="1"/>
  </si>
  <si>
    <t>のでら3</t>
  </si>
  <si>
    <t>のでら4</t>
  </si>
  <si>
    <t>のでら5</t>
  </si>
  <si>
    <t>のでら</t>
    <phoneticPr fontId="1"/>
  </si>
  <si>
    <t>352-0011</t>
    <phoneticPr fontId="1"/>
  </si>
  <si>
    <t>のびとめ1</t>
    <phoneticPr fontId="1"/>
  </si>
  <si>
    <t>のびとめ2</t>
    <phoneticPr fontId="1"/>
  </si>
  <si>
    <t>のびとめ3</t>
  </si>
  <si>
    <t>のびとめ7</t>
  </si>
  <si>
    <t>のびとめ4</t>
  </si>
  <si>
    <t>のびとめ5</t>
  </si>
  <si>
    <t>のびとめ6</t>
  </si>
  <si>
    <t>のびとめ8</t>
  </si>
  <si>
    <t>のびとめ</t>
    <phoneticPr fontId="1"/>
  </si>
  <si>
    <t>352-0012</t>
    <phoneticPr fontId="1"/>
  </si>
  <si>
    <t>はたなか1</t>
    <phoneticPr fontId="1"/>
  </si>
  <si>
    <t>はたなか2</t>
    <phoneticPr fontId="1"/>
  </si>
  <si>
    <t>はたなか3</t>
  </si>
  <si>
    <t>はたなか</t>
    <phoneticPr fontId="1"/>
  </si>
  <si>
    <t>352-0016</t>
    <phoneticPr fontId="1"/>
  </si>
  <si>
    <t>ばば1</t>
    <phoneticPr fontId="1"/>
  </si>
  <si>
    <t>ばば2</t>
    <phoneticPr fontId="1"/>
  </si>
  <si>
    <t>ばば3</t>
  </si>
  <si>
    <t>ばば4</t>
  </si>
  <si>
    <t>ばば</t>
    <phoneticPr fontId="1"/>
  </si>
  <si>
    <t>352-0002</t>
    <phoneticPr fontId="1"/>
  </si>
  <si>
    <t>ひがし</t>
    <phoneticPr fontId="1"/>
  </si>
  <si>
    <t>ひがし1</t>
    <phoneticPr fontId="1"/>
  </si>
  <si>
    <t>ひがし2</t>
    <phoneticPr fontId="1"/>
  </si>
  <si>
    <t>ひがし3</t>
    <phoneticPr fontId="1"/>
  </si>
  <si>
    <t>352-0023</t>
    <phoneticPr fontId="1"/>
  </si>
  <si>
    <t>ほりのうち</t>
    <phoneticPr fontId="1"/>
  </si>
  <si>
    <t>ほりのうち1</t>
    <phoneticPr fontId="1"/>
  </si>
  <si>
    <t>ほりのうち2</t>
    <phoneticPr fontId="1"/>
  </si>
  <si>
    <t>ほりのうち3</t>
    <phoneticPr fontId="1"/>
  </si>
  <si>
    <t>352-0022</t>
    <phoneticPr fontId="1"/>
  </si>
  <si>
    <t>ほんだ</t>
    <phoneticPr fontId="1"/>
  </si>
  <si>
    <t>ほんだ1</t>
    <phoneticPr fontId="1"/>
  </si>
  <si>
    <t>ほんだ2</t>
    <phoneticPr fontId="1"/>
  </si>
  <si>
    <t>I</t>
  </si>
  <si>
    <t>I</t>
    <phoneticPr fontId="1"/>
  </si>
  <si>
    <t>J</t>
  </si>
  <si>
    <t>J</t>
    <phoneticPr fontId="1"/>
  </si>
  <si>
    <t>K</t>
  </si>
  <si>
    <t>K</t>
    <phoneticPr fontId="1"/>
  </si>
  <si>
    <t>新座</t>
    <rPh sb="0" eb="2">
      <t>ニイザ</t>
    </rPh>
    <phoneticPr fontId="1"/>
  </si>
  <si>
    <t>北野</t>
    <rPh sb="0" eb="2">
      <t>キタノ</t>
    </rPh>
    <phoneticPr fontId="1"/>
  </si>
  <si>
    <t>東北</t>
    <rPh sb="0" eb="2">
      <t>トウホク</t>
    </rPh>
    <phoneticPr fontId="1"/>
  </si>
  <si>
    <t>中野</t>
    <rPh sb="0" eb="2">
      <t>ナカノ</t>
    </rPh>
    <phoneticPr fontId="1"/>
  </si>
  <si>
    <t>大和田</t>
    <rPh sb="0" eb="3">
      <t>オオワダ</t>
    </rPh>
    <phoneticPr fontId="1"/>
  </si>
  <si>
    <t>東</t>
    <rPh sb="0" eb="1">
      <t>ヒガシ</t>
    </rPh>
    <phoneticPr fontId="1"/>
  </si>
  <si>
    <t>野火止</t>
    <rPh sb="0" eb="3">
      <t>ノビドメ</t>
    </rPh>
    <phoneticPr fontId="1"/>
  </si>
  <si>
    <t>畑中</t>
    <rPh sb="0" eb="2">
      <t>ハタナカ</t>
    </rPh>
    <phoneticPr fontId="1"/>
  </si>
  <si>
    <t>菅沢</t>
    <rPh sb="0" eb="2">
      <t>スガサワ</t>
    </rPh>
    <phoneticPr fontId="1"/>
  </si>
  <si>
    <t>あたご</t>
    <phoneticPr fontId="1"/>
  </si>
  <si>
    <t>本多</t>
    <rPh sb="0" eb="2">
      <t>ホンダ</t>
    </rPh>
    <phoneticPr fontId="1"/>
  </si>
  <si>
    <t>L</t>
  </si>
  <si>
    <t>L</t>
    <phoneticPr fontId="1"/>
  </si>
  <si>
    <t>堀ノ内</t>
    <rPh sb="0" eb="1">
      <t>ホリ</t>
    </rPh>
    <rPh sb="2" eb="3">
      <t>ウチ</t>
    </rPh>
    <phoneticPr fontId="1"/>
  </si>
  <si>
    <t>M</t>
  </si>
  <si>
    <t>M</t>
    <phoneticPr fontId="1"/>
  </si>
  <si>
    <t>馬場</t>
    <rPh sb="0" eb="2">
      <t>ババ</t>
    </rPh>
    <phoneticPr fontId="1"/>
  </si>
  <si>
    <t>N</t>
  </si>
  <si>
    <t>N</t>
    <phoneticPr fontId="1"/>
  </si>
  <si>
    <t>新塚</t>
    <rPh sb="0" eb="2">
      <t>ニイヅカ</t>
    </rPh>
    <phoneticPr fontId="1"/>
  </si>
  <si>
    <t>O</t>
  </si>
  <si>
    <t>O</t>
    <phoneticPr fontId="1"/>
  </si>
  <si>
    <t>P</t>
  </si>
  <si>
    <t>P</t>
    <phoneticPr fontId="1"/>
  </si>
  <si>
    <t>Q</t>
  </si>
  <si>
    <t>Q</t>
    <phoneticPr fontId="1"/>
  </si>
  <si>
    <t>R</t>
  </si>
  <si>
    <t>R</t>
    <phoneticPr fontId="1"/>
  </si>
  <si>
    <t>S</t>
  </si>
  <si>
    <t>S</t>
    <phoneticPr fontId="1"/>
  </si>
  <si>
    <t>T</t>
  </si>
  <si>
    <t>T</t>
    <phoneticPr fontId="1"/>
  </si>
  <si>
    <t>U</t>
  </si>
  <si>
    <t>U</t>
    <phoneticPr fontId="1"/>
  </si>
  <si>
    <t>V</t>
  </si>
  <si>
    <t>V</t>
    <phoneticPr fontId="1"/>
  </si>
  <si>
    <t>W</t>
  </si>
  <si>
    <t>W</t>
    <phoneticPr fontId="1"/>
  </si>
  <si>
    <t>J</t>
    <phoneticPr fontId="1"/>
  </si>
  <si>
    <t>T</t>
    <phoneticPr fontId="1"/>
  </si>
  <si>
    <t>P</t>
    <phoneticPr fontId="1"/>
  </si>
  <si>
    <t>E</t>
    <phoneticPr fontId="1"/>
  </si>
  <si>
    <t>U</t>
    <phoneticPr fontId="1"/>
  </si>
  <si>
    <t>B</t>
    <phoneticPr fontId="1"/>
  </si>
  <si>
    <t>W</t>
    <phoneticPr fontId="1"/>
  </si>
  <si>
    <t>Q</t>
    <phoneticPr fontId="1"/>
  </si>
  <si>
    <t>R</t>
    <phoneticPr fontId="1"/>
  </si>
  <si>
    <t>I</t>
    <phoneticPr fontId="1"/>
  </si>
  <si>
    <t>S</t>
    <phoneticPr fontId="1"/>
  </si>
  <si>
    <t>C</t>
    <phoneticPr fontId="1"/>
  </si>
  <si>
    <t>D</t>
    <phoneticPr fontId="1"/>
  </si>
  <si>
    <t>A</t>
    <phoneticPr fontId="1"/>
  </si>
  <si>
    <t>N</t>
    <phoneticPr fontId="1"/>
  </si>
  <si>
    <t>O</t>
    <phoneticPr fontId="1"/>
  </si>
  <si>
    <t>V</t>
    <phoneticPr fontId="1"/>
  </si>
  <si>
    <t>G</t>
    <phoneticPr fontId="1"/>
  </si>
  <si>
    <t>H</t>
    <phoneticPr fontId="1"/>
  </si>
  <si>
    <t>M</t>
    <phoneticPr fontId="1"/>
  </si>
  <si>
    <t>F</t>
    <phoneticPr fontId="1"/>
  </si>
  <si>
    <t>L</t>
    <phoneticPr fontId="1"/>
  </si>
  <si>
    <t>K</t>
    <phoneticPr fontId="1"/>
  </si>
  <si>
    <t>A1:BT53</t>
    <phoneticPr fontId="1"/>
  </si>
  <si>
    <t>S7</t>
  </si>
  <si>
    <t>AA7</t>
  </si>
  <si>
    <t>AE7</t>
  </si>
  <si>
    <t>K11</t>
  </si>
  <si>
    <t>S11</t>
  </si>
  <si>
    <t>W11</t>
  </si>
  <si>
    <t>AA11</t>
  </si>
  <si>
    <t>AE11</t>
  </si>
  <si>
    <t>AI11</t>
  </si>
  <si>
    <t>AM11</t>
  </si>
  <si>
    <t>G15</t>
  </si>
  <si>
    <t>K15</t>
  </si>
  <si>
    <t>S19</t>
  </si>
  <si>
    <t>AE19</t>
  </si>
  <si>
    <t>O23</t>
  </si>
  <si>
    <t>W23</t>
  </si>
  <si>
    <t>AQ23</t>
  </si>
  <si>
    <t>W27</t>
  </si>
  <si>
    <t>AA27</t>
  </si>
  <si>
    <t>AE27</t>
  </si>
  <si>
    <t>G31</t>
  </si>
  <si>
    <t>K31</t>
  </si>
  <si>
    <t>O31</t>
  </si>
  <si>
    <t>S31</t>
  </si>
  <si>
    <t>AA31</t>
  </si>
  <si>
    <t>AE31</t>
  </si>
  <si>
    <t>AI31</t>
  </si>
  <si>
    <t>BK31</t>
  </si>
  <si>
    <t>AA35</t>
  </si>
  <si>
    <t>AE35</t>
  </si>
  <si>
    <t>AY39</t>
  </si>
  <si>
    <t>BC39</t>
  </si>
  <si>
    <t>BG39</t>
  </si>
  <si>
    <t>BK39</t>
  </si>
  <si>
    <t>BO39</t>
  </si>
  <si>
    <t>AY43</t>
  </si>
  <si>
    <t>BC43</t>
  </si>
  <si>
    <t>BG43</t>
  </si>
  <si>
    <t>AY47</t>
  </si>
  <si>
    <t>BC47</t>
  </si>
  <si>
    <t>BG47</t>
  </si>
  <si>
    <t>BK7</t>
    <phoneticPr fontId="1"/>
  </si>
  <si>
    <t>面積（ha）</t>
  </si>
  <si>
    <t>面積（ha）</t>
    <rPh sb="0" eb="2">
      <t>メンセキ</t>
    </rPh>
    <phoneticPr fontId="1"/>
  </si>
  <si>
    <t>人口密度（人/ha）</t>
  </si>
  <si>
    <t>人口密度（人/ha）</t>
    <rPh sb="0" eb="4">
      <t>ジンコウミツド</t>
    </rPh>
    <rPh sb="5" eb="6">
      <t>ヒト</t>
    </rPh>
    <phoneticPr fontId="1"/>
  </si>
  <si>
    <t>人口密度（人/ha）</t>
    <phoneticPr fontId="1"/>
  </si>
  <si>
    <t>人口（人）</t>
    <rPh sb="0" eb="2">
      <t>ジンコウ</t>
    </rPh>
    <rPh sb="3" eb="4">
      <t>ニン</t>
    </rPh>
    <phoneticPr fontId="1"/>
  </si>
  <si>
    <t>面積（ha）</t>
    <phoneticPr fontId="1"/>
  </si>
  <si>
    <t>H11</t>
    <phoneticPr fontId="1"/>
  </si>
  <si>
    <t>B1:F11</t>
    <phoneticPr fontId="1"/>
  </si>
  <si>
    <t>ヒートマップの着色で、文字色が反映されていなかったのを修正。</t>
    <rPh sb="7" eb="9">
      <t>チャクショク</t>
    </rPh>
    <rPh sb="11" eb="14">
      <t>モジショク</t>
    </rPh>
    <rPh sb="15" eb="17">
      <t>ハンエイ</t>
    </rPh>
    <rPh sb="27" eb="29">
      <t>シュウセイ</t>
    </rPh>
    <phoneticPr fontId="1"/>
  </si>
  <si>
    <t>4.1.0</t>
    <phoneticPr fontId="1"/>
  </si>
  <si>
    <t>ヒートマップ 4.1.0　＞　手順書　＞　はじめに</t>
    <rPh sb="15" eb="18">
      <t>テジュンショ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</si>
</sst>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_ "/>
  </numFmts>
  <fonts count="32"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s>
  <fills count="38">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77DDDD"/>
        <bgColor indexed="64"/>
      </patternFill>
    </fill>
    <fill>
      <patternFill patternType="solid">
        <fgColor rgb="FFAAEE66"/>
        <bgColor indexed="64"/>
      </patternFill>
    </fill>
    <fill>
      <patternFill patternType="solid">
        <fgColor rgb="FFAAEE66"/>
        <bgColor rgb="FF000000"/>
      </patternFill>
    </fill>
    <fill>
      <patternFill patternType="solid">
        <fgColor rgb="FF77DDDD"/>
        <bgColor rgb="FF000000"/>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276">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0" fontId="19" fillId="5" borderId="0" xfId="0" applyFont="1" applyFill="1" applyAlignment="1"/>
    <xf numFmtId="0" fontId="0" fillId="4" borderId="0" xfId="0" applyFill="1">
      <alignment vertical="center"/>
    </xf>
    <xf numFmtId="0" fontId="22" fillId="4" borderId="0" xfId="0" applyFont="1" applyFill="1">
      <alignment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0" fontId="21" fillId="4" borderId="0" xfId="0" applyFont="1" applyFill="1" applyAlignment="1">
      <alignment horizontal="right" vertical="center"/>
    </xf>
    <xf numFmtId="0" fontId="8" fillId="4" borderId="0" xfId="0" applyFont="1" applyFill="1">
      <alignment vertical="center"/>
    </xf>
    <xf numFmtId="0" fontId="5" fillId="2" borderId="0" xfId="0" applyFont="1" applyFill="1" applyAlignment="1">
      <alignment horizontal="right" vertical="center"/>
    </xf>
    <xf numFmtId="0" fontId="19" fillId="5" borderId="0" xfId="0" applyFont="1" applyFill="1" applyAlignment="1">
      <alignment vertical="top"/>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0" fontId="10" fillId="0" borderId="0" xfId="0" applyFont="1" applyAlignment="1">
      <alignment horizontal="center" vertical="center"/>
    </xf>
    <xf numFmtId="3" fontId="12" fillId="0" borderId="0" xfId="0" applyNumberFormat="1" applyFont="1">
      <alignment vertical="center"/>
    </xf>
    <xf numFmtId="3" fontId="13" fillId="0" borderId="0" xfId="0" applyNumberFormat="1" applyFont="1">
      <alignment vertical="center"/>
    </xf>
    <xf numFmtId="0" fontId="12" fillId="0" borderId="0" xfId="0" applyFont="1">
      <alignment vertical="center"/>
    </xf>
    <xf numFmtId="3" fontId="12" fillId="0" borderId="4" xfId="0" applyNumberFormat="1" applyFont="1" applyBorder="1">
      <alignment vertical="center"/>
    </xf>
    <xf numFmtId="3" fontId="13" fillId="0" borderId="4" xfId="0" applyNumberFormat="1" applyFont="1" applyBorder="1">
      <alignment vertical="center"/>
    </xf>
    <xf numFmtId="0" fontId="4" fillId="0" borderId="2" xfId="0" applyFont="1" applyBorder="1">
      <alignment vertical="center"/>
    </xf>
    <xf numFmtId="0" fontId="12" fillId="0" borderId="6" xfId="0" applyFont="1" applyBorder="1">
      <alignment vertical="center"/>
    </xf>
    <xf numFmtId="0" fontId="12" fillId="0" borderId="7" xfId="0" applyFont="1" applyBorder="1">
      <alignment vertical="center"/>
    </xf>
    <xf numFmtId="0" fontId="9" fillId="0" borderId="0" xfId="0" applyFont="1" applyAlignment="1">
      <alignment horizontal="center" vertical="center"/>
    </xf>
    <xf numFmtId="3" fontId="10" fillId="0" borderId="0" xfId="0" applyNumberFormat="1" applyFont="1">
      <alignment vertical="center"/>
    </xf>
    <xf numFmtId="3" fontId="9" fillId="0" borderId="0" xfId="0" applyNumberFormat="1" applyFont="1">
      <alignment vertical="center"/>
    </xf>
    <xf numFmtId="0" fontId="10" fillId="0" borderId="2" xfId="0" applyFont="1" applyBorder="1">
      <alignment vertical="center"/>
    </xf>
    <xf numFmtId="0" fontId="10" fillId="0" borderId="3" xfId="0" applyFont="1" applyBorder="1">
      <alignment vertical="center"/>
    </xf>
    <xf numFmtId="0" fontId="10" fillId="0" borderId="5" xfId="0" applyFont="1" applyBorder="1">
      <alignment vertical="center"/>
    </xf>
    <xf numFmtId="0" fontId="10" fillId="0" borderId="7" xfId="0" applyFont="1" applyBorder="1">
      <alignment vertical="center"/>
    </xf>
    <xf numFmtId="0" fontId="10" fillId="0" borderId="8" xfId="0" applyFont="1" applyBorder="1">
      <alignment vertical="center"/>
    </xf>
    <xf numFmtId="0" fontId="9" fillId="0" borderId="2" xfId="0" applyFont="1" applyBorder="1">
      <alignment vertical="center"/>
    </xf>
    <xf numFmtId="3" fontId="10" fillId="0" borderId="5" xfId="0" applyNumberFormat="1" applyFont="1" applyBorder="1">
      <alignment vertical="center"/>
    </xf>
    <xf numFmtId="3" fontId="10" fillId="0" borderId="4" xfId="0" applyNumberFormat="1" applyFont="1" applyBorder="1">
      <alignment vertical="center"/>
    </xf>
    <xf numFmtId="0" fontId="10" fillId="0" borderId="6" xfId="0" applyFont="1" applyBorder="1">
      <alignment vertical="center"/>
    </xf>
    <xf numFmtId="0" fontId="10" fillId="0" borderId="4" xfId="0" applyFont="1" applyBorder="1">
      <alignment vertical="center"/>
    </xf>
    <xf numFmtId="0" fontId="10" fillId="0" borderId="2" xfId="0" applyFont="1" applyBorder="1" applyAlignment="1">
      <alignment horizontal="center" vertical="center"/>
    </xf>
    <xf numFmtId="0" fontId="10" fillId="0" borderId="1" xfId="0" applyFont="1" applyBorder="1">
      <alignment vertical="center"/>
    </xf>
    <xf numFmtId="0" fontId="24" fillId="19" borderId="0" xfId="0" applyFont="1" applyFill="1">
      <alignment vertical="center"/>
    </xf>
    <xf numFmtId="0" fontId="24" fillId="0" borderId="0" xfId="0" applyFont="1">
      <alignment vertical="center"/>
    </xf>
    <xf numFmtId="0" fontId="25" fillId="20" borderId="0" xfId="0" applyFont="1" applyFill="1" applyAlignment="1">
      <alignment horizontal="center" vertical="center"/>
    </xf>
    <xf numFmtId="0" fontId="5" fillId="21" borderId="16" xfId="0" applyFont="1" applyFill="1" applyBorder="1" applyAlignment="1">
      <alignment horizontal="center" vertical="center"/>
    </xf>
    <xf numFmtId="0" fontId="24" fillId="0" borderId="14" xfId="0" applyFont="1" applyBorder="1" applyAlignment="1">
      <alignment horizontal="left" vertical="center"/>
    </xf>
    <xf numFmtId="0" fontId="24" fillId="0" borderId="13" xfId="0" applyFont="1" applyBorder="1">
      <alignment vertical="center"/>
    </xf>
    <xf numFmtId="0" fontId="26" fillId="0" borderId="0" xfId="0" applyFont="1" applyAlignment="1">
      <alignment horizontal="center" vertical="center"/>
    </xf>
    <xf numFmtId="3" fontId="12" fillId="0" borderId="13" xfId="0" applyNumberFormat="1" applyFont="1" applyBorder="1" applyAlignment="1">
      <alignment horizontal="left" vertical="center"/>
    </xf>
    <xf numFmtId="3" fontId="24" fillId="0" borderId="0" xfId="0" applyNumberFormat="1" applyFont="1">
      <alignment vertical="center"/>
    </xf>
    <xf numFmtId="0" fontId="24" fillId="0" borderId="0" xfId="0" applyFont="1" applyAlignment="1">
      <alignment horizontal="right" vertical="center"/>
    </xf>
    <xf numFmtId="3" fontId="26" fillId="0" borderId="0" xfId="0" applyNumberFormat="1" applyFont="1">
      <alignment vertical="center"/>
    </xf>
    <xf numFmtId="0" fontId="24" fillId="0" borderId="14" xfId="0" applyFont="1" applyBorder="1">
      <alignment vertical="center"/>
    </xf>
    <xf numFmtId="0" fontId="26" fillId="0" borderId="13" xfId="0" applyFont="1" applyBorder="1" applyAlignment="1">
      <alignment horizontal="center" vertical="center"/>
    </xf>
    <xf numFmtId="3" fontId="24" fillId="0" borderId="13" xfId="0" applyNumberFormat="1" applyFont="1" applyBorder="1">
      <alignment vertical="center"/>
    </xf>
    <xf numFmtId="3" fontId="26" fillId="0" borderId="13" xfId="0" applyNumberFormat="1" applyFont="1" applyBorder="1">
      <alignment vertical="center"/>
    </xf>
    <xf numFmtId="0" fontId="26" fillId="0" borderId="14" xfId="0" applyFont="1" applyBorder="1" applyAlignment="1">
      <alignment horizontal="center" vertical="center"/>
    </xf>
    <xf numFmtId="0" fontId="24" fillId="0" borderId="16" xfId="0" applyFont="1" applyBorder="1">
      <alignment vertical="center"/>
    </xf>
    <xf numFmtId="0" fontId="26" fillId="0" borderId="16" xfId="0" applyFont="1" applyBorder="1" applyAlignment="1">
      <alignment horizontal="center" vertical="center"/>
    </xf>
    <xf numFmtId="3" fontId="12" fillId="0" borderId="13" xfId="0" applyNumberFormat="1" applyFont="1" applyBorder="1">
      <alignment vertical="center"/>
    </xf>
    <xf numFmtId="3" fontId="13" fillId="0" borderId="13" xfId="0" applyNumberFormat="1" applyFont="1" applyBorder="1">
      <alignment vertical="center"/>
    </xf>
    <xf numFmtId="3" fontId="13" fillId="0" borderId="16" xfId="0" applyNumberFormat="1" applyFont="1" applyBorder="1">
      <alignment vertical="center"/>
    </xf>
    <xf numFmtId="3" fontId="13" fillId="0" borderId="14" xfId="0" applyNumberFormat="1" applyFont="1" applyBorder="1">
      <alignment vertical="center"/>
    </xf>
    <xf numFmtId="0" fontId="27" fillId="0" borderId="0" xfId="0" applyFont="1">
      <alignment vertical="center"/>
    </xf>
    <xf numFmtId="0" fontId="12" fillId="0" borderId="14" xfId="0" applyFont="1" applyBorder="1">
      <alignment vertical="center"/>
    </xf>
    <xf numFmtId="0" fontId="24" fillId="19" borderId="16" xfId="0" applyFont="1" applyFill="1" applyBorder="1">
      <alignment vertical="center"/>
    </xf>
    <xf numFmtId="0" fontId="26" fillId="0" borderId="14" xfId="0" applyFont="1" applyBorder="1">
      <alignment vertical="center"/>
    </xf>
    <xf numFmtId="0" fontId="24" fillId="0" borderId="14" xfId="0" applyFont="1" applyBorder="1" applyAlignment="1">
      <alignment horizontal="center" vertical="center"/>
    </xf>
    <xf numFmtId="0" fontId="24" fillId="0" borderId="0" xfId="0" applyFont="1" applyAlignment="1">
      <alignment horizontal="center" vertical="center"/>
    </xf>
    <xf numFmtId="0" fontId="12" fillId="0" borderId="13" xfId="0" applyFont="1" applyBorder="1" applyAlignment="1">
      <alignment horizontal="right"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4" xfId="0" applyFont="1" applyBorder="1" applyAlignment="1">
      <alignment horizontal="left" vertical="center"/>
    </xf>
    <xf numFmtId="0" fontId="12" fillId="0" borderId="0" xfId="0" applyFont="1" applyAlignment="1">
      <alignment horizontal="left" vertical="center"/>
    </xf>
    <xf numFmtId="0" fontId="12" fillId="0" borderId="5" xfId="0" applyFont="1" applyBorder="1" applyAlignment="1">
      <alignment horizontal="left" vertical="center"/>
    </xf>
    <xf numFmtId="0" fontId="4" fillId="0" borderId="0" xfId="0" applyFont="1" applyAlignment="1">
      <alignment horizontal="left" vertical="center"/>
    </xf>
    <xf numFmtId="0" fontId="4" fillId="0" borderId="5" xfId="0" applyFont="1" applyBorder="1" applyAlignment="1">
      <alignment horizontal="left"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12" fillId="0" borderId="13" xfId="0" applyFont="1" applyBorder="1" applyAlignment="1">
      <alignment horizontal="right" vertical="center"/>
    </xf>
    <xf numFmtId="0" fontId="0" fillId="0" borderId="0" xfId="0" applyAlignment="1">
      <alignment horizontal="right" vertical="center"/>
    </xf>
    <xf numFmtId="0" fontId="24" fillId="0" borderId="14" xfId="0" applyFont="1" applyBorder="1" applyAlignment="1">
      <alignment horizontal="left" vertical="center"/>
    </xf>
    <xf numFmtId="0" fontId="24" fillId="19" borderId="14" xfId="0" applyFont="1" applyFill="1" applyBorder="1" applyAlignment="1">
      <alignment horizontal="left" vertical="center"/>
    </xf>
    <xf numFmtId="0" fontId="24" fillId="19" borderId="15" xfId="0" applyFont="1" applyFill="1" applyBorder="1" applyAlignment="1">
      <alignment horizontal="left" vertical="center"/>
    </xf>
    <xf numFmtId="177" fontId="24" fillId="0" borderId="13" xfId="0" applyNumberFormat="1" applyFont="1" applyBorder="1" applyAlignment="1">
      <alignment horizontal="left" vertical="center"/>
    </xf>
    <xf numFmtId="0" fontId="24" fillId="19" borderId="0" xfId="0" applyFont="1" applyFill="1" applyAlignment="1">
      <alignment horizontal="left" vertical="center"/>
    </xf>
    <xf numFmtId="0" fontId="24" fillId="19" borderId="17" xfId="0" applyFont="1" applyFill="1" applyBorder="1" applyAlignment="1">
      <alignment horizontal="left" vertical="center"/>
    </xf>
    <xf numFmtId="177" fontId="24" fillId="0" borderId="18" xfId="0" applyNumberFormat="1" applyFont="1" applyBorder="1" applyAlignment="1">
      <alignment horizontal="right" vertical="center"/>
    </xf>
    <xf numFmtId="0" fontId="24" fillId="19" borderId="12" xfId="0" applyFont="1" applyFill="1" applyBorder="1" applyAlignment="1">
      <alignment horizontal="right" vertical="center"/>
    </xf>
    <xf numFmtId="0" fontId="24" fillId="19" borderId="19" xfId="0" applyFont="1" applyFill="1" applyBorder="1" applyAlignment="1">
      <alignment horizontal="right" vertical="center"/>
    </xf>
    <xf numFmtId="0" fontId="0" fillId="0" borderId="14" xfId="0" applyBorder="1" applyAlignment="1">
      <alignment horizontal="left"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7" xfId="0" applyBorder="1" applyAlignment="1">
      <alignment horizontal="left" vertical="center"/>
    </xf>
    <xf numFmtId="0" fontId="0" fillId="0" borderId="17" xfId="0" applyBorder="1" applyAlignment="1">
      <alignment horizontal="right" vertical="center"/>
    </xf>
    <xf numFmtId="0" fontId="0" fillId="0" borderId="15" xfId="0" applyBorder="1" applyAlignment="1">
      <alignment horizontal="left"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176" fontId="10" fillId="11" borderId="0" xfId="0" applyNumberFormat="1" applyFont="1" applyFill="1" applyAlignment="1">
      <alignment horizontal="center" vertical="center"/>
    </xf>
    <xf numFmtId="176" fontId="10" fillId="0" borderId="4" xfId="0" applyNumberFormat="1" applyFont="1" applyBorder="1" applyAlignment="1">
      <alignment horizontal="right"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34" borderId="0" xfId="0" applyFont="1" applyFill="1" applyAlignment="1">
      <alignment horizontal="center" vertical="center"/>
    </xf>
    <xf numFmtId="0" fontId="4" fillId="34"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35" borderId="0" xfId="0" applyFont="1" applyFill="1" applyAlignment="1">
      <alignment horizontal="center" vertical="center"/>
    </xf>
    <xf numFmtId="0" fontId="4" fillId="35"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38" fontId="24" fillId="0" borderId="18" xfId="0" applyNumberFormat="1" applyFont="1" applyBorder="1" applyAlignment="1">
      <alignment horizontal="right" vertical="center"/>
    </xf>
    <xf numFmtId="3" fontId="26" fillId="0" borderId="12" xfId="0" applyNumberFormat="1" applyFont="1" applyBorder="1" applyAlignment="1">
      <alignment horizontal="right" vertical="center"/>
    </xf>
    <xf numFmtId="0" fontId="24" fillId="0" borderId="12" xfId="0" applyFont="1" applyBorder="1" applyAlignment="1">
      <alignment horizontal="center" vertical="center"/>
    </xf>
    <xf numFmtId="3" fontId="26" fillId="0" borderId="19" xfId="0" applyNumberFormat="1" applyFont="1" applyBorder="1" applyAlignment="1">
      <alignment horizontal="center" vertical="center"/>
    </xf>
    <xf numFmtId="38" fontId="24" fillId="0" borderId="13" xfId="0" applyNumberFormat="1" applyFont="1" applyBorder="1" applyAlignment="1">
      <alignment horizontal="right" vertical="center"/>
    </xf>
    <xf numFmtId="0" fontId="24" fillId="0" borderId="0" xfId="0" applyFont="1" applyAlignment="1">
      <alignment horizontal="right" vertical="center"/>
    </xf>
    <xf numFmtId="0" fontId="24" fillId="30" borderId="0" xfId="0" applyFont="1" applyFill="1" applyAlignment="1">
      <alignment horizontal="center" vertical="center"/>
    </xf>
    <xf numFmtId="0" fontId="24" fillId="0" borderId="17" xfId="0" applyFont="1" applyBorder="1" applyAlignment="1">
      <alignment horizontal="center" vertical="center"/>
    </xf>
    <xf numFmtId="0" fontId="26" fillId="0" borderId="0" xfId="0" applyFont="1" applyAlignment="1">
      <alignment horizontal="right" vertical="center"/>
    </xf>
    <xf numFmtId="0" fontId="24" fillId="31" borderId="0" xfId="0" applyFont="1" applyFill="1" applyAlignment="1">
      <alignment horizontal="center" vertical="center"/>
    </xf>
    <xf numFmtId="3" fontId="24" fillId="0" borderId="0" xfId="0" applyNumberFormat="1" applyFont="1" applyAlignment="1">
      <alignment horizontal="right" vertical="center"/>
    </xf>
    <xf numFmtId="0" fontId="24" fillId="32" borderId="0" xfId="0" applyFont="1" applyFill="1" applyAlignment="1">
      <alignment horizontal="center" vertical="center"/>
    </xf>
    <xf numFmtId="3" fontId="24" fillId="0" borderId="17" xfId="0" applyNumberFormat="1" applyFont="1" applyBorder="1" applyAlignment="1">
      <alignment horizontal="center" vertical="center"/>
    </xf>
    <xf numFmtId="38" fontId="24" fillId="0" borderId="13" xfId="0" applyNumberFormat="1" applyFont="1" applyBorder="1">
      <alignment vertical="center"/>
    </xf>
    <xf numFmtId="0" fontId="24" fillId="0" borderId="0" xfId="0" applyFont="1">
      <alignment vertical="center"/>
    </xf>
    <xf numFmtId="0" fontId="24" fillId="27" borderId="0" xfId="0" applyFont="1" applyFill="1" applyAlignment="1">
      <alignment horizontal="center" vertical="center"/>
    </xf>
    <xf numFmtId="0" fontId="24" fillId="36" borderId="0" xfId="0" applyFont="1" applyFill="1" applyAlignment="1">
      <alignment horizontal="center" vertical="center"/>
    </xf>
    <xf numFmtId="0" fontId="24" fillId="37" borderId="0" xfId="0" applyFont="1" applyFill="1" applyAlignment="1">
      <alignment horizontal="center" vertical="center"/>
    </xf>
    <xf numFmtId="0" fontId="28" fillId="23" borderId="0" xfId="0" applyFont="1" applyFill="1" applyAlignment="1">
      <alignment horizontal="center" vertical="center"/>
    </xf>
    <xf numFmtId="0" fontId="28" fillId="24" borderId="0" xfId="0" applyFont="1" applyFill="1" applyAlignment="1">
      <alignment horizontal="center" vertical="center"/>
    </xf>
    <xf numFmtId="0" fontId="24" fillId="26" borderId="0" xfId="0" applyFont="1" applyFill="1" applyAlignment="1">
      <alignment horizontal="center" vertical="center"/>
    </xf>
    <xf numFmtId="177" fontId="26" fillId="0" borderId="13" xfId="0" applyNumberFormat="1" applyFont="1" applyBorder="1" applyAlignment="1">
      <alignment horizontal="right" vertical="center"/>
    </xf>
    <xf numFmtId="0" fontId="24" fillId="19" borderId="0" xfId="0" applyFont="1" applyFill="1" applyAlignment="1">
      <alignment horizontal="right" vertical="center"/>
    </xf>
    <xf numFmtId="0" fontId="24" fillId="19" borderId="17" xfId="0" applyFont="1" applyFill="1" applyBorder="1" applyAlignment="1">
      <alignment horizontal="right" vertical="center"/>
    </xf>
    <xf numFmtId="177" fontId="24" fillId="0" borderId="13" xfId="0" applyNumberFormat="1" applyFont="1" applyBorder="1" applyAlignment="1">
      <alignment horizontal="right" vertical="center"/>
    </xf>
    <xf numFmtId="0" fontId="21" fillId="22" borderId="16" xfId="0" applyFont="1" applyFill="1" applyBorder="1" applyAlignment="1">
      <alignment horizontal="right" vertical="center"/>
    </xf>
    <xf numFmtId="0" fontId="26" fillId="0" borderId="14" xfId="0" applyFont="1" applyBorder="1" applyAlignment="1">
      <alignment horizontal="right" vertical="center"/>
    </xf>
    <xf numFmtId="0" fontId="21" fillId="22" borderId="14" xfId="0" applyFont="1" applyFill="1" applyBorder="1" applyAlignment="1">
      <alignment horizontal="center" vertical="center"/>
    </xf>
    <xf numFmtId="0" fontId="24" fillId="0" borderId="15" xfId="0" applyFont="1" applyBorder="1" applyAlignment="1">
      <alignment horizontal="center" vertical="center"/>
    </xf>
    <xf numFmtId="3" fontId="28" fillId="6"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0" fontId="28" fillId="6" borderId="18" xfId="0" applyFont="1" applyFill="1" applyBorder="1" applyAlignment="1">
      <alignment horizontal="right" vertical="center"/>
    </xf>
    <xf numFmtId="0" fontId="0" fillId="0" borderId="19" xfId="0" applyBorder="1" applyAlignment="1">
      <alignment horizontal="right" vertical="center"/>
    </xf>
    <xf numFmtId="0" fontId="12" fillId="7" borderId="18" xfId="0" applyFont="1" applyFill="1" applyBorder="1" applyAlignment="1">
      <alignment horizontal="right" vertical="center"/>
    </xf>
    <xf numFmtId="3" fontId="21" fillId="6"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2" fillId="34"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0" fontId="12" fillId="34" borderId="18" xfId="0" applyFont="1" applyFill="1" applyBorder="1" applyAlignment="1">
      <alignment horizontal="right" vertical="center"/>
    </xf>
    <xf numFmtId="0" fontId="12" fillId="8" borderId="18" xfId="0" applyFont="1" applyFill="1" applyBorder="1" applyAlignment="1">
      <alignment horizontal="right" vertical="center"/>
    </xf>
    <xf numFmtId="3" fontId="13" fillId="34" borderId="13" xfId="0" applyNumberFormat="1" applyFont="1" applyFill="1" applyBorder="1" applyAlignment="1">
      <alignment horizontal="right" vertical="center"/>
    </xf>
    <xf numFmtId="3" fontId="13" fillId="8" borderId="13" xfId="0" applyNumberFormat="1" applyFont="1" applyFill="1" applyBorder="1" applyAlignment="1">
      <alignment horizontal="right" vertical="center"/>
    </xf>
    <xf numFmtId="3" fontId="12" fillId="35" borderId="13" xfId="0" applyNumberFormat="1" applyFont="1" applyFill="1" applyBorder="1" applyAlignment="1">
      <alignment horizontal="right" vertical="center"/>
    </xf>
    <xf numFmtId="0" fontId="12" fillId="35" borderId="18" xfId="0" applyFont="1" applyFill="1" applyBorder="1" applyAlignment="1">
      <alignment horizontal="right" vertical="center"/>
    </xf>
    <xf numFmtId="3" fontId="13" fillId="35" borderId="13" xfId="0" applyNumberFormat="1" applyFont="1" applyFill="1" applyBorder="1" applyAlignment="1">
      <alignment horizontal="right" vertical="center"/>
    </xf>
    <xf numFmtId="0" fontId="12" fillId="12" borderId="18" xfId="0" applyFont="1" applyFill="1" applyBorder="1" applyAlignment="1">
      <alignment horizontal="right" vertical="center"/>
    </xf>
    <xf numFmtId="3" fontId="13" fillId="12"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0" fontId="12" fillId="33" borderId="18" xfId="0" applyFont="1" applyFill="1" applyBorder="1" applyAlignment="1">
      <alignment horizontal="right" vertical="center"/>
    </xf>
    <xf numFmtId="0" fontId="12" fillId="13" borderId="18" xfId="0" applyFont="1" applyFill="1" applyBorder="1" applyAlignment="1">
      <alignment horizontal="right" vertical="center"/>
    </xf>
    <xf numFmtId="0" fontId="12" fillId="14" borderId="18" xfId="0" applyFont="1" applyFill="1" applyBorder="1" applyAlignment="1">
      <alignment horizontal="right" vertical="center"/>
    </xf>
    <xf numFmtId="3" fontId="12" fillId="14" borderId="13" xfId="0" applyNumberFormat="1" applyFont="1" applyFill="1" applyBorder="1" applyAlignment="1">
      <alignment horizontal="right" vertical="center"/>
    </xf>
    <xf numFmtId="3" fontId="12" fillId="33"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3" fillId="33"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0" fontId="28" fillId="16" borderId="18" xfId="0" applyFont="1" applyFill="1" applyBorder="1" applyAlignment="1">
      <alignment horizontal="right" vertical="center"/>
    </xf>
    <xf numFmtId="3" fontId="28" fillId="16" borderId="13" xfId="0" applyNumberFormat="1" applyFont="1" applyFill="1" applyBorder="1" applyAlignment="1">
      <alignment horizontal="right" vertical="center"/>
    </xf>
    <xf numFmtId="3" fontId="21" fillId="16" borderId="13" xfId="0" applyNumberFormat="1" applyFont="1" applyFill="1" applyBorder="1" applyAlignment="1">
      <alignment horizontal="right" vertical="center"/>
    </xf>
    <xf numFmtId="3" fontId="12" fillId="0" borderId="13" xfId="0" applyNumberFormat="1" applyFont="1" applyBorder="1" applyAlignment="1">
      <alignment horizontal="right" vertical="center"/>
    </xf>
    <xf numFmtId="3" fontId="13" fillId="0" borderId="13" xfId="0" applyNumberFormat="1" applyFont="1" applyBorder="1" applyAlignment="1">
      <alignment horizontal="right"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 fontId="26" fillId="0" borderId="0" xfId="0" applyNumberFormat="1" applyFont="1" applyAlignment="1">
      <alignment horizontal="right" vertical="center"/>
    </xf>
    <xf numFmtId="3" fontId="26" fillId="0" borderId="17" xfId="0" applyNumberFormat="1" applyFont="1" applyBorder="1" applyAlignment="1">
      <alignment horizontal="center" vertical="center"/>
    </xf>
    <xf numFmtId="0" fontId="24" fillId="0" borderId="12" xfId="0" applyFont="1" applyBorder="1" applyAlignment="1">
      <alignment horizontal="right" vertical="center"/>
    </xf>
    <xf numFmtId="0" fontId="24" fillId="0" borderId="19" xfId="0" applyFont="1" applyBorder="1" applyAlignment="1">
      <alignment horizontal="center" vertical="center"/>
    </xf>
    <xf numFmtId="0" fontId="24" fillId="29" borderId="0" xfId="0" applyFont="1" applyFill="1" applyAlignment="1">
      <alignment horizontal="center" vertical="center"/>
    </xf>
    <xf numFmtId="0" fontId="24" fillId="28" borderId="0" xfId="0" applyFont="1" applyFill="1" applyAlignment="1">
      <alignment horizontal="center" vertical="center"/>
    </xf>
    <xf numFmtId="0" fontId="28" fillId="25" borderId="0" xfId="0" applyFont="1" applyFill="1" applyAlignment="1">
      <alignment horizontal="center" vertical="center"/>
    </xf>
    <xf numFmtId="3" fontId="13" fillId="15" borderId="13" xfId="0" applyNumberFormat="1" applyFont="1" applyFill="1" applyBorder="1" applyAlignment="1">
      <alignment horizontal="right" vertical="center"/>
    </xf>
    <xf numFmtId="0" fontId="12" fillId="15" borderId="18" xfId="0" applyFont="1" applyFill="1" applyBorder="1" applyAlignment="1">
      <alignment horizontal="right" vertical="center"/>
    </xf>
    <xf numFmtId="3" fontId="12" fillId="15"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0" fontId="12" fillId="9" borderId="18" xfId="0" applyFont="1" applyFill="1" applyBorder="1" applyAlignment="1">
      <alignment horizontal="right" vertical="center"/>
    </xf>
    <xf numFmtId="3" fontId="12" fillId="9" borderId="13" xfId="0" applyNumberFormat="1" applyFont="1" applyFill="1" applyBorder="1" applyAlignment="1">
      <alignment horizontal="right" vertical="center"/>
    </xf>
    <xf numFmtId="0" fontId="12" fillId="17" borderId="18" xfId="0" applyFont="1" applyFill="1" applyBorder="1" applyAlignment="1">
      <alignment horizontal="right" vertical="center"/>
    </xf>
    <xf numFmtId="3" fontId="13" fillId="17" borderId="13" xfId="0" applyNumberFormat="1" applyFont="1" applyFill="1" applyBorder="1" applyAlignment="1">
      <alignment horizontal="right" vertical="center"/>
    </xf>
    <xf numFmtId="3" fontId="12" fillId="17" borderId="13" xfId="0" applyNumberFormat="1" applyFont="1" applyFill="1" applyBorder="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colors>
    <mruColors>
      <color rgb="FFDDAA00"/>
      <color rgb="FFFFDD66"/>
      <color rgb="FFFFCC99"/>
      <color rgb="FFFFFF99"/>
      <color rgb="FFCCCC00"/>
      <color rgb="FFFFFFAA"/>
      <color rgb="FFFFFFCC"/>
      <color rgb="FFFFFF22"/>
      <color rgb="FFAAEE66"/>
      <color rgb="FFBBFF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8.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0.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82</xdr:row>
      <xdr:rowOff>0</xdr:rowOff>
    </xdr:from>
    <xdr:to>
      <xdr:col>44</xdr:col>
      <xdr:colOff>218700</xdr:colOff>
      <xdr:row>93</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110</xdr:row>
      <xdr:rowOff>0</xdr:rowOff>
    </xdr:from>
    <xdr:to>
      <xdr:col>13</xdr:col>
      <xdr:colOff>235623</xdr:colOff>
      <xdr:row>123</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105</xdr:row>
          <xdr:rowOff>241300</xdr:rowOff>
        </xdr:from>
        <xdr:to>
          <xdr:col>12</xdr:col>
          <xdr:colOff>254000</xdr:colOff>
          <xdr:row>108</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121</xdr:row>
      <xdr:rowOff>160545</xdr:rowOff>
    </xdr:from>
    <xdr:to>
      <xdr:col>14</xdr:col>
      <xdr:colOff>24848</xdr:colOff>
      <xdr:row>122</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124</xdr:row>
      <xdr:rowOff>198782</xdr:rowOff>
    </xdr:from>
    <xdr:to>
      <xdr:col>35</xdr:col>
      <xdr:colOff>240194</xdr:colOff>
      <xdr:row>126</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122</xdr:row>
      <xdr:rowOff>201957</xdr:rowOff>
    </xdr:from>
    <xdr:to>
      <xdr:col>21</xdr:col>
      <xdr:colOff>88554</xdr:colOff>
      <xdr:row>124</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92</xdr:row>
      <xdr:rowOff>57288</xdr:rowOff>
    </xdr:from>
    <xdr:to>
      <xdr:col>24</xdr:col>
      <xdr:colOff>36445</xdr:colOff>
      <xdr:row>93</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94</xdr:row>
      <xdr:rowOff>187325</xdr:rowOff>
    </xdr:from>
    <xdr:to>
      <xdr:col>32</xdr:col>
      <xdr:colOff>198783</xdr:colOff>
      <xdr:row>96</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93</xdr:row>
      <xdr:rowOff>95527</xdr:rowOff>
    </xdr:from>
    <xdr:to>
      <xdr:col>22</xdr:col>
      <xdr:colOff>183807</xdr:colOff>
      <xdr:row>94</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336550</xdr:colOff>
      <xdr:row>1</xdr:row>
      <xdr:rowOff>206374</xdr:rowOff>
    </xdr:from>
    <xdr:to>
      <xdr:col>19</xdr:col>
      <xdr:colOff>517525</xdr:colOff>
      <xdr:row>12</xdr:row>
      <xdr:rowOff>101600</xdr:rowOff>
    </xdr:to>
    <xdr:sp macro="" textlink="">
      <xdr:nvSpPr>
        <xdr:cNvPr id="2" name="テキスト ボックス 1">
          <a:extLst>
            <a:ext uri="{FF2B5EF4-FFF2-40B4-BE49-F238E27FC236}">
              <a16:creationId xmlns:a16="http://schemas.microsoft.com/office/drawing/2014/main" id="{26A7B456-317D-7837-A90E-CE6A7BEF0801}"/>
            </a:ext>
          </a:extLst>
        </xdr:cNvPr>
        <xdr:cNvSpPr txBox="1"/>
      </xdr:nvSpPr>
      <xdr:spPr>
        <a:xfrm>
          <a:off x="8121650" y="434974"/>
          <a:ext cx="6784975" cy="2409826"/>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a:t>
          </a:r>
          <a:r>
            <a:rPr kumimoji="1" lang="ja-JP" altLang="ja-JP" sz="1100">
              <a:solidFill>
                <a:schemeClr val="dk1"/>
              </a:solidFill>
              <a:effectLst/>
              <a:latin typeface="+mn-lt"/>
              <a:ea typeface="+mn-ea"/>
              <a:cs typeface="+mn-cs"/>
            </a:rPr>
            <a:t>ヘッダーは１行になるよう手調整してください。</a:t>
          </a:r>
          <a:r>
            <a:rPr kumimoji="1" lang="en-US" altLang="ja-JP" sz="1100">
              <a:solidFill>
                <a:schemeClr val="dk1"/>
              </a:solidFill>
              <a:effectLst/>
              <a:latin typeface="+mn-lt"/>
              <a:ea typeface="+mn-ea"/>
              <a:cs typeface="+mn-cs"/>
            </a:rPr>
            <a:t>A</a:t>
          </a:r>
          <a:r>
            <a:rPr kumimoji="1" lang="ja-JP" altLang="ja-JP" sz="1100">
              <a:solidFill>
                <a:schemeClr val="dk1"/>
              </a:solidFill>
              <a:effectLst/>
              <a:latin typeface="+mn-lt"/>
              <a:ea typeface="+mn-ea"/>
              <a:cs typeface="+mn-cs"/>
            </a:rPr>
            <a:t>列の名前は［</a:t>
          </a:r>
          <a:r>
            <a:rPr kumimoji="1" lang="en-US" altLang="ja-JP" sz="1100">
              <a:solidFill>
                <a:schemeClr val="dk1"/>
              </a:solidFill>
              <a:effectLst/>
              <a:latin typeface="+mn-lt"/>
              <a:ea typeface="+mn-ea"/>
              <a:cs typeface="+mn-cs"/>
            </a:rPr>
            <a:t>InformalCityId</a:t>
          </a:r>
          <a:r>
            <a:rPr kumimoji="1" lang="ja-JP" altLang="ja-JP" sz="1100">
              <a:solidFill>
                <a:schemeClr val="dk1"/>
              </a:solidFill>
              <a:effectLst/>
              <a:latin typeface="+mn-lt"/>
              <a:ea typeface="+mn-ea"/>
              <a:cs typeface="+mn-cs"/>
            </a:rPr>
            <a:t>］にしてください。</a:t>
          </a:r>
          <a:endParaRPr kumimoji="1" lang="en-US" altLang="ja-JP"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ja-JP" altLang="ja-JP">
            <a:effectLst/>
          </a:endParaRPr>
        </a:p>
        <a:p>
          <a:r>
            <a:rPr lang="ja-JP" altLang="en-US" sz="1100" b="0">
              <a:solidFill>
                <a:schemeClr val="dk1"/>
              </a:solidFill>
              <a:effectLst/>
              <a:latin typeface="+mn-lt"/>
              <a:ea typeface="+mn-ea"/>
              <a:cs typeface="+mn-cs"/>
            </a:rPr>
            <a:t>［埼玉県新座市］＞［令和</a:t>
          </a:r>
          <a:r>
            <a:rPr lang="en-US" altLang="ja-JP" sz="1100" b="0">
              <a:solidFill>
                <a:schemeClr val="dk1"/>
              </a:solidFill>
              <a:effectLst/>
              <a:latin typeface="+mn-lt"/>
              <a:ea typeface="+mn-ea"/>
              <a:cs typeface="+mn-cs"/>
            </a:rPr>
            <a:t>7</a:t>
          </a:r>
          <a:r>
            <a:rPr lang="ja-JP" altLang="en-US" sz="1100" b="0">
              <a:solidFill>
                <a:schemeClr val="dk1"/>
              </a:solidFill>
              <a:effectLst/>
              <a:latin typeface="+mn-lt"/>
              <a:ea typeface="+mn-ea"/>
              <a:cs typeface="+mn-cs"/>
            </a:rPr>
            <a:t>年　町・丁目別世帯・人口］  </a:t>
          </a:r>
        </a:p>
        <a:p>
          <a:r>
            <a:rPr lang="en-US" altLang="ja-JP" sz="1100" b="0">
              <a:solidFill>
                <a:schemeClr val="dk1"/>
              </a:solidFill>
              <a:effectLst/>
              <a:latin typeface="+mn-lt"/>
              <a:ea typeface="+mn-ea"/>
              <a:cs typeface="+mn-cs"/>
            </a:rPr>
            <a:t>https://www.city.niiza.lg.jp/site/toukei/jinko-r7.html</a:t>
          </a:r>
        </a:p>
        <a:p>
          <a:endParaRPr lang="en-US" altLang="ja-JP" sz="1100" b="0">
            <a:solidFill>
              <a:schemeClr val="dk1"/>
            </a:solidFill>
            <a:effectLst/>
            <a:latin typeface="+mn-lt"/>
            <a:ea typeface="+mn-ea"/>
            <a:cs typeface="+mn-cs"/>
          </a:endParaRPr>
        </a:p>
        <a:p>
          <a:r>
            <a:rPr lang="ja-JP" altLang="en-US" sz="1100" b="0">
              <a:solidFill>
                <a:schemeClr val="dk1"/>
              </a:solidFill>
              <a:effectLst/>
              <a:latin typeface="+mn-lt"/>
              <a:ea typeface="+mn-ea"/>
              <a:cs typeface="+mn-cs"/>
            </a:rPr>
            <a:t>［郵便局］＞［埼玉県］＞［新座市の郵便番号一覧］</a:t>
          </a:r>
        </a:p>
        <a:p>
          <a:r>
            <a:rPr lang="en-US" altLang="ja-JP" sz="1100" b="0">
              <a:solidFill>
                <a:schemeClr val="dk1"/>
              </a:solidFill>
              <a:effectLst/>
              <a:latin typeface="+mn-lt"/>
              <a:ea typeface="+mn-ea"/>
              <a:cs typeface="+mn-cs"/>
            </a:rPr>
            <a:t>https://www.post.japanpost.jp/cgi-zip/zipcode.php?pref=11&amp;city=1112300&amp;cmp=1&amp;mode=list&amp;addr=</a:t>
          </a:r>
        </a:p>
        <a:p>
          <a:endParaRPr lang="en-US" altLang="ja-JP" sz="1100" b="0">
            <a:solidFill>
              <a:schemeClr val="dk1"/>
            </a:solidFill>
            <a:effectLst/>
            <a:latin typeface="+mn-lt"/>
            <a:ea typeface="+mn-ea"/>
            <a:cs typeface="+mn-cs"/>
          </a:endParaRPr>
        </a:p>
        <a:p>
          <a:r>
            <a:rPr lang="ja-JP" altLang="en-US" sz="1100" b="0">
              <a:solidFill>
                <a:schemeClr val="dk1"/>
              </a:solidFill>
              <a:effectLst/>
              <a:latin typeface="+mn-lt"/>
              <a:ea typeface="+mn-ea"/>
              <a:cs typeface="+mn-cs"/>
            </a:rPr>
            <a:t>［埼玉県新座市］＞［</a:t>
          </a:r>
          <a:r>
            <a:rPr lang="en-US" altLang="ja-JP" sz="1100" b="0">
              <a:solidFill>
                <a:schemeClr val="dk1"/>
              </a:solidFill>
              <a:effectLst/>
              <a:latin typeface="+mn-lt"/>
              <a:ea typeface="+mn-ea"/>
              <a:cs typeface="+mn-cs"/>
            </a:rPr>
            <a:t>〔</a:t>
          </a:r>
          <a:r>
            <a:rPr lang="ja-JP" altLang="en-US" sz="1100" b="0">
              <a:solidFill>
                <a:schemeClr val="dk1"/>
              </a:solidFill>
              <a:effectLst/>
              <a:latin typeface="+mn-lt"/>
              <a:ea typeface="+mn-ea"/>
              <a:cs typeface="+mn-cs"/>
            </a:rPr>
            <a:t>１</a:t>
          </a:r>
          <a:r>
            <a:rPr lang="en-US" altLang="ja-JP" sz="1100" b="0">
              <a:solidFill>
                <a:schemeClr val="dk1"/>
              </a:solidFill>
              <a:effectLst/>
              <a:latin typeface="+mn-lt"/>
              <a:ea typeface="+mn-ea"/>
              <a:cs typeface="+mn-cs"/>
            </a:rPr>
            <a:t>〕 </a:t>
          </a:r>
          <a:r>
            <a:rPr lang="ja-JP" altLang="en-US" sz="1100" b="0">
              <a:solidFill>
                <a:schemeClr val="dk1"/>
              </a:solidFill>
              <a:effectLst/>
              <a:latin typeface="+mn-lt"/>
              <a:ea typeface="+mn-ea"/>
              <a:cs typeface="+mn-cs"/>
            </a:rPr>
            <a:t>土地・気象］＞［</a:t>
          </a:r>
          <a:r>
            <a:rPr lang="en-US" altLang="ja-JP" sz="1100" b="0">
              <a:solidFill>
                <a:schemeClr val="dk1"/>
              </a:solidFill>
              <a:effectLst/>
              <a:latin typeface="+mn-lt"/>
              <a:ea typeface="+mn-ea"/>
              <a:cs typeface="+mn-cs"/>
            </a:rPr>
            <a:t>5 </a:t>
          </a:r>
          <a:r>
            <a:rPr lang="ja-JP" altLang="en-US" sz="1100" b="0">
              <a:solidFill>
                <a:schemeClr val="dk1"/>
              </a:solidFill>
              <a:effectLst/>
              <a:latin typeface="+mn-lt"/>
              <a:ea typeface="+mn-ea"/>
              <a:cs typeface="+mn-cs"/>
            </a:rPr>
            <a:t>地域別面積］</a:t>
          </a:r>
        </a:p>
        <a:p>
          <a:r>
            <a:rPr lang="en-US" altLang="ja-JP" sz="1100" b="0">
              <a:solidFill>
                <a:schemeClr val="dk1"/>
              </a:solidFill>
              <a:effectLst/>
              <a:latin typeface="+mn-lt"/>
              <a:ea typeface="+mn-ea"/>
              <a:cs typeface="+mn-cs"/>
            </a:rPr>
            <a:t>https://www.city.niiza.lg.jp/uploaded/attachment/66471.pdf</a:t>
          </a:r>
        </a:p>
        <a:p>
          <a:br>
            <a:rPr lang="en-US" altLang="ja-JP" sz="1100" b="0">
              <a:solidFill>
                <a:schemeClr val="dk1"/>
              </a:solidFill>
              <a:effectLst/>
              <a:latin typeface="+mn-lt"/>
              <a:ea typeface="+mn-ea"/>
              <a:cs typeface="+mn-cs"/>
            </a:rPr>
          </a:br>
          <a:endParaRPr lang="en-US" altLang="ja-JP" sz="1100" b="0">
            <a:solidFill>
              <a:schemeClr val="dk1"/>
            </a:solidFill>
            <a:effectLst/>
            <a:latin typeface="+mn-lt"/>
            <a:ea typeface="+mn-ea"/>
            <a:cs typeface="+mn-cs"/>
          </a:endParaRPr>
        </a:p>
        <a:p>
          <a:endParaRPr lang="en-US" altLang="ja-JP" sz="1100" b="0">
            <a:solidFill>
              <a:schemeClr val="dk1"/>
            </a:solidFill>
            <a:effectLst/>
            <a:latin typeface="+mn-lt"/>
            <a:ea typeface="+mn-ea"/>
            <a:cs typeface="+mn-cs"/>
          </a:endParaRPr>
        </a:p>
        <a:p>
          <a:br>
            <a:rPr lang="en-US" altLang="ja-JP" sz="1100" b="0">
              <a:solidFill>
                <a:schemeClr val="dk1"/>
              </a:solidFill>
              <a:effectLst/>
              <a:latin typeface="+mn-lt"/>
              <a:ea typeface="+mn-ea"/>
              <a:cs typeface="+mn-cs"/>
            </a:rPr>
          </a:br>
          <a:endParaRPr lang="en-US" altLang="ja-JP" sz="1100" b="0">
            <a:solidFill>
              <a:schemeClr val="dk1"/>
            </a:solidFill>
            <a:effectLst/>
            <a:latin typeface="+mn-lt"/>
            <a:ea typeface="+mn-ea"/>
            <a:cs typeface="+mn-cs"/>
          </a:endParaRPr>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15876</xdr:colOff>
      <xdr:row>35</xdr:row>
      <xdr:rowOff>9525</xdr:rowOff>
    </xdr:from>
    <xdr:to>
      <xdr:col>13</xdr:col>
      <xdr:colOff>257231</xdr:colOff>
      <xdr:row>43</xdr:row>
      <xdr:rowOff>219075</xdr:rowOff>
    </xdr:to>
    <xdr:pic>
      <xdr:nvPicPr>
        <xdr:cNvPr id="45" name="図 44">
          <a:extLst>
            <a:ext uri="{FF2B5EF4-FFF2-40B4-BE49-F238E27FC236}">
              <a16:creationId xmlns:a16="http://schemas.microsoft.com/office/drawing/2014/main" id="{B58FC016-09E1-15E8-B0E7-7E49DA61BD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93</xdr:row>
      <xdr:rowOff>0</xdr:rowOff>
    </xdr:from>
    <xdr:to>
      <xdr:col>34</xdr:col>
      <xdr:colOff>126267</xdr:colOff>
      <xdr:row>108</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88</xdr:row>
          <xdr:rowOff>184150</xdr:rowOff>
        </xdr:from>
        <xdr:to>
          <xdr:col>12</xdr:col>
          <xdr:colOff>139700</xdr:colOff>
          <xdr:row>91</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36</xdr:row>
      <xdr:rowOff>152400</xdr:rowOff>
    </xdr:from>
    <xdr:to>
      <xdr:col>9</xdr:col>
      <xdr:colOff>104775</xdr:colOff>
      <xdr:row>39</xdr:row>
      <xdr:rowOff>66675</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39</xdr:row>
      <xdr:rowOff>66675</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35</xdr:row>
      <xdr:rowOff>208085</xdr:rowOff>
    </xdr:from>
    <xdr:to>
      <xdr:col>43</xdr:col>
      <xdr:colOff>247651</xdr:colOff>
      <xdr:row>36</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219075</xdr:rowOff>
    </xdr:from>
    <xdr:to>
      <xdr:col>30</xdr:col>
      <xdr:colOff>106119</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107</xdr:row>
      <xdr:rowOff>179022</xdr:rowOff>
    </xdr:from>
    <xdr:to>
      <xdr:col>18</xdr:col>
      <xdr:colOff>131885</xdr:colOff>
      <xdr:row>108</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110</xdr:row>
      <xdr:rowOff>11479</xdr:rowOff>
    </xdr:from>
    <xdr:to>
      <xdr:col>16</xdr:col>
      <xdr:colOff>153865</xdr:colOff>
      <xdr:row>110</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108</xdr:row>
      <xdr:rowOff>117230</xdr:rowOff>
    </xdr:from>
    <xdr:to>
      <xdr:col>17</xdr:col>
      <xdr:colOff>24057</xdr:colOff>
      <xdr:row>110</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171450</xdr:colOff>
      <xdr:row>77</xdr:row>
      <xdr:rowOff>50800</xdr:rowOff>
    </xdr:from>
    <xdr:to>
      <xdr:col>25</xdr:col>
      <xdr:colOff>95250</xdr:colOff>
      <xdr:row>79</xdr:row>
      <xdr:rowOff>222250</xdr:rowOff>
    </xdr:to>
    <xdr:sp macro="" textlink="">
      <xdr:nvSpPr>
        <xdr:cNvPr id="8" name="正方形/長方形 7">
          <a:extLst>
            <a:ext uri="{FF2B5EF4-FFF2-40B4-BE49-F238E27FC236}">
              <a16:creationId xmlns:a16="http://schemas.microsoft.com/office/drawing/2014/main" id="{253C2D75-BCA9-42F5-8553-63AF841D7A26}"/>
            </a:ext>
          </a:extLst>
        </xdr:cNvPr>
        <xdr:cNvSpPr/>
      </xdr:nvSpPr>
      <xdr:spPr>
        <a:xfrm>
          <a:off x="4171950" y="237871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74</xdr:row>
      <xdr:rowOff>254000</xdr:rowOff>
    </xdr:from>
    <xdr:to>
      <xdr:col>20</xdr:col>
      <xdr:colOff>133350</xdr:colOff>
      <xdr:row>77</xdr:row>
      <xdr:rowOff>50800</xdr:rowOff>
    </xdr:to>
    <xdr:cxnSp macro="">
      <xdr:nvCxnSpPr>
        <xdr:cNvPr id="10" name="直線コネクタ 9">
          <a:extLst>
            <a:ext uri="{FF2B5EF4-FFF2-40B4-BE49-F238E27FC236}">
              <a16:creationId xmlns:a16="http://schemas.microsoft.com/office/drawing/2014/main" id="{9589C061-3EFA-44B9-8074-2D04FA30E5BF}"/>
            </a:ext>
          </a:extLst>
        </xdr:cNvPr>
        <xdr:cNvCxnSpPr>
          <a:stCxn id="42" idx="2"/>
          <a:endCxn id="8" idx="0"/>
        </xdr:cNvCxnSpPr>
      </xdr:nvCxnSpPr>
      <xdr:spPr>
        <a:xfrm>
          <a:off x="3308350" y="18122900"/>
          <a:ext cx="2159000" cy="56642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72</xdr:row>
      <xdr:rowOff>254000</xdr:rowOff>
    </xdr:from>
    <xdr:to>
      <xdr:col>11</xdr:col>
      <xdr:colOff>31750</xdr:colOff>
      <xdr:row>74</xdr:row>
      <xdr:rowOff>44450</xdr:rowOff>
    </xdr:to>
    <xdr:sp macro="" textlink="">
      <xdr:nvSpPr>
        <xdr:cNvPr id="23" name="正方形/長方形 22">
          <a:extLst>
            <a:ext uri="{FF2B5EF4-FFF2-40B4-BE49-F238E27FC236}">
              <a16:creationId xmlns:a16="http://schemas.microsoft.com/office/drawing/2014/main" id="{5CDBA704-4188-4129-A13E-33DA30B97286}"/>
            </a:ext>
          </a:extLst>
        </xdr:cNvPr>
        <xdr:cNvSpPr/>
      </xdr:nvSpPr>
      <xdr:spPr>
        <a:xfrm>
          <a:off x="1568450" y="175895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80</xdr:row>
      <xdr:rowOff>69850</xdr:rowOff>
    </xdr:from>
    <xdr:to>
      <xdr:col>14</xdr:col>
      <xdr:colOff>120650</xdr:colOff>
      <xdr:row>82</xdr:row>
      <xdr:rowOff>228600</xdr:rowOff>
    </xdr:to>
    <xdr:sp macro="" textlink="">
      <xdr:nvSpPr>
        <xdr:cNvPr id="29" name="正方形/長方形 28">
          <a:extLst>
            <a:ext uri="{FF2B5EF4-FFF2-40B4-BE49-F238E27FC236}">
              <a16:creationId xmlns:a16="http://schemas.microsoft.com/office/drawing/2014/main" id="{643B4137-2133-4B88-A09B-DEF898A048AF}"/>
            </a:ext>
          </a:extLst>
        </xdr:cNvPr>
        <xdr:cNvSpPr/>
      </xdr:nvSpPr>
      <xdr:spPr>
        <a:xfrm>
          <a:off x="1257300" y="246062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74</xdr:row>
      <xdr:rowOff>44450</xdr:rowOff>
    </xdr:from>
    <xdr:to>
      <xdr:col>9</xdr:col>
      <xdr:colOff>155575</xdr:colOff>
      <xdr:row>80</xdr:row>
      <xdr:rowOff>69850</xdr:rowOff>
    </xdr:to>
    <xdr:cxnSp macro="">
      <xdr:nvCxnSpPr>
        <xdr:cNvPr id="30" name="直線コネクタ 29">
          <a:extLst>
            <a:ext uri="{FF2B5EF4-FFF2-40B4-BE49-F238E27FC236}">
              <a16:creationId xmlns:a16="http://schemas.microsoft.com/office/drawing/2014/main" id="{0C7E4A00-01F1-4A5D-A97A-EED27652E8F6}"/>
            </a:ext>
          </a:extLst>
        </xdr:cNvPr>
        <xdr:cNvCxnSpPr>
          <a:stCxn id="23" idx="2"/>
          <a:endCxn id="29" idx="0"/>
        </xdr:cNvCxnSpPr>
      </xdr:nvCxnSpPr>
      <xdr:spPr>
        <a:xfrm>
          <a:off x="2266950" y="17913350"/>
          <a:ext cx="288925" cy="6692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73</xdr:row>
      <xdr:rowOff>260350</xdr:rowOff>
    </xdr:from>
    <xdr:to>
      <xdr:col>12</xdr:col>
      <xdr:colOff>209550</xdr:colOff>
      <xdr:row>74</xdr:row>
      <xdr:rowOff>254000</xdr:rowOff>
    </xdr:to>
    <xdr:sp macro="" textlink="">
      <xdr:nvSpPr>
        <xdr:cNvPr id="42" name="正方形/長方形 41">
          <a:extLst>
            <a:ext uri="{FF2B5EF4-FFF2-40B4-BE49-F238E27FC236}">
              <a16:creationId xmlns:a16="http://schemas.microsoft.com/office/drawing/2014/main" id="{46B30187-ECE8-4626-B26E-DE6F1FFFF209}"/>
            </a:ext>
          </a:extLst>
        </xdr:cNvPr>
        <xdr:cNvSpPr/>
      </xdr:nvSpPr>
      <xdr:spPr>
        <a:xfrm>
          <a:off x="3206750" y="178625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52</xdr:row>
      <xdr:rowOff>219074</xdr:rowOff>
    </xdr:from>
    <xdr:to>
      <xdr:col>9</xdr:col>
      <xdr:colOff>38101</xdr:colOff>
      <xdr:row>57</xdr:row>
      <xdr:rowOff>50799</xdr:rowOff>
    </xdr:to>
    <xdr:sp macro="" textlink="">
      <xdr:nvSpPr>
        <xdr:cNvPr id="48" name="正方形/長方形 47">
          <a:extLst>
            <a:ext uri="{FF2B5EF4-FFF2-40B4-BE49-F238E27FC236}">
              <a16:creationId xmlns:a16="http://schemas.microsoft.com/office/drawing/2014/main" id="{0F92682C-9F83-4791-AB2A-71A13A0DD721}"/>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46</xdr:row>
      <xdr:rowOff>26132</xdr:rowOff>
    </xdr:from>
    <xdr:to>
      <xdr:col>9</xdr:col>
      <xdr:colOff>125657</xdr:colOff>
      <xdr:row>52</xdr:row>
      <xdr:rowOff>219074</xdr:rowOff>
    </xdr:to>
    <xdr:cxnSp macro="">
      <xdr:nvCxnSpPr>
        <xdr:cNvPr id="49" name="直線コネクタ 48">
          <a:extLst>
            <a:ext uri="{FF2B5EF4-FFF2-40B4-BE49-F238E27FC236}">
              <a16:creationId xmlns:a16="http://schemas.microsoft.com/office/drawing/2014/main" id="{A0D7E6E9-5067-4B1A-BAD2-481A2A908D08}"/>
            </a:ext>
          </a:extLst>
        </xdr:cNvPr>
        <xdr:cNvCxnSpPr>
          <a:stCxn id="20" idx="2"/>
          <a:endCxn id="4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47</xdr:row>
      <xdr:rowOff>259617</xdr:rowOff>
    </xdr:from>
    <xdr:to>
      <xdr:col>19</xdr:col>
      <xdr:colOff>251070</xdr:colOff>
      <xdr:row>52</xdr:row>
      <xdr:rowOff>219074</xdr:rowOff>
    </xdr:to>
    <xdr:cxnSp macro="">
      <xdr:nvCxnSpPr>
        <xdr:cNvPr id="52" name="直線コネクタ 51">
          <a:extLst>
            <a:ext uri="{FF2B5EF4-FFF2-40B4-BE49-F238E27FC236}">
              <a16:creationId xmlns:a16="http://schemas.microsoft.com/office/drawing/2014/main" id="{82824431-101F-4841-860A-AC4F5D7EDE78}"/>
            </a:ext>
          </a:extLst>
        </xdr:cNvPr>
        <xdr:cNvCxnSpPr>
          <a:stCxn id="27" idx="2"/>
          <a:endCxn id="4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49</xdr:row>
      <xdr:rowOff>76200</xdr:rowOff>
    </xdr:from>
    <xdr:to>
      <xdr:col>18</xdr:col>
      <xdr:colOff>85725</xdr:colOff>
      <xdr:row>51</xdr:row>
      <xdr:rowOff>85725</xdr:rowOff>
    </xdr:to>
    <xdr:sp macro="" textlink="">
      <xdr:nvSpPr>
        <xdr:cNvPr id="55" name="正方形/長方形 54">
          <a:extLst>
            <a:ext uri="{FF2B5EF4-FFF2-40B4-BE49-F238E27FC236}">
              <a16:creationId xmlns:a16="http://schemas.microsoft.com/office/drawing/2014/main" id="{4A117C88-4D80-474C-9802-16703F3EB6E1}"/>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190500</xdr:rowOff>
    </xdr:from>
    <xdr:to>
      <xdr:col>7</xdr:col>
      <xdr:colOff>158750</xdr:colOff>
      <xdr:row>37</xdr:row>
      <xdr:rowOff>133350</xdr:rowOff>
    </xdr:to>
    <xdr:sp macro="" textlink="">
      <xdr:nvSpPr>
        <xdr:cNvPr id="56" name="正方形/長方形 55">
          <a:extLst>
            <a:ext uri="{FF2B5EF4-FFF2-40B4-BE49-F238E27FC236}">
              <a16:creationId xmlns:a16="http://schemas.microsoft.com/office/drawing/2014/main" id="{2133C83B-D815-456A-B428-AFB2D088957D}"/>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133350</xdr:rowOff>
    </xdr:from>
    <xdr:to>
      <xdr:col>17</xdr:col>
      <xdr:colOff>12700</xdr:colOff>
      <xdr:row>49</xdr:row>
      <xdr:rowOff>76200</xdr:rowOff>
    </xdr:to>
    <xdr:cxnSp macro="">
      <xdr:nvCxnSpPr>
        <xdr:cNvPr id="57" name="直線コネクタ 56">
          <a:extLst>
            <a:ext uri="{FF2B5EF4-FFF2-40B4-BE49-F238E27FC236}">
              <a16:creationId xmlns:a16="http://schemas.microsoft.com/office/drawing/2014/main" id="{5EE0E719-89DD-4818-8976-5694DD322280}"/>
            </a:ext>
          </a:extLst>
        </xdr:cNvPr>
        <xdr:cNvCxnSpPr>
          <a:stCxn id="56" idx="2"/>
          <a:endCxn id="55"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57150</xdr:rowOff>
    </xdr:from>
    <xdr:to>
      <xdr:col>25</xdr:col>
      <xdr:colOff>120650</xdr:colOff>
      <xdr:row>60</xdr:row>
      <xdr:rowOff>196850</xdr:rowOff>
    </xdr:to>
    <xdr:sp macro="" textlink="">
      <xdr:nvSpPr>
        <xdr:cNvPr id="60" name="正方形/長方形 59">
          <a:extLst>
            <a:ext uri="{FF2B5EF4-FFF2-40B4-BE49-F238E27FC236}">
              <a16:creationId xmlns:a16="http://schemas.microsoft.com/office/drawing/2014/main" id="{94835A38-D18E-4A09-9282-B4B7B5DC3A6A}"/>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57150</xdr:rowOff>
    </xdr:from>
    <xdr:to>
      <xdr:col>8</xdr:col>
      <xdr:colOff>228599</xdr:colOff>
      <xdr:row>56</xdr:row>
      <xdr:rowOff>228600</xdr:rowOff>
    </xdr:to>
    <xdr:sp macro="" textlink="">
      <xdr:nvSpPr>
        <xdr:cNvPr id="61" name="正方形/長方形 60">
          <a:extLst>
            <a:ext uri="{FF2B5EF4-FFF2-40B4-BE49-F238E27FC236}">
              <a16:creationId xmlns:a16="http://schemas.microsoft.com/office/drawing/2014/main" id="{949D336F-3D7A-4D22-80C8-1CB369FD9863}"/>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228600</xdr:rowOff>
    </xdr:from>
    <xdr:to>
      <xdr:col>20</xdr:col>
      <xdr:colOff>166688</xdr:colOff>
      <xdr:row>58</xdr:row>
      <xdr:rowOff>57150</xdr:rowOff>
    </xdr:to>
    <xdr:cxnSp macro="">
      <xdr:nvCxnSpPr>
        <xdr:cNvPr id="62" name="直線コネクタ 61">
          <a:extLst>
            <a:ext uri="{FF2B5EF4-FFF2-40B4-BE49-F238E27FC236}">
              <a16:creationId xmlns:a16="http://schemas.microsoft.com/office/drawing/2014/main" id="{E1DDB9BE-D534-436D-BEAF-2176AB27E48E}"/>
            </a:ext>
          </a:extLst>
        </xdr:cNvPr>
        <xdr:cNvCxnSpPr>
          <a:stCxn id="61" idx="2"/>
          <a:endCxn id="60"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28575</xdr:colOff>
      <xdr:row>35</xdr:row>
      <xdr:rowOff>28575</xdr:rowOff>
    </xdr:from>
    <xdr:to>
      <xdr:col>13</xdr:col>
      <xdr:colOff>263580</xdr:colOff>
      <xdr:row>43</xdr:row>
      <xdr:rowOff>238125</xdr:rowOff>
    </xdr:to>
    <xdr:pic>
      <xdr:nvPicPr>
        <xdr:cNvPr id="52" name="図 51">
          <a:extLst>
            <a:ext uri="{FF2B5EF4-FFF2-40B4-BE49-F238E27FC236}">
              <a16:creationId xmlns:a16="http://schemas.microsoft.com/office/drawing/2014/main" id="{D142BFAA-C897-4DD6-A847-0223472536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FB057D0F-D0F2-4C8E-80B9-B6EA813BB41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122</xdr:row>
      <xdr:rowOff>0</xdr:rowOff>
    </xdr:from>
    <xdr:to>
      <xdr:col>34</xdr:col>
      <xdr:colOff>126267</xdr:colOff>
      <xdr:row>137</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67</xdr:row>
      <xdr:rowOff>0</xdr:rowOff>
    </xdr:from>
    <xdr:to>
      <xdr:col>17</xdr:col>
      <xdr:colOff>29308</xdr:colOff>
      <xdr:row>84</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5</xdr:col>
      <xdr:colOff>1</xdr:colOff>
      <xdr:row>20</xdr:row>
      <xdr:rowOff>14654</xdr:rowOff>
    </xdr:from>
    <xdr:to>
      <xdr:col>34</xdr:col>
      <xdr:colOff>123093</xdr:colOff>
      <xdr:row>24</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117</xdr:row>
          <xdr:rowOff>184150</xdr:rowOff>
        </xdr:from>
        <xdr:to>
          <xdr:col>12</xdr:col>
          <xdr:colOff>139700</xdr:colOff>
          <xdr:row>120</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8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23</xdr:row>
      <xdr:rowOff>10502</xdr:rowOff>
    </xdr:from>
    <xdr:to>
      <xdr:col>22</xdr:col>
      <xdr:colOff>36635</xdr:colOff>
      <xdr:row>23</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23</xdr:row>
      <xdr:rowOff>234462</xdr:rowOff>
    </xdr:from>
    <xdr:to>
      <xdr:col>20</xdr:col>
      <xdr:colOff>119307</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36</xdr:row>
      <xdr:rowOff>190499</xdr:rowOff>
    </xdr:from>
    <xdr:to>
      <xdr:col>9</xdr:col>
      <xdr:colOff>122361</xdr:colOff>
      <xdr:row>39</xdr:row>
      <xdr:rowOff>95250</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39</xdr:row>
      <xdr:rowOff>95250</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35</xdr:row>
      <xdr:rowOff>212237</xdr:rowOff>
    </xdr:from>
    <xdr:to>
      <xdr:col>43</xdr:col>
      <xdr:colOff>257175</xdr:colOff>
      <xdr:row>36</xdr:row>
      <xdr:rowOff>209550</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209550</xdr:rowOff>
    </xdr:from>
    <xdr:to>
      <xdr:col>30</xdr:col>
      <xdr:colOff>103920</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71</xdr:row>
      <xdr:rowOff>263768</xdr:rowOff>
    </xdr:from>
    <xdr:to>
      <xdr:col>15</xdr:col>
      <xdr:colOff>183175</xdr:colOff>
      <xdr:row>81</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85</xdr:row>
      <xdr:rowOff>10503</xdr:rowOff>
    </xdr:from>
    <xdr:to>
      <xdr:col>14</xdr:col>
      <xdr:colOff>171450</xdr:colOff>
      <xdr:row>85</xdr:row>
      <xdr:rowOff>247650</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835150" y="208131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81</xdr:row>
      <xdr:rowOff>80595</xdr:rowOff>
    </xdr:from>
    <xdr:to>
      <xdr:col>13</xdr:col>
      <xdr:colOff>168521</xdr:colOff>
      <xdr:row>85</xdr:row>
      <xdr:rowOff>10503</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flipH="1">
          <a:off x="2870200" y="198163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136</xdr:row>
      <xdr:rowOff>180973</xdr:rowOff>
    </xdr:from>
    <xdr:to>
      <xdr:col>22</xdr:col>
      <xdr:colOff>139212</xdr:colOff>
      <xdr:row>137</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139</xdr:row>
      <xdr:rowOff>21981</xdr:rowOff>
    </xdr:from>
    <xdr:to>
      <xdr:col>16</xdr:col>
      <xdr:colOff>157040</xdr:colOff>
      <xdr:row>139</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137</xdr:row>
      <xdr:rowOff>102577</xdr:rowOff>
    </xdr:from>
    <xdr:to>
      <xdr:col>21</xdr:col>
      <xdr:colOff>82673</xdr:colOff>
      <xdr:row>139</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72</xdr:row>
      <xdr:rowOff>21249</xdr:rowOff>
    </xdr:from>
    <xdr:to>
      <xdr:col>12</xdr:col>
      <xdr:colOff>176578</xdr:colOff>
      <xdr:row>73</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87</xdr:row>
      <xdr:rowOff>73269</xdr:rowOff>
    </xdr:from>
    <xdr:to>
      <xdr:col>19</xdr:col>
      <xdr:colOff>180732</xdr:colOff>
      <xdr:row>89</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73</xdr:row>
      <xdr:rowOff>34193</xdr:rowOff>
    </xdr:from>
    <xdr:to>
      <xdr:col>17</xdr:col>
      <xdr:colOff>192943</xdr:colOff>
      <xdr:row>87</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46071" y="17636393"/>
          <a:ext cx="1480772" cy="40395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89</xdr:row>
      <xdr:rowOff>241300</xdr:rowOff>
    </xdr:from>
    <xdr:to>
      <xdr:col>25</xdr:col>
      <xdr:colOff>114300</xdr:colOff>
      <xdr:row>91</xdr:row>
      <xdr:rowOff>12700</xdr:rowOff>
    </xdr:to>
    <xdr:sp macro="" textlink="">
      <xdr:nvSpPr>
        <xdr:cNvPr id="26" name="正方形/長方形 25">
          <a:extLst>
            <a:ext uri="{FF2B5EF4-FFF2-40B4-BE49-F238E27FC236}">
              <a16:creationId xmlns:a16="http://schemas.microsoft.com/office/drawing/2014/main" id="{30D17A34-5EDE-4B32-845E-74DDB3B61913}"/>
            </a:ext>
          </a:extLst>
        </xdr:cNvPr>
        <xdr:cNvSpPr/>
      </xdr:nvSpPr>
      <xdr:spPr>
        <a:xfrm>
          <a:off x="1574800" y="221107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85</xdr:row>
      <xdr:rowOff>247650</xdr:rowOff>
    </xdr:from>
    <xdr:to>
      <xdr:col>15</xdr:col>
      <xdr:colOff>177800</xdr:colOff>
      <xdr:row>89</xdr:row>
      <xdr:rowOff>241300</xdr:rowOff>
    </xdr:to>
    <xdr:cxnSp macro="">
      <xdr:nvCxnSpPr>
        <xdr:cNvPr id="27" name="直線コネクタ 26">
          <a:extLst>
            <a:ext uri="{FF2B5EF4-FFF2-40B4-BE49-F238E27FC236}">
              <a16:creationId xmlns:a16="http://schemas.microsoft.com/office/drawing/2014/main" id="{D602B084-A12E-4FF9-AAB6-4E51C03E3790}"/>
            </a:ext>
          </a:extLst>
        </xdr:cNvPr>
        <xdr:cNvCxnSpPr>
          <a:stCxn id="29" idx="2"/>
          <a:endCxn id="26" idx="0"/>
        </xdr:cNvCxnSpPr>
      </xdr:nvCxnSpPr>
      <xdr:spPr>
        <a:xfrm>
          <a:off x="2870200" y="210502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92</xdr:row>
      <xdr:rowOff>247650</xdr:rowOff>
    </xdr:from>
    <xdr:to>
      <xdr:col>11</xdr:col>
      <xdr:colOff>44450</xdr:colOff>
      <xdr:row>104</xdr:row>
      <xdr:rowOff>0</xdr:rowOff>
    </xdr:to>
    <xdr:sp macro="" textlink="">
      <xdr:nvSpPr>
        <xdr:cNvPr id="34" name="正方形/長方形 33">
          <a:extLst>
            <a:ext uri="{FF2B5EF4-FFF2-40B4-BE49-F238E27FC236}">
              <a16:creationId xmlns:a16="http://schemas.microsoft.com/office/drawing/2014/main" id="{486AD3BA-9D5A-405C-9563-62C3805CE00B}"/>
            </a:ext>
          </a:extLst>
        </xdr:cNvPr>
        <xdr:cNvSpPr/>
      </xdr:nvSpPr>
      <xdr:spPr>
        <a:xfrm>
          <a:off x="1562100" y="24784050"/>
          <a:ext cx="1416050" cy="29654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109</xdr:row>
      <xdr:rowOff>50800</xdr:rowOff>
    </xdr:from>
    <xdr:to>
      <xdr:col>14</xdr:col>
      <xdr:colOff>107950</xdr:colOff>
      <xdr:row>111</xdr:row>
      <xdr:rowOff>209550</xdr:rowOff>
    </xdr:to>
    <xdr:sp macro="" textlink="">
      <xdr:nvSpPr>
        <xdr:cNvPr id="38" name="正方形/長方形 37">
          <a:extLst>
            <a:ext uri="{FF2B5EF4-FFF2-40B4-BE49-F238E27FC236}">
              <a16:creationId xmlns:a16="http://schemas.microsoft.com/office/drawing/2014/main" id="{22BCFB4A-D96C-4F1C-9F21-E0B3E4A95C35}"/>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104</xdr:row>
      <xdr:rowOff>0</xdr:rowOff>
    </xdr:from>
    <xdr:to>
      <xdr:col>9</xdr:col>
      <xdr:colOff>142875</xdr:colOff>
      <xdr:row>109</xdr:row>
      <xdr:rowOff>50800</xdr:rowOff>
    </xdr:to>
    <xdr:cxnSp macro="">
      <xdr:nvCxnSpPr>
        <xdr:cNvPr id="39" name="直線コネクタ 38">
          <a:extLst>
            <a:ext uri="{FF2B5EF4-FFF2-40B4-BE49-F238E27FC236}">
              <a16:creationId xmlns:a16="http://schemas.microsoft.com/office/drawing/2014/main" id="{956E4DA9-EA18-4866-ADFA-119C84A666AA}"/>
            </a:ext>
          </a:extLst>
        </xdr:cNvPr>
        <xdr:cNvCxnSpPr>
          <a:stCxn id="34" idx="2"/>
          <a:endCxn id="38" idx="0"/>
        </xdr:cNvCxnSpPr>
      </xdr:nvCxnSpPr>
      <xdr:spPr>
        <a:xfrm>
          <a:off x="2270125" y="27749500"/>
          <a:ext cx="273050" cy="3771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106</xdr:row>
      <xdr:rowOff>57150</xdr:rowOff>
    </xdr:from>
    <xdr:to>
      <xdr:col>25</xdr:col>
      <xdr:colOff>88900</xdr:colOff>
      <xdr:row>108</xdr:row>
      <xdr:rowOff>215900</xdr:rowOff>
    </xdr:to>
    <xdr:sp macro="" textlink="">
      <xdr:nvSpPr>
        <xdr:cNvPr id="15" name="正方形/長方形 14">
          <a:extLst>
            <a:ext uri="{FF2B5EF4-FFF2-40B4-BE49-F238E27FC236}">
              <a16:creationId xmlns:a16="http://schemas.microsoft.com/office/drawing/2014/main" id="{1A27223C-7610-4611-B031-0D966E21107F}"/>
            </a:ext>
          </a:extLst>
        </xdr:cNvPr>
        <xdr:cNvSpPr/>
      </xdr:nvSpPr>
      <xdr:spPr>
        <a:xfrm>
          <a:off x="4184650" y="291274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146050</xdr:colOff>
      <xdr:row>104</xdr:row>
      <xdr:rowOff>0</xdr:rowOff>
    </xdr:from>
    <xdr:to>
      <xdr:col>20</xdr:col>
      <xdr:colOff>136525</xdr:colOff>
      <xdr:row>106</xdr:row>
      <xdr:rowOff>57150</xdr:rowOff>
    </xdr:to>
    <xdr:cxnSp macro="">
      <xdr:nvCxnSpPr>
        <xdr:cNvPr id="19" name="直線コネクタ 18">
          <a:extLst>
            <a:ext uri="{FF2B5EF4-FFF2-40B4-BE49-F238E27FC236}">
              <a16:creationId xmlns:a16="http://schemas.microsoft.com/office/drawing/2014/main" id="{9F9D3DD5-3B06-4E54-8ECE-A79999D410B3}"/>
            </a:ext>
          </a:extLst>
        </xdr:cNvPr>
        <xdr:cNvCxnSpPr>
          <a:stCxn id="50" idx="2"/>
          <a:endCxn id="15" idx="0"/>
        </xdr:cNvCxnSpPr>
      </xdr:nvCxnSpPr>
      <xdr:spPr>
        <a:xfrm>
          <a:off x="3346450" y="27749500"/>
          <a:ext cx="2124075" cy="8445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44450</xdr:colOff>
      <xdr:row>103</xdr:row>
      <xdr:rowOff>31750</xdr:rowOff>
    </xdr:from>
    <xdr:to>
      <xdr:col>12</xdr:col>
      <xdr:colOff>247650</xdr:colOff>
      <xdr:row>104</xdr:row>
      <xdr:rowOff>0</xdr:rowOff>
    </xdr:to>
    <xdr:sp macro="" textlink="">
      <xdr:nvSpPr>
        <xdr:cNvPr id="50" name="正方形/長方形 49">
          <a:extLst>
            <a:ext uri="{FF2B5EF4-FFF2-40B4-BE49-F238E27FC236}">
              <a16:creationId xmlns:a16="http://schemas.microsoft.com/office/drawing/2014/main" id="{408910AE-CB57-4D7B-AB2C-21CE5E426CF6}"/>
            </a:ext>
          </a:extLst>
        </xdr:cNvPr>
        <xdr:cNvSpPr/>
      </xdr:nvSpPr>
      <xdr:spPr>
        <a:xfrm>
          <a:off x="3244850" y="27501850"/>
          <a:ext cx="203200" cy="2476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52</xdr:row>
      <xdr:rowOff>215900</xdr:rowOff>
    </xdr:from>
    <xdr:to>
      <xdr:col>9</xdr:col>
      <xdr:colOff>38100</xdr:colOff>
      <xdr:row>57</xdr:row>
      <xdr:rowOff>47625</xdr:rowOff>
    </xdr:to>
    <xdr:sp macro="" textlink="">
      <xdr:nvSpPr>
        <xdr:cNvPr id="55" name="正方形/長方形 54">
          <a:extLst>
            <a:ext uri="{FF2B5EF4-FFF2-40B4-BE49-F238E27FC236}">
              <a16:creationId xmlns:a16="http://schemas.microsoft.com/office/drawing/2014/main" id="{FF25199B-4C8B-494D-AF9B-CA4FB14201CE}"/>
            </a:ext>
          </a:extLst>
        </xdr:cNvPr>
        <xdr:cNvSpPr/>
      </xdr:nvSpPr>
      <xdr:spPr>
        <a:xfrm>
          <a:off x="1276350" y="135509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46</xdr:row>
      <xdr:rowOff>26132</xdr:rowOff>
    </xdr:from>
    <xdr:to>
      <xdr:col>9</xdr:col>
      <xdr:colOff>125047</xdr:colOff>
      <xdr:row>52</xdr:row>
      <xdr:rowOff>219075</xdr:rowOff>
    </xdr:to>
    <xdr:cxnSp macro="">
      <xdr:nvCxnSpPr>
        <xdr:cNvPr id="56" name="直線コネクタ 55">
          <a:extLst>
            <a:ext uri="{FF2B5EF4-FFF2-40B4-BE49-F238E27FC236}">
              <a16:creationId xmlns:a16="http://schemas.microsoft.com/office/drawing/2014/main" id="{74C2B964-4056-40DF-BE8C-F87C97AE48AC}"/>
            </a:ext>
          </a:extLst>
        </xdr:cNvPr>
        <xdr:cNvCxnSpPr>
          <a:stCxn id="16" idx="2"/>
          <a:endCxn id="55" idx="0"/>
        </xdr:cNvCxnSpPr>
      </xdr:nvCxnSpPr>
      <xdr:spPr>
        <a:xfrm flipH="1">
          <a:off x="1857375" y="12294332"/>
          <a:ext cx="667972" cy="12597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62</xdr:row>
      <xdr:rowOff>0</xdr:rowOff>
    </xdr:from>
    <xdr:to>
      <xdr:col>24</xdr:col>
      <xdr:colOff>38100</xdr:colOff>
      <xdr:row>63</xdr:row>
      <xdr:rowOff>1</xdr:rowOff>
    </xdr:to>
    <xdr:sp macro="" textlink="">
      <xdr:nvSpPr>
        <xdr:cNvPr id="59" name="正方形/長方形 58">
          <a:extLst>
            <a:ext uri="{FF2B5EF4-FFF2-40B4-BE49-F238E27FC236}">
              <a16:creationId xmlns:a16="http://schemas.microsoft.com/office/drawing/2014/main" id="{E92AC006-3903-442D-9893-0AEEB56957F5}"/>
            </a:ext>
          </a:extLst>
        </xdr:cNvPr>
        <xdr:cNvSpPr/>
      </xdr:nvSpPr>
      <xdr:spPr>
        <a:xfrm>
          <a:off x="1581150" y="170688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55</xdr:row>
      <xdr:rowOff>28575</xdr:rowOff>
    </xdr:from>
    <xdr:to>
      <xdr:col>15</xdr:col>
      <xdr:colOff>9525</xdr:colOff>
      <xdr:row>62</xdr:row>
      <xdr:rowOff>0</xdr:rowOff>
    </xdr:to>
    <xdr:cxnSp macro="">
      <xdr:nvCxnSpPr>
        <xdr:cNvPr id="60" name="直線コネクタ 59">
          <a:extLst>
            <a:ext uri="{FF2B5EF4-FFF2-40B4-BE49-F238E27FC236}">
              <a16:creationId xmlns:a16="http://schemas.microsoft.com/office/drawing/2014/main" id="{B18FCB28-D4C3-464D-B2E4-7F3F458D9D57}"/>
            </a:ext>
          </a:extLst>
        </xdr:cNvPr>
        <xdr:cNvCxnSpPr>
          <a:stCxn id="71688" idx="2"/>
          <a:endCxn id="59" idx="0"/>
        </xdr:cNvCxnSpPr>
      </xdr:nvCxnSpPr>
      <xdr:spPr>
        <a:xfrm>
          <a:off x="1862138" y="14697075"/>
          <a:ext cx="2147887" cy="23717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47</xdr:row>
      <xdr:rowOff>259617</xdr:rowOff>
    </xdr:from>
    <xdr:to>
      <xdr:col>19</xdr:col>
      <xdr:colOff>251070</xdr:colOff>
      <xdr:row>52</xdr:row>
      <xdr:rowOff>219075</xdr:rowOff>
    </xdr:to>
    <xdr:cxnSp macro="">
      <xdr:nvCxnSpPr>
        <xdr:cNvPr id="63" name="直線コネクタ 62">
          <a:extLst>
            <a:ext uri="{FF2B5EF4-FFF2-40B4-BE49-F238E27FC236}">
              <a16:creationId xmlns:a16="http://schemas.microsoft.com/office/drawing/2014/main" id="{2B1F4195-05FA-4DB0-84E8-1F42076A4B26}"/>
            </a:ext>
          </a:extLst>
        </xdr:cNvPr>
        <xdr:cNvCxnSpPr>
          <a:stCxn id="22" idx="2"/>
          <a:endCxn id="55" idx="0"/>
        </xdr:cNvCxnSpPr>
      </xdr:nvCxnSpPr>
      <xdr:spPr>
        <a:xfrm flipH="1">
          <a:off x="1857375" y="12794517"/>
          <a:ext cx="3460995" cy="7595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49</xdr:row>
      <xdr:rowOff>76199</xdr:rowOff>
    </xdr:from>
    <xdr:to>
      <xdr:col>18</xdr:col>
      <xdr:colOff>101600</xdr:colOff>
      <xdr:row>51</xdr:row>
      <xdr:rowOff>107948</xdr:rowOff>
    </xdr:to>
    <xdr:sp macro="" textlink="">
      <xdr:nvSpPr>
        <xdr:cNvPr id="71683" name="正方形/長方形 71682">
          <a:extLst>
            <a:ext uri="{FF2B5EF4-FFF2-40B4-BE49-F238E27FC236}">
              <a16:creationId xmlns:a16="http://schemas.microsoft.com/office/drawing/2014/main" id="{073992A8-08DD-40A3-B53C-9A9DBC9C2680}"/>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200025</xdr:rowOff>
    </xdr:from>
    <xdr:to>
      <xdr:col>7</xdr:col>
      <xdr:colOff>158750</xdr:colOff>
      <xdr:row>37</xdr:row>
      <xdr:rowOff>142875</xdr:rowOff>
    </xdr:to>
    <xdr:sp macro="" textlink="">
      <xdr:nvSpPr>
        <xdr:cNvPr id="71684" name="正方形/長方形 71683">
          <a:extLst>
            <a:ext uri="{FF2B5EF4-FFF2-40B4-BE49-F238E27FC236}">
              <a16:creationId xmlns:a16="http://schemas.microsoft.com/office/drawing/2014/main" id="{859B247A-4D34-47D9-93F1-FFBC7BEA0E78}"/>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139700</xdr:rowOff>
    </xdr:from>
    <xdr:to>
      <xdr:col>17</xdr:col>
      <xdr:colOff>17463</xdr:colOff>
      <xdr:row>49</xdr:row>
      <xdr:rowOff>76199</xdr:rowOff>
    </xdr:to>
    <xdr:cxnSp macro="">
      <xdr:nvCxnSpPr>
        <xdr:cNvPr id="71685" name="直線コネクタ 71684">
          <a:extLst>
            <a:ext uri="{FF2B5EF4-FFF2-40B4-BE49-F238E27FC236}">
              <a16:creationId xmlns:a16="http://schemas.microsoft.com/office/drawing/2014/main" id="{6AE8E763-B2C3-4F12-9229-F20CB6F0F69C}"/>
            </a:ext>
          </a:extLst>
        </xdr:cNvPr>
        <xdr:cNvCxnSpPr>
          <a:stCxn id="71684" idx="2"/>
          <a:endCxn id="71683"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54</xdr:row>
      <xdr:rowOff>0</xdr:rowOff>
    </xdr:from>
    <xdr:to>
      <xdr:col>8</xdr:col>
      <xdr:colOff>196850</xdr:colOff>
      <xdr:row>55</xdr:row>
      <xdr:rowOff>25400</xdr:rowOff>
    </xdr:to>
    <xdr:sp macro="" textlink="">
      <xdr:nvSpPr>
        <xdr:cNvPr id="71688" name="正方形/長方形 71687">
          <a:extLst>
            <a:ext uri="{FF2B5EF4-FFF2-40B4-BE49-F238E27FC236}">
              <a16:creationId xmlns:a16="http://schemas.microsoft.com/office/drawing/2014/main" id="{CF17EE88-A391-481A-A98B-2C262E815D06}"/>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58</xdr:row>
      <xdr:rowOff>66675</xdr:rowOff>
    </xdr:from>
    <xdr:to>
      <xdr:col>25</xdr:col>
      <xdr:colOff>120650</xdr:colOff>
      <xdr:row>60</xdr:row>
      <xdr:rowOff>206375</xdr:rowOff>
    </xdr:to>
    <xdr:sp macro="" textlink="">
      <xdr:nvSpPr>
        <xdr:cNvPr id="71691" name="正方形/長方形 71690">
          <a:extLst>
            <a:ext uri="{FF2B5EF4-FFF2-40B4-BE49-F238E27FC236}">
              <a16:creationId xmlns:a16="http://schemas.microsoft.com/office/drawing/2014/main" id="{26B56194-B02A-4390-9DD0-50A4FBA6BE32}"/>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38100</xdr:rowOff>
    </xdr:from>
    <xdr:to>
      <xdr:col>8</xdr:col>
      <xdr:colOff>228599</xdr:colOff>
      <xdr:row>56</xdr:row>
      <xdr:rowOff>209550</xdr:rowOff>
    </xdr:to>
    <xdr:sp macro="" textlink="">
      <xdr:nvSpPr>
        <xdr:cNvPr id="71692" name="正方形/長方形 71691">
          <a:extLst>
            <a:ext uri="{FF2B5EF4-FFF2-40B4-BE49-F238E27FC236}">
              <a16:creationId xmlns:a16="http://schemas.microsoft.com/office/drawing/2014/main" id="{3071DDA8-7A62-40D4-AF2B-6DC653EC1170}"/>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209550</xdr:rowOff>
    </xdr:from>
    <xdr:to>
      <xdr:col>20</xdr:col>
      <xdr:colOff>169863</xdr:colOff>
      <xdr:row>58</xdr:row>
      <xdr:rowOff>63500</xdr:rowOff>
    </xdr:to>
    <xdr:cxnSp macro="">
      <xdr:nvCxnSpPr>
        <xdr:cNvPr id="71693" name="直線コネクタ 71692">
          <a:extLst>
            <a:ext uri="{FF2B5EF4-FFF2-40B4-BE49-F238E27FC236}">
              <a16:creationId xmlns:a16="http://schemas.microsoft.com/office/drawing/2014/main" id="{851F637C-4532-4CE3-8CAE-B3DDF03EC7C3}"/>
            </a:ext>
          </a:extLst>
        </xdr:cNvPr>
        <xdr:cNvCxnSpPr>
          <a:stCxn id="71692" idx="2"/>
          <a:endCxn id="71691"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52</xdr:row>
      <xdr:rowOff>0</xdr:rowOff>
    </xdr:from>
    <xdr:to>
      <xdr:col>5</xdr:col>
      <xdr:colOff>9525</xdr:colOff>
      <xdr:row>58</xdr:row>
      <xdr:rowOff>9525</xdr:rowOff>
    </xdr:to>
    <xdr:pic>
      <xdr:nvPicPr>
        <xdr:cNvPr id="71696" name="図 71695">
          <a:extLst>
            <a:ext uri="{FF2B5EF4-FFF2-40B4-BE49-F238E27FC236}">
              <a16:creationId xmlns:a16="http://schemas.microsoft.com/office/drawing/2014/main" id="{14A48E60-47A0-CE3C-422F-A50E27BF5B9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3050" cy="160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38100</xdr:colOff>
      <xdr:row>35</xdr:row>
      <xdr:rowOff>47625</xdr:rowOff>
    </xdr:from>
    <xdr:to>
      <xdr:col>14</xdr:col>
      <xdr:colOff>9580</xdr:colOff>
      <xdr:row>43</xdr:row>
      <xdr:rowOff>254000</xdr:rowOff>
    </xdr:to>
    <xdr:pic>
      <xdr:nvPicPr>
        <xdr:cNvPr id="50" name="図 49">
          <a:extLst>
            <a:ext uri="{FF2B5EF4-FFF2-40B4-BE49-F238E27FC236}">
              <a16:creationId xmlns:a16="http://schemas.microsoft.com/office/drawing/2014/main" id="{CEA82BA6-BCF4-4051-8E34-6C081D44DC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9382125"/>
          <a:ext cx="236860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2368C770-D039-4B79-9D91-E5E75DE9BC2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123</xdr:row>
      <xdr:rowOff>0</xdr:rowOff>
    </xdr:from>
    <xdr:to>
      <xdr:col>34</xdr:col>
      <xdr:colOff>123092</xdr:colOff>
      <xdr:row>138</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67</xdr:row>
      <xdr:rowOff>0</xdr:rowOff>
    </xdr:from>
    <xdr:to>
      <xdr:col>17</xdr:col>
      <xdr:colOff>26133</xdr:colOff>
      <xdr:row>84</xdr:row>
      <xdr:rowOff>26922</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5</xdr:col>
      <xdr:colOff>0</xdr:colOff>
      <xdr:row>20</xdr:row>
      <xdr:rowOff>0</xdr:rowOff>
    </xdr:from>
    <xdr:to>
      <xdr:col>34</xdr:col>
      <xdr:colOff>126267</xdr:colOff>
      <xdr:row>24</xdr:row>
      <xdr:rowOff>105561</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118</xdr:row>
          <xdr:rowOff>184150</xdr:rowOff>
        </xdr:from>
        <xdr:to>
          <xdr:col>12</xdr:col>
          <xdr:colOff>139700</xdr:colOff>
          <xdr:row>121</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23</xdr:row>
      <xdr:rowOff>1</xdr:rowOff>
    </xdr:from>
    <xdr:to>
      <xdr:col>26</xdr:col>
      <xdr:colOff>212481</xdr:colOff>
      <xdr:row>23</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23</xdr:row>
      <xdr:rowOff>219808</xdr:rowOff>
    </xdr:from>
    <xdr:to>
      <xdr:col>25</xdr:col>
      <xdr:colOff>111981</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219074</xdr:colOff>
      <xdr:row>36</xdr:row>
      <xdr:rowOff>190500</xdr:rowOff>
    </xdr:from>
    <xdr:to>
      <xdr:col>9</xdr:col>
      <xdr:colOff>120649</xdr:colOff>
      <xdr:row>39</xdr:row>
      <xdr:rowOff>114300</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819274" y="9791700"/>
          <a:ext cx="701675" cy="72390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36512</xdr:colOff>
      <xdr:row>39</xdr:row>
      <xdr:rowOff>114300</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2170112" y="10515600"/>
          <a:ext cx="349495" cy="145683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229088</xdr:colOff>
      <xdr:row>35</xdr:row>
      <xdr:rowOff>216387</xdr:rowOff>
    </xdr:from>
    <xdr:to>
      <xdr:col>43</xdr:col>
      <xdr:colOff>247650</xdr:colOff>
      <xdr:row>36</xdr:row>
      <xdr:rowOff>200025</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496288" y="9550887"/>
          <a:ext cx="7219462" cy="25033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200025</xdr:rowOff>
    </xdr:from>
    <xdr:to>
      <xdr:col>30</xdr:col>
      <xdr:colOff>105019</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318370" y="9801225"/>
          <a:ext cx="2787649" cy="241275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71</xdr:row>
      <xdr:rowOff>263768</xdr:rowOff>
    </xdr:from>
    <xdr:to>
      <xdr:col>15</xdr:col>
      <xdr:colOff>175848</xdr:colOff>
      <xdr:row>81</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254000</xdr:colOff>
      <xdr:row>85</xdr:row>
      <xdr:rowOff>14654</xdr:rowOff>
    </xdr:from>
    <xdr:to>
      <xdr:col>14</xdr:col>
      <xdr:colOff>171450</xdr:colOff>
      <xdr:row>86</xdr:row>
      <xdr:rowOff>31749</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854200" y="20817254"/>
          <a:ext cx="2051050" cy="28379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81</xdr:row>
      <xdr:rowOff>65941</xdr:rowOff>
    </xdr:from>
    <xdr:to>
      <xdr:col>13</xdr:col>
      <xdr:colOff>168032</xdr:colOff>
      <xdr:row>85</xdr:row>
      <xdr:rowOff>14654</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flipH="1">
          <a:off x="2879725" y="19801741"/>
          <a:ext cx="755407" cy="101551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137</xdr:row>
      <xdr:rowOff>161192</xdr:rowOff>
    </xdr:from>
    <xdr:to>
      <xdr:col>25</xdr:col>
      <xdr:colOff>201980</xdr:colOff>
      <xdr:row>138</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140</xdr:row>
      <xdr:rowOff>14654</xdr:rowOff>
    </xdr:from>
    <xdr:to>
      <xdr:col>16</xdr:col>
      <xdr:colOff>149713</xdr:colOff>
      <xdr:row>140</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138</xdr:row>
      <xdr:rowOff>84748</xdr:rowOff>
    </xdr:from>
    <xdr:to>
      <xdr:col>24</xdr:col>
      <xdr:colOff>195752</xdr:colOff>
      <xdr:row>140</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72</xdr:row>
      <xdr:rowOff>21981</xdr:rowOff>
    </xdr:from>
    <xdr:to>
      <xdr:col>12</xdr:col>
      <xdr:colOff>178286</xdr:colOff>
      <xdr:row>73</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210038</xdr:colOff>
      <xdr:row>87</xdr:row>
      <xdr:rowOff>53731</xdr:rowOff>
    </xdr:from>
    <xdr:to>
      <xdr:col>19</xdr:col>
      <xdr:colOff>185616</xdr:colOff>
      <xdr:row>89</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48966</xdr:colOff>
      <xdr:row>73</xdr:row>
      <xdr:rowOff>28575</xdr:rowOff>
    </xdr:from>
    <xdr:to>
      <xdr:col>17</xdr:col>
      <xdr:colOff>197827</xdr:colOff>
      <xdr:row>87</xdr:row>
      <xdr:rowOff>53731</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49366" y="17630775"/>
          <a:ext cx="1482361" cy="402565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254000</xdr:colOff>
      <xdr:row>89</xdr:row>
      <xdr:rowOff>228600</xdr:rowOff>
    </xdr:from>
    <xdr:to>
      <xdr:col>25</xdr:col>
      <xdr:colOff>76200</xdr:colOff>
      <xdr:row>91</xdr:row>
      <xdr:rowOff>31750</xdr:rowOff>
    </xdr:to>
    <xdr:sp macro="" textlink="">
      <xdr:nvSpPr>
        <xdr:cNvPr id="25" name="正方形/長方形 24">
          <a:extLst>
            <a:ext uri="{FF2B5EF4-FFF2-40B4-BE49-F238E27FC236}">
              <a16:creationId xmlns:a16="http://schemas.microsoft.com/office/drawing/2014/main" id="{F43EFA59-D344-4CF9-B51D-845A7FD3F831}"/>
            </a:ext>
          </a:extLst>
        </xdr:cNvPr>
        <xdr:cNvSpPr/>
      </xdr:nvSpPr>
      <xdr:spPr>
        <a:xfrm>
          <a:off x="1587500" y="22364700"/>
          <a:ext cx="5156200" cy="336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86</xdr:row>
      <xdr:rowOff>31749</xdr:rowOff>
    </xdr:from>
    <xdr:to>
      <xdr:col>15</xdr:col>
      <xdr:colOff>165100</xdr:colOff>
      <xdr:row>89</xdr:row>
      <xdr:rowOff>228600</xdr:rowOff>
    </xdr:to>
    <xdr:cxnSp macro="">
      <xdr:nvCxnSpPr>
        <xdr:cNvPr id="26" name="直線コネクタ 25">
          <a:extLst>
            <a:ext uri="{FF2B5EF4-FFF2-40B4-BE49-F238E27FC236}">
              <a16:creationId xmlns:a16="http://schemas.microsoft.com/office/drawing/2014/main" id="{912CB32C-A547-4157-8D75-F766F560ED02}"/>
            </a:ext>
          </a:extLst>
        </xdr:cNvPr>
        <xdr:cNvCxnSpPr>
          <a:stCxn id="28" idx="2"/>
          <a:endCxn id="25" idx="0"/>
        </xdr:cNvCxnSpPr>
      </xdr:nvCxnSpPr>
      <xdr:spPr>
        <a:xfrm>
          <a:off x="2879725" y="21101049"/>
          <a:ext cx="1285875" cy="996951"/>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215900</xdr:colOff>
      <xdr:row>92</xdr:row>
      <xdr:rowOff>241300</xdr:rowOff>
    </xdr:from>
    <xdr:to>
      <xdr:col>11</xdr:col>
      <xdr:colOff>25400</xdr:colOff>
      <xdr:row>105</xdr:row>
      <xdr:rowOff>0</xdr:rowOff>
    </xdr:to>
    <xdr:sp macro="" textlink="">
      <xdr:nvSpPr>
        <xdr:cNvPr id="33" name="正方形/長方形 32">
          <a:extLst>
            <a:ext uri="{FF2B5EF4-FFF2-40B4-BE49-F238E27FC236}">
              <a16:creationId xmlns:a16="http://schemas.microsoft.com/office/drawing/2014/main" id="{AB55614C-3F43-4C7A-B7EC-7101D914D4DC}"/>
            </a:ext>
          </a:extLst>
        </xdr:cNvPr>
        <xdr:cNvSpPr/>
      </xdr:nvSpPr>
      <xdr:spPr>
        <a:xfrm>
          <a:off x="1549400" y="22910800"/>
          <a:ext cx="1409700" cy="32575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110</xdr:row>
      <xdr:rowOff>50800</xdr:rowOff>
    </xdr:from>
    <xdr:to>
      <xdr:col>14</xdr:col>
      <xdr:colOff>107950</xdr:colOff>
      <xdr:row>112</xdr:row>
      <xdr:rowOff>209550</xdr:rowOff>
    </xdr:to>
    <xdr:sp macro="" textlink="">
      <xdr:nvSpPr>
        <xdr:cNvPr id="37" name="正方形/長方形 36">
          <a:extLst>
            <a:ext uri="{FF2B5EF4-FFF2-40B4-BE49-F238E27FC236}">
              <a16:creationId xmlns:a16="http://schemas.microsoft.com/office/drawing/2014/main" id="{15AEB948-2966-4BD5-86BB-6F89CD4FFAF1}"/>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120650</xdr:colOff>
      <xdr:row>105</xdr:row>
      <xdr:rowOff>0</xdr:rowOff>
    </xdr:from>
    <xdr:to>
      <xdr:col>9</xdr:col>
      <xdr:colOff>142875</xdr:colOff>
      <xdr:row>110</xdr:row>
      <xdr:rowOff>50800</xdr:rowOff>
    </xdr:to>
    <xdr:cxnSp macro="">
      <xdr:nvCxnSpPr>
        <xdr:cNvPr id="38" name="直線コネクタ 37">
          <a:extLst>
            <a:ext uri="{FF2B5EF4-FFF2-40B4-BE49-F238E27FC236}">
              <a16:creationId xmlns:a16="http://schemas.microsoft.com/office/drawing/2014/main" id="{B8A84D35-CAC3-4E48-AB11-BAFEC91A2DFD}"/>
            </a:ext>
          </a:extLst>
        </xdr:cNvPr>
        <xdr:cNvCxnSpPr>
          <a:stCxn id="33" idx="2"/>
          <a:endCxn id="37" idx="0"/>
        </xdr:cNvCxnSpPr>
      </xdr:nvCxnSpPr>
      <xdr:spPr>
        <a:xfrm>
          <a:off x="2254250" y="26168350"/>
          <a:ext cx="288925" cy="37528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254000</xdr:colOff>
      <xdr:row>92</xdr:row>
      <xdr:rowOff>222250</xdr:rowOff>
    </xdr:from>
    <xdr:to>
      <xdr:col>13</xdr:col>
      <xdr:colOff>25400</xdr:colOff>
      <xdr:row>105</xdr:row>
      <xdr:rowOff>0</xdr:rowOff>
    </xdr:to>
    <xdr:sp macro="" textlink="">
      <xdr:nvSpPr>
        <xdr:cNvPr id="15" name="正方形/長方形 14">
          <a:extLst>
            <a:ext uri="{FF2B5EF4-FFF2-40B4-BE49-F238E27FC236}">
              <a16:creationId xmlns:a16="http://schemas.microsoft.com/office/drawing/2014/main" id="{662A95AF-B360-4D45-A712-2BA9A1C3A3ED}"/>
            </a:ext>
          </a:extLst>
        </xdr:cNvPr>
        <xdr:cNvSpPr/>
      </xdr:nvSpPr>
      <xdr:spPr>
        <a:xfrm>
          <a:off x="1320800" y="22891750"/>
          <a:ext cx="2171700" cy="331470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203200</xdr:colOff>
      <xdr:row>107</xdr:row>
      <xdr:rowOff>44450</xdr:rowOff>
    </xdr:from>
    <xdr:to>
      <xdr:col>25</xdr:col>
      <xdr:colOff>57150</xdr:colOff>
      <xdr:row>109</xdr:row>
      <xdr:rowOff>228600</xdr:rowOff>
    </xdr:to>
    <xdr:sp macro="" textlink="">
      <xdr:nvSpPr>
        <xdr:cNvPr id="19" name="正方形/長方形 18">
          <a:extLst>
            <a:ext uri="{FF2B5EF4-FFF2-40B4-BE49-F238E27FC236}">
              <a16:creationId xmlns:a16="http://schemas.microsoft.com/office/drawing/2014/main" id="{A1016942-762C-41E7-982D-4A93BA93D93B}"/>
            </a:ext>
          </a:extLst>
        </xdr:cNvPr>
        <xdr:cNvSpPr/>
      </xdr:nvSpPr>
      <xdr:spPr>
        <a:xfrm>
          <a:off x="4203700" y="29114750"/>
          <a:ext cx="2520950" cy="7175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114300</xdr:colOff>
      <xdr:row>105</xdr:row>
      <xdr:rowOff>0</xdr:rowOff>
    </xdr:from>
    <xdr:to>
      <xdr:col>20</xdr:col>
      <xdr:colOff>130175</xdr:colOff>
      <xdr:row>107</xdr:row>
      <xdr:rowOff>44450</xdr:rowOff>
    </xdr:to>
    <xdr:cxnSp macro="">
      <xdr:nvCxnSpPr>
        <xdr:cNvPr id="20" name="直線コネクタ 19">
          <a:extLst>
            <a:ext uri="{FF2B5EF4-FFF2-40B4-BE49-F238E27FC236}">
              <a16:creationId xmlns:a16="http://schemas.microsoft.com/office/drawing/2014/main" id="{30E15486-C891-4419-9B91-12406133D3A0}"/>
            </a:ext>
          </a:extLst>
        </xdr:cNvPr>
        <xdr:cNvCxnSpPr>
          <a:cxnSpLocks/>
          <a:stCxn id="47" idx="2"/>
          <a:endCxn id="19" idx="0"/>
        </xdr:cNvCxnSpPr>
      </xdr:nvCxnSpPr>
      <xdr:spPr>
        <a:xfrm>
          <a:off x="3314700" y="26155650"/>
          <a:ext cx="2149475" cy="29591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104</xdr:row>
      <xdr:rowOff>12700</xdr:rowOff>
    </xdr:from>
    <xdr:to>
      <xdr:col>12</xdr:col>
      <xdr:colOff>228600</xdr:colOff>
      <xdr:row>105</xdr:row>
      <xdr:rowOff>0</xdr:rowOff>
    </xdr:to>
    <xdr:sp macro="" textlink="">
      <xdr:nvSpPr>
        <xdr:cNvPr id="47" name="正方形/長方形 46">
          <a:extLst>
            <a:ext uri="{FF2B5EF4-FFF2-40B4-BE49-F238E27FC236}">
              <a16:creationId xmlns:a16="http://schemas.microsoft.com/office/drawing/2014/main" id="{B45CC08D-738E-47CB-ACB1-B36D2FB94FC7}"/>
            </a:ext>
          </a:extLst>
        </xdr:cNvPr>
        <xdr:cNvSpPr/>
      </xdr:nvSpPr>
      <xdr:spPr>
        <a:xfrm>
          <a:off x="3200400" y="25882600"/>
          <a:ext cx="228600" cy="2730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247649</xdr:colOff>
      <xdr:row>52</xdr:row>
      <xdr:rowOff>215900</xdr:rowOff>
    </xdr:from>
    <xdr:to>
      <xdr:col>9</xdr:col>
      <xdr:colOff>57148</xdr:colOff>
      <xdr:row>57</xdr:row>
      <xdr:rowOff>57150</xdr:rowOff>
    </xdr:to>
    <xdr:sp macro="" textlink="">
      <xdr:nvSpPr>
        <xdr:cNvPr id="53" name="正方形/長方形 52">
          <a:extLst>
            <a:ext uri="{FF2B5EF4-FFF2-40B4-BE49-F238E27FC236}">
              <a16:creationId xmlns:a16="http://schemas.microsoft.com/office/drawing/2014/main" id="{C95301B2-E440-4BAD-A97C-CD9E69884FDC}"/>
            </a:ext>
          </a:extLst>
        </xdr:cNvPr>
        <xdr:cNvSpPr/>
      </xdr:nvSpPr>
      <xdr:spPr>
        <a:xfrm>
          <a:off x="1314449" y="14084300"/>
          <a:ext cx="1142999" cy="11747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19049</xdr:colOff>
      <xdr:row>46</xdr:row>
      <xdr:rowOff>37611</xdr:rowOff>
    </xdr:from>
    <xdr:to>
      <xdr:col>9</xdr:col>
      <xdr:colOff>119307</xdr:colOff>
      <xdr:row>52</xdr:row>
      <xdr:rowOff>215900</xdr:rowOff>
    </xdr:to>
    <xdr:cxnSp macro="">
      <xdr:nvCxnSpPr>
        <xdr:cNvPr id="54" name="直線コネクタ 53">
          <a:extLst>
            <a:ext uri="{FF2B5EF4-FFF2-40B4-BE49-F238E27FC236}">
              <a16:creationId xmlns:a16="http://schemas.microsoft.com/office/drawing/2014/main" id="{942B96EC-486D-4761-A589-200F2FCB412D}"/>
            </a:ext>
          </a:extLst>
        </xdr:cNvPr>
        <xdr:cNvCxnSpPr>
          <a:stCxn id="16" idx="2"/>
          <a:endCxn id="53" idx="0"/>
        </xdr:cNvCxnSpPr>
      </xdr:nvCxnSpPr>
      <xdr:spPr>
        <a:xfrm flipH="1">
          <a:off x="1885949" y="12305811"/>
          <a:ext cx="633658" cy="177848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62</xdr:row>
      <xdr:rowOff>0</xdr:rowOff>
    </xdr:from>
    <xdr:to>
      <xdr:col>24</xdr:col>
      <xdr:colOff>9525</xdr:colOff>
      <xdr:row>63</xdr:row>
      <xdr:rowOff>0</xdr:rowOff>
    </xdr:to>
    <xdr:sp macro="" textlink="">
      <xdr:nvSpPr>
        <xdr:cNvPr id="57" name="正方形/長方形 56">
          <a:extLst>
            <a:ext uri="{FF2B5EF4-FFF2-40B4-BE49-F238E27FC236}">
              <a16:creationId xmlns:a16="http://schemas.microsoft.com/office/drawing/2014/main" id="{C845F79F-23CE-476B-8ED8-96FA032F942B}"/>
            </a:ext>
          </a:extLst>
        </xdr:cNvPr>
        <xdr:cNvSpPr/>
      </xdr:nvSpPr>
      <xdr:spPr>
        <a:xfrm>
          <a:off x="1568450" y="15201900"/>
          <a:ext cx="4841875" cy="2667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1587</xdr:colOff>
      <xdr:row>56</xdr:row>
      <xdr:rowOff>12699</xdr:rowOff>
    </xdr:from>
    <xdr:to>
      <xdr:col>14</xdr:col>
      <xdr:colOff>255588</xdr:colOff>
      <xdr:row>62</xdr:row>
      <xdr:rowOff>0</xdr:rowOff>
    </xdr:to>
    <xdr:cxnSp macro="">
      <xdr:nvCxnSpPr>
        <xdr:cNvPr id="58" name="直線コネクタ 57">
          <a:extLst>
            <a:ext uri="{FF2B5EF4-FFF2-40B4-BE49-F238E27FC236}">
              <a16:creationId xmlns:a16="http://schemas.microsoft.com/office/drawing/2014/main" id="{5457E5E7-DEDE-4A8A-B15D-870E7BF466E9}"/>
            </a:ext>
          </a:extLst>
        </xdr:cNvPr>
        <xdr:cNvCxnSpPr>
          <a:stCxn id="27654" idx="2"/>
          <a:endCxn id="57" idx="0"/>
        </xdr:cNvCxnSpPr>
      </xdr:nvCxnSpPr>
      <xdr:spPr>
        <a:xfrm>
          <a:off x="1868487" y="14947899"/>
          <a:ext cx="2120901" cy="1854201"/>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19049</xdr:colOff>
      <xdr:row>47</xdr:row>
      <xdr:rowOff>259617</xdr:rowOff>
    </xdr:from>
    <xdr:to>
      <xdr:col>19</xdr:col>
      <xdr:colOff>251070</xdr:colOff>
      <xdr:row>52</xdr:row>
      <xdr:rowOff>215900</xdr:rowOff>
    </xdr:to>
    <xdr:cxnSp macro="">
      <xdr:nvCxnSpPr>
        <xdr:cNvPr id="61" name="直線コネクタ 60">
          <a:extLst>
            <a:ext uri="{FF2B5EF4-FFF2-40B4-BE49-F238E27FC236}">
              <a16:creationId xmlns:a16="http://schemas.microsoft.com/office/drawing/2014/main" id="{817223E6-0431-42DE-9C16-3513CBF37A58}"/>
            </a:ext>
          </a:extLst>
        </xdr:cNvPr>
        <xdr:cNvCxnSpPr>
          <a:stCxn id="22" idx="2"/>
          <a:endCxn id="53" idx="0"/>
        </xdr:cNvCxnSpPr>
      </xdr:nvCxnSpPr>
      <xdr:spPr>
        <a:xfrm flipH="1">
          <a:off x="1885949" y="12794517"/>
          <a:ext cx="3432421" cy="128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254001</xdr:colOff>
      <xdr:row>36</xdr:row>
      <xdr:rowOff>209551</xdr:rowOff>
    </xdr:from>
    <xdr:to>
      <xdr:col>7</xdr:col>
      <xdr:colOff>190501</xdr:colOff>
      <xdr:row>37</xdr:row>
      <xdr:rowOff>152401</xdr:rowOff>
    </xdr:to>
    <xdr:sp macro="" textlink="">
      <xdr:nvSpPr>
        <xdr:cNvPr id="27648" name="正方形/長方形 27647">
          <a:extLst>
            <a:ext uri="{FF2B5EF4-FFF2-40B4-BE49-F238E27FC236}">
              <a16:creationId xmlns:a16="http://schemas.microsoft.com/office/drawing/2014/main" id="{98768D20-9758-4115-86B0-CA4082583A4D}"/>
            </a:ext>
          </a:extLst>
        </xdr:cNvPr>
        <xdr:cNvSpPr/>
      </xdr:nvSpPr>
      <xdr:spPr>
        <a:xfrm>
          <a:off x="1854201" y="9810751"/>
          <a:ext cx="20320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49</xdr:row>
      <xdr:rowOff>38100</xdr:rowOff>
    </xdr:from>
    <xdr:to>
      <xdr:col>18</xdr:col>
      <xdr:colOff>76200</xdr:colOff>
      <xdr:row>51</xdr:row>
      <xdr:rowOff>76200</xdr:rowOff>
    </xdr:to>
    <xdr:sp macro="" textlink="">
      <xdr:nvSpPr>
        <xdr:cNvPr id="27650" name="正方形/長方形 27649">
          <a:extLst>
            <a:ext uri="{FF2B5EF4-FFF2-40B4-BE49-F238E27FC236}">
              <a16:creationId xmlns:a16="http://schemas.microsoft.com/office/drawing/2014/main" id="{B5353680-2EA0-4813-ADA7-6601656658E9}"/>
            </a:ext>
          </a:extLst>
        </xdr:cNvPr>
        <xdr:cNvSpPr/>
      </xdr:nvSpPr>
      <xdr:spPr>
        <a:xfrm>
          <a:off x="4216400" y="13106400"/>
          <a:ext cx="660400" cy="5715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90489</xdr:colOff>
      <xdr:row>37</xdr:row>
      <xdr:rowOff>152401</xdr:rowOff>
    </xdr:from>
    <xdr:to>
      <xdr:col>17</xdr:col>
      <xdr:colOff>14288</xdr:colOff>
      <xdr:row>49</xdr:row>
      <xdr:rowOff>38100</xdr:rowOff>
    </xdr:to>
    <xdr:cxnSp macro="">
      <xdr:nvCxnSpPr>
        <xdr:cNvPr id="27651" name="直線コネクタ 27650">
          <a:extLst>
            <a:ext uri="{FF2B5EF4-FFF2-40B4-BE49-F238E27FC236}">
              <a16:creationId xmlns:a16="http://schemas.microsoft.com/office/drawing/2014/main" id="{2A772F23-4C03-411A-B8A1-3C867D6403A0}"/>
            </a:ext>
          </a:extLst>
        </xdr:cNvPr>
        <xdr:cNvCxnSpPr>
          <a:stCxn id="27648" idx="2"/>
          <a:endCxn id="27650" idx="0"/>
        </xdr:cNvCxnSpPr>
      </xdr:nvCxnSpPr>
      <xdr:spPr>
        <a:xfrm>
          <a:off x="1957389" y="10020301"/>
          <a:ext cx="2590799" cy="30860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63499</xdr:colOff>
      <xdr:row>54</xdr:row>
      <xdr:rowOff>253999</xdr:rowOff>
    </xdr:from>
    <xdr:to>
      <xdr:col>8</xdr:col>
      <xdr:colOff>200024</xdr:colOff>
      <xdr:row>56</xdr:row>
      <xdr:rowOff>9524</xdr:rowOff>
    </xdr:to>
    <xdr:sp macro="" textlink="">
      <xdr:nvSpPr>
        <xdr:cNvPr id="27654" name="正方形/長方形 27653">
          <a:extLst>
            <a:ext uri="{FF2B5EF4-FFF2-40B4-BE49-F238E27FC236}">
              <a16:creationId xmlns:a16="http://schemas.microsoft.com/office/drawing/2014/main" id="{E224A103-07D1-4EB7-9530-595859D1C0FB}"/>
            </a:ext>
          </a:extLst>
        </xdr:cNvPr>
        <xdr:cNvSpPr/>
      </xdr:nvSpPr>
      <xdr:spPr>
        <a:xfrm>
          <a:off x="1396999" y="14655799"/>
          <a:ext cx="936625" cy="288925"/>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58</xdr:row>
      <xdr:rowOff>63499</xdr:rowOff>
    </xdr:from>
    <xdr:to>
      <xdr:col>25</xdr:col>
      <xdr:colOff>123825</xdr:colOff>
      <xdr:row>60</xdr:row>
      <xdr:rowOff>200024</xdr:rowOff>
    </xdr:to>
    <xdr:sp macro="" textlink="">
      <xdr:nvSpPr>
        <xdr:cNvPr id="27661" name="正方形/長方形 27660">
          <a:extLst>
            <a:ext uri="{FF2B5EF4-FFF2-40B4-BE49-F238E27FC236}">
              <a16:creationId xmlns:a16="http://schemas.microsoft.com/office/drawing/2014/main" id="{B0F59F44-5312-4476-99FF-E0996331737C}"/>
            </a:ext>
          </a:extLst>
        </xdr:cNvPr>
        <xdr:cNvSpPr/>
      </xdr:nvSpPr>
      <xdr:spPr>
        <a:xfrm>
          <a:off x="4216400" y="15532099"/>
          <a:ext cx="2574925" cy="669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238126</xdr:colOff>
      <xdr:row>56</xdr:row>
      <xdr:rowOff>47626</xdr:rowOff>
    </xdr:from>
    <xdr:to>
      <xdr:col>8</xdr:col>
      <xdr:colOff>200025</xdr:colOff>
      <xdr:row>56</xdr:row>
      <xdr:rowOff>219076</xdr:rowOff>
    </xdr:to>
    <xdr:sp macro="" textlink="">
      <xdr:nvSpPr>
        <xdr:cNvPr id="27662" name="正方形/長方形 27661">
          <a:extLst>
            <a:ext uri="{FF2B5EF4-FFF2-40B4-BE49-F238E27FC236}">
              <a16:creationId xmlns:a16="http://schemas.microsoft.com/office/drawing/2014/main" id="{43027C57-B505-4F7B-9325-20C3A0B3C287}"/>
            </a:ext>
          </a:extLst>
        </xdr:cNvPr>
        <xdr:cNvSpPr/>
      </xdr:nvSpPr>
      <xdr:spPr>
        <a:xfrm>
          <a:off x="2105026" y="14982826"/>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82551</xdr:colOff>
      <xdr:row>56</xdr:row>
      <xdr:rowOff>215901</xdr:rowOff>
    </xdr:from>
    <xdr:to>
      <xdr:col>20</xdr:col>
      <xdr:colOff>169863</xdr:colOff>
      <xdr:row>58</xdr:row>
      <xdr:rowOff>66674</xdr:rowOff>
    </xdr:to>
    <xdr:cxnSp macro="">
      <xdr:nvCxnSpPr>
        <xdr:cNvPr id="27663" name="直線コネクタ 27662">
          <a:extLst>
            <a:ext uri="{FF2B5EF4-FFF2-40B4-BE49-F238E27FC236}">
              <a16:creationId xmlns:a16="http://schemas.microsoft.com/office/drawing/2014/main" id="{84E09742-2010-444C-8C44-7C15B4627764}"/>
            </a:ext>
          </a:extLst>
        </xdr:cNvPr>
        <xdr:cNvCxnSpPr>
          <a:stCxn id="27662" idx="2"/>
          <a:endCxn id="27661" idx="0"/>
        </xdr:cNvCxnSpPr>
      </xdr:nvCxnSpPr>
      <xdr:spPr>
        <a:xfrm>
          <a:off x="2216151" y="15151101"/>
          <a:ext cx="3287712" cy="38417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Normal="100" workbookViewId="0"/>
  </sheetViews>
  <sheetFormatPr defaultColWidth="3.5" defaultRowHeight="21" customHeight="1" x14ac:dyDescent="0.55000000000000004"/>
  <cols>
    <col min="1" max="16384" width="3.5" style="11"/>
  </cols>
  <sheetData>
    <row r="1" spans="1:33" ht="21" customHeight="1" x14ac:dyDescent="0.55000000000000004">
      <c r="A1" s="38"/>
      <c r="G1" s="38" t="s">
        <v>182</v>
      </c>
      <c r="R1" s="38" t="s">
        <v>183</v>
      </c>
      <c r="AF1" s="38" t="s">
        <v>181</v>
      </c>
    </row>
    <row r="2" spans="1:33" ht="21" customHeight="1" x14ac:dyDescent="0.55000000000000004">
      <c r="B2" s="14" t="s">
        <v>649</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146</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22" spans="4:33" ht="21" customHeight="1" x14ac:dyDescent="0.55000000000000004">
      <c r="F22" s="15" t="s">
        <v>147</v>
      </c>
      <c r="G22" s="11" t="s">
        <v>187</v>
      </c>
    </row>
    <row r="23" spans="4:33" ht="21" customHeight="1" x14ac:dyDescent="0.55000000000000004">
      <c r="G23" s="11" t="s">
        <v>186</v>
      </c>
    </row>
    <row r="26" spans="4:33" ht="21" customHeight="1" x14ac:dyDescent="0.55000000000000004">
      <c r="D26" s="14" t="s">
        <v>32</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row>
    <row r="45" spans="6:14" ht="21" customHeight="1" x14ac:dyDescent="0.55000000000000004">
      <c r="F45" s="15"/>
      <c r="H45" s="30" t="s">
        <v>90</v>
      </c>
      <c r="I45" s="30"/>
      <c r="J45" s="30"/>
      <c r="K45" s="30"/>
      <c r="L45" s="30"/>
      <c r="M45" s="30"/>
      <c r="N45" s="11" t="s">
        <v>148</v>
      </c>
    </row>
    <row r="47" spans="6:14" ht="21" customHeight="1" x14ac:dyDescent="0.55000000000000004">
      <c r="H47" s="11" t="s">
        <v>149</v>
      </c>
    </row>
    <row r="48" spans="6:14" ht="21" customHeight="1" x14ac:dyDescent="0.55000000000000004">
      <c r="K48" s="3">
        <v>1</v>
      </c>
    </row>
    <row r="49" spans="1:33" ht="21" customHeight="1" x14ac:dyDescent="0.55000000000000004">
      <c r="H49" s="11" t="s">
        <v>178</v>
      </c>
    </row>
    <row r="51" spans="1:33" ht="21" customHeight="1" x14ac:dyDescent="0.55000000000000004">
      <c r="F51" s="11" t="s">
        <v>78</v>
      </c>
    </row>
    <row r="52" spans="1:33" ht="21" customHeight="1" x14ac:dyDescent="0.55000000000000004">
      <c r="F52" s="11" t="s">
        <v>150</v>
      </c>
    </row>
    <row r="55" spans="1:33" ht="21" customHeight="1" x14ac:dyDescent="0.55000000000000004">
      <c r="D55" s="14" t="s">
        <v>33</v>
      </c>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row>
    <row r="57" spans="1:33" ht="21" customHeight="1" x14ac:dyDescent="0.55000000000000004">
      <c r="F57" s="15" t="s">
        <v>30</v>
      </c>
      <c r="G57" s="11" t="s">
        <v>91</v>
      </c>
      <c r="I57" s="30" t="s">
        <v>100</v>
      </c>
      <c r="J57" s="30"/>
      <c r="K57" s="30"/>
      <c r="L57" s="30"/>
      <c r="M57" s="30"/>
      <c r="N57" s="30"/>
      <c r="O57" s="11" t="s">
        <v>92</v>
      </c>
    </row>
    <row r="58" spans="1:33" ht="21" customHeight="1" x14ac:dyDescent="0.55000000000000004">
      <c r="F58" s="15"/>
      <c r="G58" s="11" t="s">
        <v>79</v>
      </c>
    </row>
    <row r="59" spans="1:33" ht="21" customHeight="1" thickBot="1" x14ac:dyDescent="0.45">
      <c r="G59" s="27" t="s">
        <v>44</v>
      </c>
      <c r="R59" s="27" t="s">
        <v>45</v>
      </c>
    </row>
    <row r="60" spans="1:33" ht="21" customHeight="1" thickTop="1" thickBot="1" x14ac:dyDescent="0.6">
      <c r="A60" s="38" t="s">
        <v>158</v>
      </c>
      <c r="F60" s="32">
        <v>1</v>
      </c>
      <c r="G60" s="103" t="s">
        <v>84</v>
      </c>
      <c r="H60" s="104"/>
      <c r="I60" s="104"/>
      <c r="J60" s="104"/>
      <c r="K60" s="104"/>
      <c r="L60" s="104"/>
      <c r="M60" s="104"/>
      <c r="N60" s="104"/>
      <c r="O60" s="104"/>
      <c r="P60" s="105"/>
      <c r="R60" s="103" t="s">
        <v>595</v>
      </c>
      <c r="S60" s="104"/>
      <c r="T60" s="104"/>
      <c r="U60" s="105"/>
    </row>
    <row r="61" spans="1:33" ht="21" customHeight="1" thickTop="1" thickBot="1" x14ac:dyDescent="0.45">
      <c r="G61" s="27" t="s">
        <v>44</v>
      </c>
      <c r="R61" s="27" t="s">
        <v>45</v>
      </c>
    </row>
    <row r="62" spans="1:33" ht="21" customHeight="1" thickTop="1" thickBot="1" x14ac:dyDescent="0.6">
      <c r="A62" s="38" t="s">
        <v>159</v>
      </c>
      <c r="F62" s="32">
        <v>2</v>
      </c>
      <c r="G62" s="103" t="s">
        <v>85</v>
      </c>
      <c r="H62" s="104"/>
      <c r="I62" s="104"/>
      <c r="J62" s="104"/>
      <c r="K62" s="104"/>
      <c r="L62" s="104"/>
      <c r="M62" s="104"/>
      <c r="N62" s="104"/>
      <c r="O62" s="104"/>
      <c r="P62" s="105"/>
      <c r="R62" s="103" t="s">
        <v>595</v>
      </c>
      <c r="S62" s="104"/>
      <c r="T62" s="104"/>
      <c r="U62" s="105"/>
    </row>
    <row r="63" spans="1:33" ht="21" customHeight="1" thickTop="1" thickBot="1" x14ac:dyDescent="0.45">
      <c r="G63" s="27" t="s">
        <v>44</v>
      </c>
      <c r="R63" s="27" t="s">
        <v>45</v>
      </c>
    </row>
    <row r="64" spans="1:33" ht="21" customHeight="1" thickTop="1" thickBot="1" x14ac:dyDescent="0.6">
      <c r="A64" s="38" t="s">
        <v>160</v>
      </c>
      <c r="F64" s="32">
        <v>3</v>
      </c>
      <c r="G64" s="103"/>
      <c r="H64" s="104"/>
      <c r="I64" s="104"/>
      <c r="J64" s="104"/>
      <c r="K64" s="104"/>
      <c r="L64" s="104"/>
      <c r="M64" s="104"/>
      <c r="N64" s="104"/>
      <c r="O64" s="104"/>
      <c r="P64" s="105"/>
      <c r="R64" s="103"/>
      <c r="S64" s="104"/>
      <c r="T64" s="104"/>
      <c r="U64" s="105"/>
    </row>
    <row r="65" spans="1:21" ht="21" customHeight="1" thickTop="1" thickBot="1" x14ac:dyDescent="0.45">
      <c r="G65" s="27" t="s">
        <v>44</v>
      </c>
      <c r="R65" s="27" t="s">
        <v>45</v>
      </c>
    </row>
    <row r="66" spans="1:21" ht="21" customHeight="1" thickTop="1" thickBot="1" x14ac:dyDescent="0.6">
      <c r="A66" s="38" t="s">
        <v>161</v>
      </c>
      <c r="F66" s="32">
        <v>4</v>
      </c>
      <c r="G66" s="103"/>
      <c r="H66" s="104"/>
      <c r="I66" s="104"/>
      <c r="J66" s="104"/>
      <c r="K66" s="104"/>
      <c r="L66" s="104"/>
      <c r="M66" s="104"/>
      <c r="N66" s="104"/>
      <c r="O66" s="104"/>
      <c r="P66" s="105"/>
      <c r="R66" s="103"/>
      <c r="S66" s="104"/>
      <c r="T66" s="104"/>
      <c r="U66" s="105"/>
    </row>
    <row r="67" spans="1:21" ht="21" customHeight="1" thickTop="1" thickBot="1" x14ac:dyDescent="0.45">
      <c r="G67" s="27" t="s">
        <v>44</v>
      </c>
      <c r="R67" s="27" t="s">
        <v>45</v>
      </c>
    </row>
    <row r="68" spans="1:21" ht="21" customHeight="1" thickTop="1" thickBot="1" x14ac:dyDescent="0.6">
      <c r="A68" s="38" t="s">
        <v>162</v>
      </c>
      <c r="F68" s="32">
        <v>5</v>
      </c>
      <c r="G68" s="103"/>
      <c r="H68" s="104"/>
      <c r="I68" s="104"/>
      <c r="J68" s="104"/>
      <c r="K68" s="104"/>
      <c r="L68" s="104"/>
      <c r="M68" s="104"/>
      <c r="N68" s="104"/>
      <c r="O68" s="104"/>
      <c r="P68" s="105"/>
      <c r="R68" s="103"/>
      <c r="S68" s="104"/>
      <c r="T68" s="104"/>
      <c r="U68" s="105"/>
    </row>
    <row r="69" spans="1:21" ht="21" customHeight="1" thickTop="1" thickBot="1" x14ac:dyDescent="0.45">
      <c r="G69" s="27" t="s">
        <v>44</v>
      </c>
      <c r="R69" s="27" t="s">
        <v>45</v>
      </c>
    </row>
    <row r="70" spans="1:21" ht="21" customHeight="1" thickTop="1" thickBot="1" x14ac:dyDescent="0.6">
      <c r="A70" s="38" t="s">
        <v>163</v>
      </c>
      <c r="F70" s="32">
        <v>6</v>
      </c>
      <c r="G70" s="103"/>
      <c r="H70" s="104"/>
      <c r="I70" s="104"/>
      <c r="J70" s="104"/>
      <c r="K70" s="104"/>
      <c r="L70" s="104"/>
      <c r="M70" s="104"/>
      <c r="N70" s="104"/>
      <c r="O70" s="104"/>
      <c r="P70" s="105"/>
      <c r="R70" s="103"/>
      <c r="S70" s="104"/>
      <c r="T70" s="104"/>
      <c r="U70" s="105"/>
    </row>
    <row r="71" spans="1:21" ht="21" customHeight="1" thickTop="1" thickBot="1" x14ac:dyDescent="0.45">
      <c r="G71" s="27" t="s">
        <v>44</v>
      </c>
      <c r="R71" s="27" t="s">
        <v>45</v>
      </c>
    </row>
    <row r="72" spans="1:21" ht="21" customHeight="1" thickTop="1" thickBot="1" x14ac:dyDescent="0.6">
      <c r="A72" s="38" t="s">
        <v>164</v>
      </c>
      <c r="F72" s="32">
        <v>7</v>
      </c>
      <c r="G72" s="103"/>
      <c r="H72" s="104"/>
      <c r="I72" s="104"/>
      <c r="J72" s="104"/>
      <c r="K72" s="104"/>
      <c r="L72" s="104"/>
      <c r="M72" s="104"/>
      <c r="N72" s="104"/>
      <c r="O72" s="104"/>
      <c r="P72" s="105"/>
      <c r="R72" s="103"/>
      <c r="S72" s="104"/>
      <c r="T72" s="104"/>
      <c r="U72" s="105"/>
    </row>
    <row r="73" spans="1:21" ht="21" customHeight="1" thickTop="1" thickBot="1" x14ac:dyDescent="0.45">
      <c r="G73" s="27" t="s">
        <v>44</v>
      </c>
      <c r="R73" s="27" t="s">
        <v>45</v>
      </c>
    </row>
    <row r="74" spans="1:21" ht="21" customHeight="1" thickTop="1" thickBot="1" x14ac:dyDescent="0.6">
      <c r="A74" s="38" t="s">
        <v>165</v>
      </c>
      <c r="F74" s="32">
        <v>8</v>
      </c>
      <c r="G74" s="103"/>
      <c r="H74" s="104"/>
      <c r="I74" s="104"/>
      <c r="J74" s="104"/>
      <c r="K74" s="104"/>
      <c r="L74" s="104"/>
      <c r="M74" s="104"/>
      <c r="N74" s="104"/>
      <c r="O74" s="104"/>
      <c r="P74" s="105"/>
      <c r="R74" s="103"/>
      <c r="S74" s="104"/>
      <c r="T74" s="104"/>
      <c r="U74" s="105"/>
    </row>
    <row r="75" spans="1:21" ht="21" customHeight="1" thickTop="1" thickBot="1" x14ac:dyDescent="0.45">
      <c r="G75" s="27" t="s">
        <v>44</v>
      </c>
      <c r="R75" s="27" t="s">
        <v>45</v>
      </c>
    </row>
    <row r="76" spans="1:21" ht="21" customHeight="1" thickTop="1" thickBot="1" x14ac:dyDescent="0.6">
      <c r="A76" s="38" t="s">
        <v>166</v>
      </c>
      <c r="F76" s="32">
        <v>9</v>
      </c>
      <c r="G76" s="103"/>
      <c r="H76" s="104"/>
      <c r="I76" s="104"/>
      <c r="J76" s="104"/>
      <c r="K76" s="104"/>
      <c r="L76" s="104"/>
      <c r="M76" s="104"/>
      <c r="N76" s="104"/>
      <c r="O76" s="104"/>
      <c r="P76" s="105"/>
      <c r="R76" s="103"/>
      <c r="S76" s="104"/>
      <c r="T76" s="104"/>
      <c r="U76" s="105"/>
    </row>
    <row r="77" spans="1:21" ht="21" customHeight="1" thickTop="1" thickBot="1" x14ac:dyDescent="0.45">
      <c r="G77" s="27" t="s">
        <v>44</v>
      </c>
      <c r="R77" s="27" t="s">
        <v>45</v>
      </c>
    </row>
    <row r="78" spans="1:21" ht="21" customHeight="1" thickTop="1" thickBot="1" x14ac:dyDescent="0.6">
      <c r="A78" s="38" t="s">
        <v>167</v>
      </c>
      <c r="F78" s="32">
        <v>10</v>
      </c>
      <c r="G78" s="103"/>
      <c r="H78" s="104"/>
      <c r="I78" s="104"/>
      <c r="J78" s="104"/>
      <c r="K78" s="104"/>
      <c r="L78" s="104"/>
      <c r="M78" s="104"/>
      <c r="N78" s="104"/>
      <c r="O78" s="104"/>
      <c r="P78" s="105"/>
      <c r="R78" s="103"/>
      <c r="S78" s="104"/>
      <c r="T78" s="104"/>
      <c r="U78" s="105"/>
    </row>
    <row r="79" spans="1:21" ht="21" customHeight="1" thickTop="1" x14ac:dyDescent="0.55000000000000004"/>
    <row r="81" spans="4:33" ht="21" customHeight="1" x14ac:dyDescent="0.55000000000000004">
      <c r="D81" s="14" t="s">
        <v>33</v>
      </c>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row>
    <row r="96" spans="4:33" ht="21" customHeight="1" x14ac:dyDescent="0.55000000000000004">
      <c r="G96" s="15"/>
      <c r="H96" s="30" t="s">
        <v>94</v>
      </c>
      <c r="I96" s="30"/>
      <c r="J96" s="30"/>
      <c r="K96" s="30"/>
      <c r="L96" s="11" t="s">
        <v>176</v>
      </c>
    </row>
    <row r="97" spans="4:33" ht="21" customHeight="1" x14ac:dyDescent="0.55000000000000004">
      <c r="G97" s="15"/>
    </row>
    <row r="98" spans="4:33" ht="21" customHeight="1" x14ac:dyDescent="0.55000000000000004">
      <c r="F98" s="11" t="s">
        <v>77</v>
      </c>
    </row>
    <row r="100" spans="4:33" ht="21" customHeight="1" x14ac:dyDescent="0.55000000000000004">
      <c r="F100" s="33" t="s">
        <v>80</v>
      </c>
      <c r="H100" s="11" t="s">
        <v>177</v>
      </c>
    </row>
    <row r="103" spans="4:33" ht="21" customHeight="1" x14ac:dyDescent="0.55000000000000004">
      <c r="D103" s="14" t="s">
        <v>35</v>
      </c>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row>
    <row r="105" spans="4:33" ht="21" customHeight="1" thickBot="1" x14ac:dyDescent="0.6">
      <c r="F105" s="15" t="s">
        <v>30</v>
      </c>
      <c r="G105" s="11" t="s">
        <v>31</v>
      </c>
    </row>
    <row r="106" spans="4:33" ht="21" customHeight="1" x14ac:dyDescent="0.55000000000000004">
      <c r="F106" s="16"/>
      <c r="G106" s="17"/>
      <c r="H106" s="17"/>
      <c r="I106" s="17"/>
      <c r="J106" s="17"/>
      <c r="K106" s="17"/>
      <c r="L106" s="17"/>
      <c r="M106" s="17"/>
      <c r="N106" s="18"/>
    </row>
    <row r="107" spans="4:33" ht="21" customHeight="1" x14ac:dyDescent="0.55000000000000004">
      <c r="F107" s="19"/>
      <c r="N107" s="20"/>
    </row>
    <row r="108" spans="4:33" ht="21" customHeight="1" x14ac:dyDescent="0.55000000000000004">
      <c r="F108" s="19"/>
      <c r="N108" s="20"/>
    </row>
    <row r="109" spans="4:33" ht="21" customHeight="1" thickBot="1" x14ac:dyDescent="0.6">
      <c r="F109" s="21"/>
      <c r="G109" s="22"/>
      <c r="H109" s="22"/>
      <c r="I109" s="22"/>
      <c r="J109" s="22"/>
      <c r="K109" s="22"/>
      <c r="L109" s="22"/>
      <c r="M109" s="22"/>
      <c r="N109" s="23"/>
    </row>
    <row r="126" spans="7:14" ht="21" customHeight="1" x14ac:dyDescent="0.55000000000000004">
      <c r="G126" s="15"/>
      <c r="H126" s="35" t="s">
        <v>93</v>
      </c>
      <c r="I126" s="35"/>
      <c r="J126" s="35"/>
      <c r="K126" s="35"/>
      <c r="L126" s="35"/>
      <c r="M126" s="35"/>
      <c r="N126" s="11" t="s">
        <v>180</v>
      </c>
    </row>
    <row r="129" spans="1:33" ht="21" customHeight="1" x14ac:dyDescent="0.55000000000000004">
      <c r="D129" s="14" t="s">
        <v>36</v>
      </c>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row>
    <row r="137" spans="1:33" ht="21" customHeight="1" x14ac:dyDescent="0.55000000000000004">
      <c r="F137" s="11" t="s">
        <v>81</v>
      </c>
    </row>
    <row r="138" spans="1:33" ht="21" customHeight="1" x14ac:dyDescent="0.55000000000000004">
      <c r="G138" s="34" t="s">
        <v>82</v>
      </c>
      <c r="H138" s="36" t="s">
        <v>95</v>
      </c>
      <c r="I138" s="28"/>
      <c r="J138" s="28"/>
      <c r="K138" s="28"/>
      <c r="L138" s="28"/>
      <c r="M138" s="28"/>
      <c r="N138" s="11" t="s">
        <v>96</v>
      </c>
    </row>
    <row r="139" spans="1:33" ht="21" customHeight="1" x14ac:dyDescent="0.55000000000000004">
      <c r="G139" s="34" t="s">
        <v>82</v>
      </c>
      <c r="H139" s="36" t="s">
        <v>97</v>
      </c>
      <c r="I139" s="37"/>
      <c r="J139" s="37"/>
      <c r="K139" s="37"/>
      <c r="L139" s="37"/>
      <c r="M139" s="11" t="s">
        <v>96</v>
      </c>
    </row>
    <row r="140" spans="1:33" ht="21" customHeight="1" x14ac:dyDescent="0.55000000000000004">
      <c r="G140" s="34" t="s">
        <v>82</v>
      </c>
      <c r="H140" s="36" t="s">
        <v>98</v>
      </c>
      <c r="I140" s="28"/>
      <c r="J140" s="28"/>
      <c r="K140" s="28"/>
      <c r="L140" s="11" t="s">
        <v>96</v>
      </c>
    </row>
    <row r="141" spans="1:33" ht="21" customHeight="1" x14ac:dyDescent="0.55000000000000004">
      <c r="F141" s="11" t="s">
        <v>83</v>
      </c>
    </row>
    <row r="143" spans="1:33" ht="21" customHeight="1" x14ac:dyDescent="0.55000000000000004">
      <c r="B143" s="11" t="s">
        <v>28</v>
      </c>
    </row>
    <row r="144" spans="1:33" ht="21" customHeight="1" x14ac:dyDescent="0.55000000000000004">
      <c r="A144" s="38" t="s">
        <v>143</v>
      </c>
    </row>
  </sheetData>
  <mergeCells count="20">
    <mergeCell ref="G78:P78"/>
    <mergeCell ref="R78:U78"/>
    <mergeCell ref="G72:P72"/>
    <mergeCell ref="R72:U72"/>
    <mergeCell ref="G74:P74"/>
    <mergeCell ref="R74:U74"/>
    <mergeCell ref="G76:P76"/>
    <mergeCell ref="R76:U76"/>
    <mergeCell ref="G66:P66"/>
    <mergeCell ref="R66:U66"/>
    <mergeCell ref="G68:P68"/>
    <mergeCell ref="R68:U68"/>
    <mergeCell ref="G70:P70"/>
    <mergeCell ref="R70:U70"/>
    <mergeCell ref="G62:P62"/>
    <mergeCell ref="R62:U62"/>
    <mergeCell ref="G60:P60"/>
    <mergeCell ref="R60:U60"/>
    <mergeCell ref="G64:P64"/>
    <mergeCell ref="R64:U6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105</xdr:row>
                    <xdr:rowOff>241300</xdr:rowOff>
                  </from>
                  <to>
                    <xdr:col>12</xdr:col>
                    <xdr:colOff>254000</xdr:colOff>
                    <xdr:row>108</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042A0-F393-43AC-95F4-9E7A7A80C3CC}">
  <sheetPr codeName="Sheet1"/>
  <dimension ref="A1:B106"/>
  <sheetViews>
    <sheetView workbookViewId="0"/>
  </sheetViews>
  <sheetFormatPr defaultRowHeight="18" x14ac:dyDescent="0.55000000000000004"/>
  <sheetData>
    <row r="1" spans="1:2" x14ac:dyDescent="0.55000000000000004">
      <c r="A1" s="29" t="s">
        <v>179</v>
      </c>
      <c r="B1" s="29" t="s">
        <v>49</v>
      </c>
    </row>
    <row r="2" spans="1:2" x14ac:dyDescent="0.55000000000000004">
      <c r="A2" s="31">
        <v>1</v>
      </c>
      <c r="B2" t="s">
        <v>139</v>
      </c>
    </row>
    <row r="3" spans="1:2" x14ac:dyDescent="0.55000000000000004">
      <c r="A3" s="31">
        <v>2</v>
      </c>
      <c r="B3" t="s">
        <v>140</v>
      </c>
    </row>
    <row r="4" spans="1:2" x14ac:dyDescent="0.55000000000000004">
      <c r="A4" s="31">
        <v>3</v>
      </c>
      <c r="B4" t="s">
        <v>596</v>
      </c>
    </row>
    <row r="5" spans="1:2" x14ac:dyDescent="0.55000000000000004">
      <c r="A5" s="31">
        <v>4</v>
      </c>
      <c r="B5" t="s">
        <v>141</v>
      </c>
    </row>
    <row r="6" spans="1:2" x14ac:dyDescent="0.55000000000000004">
      <c r="A6" s="31">
        <v>5</v>
      </c>
      <c r="B6" t="s">
        <v>597</v>
      </c>
    </row>
    <row r="7" spans="1:2" x14ac:dyDescent="0.55000000000000004">
      <c r="A7" s="31">
        <v>6</v>
      </c>
      <c r="B7" t="s">
        <v>598</v>
      </c>
    </row>
    <row r="8" spans="1:2" x14ac:dyDescent="0.55000000000000004">
      <c r="A8" s="31">
        <v>7</v>
      </c>
      <c r="B8" t="s">
        <v>101</v>
      </c>
    </row>
    <row r="9" spans="1:2" x14ac:dyDescent="0.55000000000000004">
      <c r="A9" s="31">
        <v>8</v>
      </c>
      <c r="B9" t="s">
        <v>599</v>
      </c>
    </row>
    <row r="10" spans="1:2" x14ac:dyDescent="0.55000000000000004">
      <c r="A10" s="31">
        <v>9</v>
      </c>
      <c r="B10" t="s">
        <v>600</v>
      </c>
    </row>
    <row r="11" spans="1:2" x14ac:dyDescent="0.55000000000000004">
      <c r="A11" s="31">
        <v>10</v>
      </c>
      <c r="B11" t="s">
        <v>601</v>
      </c>
    </row>
    <row r="12" spans="1:2" x14ac:dyDescent="0.55000000000000004">
      <c r="A12" s="31">
        <v>11</v>
      </c>
      <c r="B12" t="s">
        <v>602</v>
      </c>
    </row>
    <row r="13" spans="1:2" x14ac:dyDescent="0.55000000000000004">
      <c r="A13" s="31">
        <v>12</v>
      </c>
      <c r="B13" t="s">
        <v>603</v>
      </c>
    </row>
    <row r="14" spans="1:2" x14ac:dyDescent="0.55000000000000004">
      <c r="A14" s="31">
        <v>13</v>
      </c>
      <c r="B14" t="s">
        <v>604</v>
      </c>
    </row>
    <row r="15" spans="1:2" x14ac:dyDescent="0.55000000000000004">
      <c r="A15" s="31">
        <v>14</v>
      </c>
      <c r="B15" t="s">
        <v>605</v>
      </c>
    </row>
    <row r="16" spans="1:2" x14ac:dyDescent="0.55000000000000004">
      <c r="A16" s="31">
        <v>15</v>
      </c>
      <c r="B16" t="s">
        <v>606</v>
      </c>
    </row>
    <row r="17" spans="1:2" x14ac:dyDescent="0.55000000000000004">
      <c r="A17" s="31">
        <v>16</v>
      </c>
      <c r="B17" t="s">
        <v>607</v>
      </c>
    </row>
    <row r="18" spans="1:2" x14ac:dyDescent="0.55000000000000004">
      <c r="A18" s="31">
        <v>17</v>
      </c>
      <c r="B18" t="s">
        <v>102</v>
      </c>
    </row>
    <row r="19" spans="1:2" x14ac:dyDescent="0.55000000000000004">
      <c r="A19" s="31">
        <v>18</v>
      </c>
      <c r="B19" t="s">
        <v>103</v>
      </c>
    </row>
    <row r="20" spans="1:2" x14ac:dyDescent="0.55000000000000004">
      <c r="A20" s="31">
        <v>19</v>
      </c>
      <c r="B20" t="s">
        <v>104</v>
      </c>
    </row>
    <row r="21" spans="1:2" x14ac:dyDescent="0.55000000000000004">
      <c r="A21" s="31">
        <v>20</v>
      </c>
      <c r="B21" t="s">
        <v>105</v>
      </c>
    </row>
    <row r="22" spans="1:2" x14ac:dyDescent="0.55000000000000004">
      <c r="A22" s="31">
        <v>21</v>
      </c>
      <c r="B22" t="s">
        <v>106</v>
      </c>
    </row>
    <row r="23" spans="1:2" x14ac:dyDescent="0.55000000000000004">
      <c r="A23" s="31">
        <v>22</v>
      </c>
      <c r="B23" t="s">
        <v>107</v>
      </c>
    </row>
    <row r="24" spans="1:2" x14ac:dyDescent="0.55000000000000004">
      <c r="A24" s="31">
        <v>23</v>
      </c>
      <c r="B24" t="s">
        <v>108</v>
      </c>
    </row>
    <row r="25" spans="1:2" x14ac:dyDescent="0.55000000000000004">
      <c r="A25" s="31">
        <v>24</v>
      </c>
      <c r="B25" t="s">
        <v>109</v>
      </c>
    </row>
    <row r="26" spans="1:2" x14ac:dyDescent="0.55000000000000004">
      <c r="A26" s="31">
        <v>25</v>
      </c>
      <c r="B26" t="s">
        <v>608</v>
      </c>
    </row>
    <row r="27" spans="1:2" x14ac:dyDescent="0.55000000000000004">
      <c r="A27" s="31">
        <v>26</v>
      </c>
      <c r="B27" t="s">
        <v>110</v>
      </c>
    </row>
    <row r="28" spans="1:2" x14ac:dyDescent="0.55000000000000004">
      <c r="A28" s="31">
        <v>27</v>
      </c>
      <c r="B28" t="s">
        <v>111</v>
      </c>
    </row>
    <row r="29" spans="1:2" x14ac:dyDescent="0.55000000000000004">
      <c r="A29" s="31">
        <v>28</v>
      </c>
      <c r="B29" t="s">
        <v>609</v>
      </c>
    </row>
    <row r="30" spans="1:2" x14ac:dyDescent="0.55000000000000004">
      <c r="A30" s="31">
        <v>29</v>
      </c>
      <c r="B30" t="s">
        <v>112</v>
      </c>
    </row>
    <row r="31" spans="1:2" x14ac:dyDescent="0.55000000000000004">
      <c r="A31" s="31">
        <v>30</v>
      </c>
      <c r="B31" t="s">
        <v>113</v>
      </c>
    </row>
    <row r="32" spans="1:2" x14ac:dyDescent="0.55000000000000004">
      <c r="A32" s="31">
        <v>31</v>
      </c>
      <c r="B32" t="s">
        <v>114</v>
      </c>
    </row>
    <row r="33" spans="1:2" x14ac:dyDescent="0.55000000000000004">
      <c r="A33" s="31">
        <v>32</v>
      </c>
      <c r="B33" t="s">
        <v>610</v>
      </c>
    </row>
    <row r="34" spans="1:2" x14ac:dyDescent="0.55000000000000004">
      <c r="A34" s="31">
        <v>33</v>
      </c>
      <c r="B34" t="s">
        <v>115</v>
      </c>
    </row>
    <row r="35" spans="1:2" x14ac:dyDescent="0.55000000000000004">
      <c r="A35" s="31">
        <v>34</v>
      </c>
      <c r="B35" t="s">
        <v>611</v>
      </c>
    </row>
    <row r="36" spans="1:2" x14ac:dyDescent="0.55000000000000004">
      <c r="A36" s="31">
        <v>35</v>
      </c>
      <c r="B36" t="s">
        <v>116</v>
      </c>
    </row>
    <row r="37" spans="1:2" x14ac:dyDescent="0.55000000000000004">
      <c r="A37" s="31">
        <v>36</v>
      </c>
      <c r="B37" t="s">
        <v>117</v>
      </c>
    </row>
    <row r="38" spans="1:2" x14ac:dyDescent="0.55000000000000004">
      <c r="A38" s="31">
        <v>37</v>
      </c>
      <c r="B38" t="s">
        <v>118</v>
      </c>
    </row>
    <row r="39" spans="1:2" x14ac:dyDescent="0.55000000000000004">
      <c r="A39" s="31">
        <v>38</v>
      </c>
      <c r="B39" t="s">
        <v>119</v>
      </c>
    </row>
    <row r="40" spans="1:2" x14ac:dyDescent="0.55000000000000004">
      <c r="A40" s="31">
        <v>39</v>
      </c>
      <c r="B40" t="s">
        <v>612</v>
      </c>
    </row>
    <row r="41" spans="1:2" x14ac:dyDescent="0.55000000000000004">
      <c r="A41" s="31">
        <v>40</v>
      </c>
      <c r="B41" t="s">
        <v>120</v>
      </c>
    </row>
    <row r="42" spans="1:2" x14ac:dyDescent="0.55000000000000004">
      <c r="A42" s="31">
        <v>41</v>
      </c>
      <c r="B42" t="s">
        <v>121</v>
      </c>
    </row>
    <row r="43" spans="1:2" x14ac:dyDescent="0.55000000000000004">
      <c r="A43" s="31">
        <v>42</v>
      </c>
      <c r="B43" t="s">
        <v>122</v>
      </c>
    </row>
    <row r="44" spans="1:2" x14ac:dyDescent="0.55000000000000004">
      <c r="A44" s="31">
        <v>43</v>
      </c>
      <c r="B44" t="s">
        <v>613</v>
      </c>
    </row>
    <row r="45" spans="1:2" x14ac:dyDescent="0.55000000000000004">
      <c r="A45" s="31">
        <v>44</v>
      </c>
      <c r="B45" t="s">
        <v>614</v>
      </c>
    </row>
    <row r="46" spans="1:2" x14ac:dyDescent="0.55000000000000004">
      <c r="A46" s="31">
        <v>45</v>
      </c>
      <c r="B46" t="s">
        <v>615</v>
      </c>
    </row>
    <row r="47" spans="1:2" x14ac:dyDescent="0.55000000000000004">
      <c r="A47" s="31">
        <v>46</v>
      </c>
      <c r="B47" t="s">
        <v>123</v>
      </c>
    </row>
    <row r="48" spans="1:2" x14ac:dyDescent="0.55000000000000004">
      <c r="A48" s="31">
        <v>47</v>
      </c>
      <c r="B48" t="s">
        <v>124</v>
      </c>
    </row>
    <row r="49" spans="1:2" x14ac:dyDescent="0.55000000000000004">
      <c r="A49" s="31">
        <v>48</v>
      </c>
      <c r="B49" t="s">
        <v>125</v>
      </c>
    </row>
    <row r="50" spans="1:2" x14ac:dyDescent="0.55000000000000004">
      <c r="A50" s="31">
        <v>49</v>
      </c>
      <c r="B50" t="s">
        <v>126</v>
      </c>
    </row>
    <row r="51" spans="1:2" x14ac:dyDescent="0.55000000000000004">
      <c r="A51" s="31">
        <v>50</v>
      </c>
      <c r="B51" t="s">
        <v>127</v>
      </c>
    </row>
    <row r="52" spans="1:2" x14ac:dyDescent="0.55000000000000004">
      <c r="A52" s="31">
        <v>51</v>
      </c>
      <c r="B52" t="s">
        <v>128</v>
      </c>
    </row>
    <row r="53" spans="1:2" x14ac:dyDescent="0.55000000000000004">
      <c r="A53" s="31">
        <v>52</v>
      </c>
      <c r="B53" t="s">
        <v>129</v>
      </c>
    </row>
    <row r="54" spans="1:2" x14ac:dyDescent="0.55000000000000004">
      <c r="A54" s="31">
        <v>53</v>
      </c>
      <c r="B54" t="s">
        <v>130</v>
      </c>
    </row>
    <row r="55" spans="1:2" x14ac:dyDescent="0.55000000000000004">
      <c r="A55" s="31">
        <v>54</v>
      </c>
      <c r="B55" t="s">
        <v>616</v>
      </c>
    </row>
    <row r="56" spans="1:2" x14ac:dyDescent="0.55000000000000004">
      <c r="A56" s="31">
        <v>55</v>
      </c>
      <c r="B56" t="s">
        <v>617</v>
      </c>
    </row>
    <row r="57" spans="1:2" x14ac:dyDescent="0.55000000000000004">
      <c r="A57" s="31">
        <v>56</v>
      </c>
      <c r="B57" t="s">
        <v>618</v>
      </c>
    </row>
    <row r="58" spans="1:2" x14ac:dyDescent="0.55000000000000004">
      <c r="A58" s="31">
        <v>57</v>
      </c>
      <c r="B58" t="s">
        <v>619</v>
      </c>
    </row>
    <row r="59" spans="1:2" x14ac:dyDescent="0.55000000000000004">
      <c r="A59" s="31">
        <v>58</v>
      </c>
      <c r="B59" t="s">
        <v>620</v>
      </c>
    </row>
    <row r="60" spans="1:2" x14ac:dyDescent="0.55000000000000004">
      <c r="A60" s="31">
        <v>59</v>
      </c>
      <c r="B60" t="s">
        <v>621</v>
      </c>
    </row>
    <row r="61" spans="1:2" x14ac:dyDescent="0.55000000000000004">
      <c r="A61" s="31">
        <v>60</v>
      </c>
      <c r="B61" t="s">
        <v>622</v>
      </c>
    </row>
    <row r="62" spans="1:2" x14ac:dyDescent="0.55000000000000004">
      <c r="A62" s="31">
        <v>61</v>
      </c>
      <c r="B62" t="s">
        <v>131</v>
      </c>
    </row>
    <row r="63" spans="1:2" x14ac:dyDescent="0.55000000000000004">
      <c r="A63" s="31">
        <v>62</v>
      </c>
      <c r="B63" t="s">
        <v>132</v>
      </c>
    </row>
    <row r="64" spans="1:2" x14ac:dyDescent="0.55000000000000004">
      <c r="A64" s="31">
        <v>63</v>
      </c>
      <c r="B64" t="s">
        <v>133</v>
      </c>
    </row>
    <row r="65" spans="1:2" x14ac:dyDescent="0.55000000000000004">
      <c r="A65" s="31">
        <v>64</v>
      </c>
      <c r="B65" t="s">
        <v>134</v>
      </c>
    </row>
    <row r="66" spans="1:2" x14ac:dyDescent="0.55000000000000004">
      <c r="A66" s="31">
        <v>65</v>
      </c>
      <c r="B66" t="s">
        <v>135</v>
      </c>
    </row>
    <row r="67" spans="1:2" x14ac:dyDescent="0.55000000000000004">
      <c r="A67" s="31">
        <v>66</v>
      </c>
      <c r="B67" t="s">
        <v>623</v>
      </c>
    </row>
    <row r="68" spans="1:2" x14ac:dyDescent="0.55000000000000004">
      <c r="A68" s="31">
        <v>67</v>
      </c>
      <c r="B68" t="s">
        <v>624</v>
      </c>
    </row>
    <row r="69" spans="1:2" x14ac:dyDescent="0.55000000000000004">
      <c r="A69" s="31">
        <v>68</v>
      </c>
      <c r="B69" t="s">
        <v>625</v>
      </c>
    </row>
    <row r="70" spans="1:2" x14ac:dyDescent="0.55000000000000004">
      <c r="A70" s="31">
        <v>69</v>
      </c>
      <c r="B70" t="s">
        <v>136</v>
      </c>
    </row>
    <row r="71" spans="1:2" x14ac:dyDescent="0.55000000000000004">
      <c r="A71" s="31">
        <v>70</v>
      </c>
      <c r="B71" t="s">
        <v>137</v>
      </c>
    </row>
    <row r="72" spans="1:2" x14ac:dyDescent="0.55000000000000004">
      <c r="A72" s="31">
        <v>71</v>
      </c>
      <c r="B72" t="s">
        <v>138</v>
      </c>
    </row>
    <row r="73" spans="1:2" x14ac:dyDescent="0.55000000000000004">
      <c r="A73" s="31">
        <v>72</v>
      </c>
      <c r="B73" t="s">
        <v>626</v>
      </c>
    </row>
    <row r="74" spans="1:2" x14ac:dyDescent="0.55000000000000004">
      <c r="A74" s="31">
        <v>73</v>
      </c>
      <c r="B74" t="s">
        <v>627</v>
      </c>
    </row>
    <row r="75" spans="1:2" x14ac:dyDescent="0.55000000000000004">
      <c r="A75" s="31">
        <v>74</v>
      </c>
      <c r="B75" t="s">
        <v>628</v>
      </c>
    </row>
    <row r="76" spans="1:2" x14ac:dyDescent="0.55000000000000004">
      <c r="A76" s="31">
        <v>75</v>
      </c>
      <c r="B76" t="s">
        <v>629</v>
      </c>
    </row>
    <row r="77" spans="1:2" x14ac:dyDescent="0.55000000000000004">
      <c r="A77" s="31">
        <v>76</v>
      </c>
      <c r="B77" t="s">
        <v>630</v>
      </c>
    </row>
    <row r="78" spans="1:2" x14ac:dyDescent="0.55000000000000004">
      <c r="A78" s="31">
        <v>77</v>
      </c>
      <c r="B78" t="s">
        <v>631</v>
      </c>
    </row>
    <row r="79" spans="1:2" x14ac:dyDescent="0.55000000000000004">
      <c r="A79" s="31">
        <v>78</v>
      </c>
      <c r="B79" t="s">
        <v>632</v>
      </c>
    </row>
    <row r="80" spans="1:2" x14ac:dyDescent="0.55000000000000004">
      <c r="A80" s="31">
        <v>79</v>
      </c>
      <c r="B80" t="s">
        <v>633</v>
      </c>
    </row>
    <row r="81" spans="1:2" x14ac:dyDescent="0.55000000000000004">
      <c r="A81" s="31">
        <v>80</v>
      </c>
      <c r="B81" t="s">
        <v>634</v>
      </c>
    </row>
    <row r="82" spans="1:2" x14ac:dyDescent="0.55000000000000004">
      <c r="A82" s="31">
        <v>81</v>
      </c>
      <c r="B82" t="s">
        <v>635</v>
      </c>
    </row>
    <row r="83" spans="1:2" x14ac:dyDescent="0.55000000000000004">
      <c r="A83" s="31">
        <v>82</v>
      </c>
      <c r="B83" t="s">
        <v>636</v>
      </c>
    </row>
    <row r="84" spans="1:2" x14ac:dyDescent="0.55000000000000004">
      <c r="A84" s="31" t="s">
        <v>50</v>
      </c>
      <c r="B84" t="s">
        <v>139</v>
      </c>
    </row>
    <row r="85" spans="1:2" x14ac:dyDescent="0.55000000000000004">
      <c r="A85" s="31" t="s">
        <v>67</v>
      </c>
      <c r="B85" t="s">
        <v>141</v>
      </c>
    </row>
    <row r="86" spans="1:2" x14ac:dyDescent="0.55000000000000004">
      <c r="A86" s="31" t="s">
        <v>144</v>
      </c>
      <c r="B86" t="s">
        <v>597</v>
      </c>
    </row>
    <row r="87" spans="1:2" x14ac:dyDescent="0.55000000000000004">
      <c r="A87" s="31" t="s">
        <v>68</v>
      </c>
      <c r="B87" t="s">
        <v>101</v>
      </c>
    </row>
    <row r="88" spans="1:2" x14ac:dyDescent="0.55000000000000004">
      <c r="A88" s="31" t="s">
        <v>69</v>
      </c>
      <c r="B88" t="s">
        <v>599</v>
      </c>
    </row>
    <row r="89" spans="1:2" x14ac:dyDescent="0.55000000000000004">
      <c r="A89" s="31" t="s">
        <v>70</v>
      </c>
      <c r="B89" t="s">
        <v>603</v>
      </c>
    </row>
    <row r="90" spans="1:2" x14ac:dyDescent="0.55000000000000004">
      <c r="A90" s="31" t="s">
        <v>71</v>
      </c>
      <c r="B90" t="s">
        <v>104</v>
      </c>
    </row>
    <row r="91" spans="1:2" x14ac:dyDescent="0.55000000000000004">
      <c r="A91" s="31" t="s">
        <v>72</v>
      </c>
      <c r="B91" t="s">
        <v>108</v>
      </c>
    </row>
    <row r="92" spans="1:2" x14ac:dyDescent="0.55000000000000004">
      <c r="A92" s="31" t="s">
        <v>528</v>
      </c>
      <c r="B92" t="s">
        <v>109</v>
      </c>
    </row>
    <row r="93" spans="1:2" x14ac:dyDescent="0.55000000000000004">
      <c r="A93" s="31" t="s">
        <v>530</v>
      </c>
      <c r="B93" t="s">
        <v>610</v>
      </c>
    </row>
    <row r="94" spans="1:2" x14ac:dyDescent="0.55000000000000004">
      <c r="A94" s="31" t="s">
        <v>532</v>
      </c>
      <c r="B94" t="s">
        <v>116</v>
      </c>
    </row>
    <row r="95" spans="1:2" x14ac:dyDescent="0.55000000000000004">
      <c r="A95" s="31" t="s">
        <v>545</v>
      </c>
      <c r="B95" t="s">
        <v>118</v>
      </c>
    </row>
    <row r="96" spans="1:2" x14ac:dyDescent="0.55000000000000004">
      <c r="A96" s="31" t="s">
        <v>548</v>
      </c>
      <c r="B96" t="s">
        <v>119</v>
      </c>
    </row>
    <row r="97" spans="1:2" x14ac:dyDescent="0.55000000000000004">
      <c r="A97" s="31" t="s">
        <v>551</v>
      </c>
      <c r="B97" t="s">
        <v>120</v>
      </c>
    </row>
    <row r="98" spans="1:2" x14ac:dyDescent="0.55000000000000004">
      <c r="A98" s="31" t="s">
        <v>554</v>
      </c>
      <c r="B98" t="s">
        <v>122</v>
      </c>
    </row>
    <row r="99" spans="1:2" x14ac:dyDescent="0.55000000000000004">
      <c r="A99" s="31" t="s">
        <v>556</v>
      </c>
      <c r="B99" t="s">
        <v>614</v>
      </c>
    </row>
    <row r="100" spans="1:2" x14ac:dyDescent="0.55000000000000004">
      <c r="A100" s="31" t="s">
        <v>558</v>
      </c>
      <c r="B100" t="s">
        <v>126</v>
      </c>
    </row>
    <row r="101" spans="1:2" x14ac:dyDescent="0.55000000000000004">
      <c r="A101" s="31" t="s">
        <v>560</v>
      </c>
      <c r="B101" t="s">
        <v>616</v>
      </c>
    </row>
    <row r="102" spans="1:2" x14ac:dyDescent="0.55000000000000004">
      <c r="A102" s="31" t="s">
        <v>562</v>
      </c>
      <c r="B102" t="s">
        <v>622</v>
      </c>
    </row>
    <row r="103" spans="1:2" x14ac:dyDescent="0.55000000000000004">
      <c r="A103" s="31" t="s">
        <v>564</v>
      </c>
      <c r="B103" t="s">
        <v>132</v>
      </c>
    </row>
    <row r="104" spans="1:2" x14ac:dyDescent="0.55000000000000004">
      <c r="A104" s="31" t="s">
        <v>566</v>
      </c>
      <c r="B104" t="s">
        <v>136</v>
      </c>
    </row>
    <row r="105" spans="1:2" x14ac:dyDescent="0.55000000000000004">
      <c r="A105" s="31" t="s">
        <v>568</v>
      </c>
      <c r="B105" t="s">
        <v>626</v>
      </c>
    </row>
    <row r="106" spans="1:2" x14ac:dyDescent="0.55000000000000004">
      <c r="A106" s="31" t="s">
        <v>570</v>
      </c>
      <c r="B106" t="s">
        <v>631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5"/>
  <sheetViews>
    <sheetView workbookViewId="0"/>
  </sheetViews>
  <sheetFormatPr defaultRowHeight="18" x14ac:dyDescent="0.55000000000000004"/>
  <cols>
    <col min="1" max="1" width="14.9140625" style="49" customWidth="1"/>
    <col min="2" max="2" width="10.58203125" style="49" bestFit="1" customWidth="1"/>
    <col min="3" max="3" width="8.6640625" style="49"/>
    <col min="4" max="4" width="145.83203125" bestFit="1" customWidth="1"/>
  </cols>
  <sheetData>
    <row r="1" spans="1:4" x14ac:dyDescent="0.55000000000000004">
      <c r="A1" s="44" t="s">
        <v>188</v>
      </c>
      <c r="B1" s="44" t="s">
        <v>192</v>
      </c>
      <c r="C1" s="44" t="s">
        <v>189</v>
      </c>
      <c r="D1" s="44" t="s">
        <v>191</v>
      </c>
    </row>
    <row r="3" spans="1:4" x14ac:dyDescent="0.55000000000000004">
      <c r="A3" s="48">
        <v>45819.32916666667</v>
      </c>
      <c r="B3" s="49" t="s">
        <v>648</v>
      </c>
      <c r="C3" s="49" t="s">
        <v>190</v>
      </c>
      <c r="D3" t="s">
        <v>647</v>
      </c>
    </row>
    <row r="4" spans="1:4" ht="63" customHeight="1" x14ac:dyDescent="0.55000000000000004">
      <c r="A4" s="48">
        <v>45819.209722222222</v>
      </c>
      <c r="B4" s="49" t="s">
        <v>209</v>
      </c>
      <c r="C4" s="49" t="s">
        <v>190</v>
      </c>
      <c r="D4" s="47" t="s">
        <v>210</v>
      </c>
    </row>
    <row r="5" spans="1:4" ht="36" x14ac:dyDescent="0.55000000000000004">
      <c r="A5" s="48">
        <v>45818.286111111112</v>
      </c>
      <c r="B5" s="48" t="s">
        <v>193</v>
      </c>
      <c r="C5" s="49" t="s">
        <v>190</v>
      </c>
      <c r="D5" s="47" t="s">
        <v>194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BU54"/>
  <sheetViews>
    <sheetView zoomScale="70" zoomScaleNormal="70" workbookViewId="0">
      <selection activeCell="BK7" sqref="BK7"/>
    </sheetView>
  </sheetViews>
  <sheetFormatPr defaultColWidth="3.5" defaultRowHeight="21" customHeight="1" x14ac:dyDescent="0.55000000000000004"/>
  <cols>
    <col min="1" max="16384" width="3.5" style="2"/>
  </cols>
  <sheetData>
    <row r="1" spans="1:7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24"/>
    </row>
    <row r="2" spans="1:73" ht="21" customHeight="1" x14ac:dyDescent="0.55000000000000004">
      <c r="A2" s="5"/>
      <c r="BT2" s="5"/>
      <c r="BU2" s="24"/>
    </row>
    <row r="3" spans="1:73" ht="21" customHeight="1" x14ac:dyDescent="0.55000000000000004">
      <c r="A3" s="5"/>
      <c r="C3" s="5"/>
      <c r="D3" s="12"/>
      <c r="E3" s="12"/>
      <c r="F3" s="12"/>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T3" s="5"/>
      <c r="BU3" s="24"/>
    </row>
    <row r="4" spans="1:73" ht="21" customHeight="1" x14ac:dyDescent="0.55000000000000004">
      <c r="A4" s="5"/>
      <c r="C4" s="12"/>
      <c r="D4" s="12"/>
      <c r="E4" s="12"/>
      <c r="F4" s="12"/>
      <c r="BT4" s="5"/>
      <c r="BU4" s="24"/>
    </row>
    <row r="5" spans="1:73" ht="21" customHeight="1" x14ac:dyDescent="0.55000000000000004">
      <c r="A5" s="5"/>
      <c r="C5" s="12"/>
      <c r="D5" s="12"/>
      <c r="E5" s="12"/>
      <c r="F5" s="12"/>
      <c r="BT5" s="5"/>
      <c r="BU5" s="24"/>
    </row>
    <row r="6" spans="1:73" ht="21" customHeight="1" thickBot="1" x14ac:dyDescent="0.6">
      <c r="A6" s="5"/>
      <c r="C6" s="12"/>
      <c r="D6" s="12"/>
      <c r="E6" s="12"/>
      <c r="F6" s="12"/>
      <c r="BT6" s="5"/>
      <c r="BU6" s="24"/>
    </row>
    <row r="7" spans="1:73" ht="21" customHeight="1" x14ac:dyDescent="0.55000000000000004">
      <c r="A7" s="5"/>
      <c r="C7" s="1" t="s">
        <v>16</v>
      </c>
      <c r="K7" s="4">
        <v>1</v>
      </c>
      <c r="L7" s="106" t="s">
        <v>242</v>
      </c>
      <c r="M7" s="106"/>
      <c r="N7" s="107"/>
      <c r="O7" s="4">
        <v>2</v>
      </c>
      <c r="P7" s="106" t="s">
        <v>244</v>
      </c>
      <c r="Q7" s="106"/>
      <c r="R7" s="107"/>
      <c r="S7" s="4">
        <v>3</v>
      </c>
      <c r="T7" s="106" t="s">
        <v>246</v>
      </c>
      <c r="U7" s="106"/>
      <c r="V7" s="107"/>
      <c r="W7" s="4">
        <v>4</v>
      </c>
      <c r="X7" s="106" t="s">
        <v>262</v>
      </c>
      <c r="Y7" s="106"/>
      <c r="Z7" s="107"/>
      <c r="AA7" s="4">
        <v>5</v>
      </c>
      <c r="AB7" s="106" t="s">
        <v>264</v>
      </c>
      <c r="AC7" s="106"/>
      <c r="AD7" s="107"/>
      <c r="AE7" s="4">
        <v>6</v>
      </c>
      <c r="AF7" s="106" t="s">
        <v>266</v>
      </c>
      <c r="AG7" s="106"/>
      <c r="AH7" s="107"/>
      <c r="AI7" s="10"/>
      <c r="AJ7" s="10"/>
      <c r="AK7" s="10"/>
      <c r="AL7" s="10"/>
      <c r="AM7" s="59"/>
      <c r="AN7" s="10"/>
      <c r="AO7" s="10"/>
      <c r="AP7" s="10"/>
      <c r="AQ7" s="59"/>
      <c r="AR7" s="10"/>
      <c r="AS7" s="10"/>
      <c r="AT7" s="10"/>
      <c r="AU7" s="10"/>
      <c r="AV7" s="10"/>
      <c r="AW7" s="10"/>
      <c r="AX7" s="10"/>
      <c r="AY7" s="10"/>
      <c r="AZ7" s="10"/>
      <c r="BA7" s="10"/>
      <c r="BB7" s="10"/>
      <c r="BC7" s="10"/>
      <c r="BD7" s="10"/>
      <c r="BE7" s="10"/>
      <c r="BF7" s="10"/>
      <c r="BG7" s="10"/>
      <c r="BH7" s="10"/>
      <c r="BI7" s="10"/>
      <c r="BJ7" s="10"/>
      <c r="BK7" s="59"/>
      <c r="BL7" s="10"/>
      <c r="BM7" s="10"/>
      <c r="BN7" s="10"/>
      <c r="BO7" s="10"/>
      <c r="BT7" s="5"/>
      <c r="BU7" s="24"/>
    </row>
    <row r="8" spans="1:73" ht="21" customHeight="1" x14ac:dyDescent="0.55000000000000004">
      <c r="A8" s="5"/>
      <c r="K8" s="108"/>
      <c r="L8" s="109"/>
      <c r="M8" s="109"/>
      <c r="N8" s="110"/>
      <c r="O8" s="108"/>
      <c r="P8" s="109"/>
      <c r="Q8" s="109"/>
      <c r="R8" s="110"/>
      <c r="S8" s="108"/>
      <c r="T8" s="109"/>
      <c r="U8" s="109"/>
      <c r="V8" s="110"/>
      <c r="W8" s="108"/>
      <c r="X8" s="109"/>
      <c r="Y8" s="109"/>
      <c r="Z8" s="110"/>
      <c r="AA8" s="108"/>
      <c r="AB8" s="109"/>
      <c r="AC8" s="109"/>
      <c r="AD8" s="110"/>
      <c r="AE8" s="108"/>
      <c r="AF8" s="109"/>
      <c r="AG8" s="109"/>
      <c r="AH8" s="110"/>
      <c r="AI8" s="10"/>
      <c r="AJ8" s="10"/>
      <c r="AK8" s="10"/>
      <c r="AL8" s="10"/>
      <c r="AM8" s="60"/>
      <c r="AN8" s="60"/>
      <c r="AO8" s="60"/>
      <c r="AP8" s="60"/>
      <c r="AQ8" s="60"/>
      <c r="AR8" s="60"/>
      <c r="AS8" s="60"/>
      <c r="AT8" s="60"/>
      <c r="AU8" s="10"/>
      <c r="AV8" s="10"/>
      <c r="AW8" s="10"/>
      <c r="AX8" s="10"/>
      <c r="AY8" s="10"/>
      <c r="AZ8" s="10"/>
      <c r="BA8" s="10"/>
      <c r="BB8" s="10"/>
      <c r="BC8" s="10"/>
      <c r="BD8" s="10"/>
      <c r="BE8" s="10"/>
      <c r="BF8" s="10"/>
      <c r="BG8" s="10"/>
      <c r="BH8" s="10"/>
      <c r="BI8" s="10"/>
      <c r="BJ8" s="10"/>
      <c r="BK8" s="10"/>
      <c r="BL8" s="10"/>
      <c r="BM8" s="10"/>
      <c r="BN8" s="10"/>
      <c r="BO8" s="10"/>
      <c r="BS8" s="9"/>
      <c r="BT8" s="5"/>
      <c r="BU8" s="24"/>
    </row>
    <row r="9" spans="1:73" ht="21" customHeight="1" x14ac:dyDescent="0.55000000000000004">
      <c r="A9" s="5"/>
      <c r="K9" s="111"/>
      <c r="L9" s="112"/>
      <c r="M9" s="112"/>
      <c r="N9" s="113"/>
      <c r="O9" s="111"/>
      <c r="P9" s="112"/>
      <c r="Q9" s="112"/>
      <c r="R9" s="113"/>
      <c r="S9" s="111"/>
      <c r="T9" s="112"/>
      <c r="U9" s="112"/>
      <c r="V9" s="113"/>
      <c r="W9" s="111"/>
      <c r="X9" s="112"/>
      <c r="Y9" s="112"/>
      <c r="Z9" s="113"/>
      <c r="AA9" s="111"/>
      <c r="AB9" s="112"/>
      <c r="AC9" s="112"/>
      <c r="AD9" s="113"/>
      <c r="AE9" s="111"/>
      <c r="AF9" s="112"/>
      <c r="AG9" s="112"/>
      <c r="AH9" s="113"/>
      <c r="AI9" s="10"/>
      <c r="AJ9" s="10"/>
      <c r="AK9" s="10"/>
      <c r="AL9" s="10"/>
      <c r="AM9" s="61"/>
      <c r="AN9" s="61"/>
      <c r="AO9" s="61"/>
      <c r="AP9" s="61"/>
      <c r="AQ9" s="61"/>
      <c r="AR9" s="61"/>
      <c r="AS9" s="61"/>
      <c r="AT9" s="61"/>
      <c r="AU9" s="10"/>
      <c r="AV9" s="10"/>
      <c r="AW9" s="10"/>
      <c r="AX9" s="10"/>
      <c r="AY9" s="10"/>
      <c r="AZ9" s="10"/>
      <c r="BA9" s="10"/>
      <c r="BB9" s="10"/>
      <c r="BC9" s="10"/>
      <c r="BD9" s="10"/>
      <c r="BE9" s="10"/>
      <c r="BF9" s="10"/>
      <c r="BG9" s="10"/>
      <c r="BH9" s="10"/>
      <c r="BI9" s="10"/>
      <c r="BJ9" s="10"/>
      <c r="BK9" s="10"/>
      <c r="BL9" s="10"/>
      <c r="BM9" s="10"/>
      <c r="BN9" s="10"/>
      <c r="BO9" s="10"/>
      <c r="BS9" s="9"/>
      <c r="BT9" s="5"/>
      <c r="BU9" s="24"/>
    </row>
    <row r="10" spans="1:73" ht="21" customHeight="1" thickBot="1" x14ac:dyDescent="0.6">
      <c r="A10" s="5"/>
      <c r="K10" s="117"/>
      <c r="L10" s="118"/>
      <c r="M10" s="118"/>
      <c r="N10" s="119"/>
      <c r="O10" s="117"/>
      <c r="P10" s="118"/>
      <c r="Q10" s="118"/>
      <c r="R10" s="119"/>
      <c r="S10" s="114"/>
      <c r="T10" s="115"/>
      <c r="U10" s="115"/>
      <c r="V10" s="116"/>
      <c r="W10" s="114"/>
      <c r="X10" s="115"/>
      <c r="Y10" s="115"/>
      <c r="Z10" s="116"/>
      <c r="AA10" s="114"/>
      <c r="AB10" s="115"/>
      <c r="AC10" s="115"/>
      <c r="AD10" s="116"/>
      <c r="AE10" s="114"/>
      <c r="AF10" s="115"/>
      <c r="AG10" s="115"/>
      <c r="AH10" s="116"/>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S10" s="9"/>
      <c r="BT10" s="5"/>
      <c r="BU10" s="24"/>
    </row>
    <row r="11" spans="1:73" ht="21" customHeight="1" x14ac:dyDescent="0.55000000000000004">
      <c r="A11" s="5"/>
      <c r="C11" s="1" t="s">
        <v>17</v>
      </c>
      <c r="G11" s="4">
        <v>7</v>
      </c>
      <c r="H11" s="106" t="s">
        <v>240</v>
      </c>
      <c r="I11" s="106"/>
      <c r="J11" s="106"/>
      <c r="K11" s="4">
        <v>8</v>
      </c>
      <c r="L11" s="106" t="s">
        <v>248</v>
      </c>
      <c r="M11" s="106"/>
      <c r="N11" s="106"/>
      <c r="O11" s="62"/>
      <c r="P11" s="62"/>
      <c r="Q11" s="62"/>
      <c r="R11" s="63"/>
      <c r="S11" s="4">
        <v>9</v>
      </c>
      <c r="T11" s="106" t="s">
        <v>250</v>
      </c>
      <c r="U11" s="106"/>
      <c r="V11" s="107"/>
      <c r="W11" s="4">
        <v>10</v>
      </c>
      <c r="X11" s="106" t="s">
        <v>258</v>
      </c>
      <c r="Y11" s="106"/>
      <c r="Z11" s="107"/>
      <c r="AA11" s="4">
        <v>11</v>
      </c>
      <c r="AB11" s="106" t="s">
        <v>260</v>
      </c>
      <c r="AC11" s="106"/>
      <c r="AD11" s="107"/>
      <c r="AE11" s="4">
        <v>12</v>
      </c>
      <c r="AF11" s="106" t="s">
        <v>268</v>
      </c>
      <c r="AG11" s="106"/>
      <c r="AH11" s="107"/>
      <c r="AI11" s="4">
        <v>13</v>
      </c>
      <c r="AJ11" s="106" t="s">
        <v>270</v>
      </c>
      <c r="AK11" s="106"/>
      <c r="AL11" s="107"/>
      <c r="AM11" s="4">
        <v>14</v>
      </c>
      <c r="AN11" s="106" t="s">
        <v>272</v>
      </c>
      <c r="AO11" s="106"/>
      <c r="AP11" s="107"/>
      <c r="AQ11" s="59"/>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S11" s="9"/>
      <c r="BT11" s="5"/>
      <c r="BU11" s="24"/>
    </row>
    <row r="12" spans="1:73" ht="21" customHeight="1" x14ac:dyDescent="0.55000000000000004">
      <c r="A12" s="5"/>
      <c r="G12" s="108"/>
      <c r="H12" s="109"/>
      <c r="I12" s="109"/>
      <c r="J12" s="109"/>
      <c r="K12" s="108"/>
      <c r="L12" s="109"/>
      <c r="M12" s="109"/>
      <c r="N12" s="109"/>
      <c r="O12" s="10"/>
      <c r="P12" s="10"/>
      <c r="Q12" s="10"/>
      <c r="R12" s="64"/>
      <c r="S12" s="108"/>
      <c r="T12" s="109"/>
      <c r="U12" s="109"/>
      <c r="V12" s="110"/>
      <c r="W12" s="108"/>
      <c r="X12" s="109"/>
      <c r="Y12" s="109"/>
      <c r="Z12" s="110"/>
      <c r="AA12" s="108"/>
      <c r="AB12" s="109"/>
      <c r="AC12" s="109"/>
      <c r="AD12" s="110"/>
      <c r="AE12" s="108"/>
      <c r="AF12" s="109"/>
      <c r="AG12" s="109"/>
      <c r="AH12" s="110"/>
      <c r="AI12" s="108"/>
      <c r="AJ12" s="109"/>
      <c r="AK12" s="109"/>
      <c r="AL12" s="110"/>
      <c r="AM12" s="108"/>
      <c r="AN12" s="109"/>
      <c r="AO12" s="109"/>
      <c r="AP12" s="110"/>
      <c r="AQ12" s="60"/>
      <c r="AR12" s="60"/>
      <c r="AS12" s="60"/>
      <c r="AT12" s="60"/>
      <c r="AU12" s="10"/>
      <c r="AV12" s="10"/>
      <c r="AW12" s="10"/>
      <c r="AX12" s="10"/>
      <c r="AY12" s="10"/>
      <c r="AZ12" s="10"/>
      <c r="BA12" s="10"/>
      <c r="BB12" s="10"/>
      <c r="BC12" s="10"/>
      <c r="BD12" s="10"/>
      <c r="BE12" s="10"/>
      <c r="BF12" s="10"/>
      <c r="BG12" s="10"/>
      <c r="BH12" s="10"/>
      <c r="BI12" s="10"/>
      <c r="BJ12" s="10"/>
      <c r="BK12" s="10"/>
      <c r="BL12" s="10"/>
      <c r="BM12" s="10"/>
      <c r="BN12" s="10"/>
      <c r="BO12" s="10"/>
      <c r="BS12" s="9"/>
      <c r="BT12" s="5"/>
      <c r="BU12" s="24"/>
    </row>
    <row r="13" spans="1:73" ht="21" customHeight="1" x14ac:dyDescent="0.55000000000000004">
      <c r="A13" s="5"/>
      <c r="G13" s="111"/>
      <c r="H13" s="112"/>
      <c r="I13" s="112"/>
      <c r="J13" s="112"/>
      <c r="K13" s="111"/>
      <c r="L13" s="112"/>
      <c r="M13" s="112"/>
      <c r="N13" s="112"/>
      <c r="O13" s="10"/>
      <c r="P13" s="10"/>
      <c r="Q13" s="10"/>
      <c r="R13" s="64"/>
      <c r="S13" s="111"/>
      <c r="T13" s="112"/>
      <c r="U13" s="112"/>
      <c r="V13" s="113"/>
      <c r="W13" s="111"/>
      <c r="X13" s="112"/>
      <c r="Y13" s="112"/>
      <c r="Z13" s="113"/>
      <c r="AA13" s="111"/>
      <c r="AB13" s="112"/>
      <c r="AC13" s="112"/>
      <c r="AD13" s="113"/>
      <c r="AE13" s="111"/>
      <c r="AF13" s="112"/>
      <c r="AG13" s="112"/>
      <c r="AH13" s="113"/>
      <c r="AI13" s="111"/>
      <c r="AJ13" s="112"/>
      <c r="AK13" s="112"/>
      <c r="AL13" s="113"/>
      <c r="AM13" s="111"/>
      <c r="AN13" s="112"/>
      <c r="AO13" s="112"/>
      <c r="AP13" s="113"/>
      <c r="AQ13" s="61"/>
      <c r="AR13" s="61"/>
      <c r="AS13" s="61"/>
      <c r="AT13" s="61"/>
      <c r="AU13" s="10"/>
      <c r="AV13" s="10"/>
      <c r="AW13" s="10"/>
      <c r="AX13" s="10"/>
      <c r="AY13" s="10"/>
      <c r="AZ13" s="10"/>
      <c r="BA13" s="10"/>
      <c r="BB13" s="10"/>
      <c r="BC13" s="10"/>
      <c r="BD13" s="10"/>
      <c r="BE13" s="10"/>
      <c r="BF13" s="10"/>
      <c r="BG13" s="10"/>
      <c r="BH13" s="10"/>
      <c r="BI13" s="10"/>
      <c r="BJ13" s="10"/>
      <c r="BK13" s="10"/>
      <c r="BL13" s="10"/>
      <c r="BM13" s="10"/>
      <c r="BN13" s="10"/>
      <c r="BO13" s="10"/>
      <c r="BS13" s="9"/>
      <c r="BT13" s="5"/>
      <c r="BU13" s="24"/>
    </row>
    <row r="14" spans="1:73" ht="21" customHeight="1" thickBot="1" x14ac:dyDescent="0.6">
      <c r="A14" s="5"/>
      <c r="G14" s="114"/>
      <c r="H14" s="115"/>
      <c r="I14" s="115"/>
      <c r="J14" s="115"/>
      <c r="K14" s="114"/>
      <c r="L14" s="115"/>
      <c r="M14" s="115"/>
      <c r="N14" s="115"/>
      <c r="O14" s="65"/>
      <c r="P14" s="65"/>
      <c r="Q14" s="65"/>
      <c r="R14" s="66"/>
      <c r="S14" s="114"/>
      <c r="T14" s="115"/>
      <c r="U14" s="115"/>
      <c r="V14" s="116"/>
      <c r="W14" s="114"/>
      <c r="X14" s="115"/>
      <c r="Y14" s="115"/>
      <c r="Z14" s="116"/>
      <c r="AA14" s="114"/>
      <c r="AB14" s="115"/>
      <c r="AC14" s="115"/>
      <c r="AD14" s="116"/>
      <c r="AE14" s="114"/>
      <c r="AF14" s="115"/>
      <c r="AG14" s="115"/>
      <c r="AH14" s="116"/>
      <c r="AI14" s="114"/>
      <c r="AJ14" s="115"/>
      <c r="AK14" s="115"/>
      <c r="AL14" s="116"/>
      <c r="AM14" s="114"/>
      <c r="AN14" s="115"/>
      <c r="AO14" s="115"/>
      <c r="AP14" s="116"/>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S14" s="9"/>
      <c r="BT14" s="5"/>
      <c r="BU14" s="24"/>
    </row>
    <row r="15" spans="1:73" ht="21" customHeight="1" x14ac:dyDescent="0.55000000000000004">
      <c r="A15" s="5"/>
      <c r="C15" s="1" t="s">
        <v>18</v>
      </c>
      <c r="G15" s="4">
        <v>15</v>
      </c>
      <c r="H15" s="106" t="s">
        <v>238</v>
      </c>
      <c r="I15" s="106"/>
      <c r="J15" s="107"/>
      <c r="K15" s="4">
        <v>16</v>
      </c>
      <c r="L15" s="106" t="s">
        <v>252</v>
      </c>
      <c r="M15" s="106"/>
      <c r="N15" s="107"/>
      <c r="O15" s="4">
        <v>17</v>
      </c>
      <c r="P15" s="106" t="s">
        <v>254</v>
      </c>
      <c r="Q15" s="106"/>
      <c r="R15" s="107"/>
      <c r="S15" s="4">
        <v>18</v>
      </c>
      <c r="T15" s="106" t="s">
        <v>256</v>
      </c>
      <c r="U15" s="106"/>
      <c r="V15" s="107"/>
      <c r="W15" s="4">
        <v>19</v>
      </c>
      <c r="X15" s="106" t="s">
        <v>274</v>
      </c>
      <c r="Y15" s="106"/>
      <c r="Z15" s="107"/>
      <c r="AA15" s="4">
        <v>20</v>
      </c>
      <c r="AB15" s="106" t="s">
        <v>276</v>
      </c>
      <c r="AC15" s="106"/>
      <c r="AD15" s="107"/>
      <c r="AE15" s="4">
        <v>21</v>
      </c>
      <c r="AF15" s="106" t="s">
        <v>278</v>
      </c>
      <c r="AG15" s="106"/>
      <c r="AH15" s="107"/>
      <c r="AI15" s="4">
        <v>22</v>
      </c>
      <c r="AJ15" s="106" t="s">
        <v>280</v>
      </c>
      <c r="AK15" s="106"/>
      <c r="AL15" s="107"/>
      <c r="AM15" s="4">
        <v>23</v>
      </c>
      <c r="AN15" s="106" t="s">
        <v>313</v>
      </c>
      <c r="AO15" s="106"/>
      <c r="AP15" s="107"/>
      <c r="AQ15" s="59"/>
      <c r="AR15" s="10"/>
      <c r="AS15" s="10"/>
      <c r="AT15" s="10"/>
      <c r="AU15" s="10"/>
      <c r="AV15" s="10"/>
      <c r="AW15" s="10"/>
      <c r="AX15" s="10"/>
      <c r="AY15" s="10"/>
      <c r="AZ15" s="10"/>
      <c r="BA15" s="10"/>
      <c r="BB15" s="10"/>
      <c r="BC15" s="10"/>
      <c r="BD15" s="10"/>
      <c r="BE15" s="10"/>
      <c r="BF15" s="10"/>
      <c r="BG15" s="10"/>
      <c r="BH15" s="10"/>
      <c r="BI15" s="10"/>
      <c r="BJ15" s="10"/>
      <c r="BK15" s="59"/>
      <c r="BL15" s="10"/>
      <c r="BM15" s="10"/>
      <c r="BN15" s="10"/>
      <c r="BO15" s="10"/>
      <c r="BS15" s="9"/>
      <c r="BT15" s="5"/>
      <c r="BU15" s="24"/>
    </row>
    <row r="16" spans="1:73" ht="21" customHeight="1" x14ac:dyDescent="0.55000000000000004">
      <c r="A16" s="5"/>
      <c r="G16" s="108"/>
      <c r="H16" s="109"/>
      <c r="I16" s="109"/>
      <c r="J16" s="110"/>
      <c r="K16" s="108"/>
      <c r="L16" s="109"/>
      <c r="M16" s="109"/>
      <c r="N16" s="110"/>
      <c r="O16" s="108"/>
      <c r="P16" s="109"/>
      <c r="Q16" s="109"/>
      <c r="R16" s="110"/>
      <c r="S16" s="108"/>
      <c r="T16" s="109"/>
      <c r="U16" s="109"/>
      <c r="V16" s="110"/>
      <c r="W16" s="108"/>
      <c r="X16" s="109"/>
      <c r="Y16" s="109"/>
      <c r="Z16" s="110"/>
      <c r="AA16" s="108"/>
      <c r="AB16" s="109"/>
      <c r="AC16" s="109"/>
      <c r="AD16" s="110"/>
      <c r="AE16" s="108"/>
      <c r="AF16" s="109"/>
      <c r="AG16" s="109"/>
      <c r="AH16" s="110"/>
      <c r="AI16" s="108"/>
      <c r="AJ16" s="109"/>
      <c r="AK16" s="109"/>
      <c r="AL16" s="110"/>
      <c r="AM16" s="108"/>
      <c r="AN16" s="109"/>
      <c r="AO16" s="109"/>
      <c r="AP16" s="110"/>
      <c r="AQ16" s="60"/>
      <c r="AR16" s="60"/>
      <c r="AS16" s="60"/>
      <c r="AT16" s="60"/>
      <c r="AU16" s="10"/>
      <c r="AV16" s="10"/>
      <c r="AW16" s="10"/>
      <c r="AX16" s="10"/>
      <c r="AY16" s="10"/>
      <c r="AZ16" s="10"/>
      <c r="BA16" s="10"/>
      <c r="BB16" s="10"/>
      <c r="BC16" s="10"/>
      <c r="BD16" s="10"/>
      <c r="BE16" s="10"/>
      <c r="BF16" s="10"/>
      <c r="BG16" s="10"/>
      <c r="BH16" s="10"/>
      <c r="BI16" s="10"/>
      <c r="BJ16" s="10"/>
      <c r="BK16" s="60"/>
      <c r="BL16" s="60"/>
      <c r="BM16" s="60"/>
      <c r="BN16" s="60"/>
      <c r="BO16" s="10"/>
      <c r="BS16" s="9"/>
      <c r="BT16" s="5"/>
      <c r="BU16" s="24"/>
    </row>
    <row r="17" spans="1:73" ht="21" customHeight="1" x14ac:dyDescent="0.55000000000000004">
      <c r="A17" s="5"/>
      <c r="G17" s="111"/>
      <c r="H17" s="112"/>
      <c r="I17" s="112"/>
      <c r="J17" s="113"/>
      <c r="K17" s="111"/>
      <c r="L17" s="112"/>
      <c r="M17" s="112"/>
      <c r="N17" s="113"/>
      <c r="O17" s="111"/>
      <c r="P17" s="112"/>
      <c r="Q17" s="112"/>
      <c r="R17" s="113"/>
      <c r="S17" s="111"/>
      <c r="T17" s="112"/>
      <c r="U17" s="112"/>
      <c r="V17" s="113"/>
      <c r="W17" s="111"/>
      <c r="X17" s="112"/>
      <c r="Y17" s="112"/>
      <c r="Z17" s="113"/>
      <c r="AA17" s="111"/>
      <c r="AB17" s="112"/>
      <c r="AC17" s="112"/>
      <c r="AD17" s="113"/>
      <c r="AE17" s="111"/>
      <c r="AF17" s="112"/>
      <c r="AG17" s="112"/>
      <c r="AH17" s="113"/>
      <c r="AI17" s="111"/>
      <c r="AJ17" s="112"/>
      <c r="AK17" s="112"/>
      <c r="AL17" s="113"/>
      <c r="AM17" s="111"/>
      <c r="AN17" s="112"/>
      <c r="AO17" s="112"/>
      <c r="AP17" s="113"/>
      <c r="AQ17" s="61"/>
      <c r="AR17" s="61"/>
      <c r="AS17" s="61"/>
      <c r="AT17" s="61"/>
      <c r="AU17" s="10"/>
      <c r="AV17" s="10"/>
      <c r="AW17" s="10"/>
      <c r="AX17" s="10"/>
      <c r="AY17" s="10"/>
      <c r="AZ17" s="10"/>
      <c r="BA17" s="10"/>
      <c r="BB17" s="10"/>
      <c r="BC17" s="10"/>
      <c r="BD17" s="10"/>
      <c r="BE17" s="10"/>
      <c r="BF17" s="10"/>
      <c r="BG17" s="10"/>
      <c r="BH17" s="10"/>
      <c r="BI17" s="10"/>
      <c r="BJ17" s="10"/>
      <c r="BK17" s="61"/>
      <c r="BL17" s="61"/>
      <c r="BM17" s="61"/>
      <c r="BN17" s="61"/>
      <c r="BO17" s="10"/>
      <c r="BS17" s="10"/>
      <c r="BT17" s="5"/>
      <c r="BU17" s="24"/>
    </row>
    <row r="18" spans="1:73" ht="21" customHeight="1" thickBot="1" x14ac:dyDescent="0.6">
      <c r="A18" s="5"/>
      <c r="G18" s="114"/>
      <c r="H18" s="115"/>
      <c r="I18" s="115"/>
      <c r="J18" s="116"/>
      <c r="K18" s="114"/>
      <c r="L18" s="115"/>
      <c r="M18" s="115"/>
      <c r="N18" s="116"/>
      <c r="O18" s="114"/>
      <c r="P18" s="115"/>
      <c r="Q18" s="115"/>
      <c r="R18" s="116"/>
      <c r="S18" s="114"/>
      <c r="T18" s="115"/>
      <c r="U18" s="115"/>
      <c r="V18" s="116"/>
      <c r="W18" s="114"/>
      <c r="X18" s="115"/>
      <c r="Y18" s="115"/>
      <c r="Z18" s="116"/>
      <c r="AA18" s="114"/>
      <c r="AB18" s="115"/>
      <c r="AC18" s="115"/>
      <c r="AD18" s="116"/>
      <c r="AE18" s="114"/>
      <c r="AF18" s="115"/>
      <c r="AG18" s="115"/>
      <c r="AH18" s="116"/>
      <c r="AI18" s="114"/>
      <c r="AJ18" s="115"/>
      <c r="AK18" s="115"/>
      <c r="AL18" s="116"/>
      <c r="AM18" s="114"/>
      <c r="AN18" s="115"/>
      <c r="AO18" s="115"/>
      <c r="AP18" s="116"/>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S18" s="10"/>
      <c r="BT18" s="5"/>
      <c r="BU18" s="24"/>
    </row>
    <row r="19" spans="1:73" ht="21" customHeight="1" x14ac:dyDescent="0.55000000000000004">
      <c r="A19" s="5"/>
      <c r="C19" s="1" t="s">
        <v>19</v>
      </c>
      <c r="G19" s="59"/>
      <c r="H19" s="10"/>
      <c r="I19" s="10"/>
      <c r="J19" s="10"/>
      <c r="K19" s="59"/>
      <c r="L19" s="10"/>
      <c r="M19" s="10"/>
      <c r="N19" s="10"/>
      <c r="O19" s="4">
        <v>24</v>
      </c>
      <c r="P19" s="106" t="s">
        <v>292</v>
      </c>
      <c r="Q19" s="106"/>
      <c r="R19" s="107"/>
      <c r="S19" s="4">
        <v>25</v>
      </c>
      <c r="T19" s="106" t="s">
        <v>290</v>
      </c>
      <c r="U19" s="106"/>
      <c r="V19" s="107"/>
      <c r="W19" s="4">
        <v>26</v>
      </c>
      <c r="X19" s="106" t="s">
        <v>282</v>
      </c>
      <c r="Y19" s="106"/>
      <c r="Z19" s="107"/>
      <c r="AA19" s="4">
        <v>27</v>
      </c>
      <c r="AB19" s="106" t="s">
        <v>284</v>
      </c>
      <c r="AC19" s="106"/>
      <c r="AD19" s="107"/>
      <c r="AE19" s="4">
        <v>28</v>
      </c>
      <c r="AF19" s="106" t="s">
        <v>286</v>
      </c>
      <c r="AG19" s="106"/>
      <c r="AH19" s="107"/>
      <c r="AI19" s="4">
        <v>29</v>
      </c>
      <c r="AJ19" s="106" t="s">
        <v>288</v>
      </c>
      <c r="AK19" s="106"/>
      <c r="AL19" s="107"/>
      <c r="AM19" s="4">
        <v>30</v>
      </c>
      <c r="AN19" s="106" t="s">
        <v>315</v>
      </c>
      <c r="AO19" s="106"/>
      <c r="AP19" s="107"/>
      <c r="AQ19" s="4">
        <v>31</v>
      </c>
      <c r="AR19" s="106" t="s">
        <v>317</v>
      </c>
      <c r="AS19" s="106"/>
      <c r="AT19" s="107"/>
      <c r="AU19" s="59"/>
      <c r="AV19" s="10"/>
      <c r="AW19" s="10"/>
      <c r="AX19" s="10"/>
      <c r="AY19" s="59"/>
      <c r="AZ19" s="10"/>
      <c r="BA19" s="10"/>
      <c r="BB19" s="10"/>
      <c r="BC19" s="59"/>
      <c r="BD19" s="10"/>
      <c r="BE19" s="10"/>
      <c r="BF19" s="10"/>
      <c r="BG19" s="59"/>
      <c r="BH19" s="10"/>
      <c r="BI19" s="10"/>
      <c r="BJ19" s="10"/>
      <c r="BK19" s="59"/>
      <c r="BL19" s="10"/>
      <c r="BM19" s="10"/>
      <c r="BN19" s="10"/>
      <c r="BO19" s="10"/>
      <c r="BT19" s="5"/>
      <c r="BU19" s="24"/>
    </row>
    <row r="20" spans="1:73" ht="21" customHeight="1" x14ac:dyDescent="0.55000000000000004">
      <c r="A20" s="5"/>
      <c r="G20" s="60"/>
      <c r="H20" s="60"/>
      <c r="I20" s="60"/>
      <c r="J20" s="60"/>
      <c r="K20" s="60"/>
      <c r="L20" s="60"/>
      <c r="M20" s="60"/>
      <c r="N20" s="60"/>
      <c r="O20" s="108"/>
      <c r="P20" s="109"/>
      <c r="Q20" s="109"/>
      <c r="R20" s="110"/>
      <c r="S20" s="108"/>
      <c r="T20" s="109"/>
      <c r="U20" s="109"/>
      <c r="V20" s="110"/>
      <c r="W20" s="108"/>
      <c r="X20" s="109"/>
      <c r="Y20" s="109"/>
      <c r="Z20" s="110"/>
      <c r="AA20" s="108"/>
      <c r="AB20" s="109"/>
      <c r="AC20" s="109"/>
      <c r="AD20" s="110"/>
      <c r="AE20" s="108"/>
      <c r="AF20" s="109"/>
      <c r="AG20" s="109"/>
      <c r="AH20" s="110"/>
      <c r="AI20" s="108"/>
      <c r="AJ20" s="109"/>
      <c r="AK20" s="109"/>
      <c r="AL20" s="110"/>
      <c r="AM20" s="108"/>
      <c r="AN20" s="109"/>
      <c r="AO20" s="109"/>
      <c r="AP20" s="110"/>
      <c r="AQ20" s="108"/>
      <c r="AR20" s="109"/>
      <c r="AS20" s="109"/>
      <c r="AT20" s="110"/>
      <c r="AU20" s="60"/>
      <c r="AV20" s="60"/>
      <c r="AW20" s="60"/>
      <c r="AX20" s="60"/>
      <c r="AY20" s="60"/>
      <c r="AZ20" s="60"/>
      <c r="BA20" s="60"/>
      <c r="BB20" s="60"/>
      <c r="BC20" s="60"/>
      <c r="BD20" s="60"/>
      <c r="BE20" s="60"/>
      <c r="BF20" s="60"/>
      <c r="BG20" s="60"/>
      <c r="BH20" s="60"/>
      <c r="BI20" s="60"/>
      <c r="BJ20" s="60"/>
      <c r="BK20" s="60"/>
      <c r="BL20" s="60"/>
      <c r="BM20" s="60"/>
      <c r="BN20" s="60"/>
      <c r="BO20" s="10"/>
      <c r="BT20" s="5"/>
      <c r="BU20" s="24"/>
    </row>
    <row r="21" spans="1:73" ht="21" customHeight="1" x14ac:dyDescent="0.55000000000000004">
      <c r="A21" s="5"/>
      <c r="G21" s="61"/>
      <c r="H21" s="61"/>
      <c r="I21" s="61"/>
      <c r="J21" s="61"/>
      <c r="K21" s="61"/>
      <c r="L21" s="61"/>
      <c r="M21" s="61"/>
      <c r="N21" s="61"/>
      <c r="O21" s="111"/>
      <c r="P21" s="112"/>
      <c r="Q21" s="112"/>
      <c r="R21" s="113"/>
      <c r="S21" s="111"/>
      <c r="T21" s="112"/>
      <c r="U21" s="112"/>
      <c r="V21" s="113"/>
      <c r="W21" s="111"/>
      <c r="X21" s="112"/>
      <c r="Y21" s="112"/>
      <c r="Z21" s="113"/>
      <c r="AA21" s="111"/>
      <c r="AB21" s="112"/>
      <c r="AC21" s="112"/>
      <c r="AD21" s="113"/>
      <c r="AE21" s="111"/>
      <c r="AF21" s="112"/>
      <c r="AG21" s="112"/>
      <c r="AH21" s="113"/>
      <c r="AI21" s="111"/>
      <c r="AJ21" s="112"/>
      <c r="AK21" s="112"/>
      <c r="AL21" s="113"/>
      <c r="AM21" s="111"/>
      <c r="AN21" s="112"/>
      <c r="AO21" s="112"/>
      <c r="AP21" s="113"/>
      <c r="AQ21" s="111"/>
      <c r="AR21" s="112"/>
      <c r="AS21" s="112"/>
      <c r="AT21" s="113"/>
      <c r="AU21" s="61"/>
      <c r="AV21" s="61"/>
      <c r="AW21" s="61"/>
      <c r="AX21" s="61"/>
      <c r="AY21" s="61"/>
      <c r="AZ21" s="61"/>
      <c r="BA21" s="61"/>
      <c r="BB21" s="61"/>
      <c r="BC21" s="61"/>
      <c r="BD21" s="61"/>
      <c r="BE21" s="61"/>
      <c r="BF21" s="61"/>
      <c r="BG21" s="61"/>
      <c r="BH21" s="61"/>
      <c r="BI21" s="61"/>
      <c r="BJ21" s="61"/>
      <c r="BK21" s="61"/>
      <c r="BL21" s="61"/>
      <c r="BM21" s="61"/>
      <c r="BN21" s="61"/>
      <c r="BO21" s="10"/>
      <c r="BT21" s="5"/>
      <c r="BU21" s="24"/>
    </row>
    <row r="22" spans="1:73" ht="21" customHeight="1" thickBot="1" x14ac:dyDescent="0.6">
      <c r="A22" s="5"/>
      <c r="G22" s="10"/>
      <c r="H22" s="10"/>
      <c r="I22" s="10"/>
      <c r="J22" s="10"/>
      <c r="K22" s="10"/>
      <c r="L22" s="10"/>
      <c r="M22" s="10"/>
      <c r="N22" s="10"/>
      <c r="O22" s="114"/>
      <c r="P22" s="115"/>
      <c r="Q22" s="115"/>
      <c r="R22" s="116"/>
      <c r="S22" s="114"/>
      <c r="T22" s="115"/>
      <c r="U22" s="115"/>
      <c r="V22" s="116"/>
      <c r="W22" s="114"/>
      <c r="X22" s="115"/>
      <c r="Y22" s="115"/>
      <c r="Z22" s="116"/>
      <c r="AA22" s="114"/>
      <c r="AB22" s="115"/>
      <c r="AC22" s="115"/>
      <c r="AD22" s="116"/>
      <c r="AE22" s="114"/>
      <c r="AF22" s="115"/>
      <c r="AG22" s="115"/>
      <c r="AH22" s="116"/>
      <c r="AI22" s="114"/>
      <c r="AJ22" s="115"/>
      <c r="AK22" s="115"/>
      <c r="AL22" s="116"/>
      <c r="AM22" s="114"/>
      <c r="AN22" s="115"/>
      <c r="AO22" s="115"/>
      <c r="AP22" s="116"/>
      <c r="AQ22" s="114"/>
      <c r="AR22" s="115"/>
      <c r="AS22" s="115"/>
      <c r="AT22" s="116"/>
      <c r="AU22" s="10"/>
      <c r="AV22" s="10"/>
      <c r="AW22" s="10"/>
      <c r="AX22" s="10"/>
      <c r="AY22" s="10"/>
      <c r="AZ22" s="10"/>
      <c r="BA22" s="10"/>
      <c r="BB22" s="10"/>
      <c r="BC22" s="10"/>
      <c r="BD22" s="10"/>
      <c r="BE22" s="10"/>
      <c r="BF22" s="10"/>
      <c r="BG22" s="10"/>
      <c r="BH22" s="10"/>
      <c r="BI22" s="10"/>
      <c r="BJ22" s="10"/>
      <c r="BK22" s="10"/>
      <c r="BL22" s="10"/>
      <c r="BM22" s="10"/>
      <c r="BN22" s="10"/>
      <c r="BO22" s="10"/>
      <c r="BT22" s="5"/>
      <c r="BU22" s="24"/>
    </row>
    <row r="23" spans="1:73" ht="21" customHeight="1" x14ac:dyDescent="0.55000000000000004">
      <c r="A23" s="5"/>
      <c r="C23" s="1" t="s">
        <v>20</v>
      </c>
      <c r="G23" s="10"/>
      <c r="H23" s="10"/>
      <c r="I23" s="10"/>
      <c r="J23" s="10"/>
      <c r="K23" s="10"/>
      <c r="L23" s="10"/>
      <c r="M23" s="10"/>
      <c r="N23" s="10"/>
      <c r="O23" s="4">
        <v>32</v>
      </c>
      <c r="P23" s="106" t="s">
        <v>293</v>
      </c>
      <c r="Q23" s="106"/>
      <c r="R23" s="107"/>
      <c r="S23" s="4">
        <v>33</v>
      </c>
      <c r="T23" s="106" t="s">
        <v>294</v>
      </c>
      <c r="U23" s="106"/>
      <c r="V23" s="107"/>
      <c r="W23" s="4">
        <v>34</v>
      </c>
      <c r="X23" s="106" t="s">
        <v>295</v>
      </c>
      <c r="Y23" s="106"/>
      <c r="Z23" s="107"/>
      <c r="AA23" s="4">
        <v>35</v>
      </c>
      <c r="AB23" s="106" t="s">
        <v>297</v>
      </c>
      <c r="AC23" s="106"/>
      <c r="AD23" s="107"/>
      <c r="AE23" s="4">
        <v>36</v>
      </c>
      <c r="AF23" s="106" t="s">
        <v>299</v>
      </c>
      <c r="AG23" s="106"/>
      <c r="AH23" s="107"/>
      <c r="AI23" s="4">
        <v>37</v>
      </c>
      <c r="AJ23" s="106" t="s">
        <v>327</v>
      </c>
      <c r="AK23" s="106"/>
      <c r="AL23" s="107"/>
      <c r="AM23" s="4">
        <v>38</v>
      </c>
      <c r="AN23" s="106" t="s">
        <v>319</v>
      </c>
      <c r="AO23" s="106"/>
      <c r="AP23" s="107"/>
      <c r="AQ23" s="4">
        <v>39</v>
      </c>
      <c r="AR23" s="106" t="s">
        <v>321</v>
      </c>
      <c r="AS23" s="106"/>
      <c r="AT23" s="107"/>
      <c r="AU23" s="4">
        <v>40</v>
      </c>
      <c r="AV23" s="106" t="s">
        <v>333</v>
      </c>
      <c r="AW23" s="106"/>
      <c r="AX23" s="107"/>
      <c r="AY23" s="4">
        <v>41</v>
      </c>
      <c r="AZ23" s="106" t="s">
        <v>334</v>
      </c>
      <c r="BA23" s="106"/>
      <c r="BB23" s="107"/>
      <c r="BC23" s="59"/>
      <c r="BD23" s="10"/>
      <c r="BE23" s="10"/>
      <c r="BF23" s="10"/>
      <c r="BG23" s="59"/>
      <c r="BH23" s="10"/>
      <c r="BI23" s="10"/>
      <c r="BJ23" s="10"/>
      <c r="BK23" s="10"/>
      <c r="BL23" s="10"/>
      <c r="BM23" s="10"/>
      <c r="BN23" s="10"/>
      <c r="BO23" s="59"/>
      <c r="BT23" s="5"/>
      <c r="BU23" s="24"/>
    </row>
    <row r="24" spans="1:73" ht="21" customHeight="1" x14ac:dyDescent="0.55000000000000004">
      <c r="A24" s="5"/>
      <c r="G24" s="10"/>
      <c r="H24" s="10"/>
      <c r="I24" s="10"/>
      <c r="J24" s="10"/>
      <c r="K24" s="10"/>
      <c r="L24" s="10"/>
      <c r="M24" s="10"/>
      <c r="N24" s="10"/>
      <c r="O24" s="108"/>
      <c r="P24" s="109"/>
      <c r="Q24" s="109"/>
      <c r="R24" s="110"/>
      <c r="S24" s="108"/>
      <c r="T24" s="109"/>
      <c r="U24" s="109"/>
      <c r="V24" s="110"/>
      <c r="W24" s="108"/>
      <c r="X24" s="109"/>
      <c r="Y24" s="109"/>
      <c r="Z24" s="110"/>
      <c r="AA24" s="108"/>
      <c r="AB24" s="109"/>
      <c r="AC24" s="109"/>
      <c r="AD24" s="110"/>
      <c r="AE24" s="108"/>
      <c r="AF24" s="109"/>
      <c r="AG24" s="109"/>
      <c r="AH24" s="110"/>
      <c r="AI24" s="108"/>
      <c r="AJ24" s="109"/>
      <c r="AK24" s="109"/>
      <c r="AL24" s="110"/>
      <c r="AM24" s="108"/>
      <c r="AN24" s="109"/>
      <c r="AO24" s="109"/>
      <c r="AP24" s="110"/>
      <c r="AQ24" s="108"/>
      <c r="AR24" s="109"/>
      <c r="AS24" s="109"/>
      <c r="AT24" s="110"/>
      <c r="AU24" s="108"/>
      <c r="AV24" s="109"/>
      <c r="AW24" s="109"/>
      <c r="AX24" s="110"/>
      <c r="AY24" s="108"/>
      <c r="AZ24" s="109"/>
      <c r="BA24" s="109"/>
      <c r="BB24" s="110"/>
      <c r="BC24" s="60"/>
      <c r="BD24" s="60"/>
      <c r="BE24" s="60"/>
      <c r="BF24" s="60"/>
      <c r="BG24" s="60"/>
      <c r="BH24" s="60"/>
      <c r="BI24" s="60"/>
      <c r="BJ24" s="60"/>
      <c r="BK24" s="10"/>
      <c r="BL24" s="10"/>
      <c r="BM24" s="10"/>
      <c r="BN24" s="10"/>
      <c r="BO24" s="60"/>
      <c r="BP24" s="51"/>
      <c r="BQ24" s="51"/>
      <c r="BR24" s="51"/>
      <c r="BT24" s="5"/>
      <c r="BU24" s="24"/>
    </row>
    <row r="25" spans="1:73" ht="21" customHeight="1" x14ac:dyDescent="0.55000000000000004">
      <c r="A25" s="5"/>
      <c r="G25" s="10"/>
      <c r="H25" s="10"/>
      <c r="I25" s="10"/>
      <c r="J25" s="10"/>
      <c r="K25" s="10"/>
      <c r="L25" s="10"/>
      <c r="M25" s="10"/>
      <c r="N25" s="10"/>
      <c r="O25" s="111"/>
      <c r="P25" s="112"/>
      <c r="Q25" s="112"/>
      <c r="R25" s="113"/>
      <c r="S25" s="111"/>
      <c r="T25" s="112"/>
      <c r="U25" s="112"/>
      <c r="V25" s="113"/>
      <c r="W25" s="111"/>
      <c r="X25" s="112"/>
      <c r="Y25" s="112"/>
      <c r="Z25" s="113"/>
      <c r="AA25" s="111"/>
      <c r="AB25" s="112"/>
      <c r="AC25" s="112"/>
      <c r="AD25" s="113"/>
      <c r="AE25" s="111"/>
      <c r="AF25" s="112"/>
      <c r="AG25" s="112"/>
      <c r="AH25" s="113"/>
      <c r="AI25" s="111"/>
      <c r="AJ25" s="112"/>
      <c r="AK25" s="112"/>
      <c r="AL25" s="113"/>
      <c r="AM25" s="111"/>
      <c r="AN25" s="112"/>
      <c r="AO25" s="112"/>
      <c r="AP25" s="113"/>
      <c r="AQ25" s="111"/>
      <c r="AR25" s="112"/>
      <c r="AS25" s="112"/>
      <c r="AT25" s="113"/>
      <c r="AU25" s="111"/>
      <c r="AV25" s="112"/>
      <c r="AW25" s="112"/>
      <c r="AX25" s="113"/>
      <c r="AY25" s="111"/>
      <c r="AZ25" s="112"/>
      <c r="BA25" s="112"/>
      <c r="BB25" s="113"/>
      <c r="BC25" s="61"/>
      <c r="BD25" s="61"/>
      <c r="BE25" s="61"/>
      <c r="BF25" s="61"/>
      <c r="BG25" s="61"/>
      <c r="BH25" s="61"/>
      <c r="BI25" s="61"/>
      <c r="BJ25" s="61"/>
      <c r="BK25" s="10"/>
      <c r="BL25" s="10"/>
      <c r="BM25" s="10"/>
      <c r="BN25" s="10"/>
      <c r="BO25" s="61"/>
      <c r="BP25" s="52"/>
      <c r="BQ25" s="52"/>
      <c r="BR25" s="52"/>
      <c r="BT25" s="5"/>
      <c r="BU25" s="24"/>
    </row>
    <row r="26" spans="1:73" ht="21" customHeight="1" thickBot="1" x14ac:dyDescent="0.6">
      <c r="A26" s="5"/>
      <c r="G26" s="10"/>
      <c r="H26" s="10"/>
      <c r="I26" s="10"/>
      <c r="J26" s="10"/>
      <c r="K26" s="10"/>
      <c r="L26" s="10"/>
      <c r="M26" s="10"/>
      <c r="N26" s="10"/>
      <c r="O26" s="114"/>
      <c r="P26" s="115"/>
      <c r="Q26" s="115"/>
      <c r="R26" s="116"/>
      <c r="S26" s="114"/>
      <c r="T26" s="115"/>
      <c r="U26" s="115"/>
      <c r="V26" s="116"/>
      <c r="W26" s="114"/>
      <c r="X26" s="115"/>
      <c r="Y26" s="115"/>
      <c r="Z26" s="116"/>
      <c r="AA26" s="114"/>
      <c r="AB26" s="115"/>
      <c r="AC26" s="115"/>
      <c r="AD26" s="116"/>
      <c r="AE26" s="114"/>
      <c r="AF26" s="115"/>
      <c r="AG26" s="115"/>
      <c r="AH26" s="116"/>
      <c r="AI26" s="114"/>
      <c r="AJ26" s="115"/>
      <c r="AK26" s="115"/>
      <c r="AL26" s="116"/>
      <c r="AM26" s="114"/>
      <c r="AN26" s="115"/>
      <c r="AO26" s="115"/>
      <c r="AP26" s="116"/>
      <c r="AQ26" s="114"/>
      <c r="AR26" s="115"/>
      <c r="AS26" s="115"/>
      <c r="AT26" s="116"/>
      <c r="AU26" s="114"/>
      <c r="AV26" s="115"/>
      <c r="AW26" s="115"/>
      <c r="AX26" s="116"/>
      <c r="AY26" s="114"/>
      <c r="AZ26" s="115"/>
      <c r="BA26" s="115"/>
      <c r="BB26" s="116"/>
      <c r="BC26" s="10"/>
      <c r="BD26" s="10"/>
      <c r="BE26" s="10"/>
      <c r="BF26" s="10"/>
      <c r="BG26" s="10"/>
      <c r="BH26" s="10"/>
      <c r="BI26" s="10"/>
      <c r="BJ26" s="10"/>
      <c r="BK26" s="10"/>
      <c r="BL26" s="10"/>
      <c r="BM26" s="10"/>
      <c r="BN26" s="10"/>
      <c r="BO26" s="10"/>
      <c r="BP26" s="53"/>
      <c r="BQ26" s="53"/>
      <c r="BR26" s="53"/>
      <c r="BT26" s="5"/>
      <c r="BU26" s="24"/>
    </row>
    <row r="27" spans="1:73" ht="21" customHeight="1" x14ac:dyDescent="0.55000000000000004">
      <c r="A27" s="5"/>
      <c r="C27" s="1" t="s">
        <v>21</v>
      </c>
      <c r="G27" s="10"/>
      <c r="H27" s="10"/>
      <c r="I27" s="10"/>
      <c r="J27" s="10"/>
      <c r="K27" s="10"/>
      <c r="L27" s="10"/>
      <c r="M27" s="10"/>
      <c r="N27" s="10"/>
      <c r="S27" s="4">
        <v>42</v>
      </c>
      <c r="T27" s="106" t="s">
        <v>303</v>
      </c>
      <c r="U27" s="106"/>
      <c r="V27" s="107"/>
      <c r="W27" s="4">
        <v>43</v>
      </c>
      <c r="X27" s="106" t="s">
        <v>301</v>
      </c>
      <c r="Y27" s="106"/>
      <c r="Z27" s="107"/>
      <c r="AA27" s="4">
        <v>44</v>
      </c>
      <c r="AB27" s="106" t="s">
        <v>395</v>
      </c>
      <c r="AC27" s="106"/>
      <c r="AD27" s="107"/>
      <c r="AE27" s="4">
        <v>45</v>
      </c>
      <c r="AF27" s="106" t="s">
        <v>329</v>
      </c>
      <c r="AG27" s="106"/>
      <c r="AH27" s="107"/>
      <c r="AI27" s="4">
        <v>46</v>
      </c>
      <c r="AJ27" s="106" t="s">
        <v>331</v>
      </c>
      <c r="AK27" s="106"/>
      <c r="AL27" s="107"/>
      <c r="AM27" s="4">
        <v>47</v>
      </c>
      <c r="AN27" s="106" t="s">
        <v>325</v>
      </c>
      <c r="AO27" s="106"/>
      <c r="AP27" s="107"/>
      <c r="AQ27" s="4">
        <v>48</v>
      </c>
      <c r="AR27" s="106" t="s">
        <v>323</v>
      </c>
      <c r="AS27" s="106"/>
      <c r="AT27" s="107"/>
      <c r="AU27" s="4">
        <v>49</v>
      </c>
      <c r="AV27" s="106" t="s">
        <v>336</v>
      </c>
      <c r="AW27" s="106"/>
      <c r="AX27" s="107"/>
      <c r="AY27" s="4">
        <v>50</v>
      </c>
      <c r="AZ27" s="106" t="s">
        <v>338</v>
      </c>
      <c r="BA27" s="106"/>
      <c r="BB27" s="107"/>
      <c r="BC27" s="4">
        <v>51</v>
      </c>
      <c r="BD27" s="106" t="s">
        <v>340</v>
      </c>
      <c r="BE27" s="106"/>
      <c r="BF27" s="107"/>
      <c r="BG27" s="4">
        <v>52</v>
      </c>
      <c r="BH27" s="106" t="s">
        <v>342</v>
      </c>
      <c r="BI27" s="106"/>
      <c r="BJ27" s="107"/>
      <c r="BK27" s="4">
        <v>53</v>
      </c>
      <c r="BL27" s="106" t="s">
        <v>344</v>
      </c>
      <c r="BM27" s="106"/>
      <c r="BN27" s="107"/>
      <c r="BO27" s="59"/>
      <c r="BT27" s="5"/>
      <c r="BU27" s="24"/>
    </row>
    <row r="28" spans="1:73" ht="21" customHeight="1" x14ac:dyDescent="0.55000000000000004">
      <c r="A28" s="5"/>
      <c r="G28" s="10"/>
      <c r="H28" s="10"/>
      <c r="I28" s="10"/>
      <c r="J28" s="10"/>
      <c r="K28" s="10"/>
      <c r="L28" s="10"/>
      <c r="M28" s="10"/>
      <c r="N28" s="10"/>
      <c r="S28" s="108"/>
      <c r="T28" s="109"/>
      <c r="U28" s="109"/>
      <c r="V28" s="110"/>
      <c r="W28" s="108"/>
      <c r="X28" s="109"/>
      <c r="Y28" s="109"/>
      <c r="Z28" s="110"/>
      <c r="AA28" s="108"/>
      <c r="AB28" s="109"/>
      <c r="AC28" s="109"/>
      <c r="AD28" s="110"/>
      <c r="AE28" s="108"/>
      <c r="AF28" s="109"/>
      <c r="AG28" s="109"/>
      <c r="AH28" s="110"/>
      <c r="AI28" s="108"/>
      <c r="AJ28" s="109"/>
      <c r="AK28" s="109"/>
      <c r="AL28" s="110"/>
      <c r="AM28" s="108"/>
      <c r="AN28" s="109"/>
      <c r="AO28" s="109"/>
      <c r="AP28" s="110"/>
      <c r="AQ28" s="108"/>
      <c r="AR28" s="109"/>
      <c r="AS28" s="109"/>
      <c r="AT28" s="110"/>
      <c r="AU28" s="108"/>
      <c r="AV28" s="109"/>
      <c r="AW28" s="109"/>
      <c r="AX28" s="110"/>
      <c r="AY28" s="108"/>
      <c r="AZ28" s="109"/>
      <c r="BA28" s="109"/>
      <c r="BB28" s="110"/>
      <c r="BC28" s="108"/>
      <c r="BD28" s="109"/>
      <c r="BE28" s="109"/>
      <c r="BF28" s="110"/>
      <c r="BG28" s="108"/>
      <c r="BH28" s="109"/>
      <c r="BI28" s="109"/>
      <c r="BJ28" s="110"/>
      <c r="BK28" s="108"/>
      <c r="BL28" s="109"/>
      <c r="BM28" s="109"/>
      <c r="BN28" s="110"/>
      <c r="BO28" s="60"/>
      <c r="BP28" s="51"/>
      <c r="BQ28" s="51"/>
      <c r="BR28" s="51"/>
      <c r="BT28" s="5"/>
      <c r="BU28" s="24"/>
    </row>
    <row r="29" spans="1:73" ht="21" customHeight="1" x14ac:dyDescent="0.55000000000000004">
      <c r="A29" s="5"/>
      <c r="G29" s="10"/>
      <c r="H29" s="10"/>
      <c r="I29" s="10"/>
      <c r="J29" s="10"/>
      <c r="K29" s="10"/>
      <c r="L29" s="10"/>
      <c r="M29" s="10"/>
      <c r="N29" s="10"/>
      <c r="S29" s="111"/>
      <c r="T29" s="112"/>
      <c r="U29" s="112"/>
      <c r="V29" s="113"/>
      <c r="W29" s="111"/>
      <c r="X29" s="112"/>
      <c r="Y29" s="112"/>
      <c r="Z29" s="113"/>
      <c r="AA29" s="111"/>
      <c r="AB29" s="112"/>
      <c r="AC29" s="112"/>
      <c r="AD29" s="113"/>
      <c r="AE29" s="111"/>
      <c r="AF29" s="112"/>
      <c r="AG29" s="112"/>
      <c r="AH29" s="113"/>
      <c r="AI29" s="111"/>
      <c r="AJ29" s="112"/>
      <c r="AK29" s="112"/>
      <c r="AL29" s="113"/>
      <c r="AM29" s="111"/>
      <c r="AN29" s="112"/>
      <c r="AO29" s="112"/>
      <c r="AP29" s="113"/>
      <c r="AQ29" s="111"/>
      <c r="AR29" s="112"/>
      <c r="AS29" s="112"/>
      <c r="AT29" s="113"/>
      <c r="AU29" s="111"/>
      <c r="AV29" s="112"/>
      <c r="AW29" s="112"/>
      <c r="AX29" s="113"/>
      <c r="AY29" s="111"/>
      <c r="AZ29" s="112"/>
      <c r="BA29" s="112"/>
      <c r="BB29" s="113"/>
      <c r="BC29" s="111"/>
      <c r="BD29" s="112"/>
      <c r="BE29" s="112"/>
      <c r="BF29" s="113"/>
      <c r="BG29" s="111"/>
      <c r="BH29" s="112"/>
      <c r="BI29" s="112"/>
      <c r="BJ29" s="113"/>
      <c r="BK29" s="111"/>
      <c r="BL29" s="112"/>
      <c r="BM29" s="112"/>
      <c r="BN29" s="113"/>
      <c r="BO29" s="61"/>
      <c r="BP29" s="52"/>
      <c r="BQ29" s="52"/>
      <c r="BR29" s="52"/>
      <c r="BT29" s="5"/>
      <c r="BU29" s="24"/>
    </row>
    <row r="30" spans="1:73" ht="21" customHeight="1" thickBot="1" x14ac:dyDescent="0.6">
      <c r="A30" s="5"/>
      <c r="G30" s="10"/>
      <c r="H30" s="10"/>
      <c r="I30" s="10"/>
      <c r="J30" s="10"/>
      <c r="K30" s="10"/>
      <c r="L30" s="10"/>
      <c r="M30" s="10"/>
      <c r="N30" s="10"/>
      <c r="S30" s="114"/>
      <c r="T30" s="115"/>
      <c r="U30" s="115"/>
      <c r="V30" s="116"/>
      <c r="W30" s="114"/>
      <c r="X30" s="115"/>
      <c r="Y30" s="115"/>
      <c r="Z30" s="116"/>
      <c r="AA30" s="114"/>
      <c r="AB30" s="115"/>
      <c r="AC30" s="115"/>
      <c r="AD30" s="116"/>
      <c r="AE30" s="114"/>
      <c r="AF30" s="115"/>
      <c r="AG30" s="115"/>
      <c r="AH30" s="116"/>
      <c r="AI30" s="114"/>
      <c r="AJ30" s="115"/>
      <c r="AK30" s="115"/>
      <c r="AL30" s="116"/>
      <c r="AM30" s="114"/>
      <c r="AN30" s="115"/>
      <c r="AO30" s="115"/>
      <c r="AP30" s="116"/>
      <c r="AQ30" s="114"/>
      <c r="AR30" s="115"/>
      <c r="AS30" s="115"/>
      <c r="AT30" s="116"/>
      <c r="AU30" s="114"/>
      <c r="AV30" s="115"/>
      <c r="AW30" s="115"/>
      <c r="AX30" s="116"/>
      <c r="AY30" s="114"/>
      <c r="AZ30" s="115"/>
      <c r="BA30" s="115"/>
      <c r="BB30" s="116"/>
      <c r="BC30" s="114"/>
      <c r="BD30" s="115"/>
      <c r="BE30" s="115"/>
      <c r="BF30" s="116"/>
      <c r="BG30" s="114"/>
      <c r="BH30" s="115"/>
      <c r="BI30" s="115"/>
      <c r="BJ30" s="116"/>
      <c r="BK30" s="114"/>
      <c r="BL30" s="115"/>
      <c r="BM30" s="115"/>
      <c r="BN30" s="116"/>
      <c r="BO30" s="10"/>
      <c r="BP30" s="53"/>
      <c r="BQ30" s="53"/>
      <c r="BR30" s="53"/>
      <c r="BT30" s="5"/>
      <c r="BU30" s="24"/>
    </row>
    <row r="31" spans="1:73" ht="21" customHeight="1" x14ac:dyDescent="0.55000000000000004">
      <c r="A31" s="5"/>
      <c r="C31" s="1" t="s">
        <v>22</v>
      </c>
      <c r="G31" s="4">
        <v>54</v>
      </c>
      <c r="H31" s="106" t="s">
        <v>311</v>
      </c>
      <c r="I31" s="106"/>
      <c r="J31" s="107"/>
      <c r="K31" s="4">
        <v>55</v>
      </c>
      <c r="L31" s="106" t="s">
        <v>309</v>
      </c>
      <c r="M31" s="106"/>
      <c r="N31" s="107"/>
      <c r="O31" s="4">
        <v>56</v>
      </c>
      <c r="P31" s="106" t="s">
        <v>307</v>
      </c>
      <c r="Q31" s="106"/>
      <c r="R31" s="107"/>
      <c r="S31" s="4">
        <v>57</v>
      </c>
      <c r="T31" s="106" t="s">
        <v>305</v>
      </c>
      <c r="U31" s="106"/>
      <c r="V31" s="107"/>
      <c r="W31" s="10"/>
      <c r="X31" s="10"/>
      <c r="Y31" s="10"/>
      <c r="Z31" s="10"/>
      <c r="AA31" s="4">
        <v>58</v>
      </c>
      <c r="AB31" s="106" t="s">
        <v>393</v>
      </c>
      <c r="AC31" s="106"/>
      <c r="AD31" s="107"/>
      <c r="AE31" s="4">
        <v>59</v>
      </c>
      <c r="AF31" s="106" t="s">
        <v>387</v>
      </c>
      <c r="AG31" s="106"/>
      <c r="AH31" s="107"/>
      <c r="AI31" s="4">
        <v>60</v>
      </c>
      <c r="AJ31" s="106" t="s">
        <v>355</v>
      </c>
      <c r="AK31" s="106"/>
      <c r="AL31" s="107"/>
      <c r="AM31" s="4">
        <v>61</v>
      </c>
      <c r="AN31" s="106" t="s">
        <v>357</v>
      </c>
      <c r="AO31" s="106"/>
      <c r="AP31" s="107"/>
      <c r="AQ31" s="59"/>
      <c r="AR31" s="10"/>
      <c r="AS31" s="10"/>
      <c r="AT31" s="10"/>
      <c r="AU31" s="4">
        <v>62</v>
      </c>
      <c r="AV31" s="106" t="s">
        <v>345</v>
      </c>
      <c r="AW31" s="106"/>
      <c r="AX31" s="107"/>
      <c r="AY31" s="4">
        <v>63</v>
      </c>
      <c r="AZ31" s="106" t="s">
        <v>347</v>
      </c>
      <c r="BA31" s="106"/>
      <c r="BB31" s="107"/>
      <c r="BC31" s="4">
        <v>64</v>
      </c>
      <c r="BD31" s="106" t="s">
        <v>349</v>
      </c>
      <c r="BE31" s="106"/>
      <c r="BF31" s="107"/>
      <c r="BG31" s="4">
        <v>65</v>
      </c>
      <c r="BH31" s="106" t="s">
        <v>351</v>
      </c>
      <c r="BI31" s="106"/>
      <c r="BJ31" s="107"/>
      <c r="BK31" s="4">
        <v>66</v>
      </c>
      <c r="BL31" s="106" t="s">
        <v>353</v>
      </c>
      <c r="BM31" s="106"/>
      <c r="BN31" s="107"/>
      <c r="BO31" s="59"/>
      <c r="BT31" s="5"/>
      <c r="BU31" s="24"/>
    </row>
    <row r="32" spans="1:73" ht="21" customHeight="1" x14ac:dyDescent="0.55000000000000004">
      <c r="A32" s="5"/>
      <c r="G32" s="108"/>
      <c r="H32" s="109"/>
      <c r="I32" s="109"/>
      <c r="J32" s="110"/>
      <c r="K32" s="108"/>
      <c r="L32" s="109"/>
      <c r="M32" s="109"/>
      <c r="N32" s="110"/>
      <c r="O32" s="108"/>
      <c r="P32" s="109"/>
      <c r="Q32" s="109"/>
      <c r="R32" s="110"/>
      <c r="S32" s="108"/>
      <c r="T32" s="109"/>
      <c r="U32" s="109"/>
      <c r="V32" s="110"/>
      <c r="W32" s="10"/>
      <c r="X32" s="10"/>
      <c r="Y32" s="10"/>
      <c r="Z32" s="10"/>
      <c r="AA32" s="108"/>
      <c r="AB32" s="109"/>
      <c r="AC32" s="109"/>
      <c r="AD32" s="110"/>
      <c r="AE32" s="108"/>
      <c r="AF32" s="109"/>
      <c r="AG32" s="109"/>
      <c r="AH32" s="110"/>
      <c r="AI32" s="108"/>
      <c r="AJ32" s="109"/>
      <c r="AK32" s="109"/>
      <c r="AL32" s="110"/>
      <c r="AM32" s="108"/>
      <c r="AN32" s="109"/>
      <c r="AO32" s="109"/>
      <c r="AP32" s="110"/>
      <c r="AQ32" s="60"/>
      <c r="AR32" s="60"/>
      <c r="AS32" s="60"/>
      <c r="AT32" s="60"/>
      <c r="AU32" s="108"/>
      <c r="AV32" s="109"/>
      <c r="AW32" s="109"/>
      <c r="AX32" s="110"/>
      <c r="AY32" s="108"/>
      <c r="AZ32" s="109"/>
      <c r="BA32" s="109"/>
      <c r="BB32" s="110"/>
      <c r="BC32" s="108"/>
      <c r="BD32" s="109"/>
      <c r="BE32" s="109"/>
      <c r="BF32" s="110"/>
      <c r="BG32" s="108"/>
      <c r="BH32" s="109"/>
      <c r="BI32" s="109"/>
      <c r="BJ32" s="110"/>
      <c r="BK32" s="108"/>
      <c r="BL32" s="109"/>
      <c r="BM32" s="109"/>
      <c r="BN32" s="110"/>
      <c r="BO32" s="60"/>
      <c r="BP32" s="51"/>
      <c r="BQ32" s="51"/>
      <c r="BR32" s="51"/>
      <c r="BT32" s="5"/>
      <c r="BU32" s="24"/>
    </row>
    <row r="33" spans="1:73" ht="21" customHeight="1" x14ac:dyDescent="0.55000000000000004">
      <c r="A33" s="5"/>
      <c r="G33" s="111"/>
      <c r="H33" s="112"/>
      <c r="I33" s="112"/>
      <c r="J33" s="113"/>
      <c r="K33" s="111"/>
      <c r="L33" s="112"/>
      <c r="M33" s="112"/>
      <c r="N33" s="113"/>
      <c r="O33" s="111"/>
      <c r="P33" s="112"/>
      <c r="Q33" s="112"/>
      <c r="R33" s="113"/>
      <c r="S33" s="111"/>
      <c r="T33" s="112"/>
      <c r="U33" s="112"/>
      <c r="V33" s="113"/>
      <c r="W33" s="10"/>
      <c r="X33" s="10"/>
      <c r="Y33" s="10"/>
      <c r="Z33" s="10"/>
      <c r="AA33" s="111"/>
      <c r="AB33" s="112"/>
      <c r="AC33" s="112"/>
      <c r="AD33" s="113"/>
      <c r="AE33" s="111"/>
      <c r="AF33" s="112"/>
      <c r="AG33" s="112"/>
      <c r="AH33" s="113"/>
      <c r="AI33" s="111"/>
      <c r="AJ33" s="112"/>
      <c r="AK33" s="112"/>
      <c r="AL33" s="113"/>
      <c r="AM33" s="111"/>
      <c r="AN33" s="112"/>
      <c r="AO33" s="112"/>
      <c r="AP33" s="113"/>
      <c r="AQ33" s="61"/>
      <c r="AR33" s="61"/>
      <c r="AS33" s="61"/>
      <c r="AT33" s="61"/>
      <c r="AU33" s="111"/>
      <c r="AV33" s="112"/>
      <c r="AW33" s="112"/>
      <c r="AX33" s="113"/>
      <c r="AY33" s="111"/>
      <c r="AZ33" s="112"/>
      <c r="BA33" s="112"/>
      <c r="BB33" s="113"/>
      <c r="BC33" s="111"/>
      <c r="BD33" s="112"/>
      <c r="BE33" s="112"/>
      <c r="BF33" s="113"/>
      <c r="BG33" s="111"/>
      <c r="BH33" s="112"/>
      <c r="BI33" s="112"/>
      <c r="BJ33" s="113"/>
      <c r="BK33" s="111"/>
      <c r="BL33" s="112"/>
      <c r="BM33" s="112"/>
      <c r="BN33" s="113"/>
      <c r="BO33" s="61"/>
      <c r="BP33" s="52"/>
      <c r="BQ33" s="52"/>
      <c r="BR33" s="52"/>
      <c r="BT33" s="5"/>
      <c r="BU33" s="24"/>
    </row>
    <row r="34" spans="1:73" ht="21" customHeight="1" thickBot="1" x14ac:dyDescent="0.6">
      <c r="A34" s="5"/>
      <c r="G34" s="114"/>
      <c r="H34" s="115"/>
      <c r="I34" s="115"/>
      <c r="J34" s="116"/>
      <c r="K34" s="114"/>
      <c r="L34" s="115"/>
      <c r="M34" s="115"/>
      <c r="N34" s="116"/>
      <c r="O34" s="114"/>
      <c r="P34" s="115"/>
      <c r="Q34" s="115"/>
      <c r="R34" s="116"/>
      <c r="S34" s="114"/>
      <c r="T34" s="115"/>
      <c r="U34" s="115"/>
      <c r="V34" s="116"/>
      <c r="W34" s="10"/>
      <c r="X34" s="10"/>
      <c r="Y34" s="10"/>
      <c r="Z34" s="10"/>
      <c r="AA34" s="114"/>
      <c r="AB34" s="115"/>
      <c r="AC34" s="115"/>
      <c r="AD34" s="116"/>
      <c r="AE34" s="114"/>
      <c r="AF34" s="115"/>
      <c r="AG34" s="115"/>
      <c r="AH34" s="116"/>
      <c r="AI34" s="114"/>
      <c r="AJ34" s="115"/>
      <c r="AK34" s="115"/>
      <c r="AL34" s="116"/>
      <c r="AM34" s="114"/>
      <c r="AN34" s="115"/>
      <c r="AO34" s="115"/>
      <c r="AP34" s="116"/>
      <c r="AQ34" s="10"/>
      <c r="AR34" s="10"/>
      <c r="AS34" s="10"/>
      <c r="AT34" s="10"/>
      <c r="AU34" s="114"/>
      <c r="AV34" s="115"/>
      <c r="AW34" s="115"/>
      <c r="AX34" s="116"/>
      <c r="AY34" s="114"/>
      <c r="AZ34" s="115"/>
      <c r="BA34" s="115"/>
      <c r="BB34" s="116"/>
      <c r="BC34" s="114"/>
      <c r="BD34" s="115"/>
      <c r="BE34" s="115"/>
      <c r="BF34" s="116"/>
      <c r="BG34" s="114"/>
      <c r="BH34" s="115"/>
      <c r="BI34" s="115"/>
      <c r="BJ34" s="116"/>
      <c r="BK34" s="114"/>
      <c r="BL34" s="115"/>
      <c r="BM34" s="115"/>
      <c r="BN34" s="116"/>
      <c r="BO34" s="10"/>
      <c r="BP34" s="53"/>
      <c r="BQ34" s="53"/>
      <c r="BR34" s="53"/>
      <c r="BT34" s="5"/>
      <c r="BU34" s="24"/>
    </row>
    <row r="35" spans="1:73" ht="21" customHeight="1" x14ac:dyDescent="0.55000000000000004">
      <c r="A35" s="5"/>
      <c r="C35" s="1" t="s">
        <v>23</v>
      </c>
      <c r="G35" s="10"/>
      <c r="H35" s="10"/>
      <c r="I35" s="10"/>
      <c r="J35" s="10"/>
      <c r="K35" s="10"/>
      <c r="L35" s="10"/>
      <c r="M35" s="10"/>
      <c r="N35" s="10"/>
      <c r="O35" s="10"/>
      <c r="P35" s="10"/>
      <c r="Q35" s="10"/>
      <c r="R35" s="10"/>
      <c r="S35" s="10"/>
      <c r="T35" s="10"/>
      <c r="U35" s="10"/>
      <c r="V35" s="10"/>
      <c r="W35" s="10"/>
      <c r="X35" s="10"/>
      <c r="Y35" s="10"/>
      <c r="Z35" s="10"/>
      <c r="AA35" s="4">
        <v>67</v>
      </c>
      <c r="AB35" s="106" t="s">
        <v>391</v>
      </c>
      <c r="AC35" s="106"/>
      <c r="AD35" s="107"/>
      <c r="AE35" s="4">
        <v>68</v>
      </c>
      <c r="AF35" s="106" t="s">
        <v>389</v>
      </c>
      <c r="AG35" s="106"/>
      <c r="AH35" s="107"/>
      <c r="AI35" s="59"/>
      <c r="AJ35" s="10"/>
      <c r="AK35" s="10"/>
      <c r="AL35" s="10"/>
      <c r="AM35" s="59"/>
      <c r="AN35" s="10"/>
      <c r="AO35" s="10"/>
      <c r="AP35" s="10"/>
      <c r="AQ35" s="59"/>
      <c r="AR35" s="10"/>
      <c r="AS35" s="10"/>
      <c r="AT35" s="10"/>
      <c r="AU35" s="59"/>
      <c r="AV35" s="10"/>
      <c r="AW35" s="10"/>
      <c r="AX35" s="10"/>
      <c r="AY35" s="59"/>
      <c r="AZ35" s="10"/>
      <c r="BA35" s="10"/>
      <c r="BB35" s="10"/>
      <c r="BC35" s="4">
        <v>69</v>
      </c>
      <c r="BD35" s="106" t="s">
        <v>359</v>
      </c>
      <c r="BE35" s="106"/>
      <c r="BF35" s="107"/>
      <c r="BG35" s="4">
        <v>70</v>
      </c>
      <c r="BH35" s="106" t="s">
        <v>361</v>
      </c>
      <c r="BI35" s="106"/>
      <c r="BJ35" s="107"/>
      <c r="BK35" s="4">
        <v>71</v>
      </c>
      <c r="BL35" s="106" t="s">
        <v>363</v>
      </c>
      <c r="BM35" s="106"/>
      <c r="BN35" s="107"/>
      <c r="BO35" s="59"/>
      <c r="BT35" s="5"/>
      <c r="BU35" s="24"/>
    </row>
    <row r="36" spans="1:73" ht="21" customHeight="1" x14ac:dyDescent="0.55000000000000004">
      <c r="A36" s="5"/>
      <c r="AA36" s="108"/>
      <c r="AB36" s="109"/>
      <c r="AC36" s="109"/>
      <c r="AD36" s="110"/>
      <c r="AE36" s="108"/>
      <c r="AF36" s="109"/>
      <c r="AG36" s="109"/>
      <c r="AH36" s="110"/>
      <c r="AI36" s="51"/>
      <c r="AJ36" s="51"/>
      <c r="AK36" s="51"/>
      <c r="AL36" s="51"/>
      <c r="AM36" s="51"/>
      <c r="AN36" s="51"/>
      <c r="AO36" s="51"/>
      <c r="AP36" s="51"/>
      <c r="AQ36" s="51"/>
      <c r="AR36" s="51"/>
      <c r="AS36" s="51"/>
      <c r="AT36" s="51"/>
      <c r="AU36" s="51"/>
      <c r="AV36" s="51"/>
      <c r="AW36" s="51"/>
      <c r="AX36" s="51"/>
      <c r="AY36" s="51"/>
      <c r="AZ36" s="51"/>
      <c r="BA36" s="51"/>
      <c r="BB36" s="51"/>
      <c r="BC36" s="108"/>
      <c r="BD36" s="109"/>
      <c r="BE36" s="109"/>
      <c r="BF36" s="110"/>
      <c r="BG36" s="108"/>
      <c r="BH36" s="109"/>
      <c r="BI36" s="109"/>
      <c r="BJ36" s="110"/>
      <c r="BK36" s="108"/>
      <c r="BL36" s="109"/>
      <c r="BM36" s="109"/>
      <c r="BN36" s="110"/>
      <c r="BO36" s="51"/>
      <c r="BP36" s="51"/>
      <c r="BQ36" s="51"/>
      <c r="BR36" s="51"/>
      <c r="BT36" s="5"/>
      <c r="BU36" s="24"/>
    </row>
    <row r="37" spans="1:73" ht="21" customHeight="1" x14ac:dyDescent="0.55000000000000004">
      <c r="A37" s="5"/>
      <c r="AA37" s="111"/>
      <c r="AB37" s="112"/>
      <c r="AC37" s="112"/>
      <c r="AD37" s="113"/>
      <c r="AE37" s="111"/>
      <c r="AF37" s="112"/>
      <c r="AG37" s="112"/>
      <c r="AH37" s="113"/>
      <c r="AI37" s="52"/>
      <c r="AJ37" s="52"/>
      <c r="AK37" s="52"/>
      <c r="AL37" s="52"/>
      <c r="AM37" s="52"/>
      <c r="AN37" s="52"/>
      <c r="AO37" s="52"/>
      <c r="AP37" s="52"/>
      <c r="AQ37" s="52"/>
      <c r="AR37" s="52"/>
      <c r="AS37" s="52"/>
      <c r="AT37" s="52"/>
      <c r="AU37" s="52"/>
      <c r="AV37" s="52"/>
      <c r="AW37" s="52"/>
      <c r="AX37" s="52"/>
      <c r="AY37" s="52"/>
      <c r="AZ37" s="52"/>
      <c r="BA37" s="52"/>
      <c r="BB37" s="52"/>
      <c r="BC37" s="111"/>
      <c r="BD37" s="112"/>
      <c r="BE37" s="112"/>
      <c r="BF37" s="113"/>
      <c r="BG37" s="111"/>
      <c r="BH37" s="112"/>
      <c r="BI37" s="112"/>
      <c r="BJ37" s="113"/>
      <c r="BK37" s="111"/>
      <c r="BL37" s="112"/>
      <c r="BM37" s="112"/>
      <c r="BN37" s="113"/>
      <c r="BO37" s="52"/>
      <c r="BP37" s="52"/>
      <c r="BQ37" s="52"/>
      <c r="BR37" s="52"/>
      <c r="BT37" s="5"/>
      <c r="BU37" s="24"/>
    </row>
    <row r="38" spans="1:73" ht="21" customHeight="1" thickBot="1" x14ac:dyDescent="0.6">
      <c r="A38" s="5"/>
      <c r="AA38" s="114"/>
      <c r="AB38" s="115"/>
      <c r="AC38" s="115"/>
      <c r="AD38" s="116"/>
      <c r="AE38" s="114"/>
      <c r="AF38" s="115"/>
      <c r="AG38" s="115"/>
      <c r="AH38" s="116"/>
      <c r="AI38" s="52"/>
      <c r="AJ38" s="52"/>
      <c r="AK38" s="52"/>
      <c r="AL38" s="52"/>
      <c r="AM38" s="52"/>
      <c r="AN38" s="52"/>
      <c r="AO38" s="52"/>
      <c r="AP38" s="52"/>
      <c r="AQ38" s="52"/>
      <c r="AR38" s="52"/>
      <c r="AS38" s="52"/>
      <c r="AT38" s="52"/>
      <c r="AU38" s="52"/>
      <c r="AV38" s="52"/>
      <c r="AW38" s="52"/>
      <c r="AX38" s="52"/>
      <c r="AY38" s="52"/>
      <c r="AZ38" s="52"/>
      <c r="BA38" s="52"/>
      <c r="BB38" s="52"/>
      <c r="BC38" s="114"/>
      <c r="BD38" s="115"/>
      <c r="BE38" s="115"/>
      <c r="BF38" s="116"/>
      <c r="BG38" s="114"/>
      <c r="BH38" s="115"/>
      <c r="BI38" s="115"/>
      <c r="BJ38" s="116"/>
      <c r="BK38" s="114"/>
      <c r="BL38" s="115"/>
      <c r="BM38" s="115"/>
      <c r="BN38" s="116"/>
      <c r="BO38" s="52"/>
      <c r="BP38" s="52"/>
      <c r="BQ38" s="52"/>
      <c r="BR38" s="52"/>
      <c r="BT38" s="5"/>
      <c r="BU38" s="24"/>
    </row>
    <row r="39" spans="1:73" ht="21" customHeight="1" x14ac:dyDescent="0.55000000000000004">
      <c r="A39" s="5"/>
      <c r="C39" s="1" t="s">
        <v>529</v>
      </c>
      <c r="AI39" s="52"/>
      <c r="AJ39" s="52"/>
      <c r="AK39" s="52"/>
      <c r="AL39" s="52"/>
      <c r="AM39" s="52"/>
      <c r="AN39" s="52"/>
      <c r="AO39" s="52"/>
      <c r="AP39" s="52"/>
      <c r="AQ39" s="52"/>
      <c r="AR39" s="52"/>
      <c r="AS39" s="52"/>
      <c r="AT39" s="52"/>
      <c r="AU39" s="52"/>
      <c r="AV39" s="52"/>
      <c r="AW39" s="52"/>
      <c r="AX39" s="52"/>
      <c r="AY39" s="4">
        <v>72</v>
      </c>
      <c r="AZ39" s="106" t="s">
        <v>365</v>
      </c>
      <c r="BA39" s="106"/>
      <c r="BB39" s="107"/>
      <c r="BC39" s="4">
        <v>73</v>
      </c>
      <c r="BD39" s="106" t="s">
        <v>367</v>
      </c>
      <c r="BE39" s="106"/>
      <c r="BF39" s="107"/>
      <c r="BG39" s="4">
        <v>74</v>
      </c>
      <c r="BH39" s="106" t="s">
        <v>369</v>
      </c>
      <c r="BI39" s="106"/>
      <c r="BJ39" s="107"/>
      <c r="BK39" s="4">
        <v>75</v>
      </c>
      <c r="BL39" s="106" t="s">
        <v>371</v>
      </c>
      <c r="BM39" s="106"/>
      <c r="BN39" s="107"/>
      <c r="BO39" s="4">
        <v>76</v>
      </c>
      <c r="BP39" s="106" t="s">
        <v>373</v>
      </c>
      <c r="BQ39" s="106"/>
      <c r="BR39" s="107"/>
      <c r="BT39" s="5"/>
      <c r="BU39" s="24"/>
    </row>
    <row r="40" spans="1:73" ht="21" customHeight="1" x14ac:dyDescent="0.55000000000000004">
      <c r="A40" s="5"/>
      <c r="AI40" s="52"/>
      <c r="AJ40" s="52"/>
      <c r="AK40" s="52"/>
      <c r="AL40" s="52"/>
      <c r="AM40" s="52"/>
      <c r="AN40" s="52"/>
      <c r="AO40" s="52"/>
      <c r="AP40" s="52"/>
      <c r="AQ40" s="52"/>
      <c r="AR40" s="52"/>
      <c r="AS40" s="52"/>
      <c r="AT40" s="52"/>
      <c r="AU40" s="52"/>
      <c r="AV40" s="52"/>
      <c r="AW40" s="52"/>
      <c r="AX40" s="52"/>
      <c r="AY40" s="108"/>
      <c r="AZ40" s="109"/>
      <c r="BA40" s="109"/>
      <c r="BB40" s="110"/>
      <c r="BC40" s="108"/>
      <c r="BD40" s="109"/>
      <c r="BE40" s="109"/>
      <c r="BF40" s="110"/>
      <c r="BG40" s="108"/>
      <c r="BH40" s="109"/>
      <c r="BI40" s="109"/>
      <c r="BJ40" s="110"/>
      <c r="BK40" s="108"/>
      <c r="BL40" s="109"/>
      <c r="BM40" s="109"/>
      <c r="BN40" s="110"/>
      <c r="BO40" s="108"/>
      <c r="BP40" s="109"/>
      <c r="BQ40" s="109"/>
      <c r="BR40" s="110"/>
      <c r="BT40" s="5"/>
      <c r="BU40" s="24"/>
    </row>
    <row r="41" spans="1:73" ht="21" customHeight="1" x14ac:dyDescent="0.55000000000000004">
      <c r="A41" s="5"/>
      <c r="AI41" s="52"/>
      <c r="AJ41" s="52"/>
      <c r="AK41" s="52"/>
      <c r="AL41" s="52"/>
      <c r="AM41" s="52"/>
      <c r="AN41" s="52"/>
      <c r="AO41" s="52"/>
      <c r="AP41" s="52"/>
      <c r="AQ41" s="52"/>
      <c r="AR41" s="52"/>
      <c r="AS41" s="52"/>
      <c r="AT41" s="52"/>
      <c r="AU41" s="52"/>
      <c r="AV41" s="52"/>
      <c r="AW41" s="52"/>
      <c r="AX41" s="52"/>
      <c r="AY41" s="111"/>
      <c r="AZ41" s="112"/>
      <c r="BA41" s="112"/>
      <c r="BB41" s="113"/>
      <c r="BC41" s="111"/>
      <c r="BD41" s="112"/>
      <c r="BE41" s="112"/>
      <c r="BF41" s="113"/>
      <c r="BG41" s="111"/>
      <c r="BH41" s="112"/>
      <c r="BI41" s="112"/>
      <c r="BJ41" s="113"/>
      <c r="BK41" s="111"/>
      <c r="BL41" s="112"/>
      <c r="BM41" s="112"/>
      <c r="BN41" s="113"/>
      <c r="BO41" s="111"/>
      <c r="BP41" s="112"/>
      <c r="BQ41" s="112"/>
      <c r="BR41" s="113"/>
      <c r="BT41" s="5"/>
      <c r="BU41" s="24"/>
    </row>
    <row r="42" spans="1:73" ht="21" customHeight="1" thickBot="1" x14ac:dyDescent="0.6">
      <c r="A42" s="5"/>
      <c r="AI42" s="52"/>
      <c r="AJ42" s="52"/>
      <c r="AK42" s="52"/>
      <c r="AL42" s="52"/>
      <c r="AM42" s="52"/>
      <c r="AN42" s="52"/>
      <c r="AO42" s="52"/>
      <c r="AP42" s="52"/>
      <c r="AQ42" s="52"/>
      <c r="AR42" s="52"/>
      <c r="AS42" s="52"/>
      <c r="AT42" s="52"/>
      <c r="AU42" s="52"/>
      <c r="AV42" s="52"/>
      <c r="AW42" s="52"/>
      <c r="AX42" s="52"/>
      <c r="AY42" s="114"/>
      <c r="AZ42" s="115"/>
      <c r="BA42" s="115"/>
      <c r="BB42" s="116"/>
      <c r="BC42" s="114"/>
      <c r="BD42" s="115"/>
      <c r="BE42" s="115"/>
      <c r="BF42" s="116"/>
      <c r="BG42" s="114"/>
      <c r="BH42" s="115"/>
      <c r="BI42" s="115"/>
      <c r="BJ42" s="116"/>
      <c r="BK42" s="114"/>
      <c r="BL42" s="115"/>
      <c r="BM42" s="115"/>
      <c r="BN42" s="116"/>
      <c r="BO42" s="114"/>
      <c r="BP42" s="115"/>
      <c r="BQ42" s="115"/>
      <c r="BR42" s="116"/>
      <c r="BT42" s="5"/>
      <c r="BU42" s="24"/>
    </row>
    <row r="43" spans="1:73" ht="21" customHeight="1" x14ac:dyDescent="0.55000000000000004">
      <c r="A43" s="5"/>
      <c r="C43" s="1" t="s">
        <v>531</v>
      </c>
      <c r="AI43" s="52"/>
      <c r="AJ43" s="52"/>
      <c r="AK43" s="52"/>
      <c r="AL43" s="52"/>
      <c r="AM43" s="52"/>
      <c r="AN43" s="52"/>
      <c r="AO43" s="52"/>
      <c r="AP43" s="52"/>
      <c r="AQ43" s="52"/>
      <c r="AR43" s="52"/>
      <c r="AS43" s="52"/>
      <c r="AT43" s="52"/>
      <c r="AU43" s="52"/>
      <c r="AV43" s="52"/>
      <c r="AW43" s="52"/>
      <c r="AX43" s="52"/>
      <c r="AY43" s="4">
        <v>77</v>
      </c>
      <c r="AZ43" s="106" t="s">
        <v>375</v>
      </c>
      <c r="BA43" s="106"/>
      <c r="BB43" s="107"/>
      <c r="BC43" s="4">
        <v>78</v>
      </c>
      <c r="BD43" s="106" t="s">
        <v>377</v>
      </c>
      <c r="BE43" s="106"/>
      <c r="BF43" s="107"/>
      <c r="BG43" s="4">
        <v>79</v>
      </c>
      <c r="BH43" s="106" t="s">
        <v>379</v>
      </c>
      <c r="BI43" s="106"/>
      <c r="BJ43" s="107"/>
      <c r="BK43" s="52"/>
      <c r="BL43" s="52"/>
      <c r="BM43" s="52"/>
      <c r="BN43" s="52"/>
      <c r="BO43" s="52"/>
      <c r="BP43" s="52"/>
      <c r="BQ43" s="52"/>
      <c r="BR43" s="52"/>
      <c r="BT43" s="5"/>
      <c r="BU43" s="24"/>
    </row>
    <row r="44" spans="1:73" ht="21" customHeight="1" x14ac:dyDescent="0.55000000000000004">
      <c r="A44" s="5"/>
      <c r="AI44" s="52"/>
      <c r="AJ44" s="52"/>
      <c r="AK44" s="52"/>
      <c r="AL44" s="52"/>
      <c r="AM44" s="52"/>
      <c r="AN44" s="52"/>
      <c r="AO44" s="52"/>
      <c r="AP44" s="52"/>
      <c r="AQ44" s="52"/>
      <c r="AR44" s="52"/>
      <c r="AS44" s="52"/>
      <c r="AT44" s="52"/>
      <c r="AU44" s="52"/>
      <c r="AV44" s="52"/>
      <c r="AW44" s="52"/>
      <c r="AX44" s="52"/>
      <c r="AY44" s="108"/>
      <c r="AZ44" s="109"/>
      <c r="BA44" s="109"/>
      <c r="BB44" s="110"/>
      <c r="BC44" s="108"/>
      <c r="BD44" s="109"/>
      <c r="BE44" s="109"/>
      <c r="BF44" s="110"/>
      <c r="BG44" s="108"/>
      <c r="BH44" s="109"/>
      <c r="BI44" s="109"/>
      <c r="BJ44" s="110"/>
      <c r="BK44" s="52"/>
      <c r="BL44" s="52"/>
      <c r="BM44" s="52"/>
      <c r="BN44" s="52"/>
      <c r="BO44" s="52"/>
      <c r="BP44" s="52"/>
      <c r="BQ44" s="52"/>
      <c r="BR44" s="52"/>
      <c r="BT44" s="5"/>
      <c r="BU44" s="24"/>
    </row>
    <row r="45" spans="1:73" ht="21" customHeight="1" x14ac:dyDescent="0.55000000000000004">
      <c r="A45" s="5"/>
      <c r="AI45" s="52"/>
      <c r="AJ45" s="52"/>
      <c r="AK45" s="52"/>
      <c r="AL45" s="52"/>
      <c r="AM45" s="52"/>
      <c r="AN45" s="52"/>
      <c r="AO45" s="52"/>
      <c r="AP45" s="52"/>
      <c r="AQ45" s="52"/>
      <c r="AR45" s="52"/>
      <c r="AS45" s="52"/>
      <c r="AT45" s="52"/>
      <c r="AU45" s="52"/>
      <c r="AV45" s="52"/>
      <c r="AW45" s="52"/>
      <c r="AX45" s="52"/>
      <c r="AY45" s="111"/>
      <c r="AZ45" s="112"/>
      <c r="BA45" s="112"/>
      <c r="BB45" s="113"/>
      <c r="BC45" s="111"/>
      <c r="BD45" s="112"/>
      <c r="BE45" s="112"/>
      <c r="BF45" s="113"/>
      <c r="BG45" s="111"/>
      <c r="BH45" s="112"/>
      <c r="BI45" s="112"/>
      <c r="BJ45" s="113"/>
      <c r="BK45" s="52"/>
      <c r="BL45" s="52"/>
      <c r="BM45" s="52"/>
      <c r="BN45" s="52"/>
      <c r="BO45" s="52"/>
      <c r="BP45" s="52"/>
      <c r="BQ45" s="52"/>
      <c r="BR45" s="52"/>
      <c r="BT45" s="5"/>
      <c r="BU45" s="24"/>
    </row>
    <row r="46" spans="1:73" ht="21" customHeight="1" thickBot="1" x14ac:dyDescent="0.6">
      <c r="A46" s="5"/>
      <c r="AI46" s="52"/>
      <c r="AJ46" s="52"/>
      <c r="AK46" s="52"/>
      <c r="AL46" s="52"/>
      <c r="AM46" s="52"/>
      <c r="AN46" s="52"/>
      <c r="AO46" s="52"/>
      <c r="AP46" s="52"/>
      <c r="AQ46" s="52"/>
      <c r="AR46" s="52"/>
      <c r="AS46" s="52"/>
      <c r="AT46" s="52"/>
      <c r="AU46" s="52"/>
      <c r="AV46" s="52"/>
      <c r="AW46" s="52"/>
      <c r="AX46" s="52"/>
      <c r="AY46" s="114"/>
      <c r="AZ46" s="115"/>
      <c r="BA46" s="115"/>
      <c r="BB46" s="116"/>
      <c r="BC46" s="114"/>
      <c r="BD46" s="115"/>
      <c r="BE46" s="115"/>
      <c r="BF46" s="116"/>
      <c r="BG46" s="114"/>
      <c r="BH46" s="115"/>
      <c r="BI46" s="115"/>
      <c r="BJ46" s="116"/>
      <c r="BK46" s="52"/>
      <c r="BL46" s="52"/>
      <c r="BM46" s="52"/>
      <c r="BN46" s="52"/>
      <c r="BO46" s="52"/>
      <c r="BP46" s="52"/>
      <c r="BQ46" s="52"/>
      <c r="BR46" s="52"/>
      <c r="BT46" s="5"/>
      <c r="BU46" s="24"/>
    </row>
    <row r="47" spans="1:73" ht="21" customHeight="1" x14ac:dyDescent="0.55000000000000004">
      <c r="A47" s="5"/>
      <c r="C47" s="1" t="s">
        <v>533</v>
      </c>
      <c r="AI47" s="52"/>
      <c r="AJ47" s="52"/>
      <c r="AK47" s="52"/>
      <c r="AL47" s="52"/>
      <c r="AM47" s="52"/>
      <c r="AN47" s="52"/>
      <c r="AO47" s="52"/>
      <c r="AP47" s="52"/>
      <c r="AQ47" s="52"/>
      <c r="AR47" s="52"/>
      <c r="AS47" s="52"/>
      <c r="AT47" s="52"/>
      <c r="AU47" s="52"/>
      <c r="AV47" s="52"/>
      <c r="AW47" s="52"/>
      <c r="AX47" s="52"/>
      <c r="AY47" s="4">
        <v>80</v>
      </c>
      <c r="AZ47" s="106" t="s">
        <v>385</v>
      </c>
      <c r="BA47" s="106"/>
      <c r="BB47" s="107"/>
      <c r="BC47" s="4">
        <v>81</v>
      </c>
      <c r="BD47" s="106" t="s">
        <v>383</v>
      </c>
      <c r="BE47" s="106"/>
      <c r="BF47" s="107"/>
      <c r="BG47" s="4">
        <v>82</v>
      </c>
      <c r="BH47" s="106" t="s">
        <v>381</v>
      </c>
      <c r="BI47" s="106"/>
      <c r="BJ47" s="107"/>
      <c r="BK47" s="52"/>
      <c r="BL47" s="52"/>
      <c r="BM47" s="52"/>
      <c r="BN47" s="52"/>
      <c r="BO47" s="52"/>
      <c r="BP47" s="52"/>
      <c r="BQ47" s="52"/>
      <c r="BR47" s="52"/>
      <c r="BT47" s="5"/>
      <c r="BU47" s="24"/>
    </row>
    <row r="48" spans="1:73" ht="21" customHeight="1" x14ac:dyDescent="0.55000000000000004">
      <c r="A48" s="5"/>
      <c r="AI48" s="52"/>
      <c r="AJ48" s="52"/>
      <c r="AK48" s="52"/>
      <c r="AL48" s="52"/>
      <c r="AM48" s="52"/>
      <c r="AN48" s="52"/>
      <c r="AO48" s="52"/>
      <c r="AP48" s="52"/>
      <c r="AQ48" s="52"/>
      <c r="AR48" s="52"/>
      <c r="AS48" s="52"/>
      <c r="AT48" s="52"/>
      <c r="AU48" s="52"/>
      <c r="AV48" s="52"/>
      <c r="AW48" s="52"/>
      <c r="AX48" s="52"/>
      <c r="AY48" s="108"/>
      <c r="AZ48" s="109"/>
      <c r="BA48" s="109"/>
      <c r="BB48" s="110"/>
      <c r="BC48" s="108"/>
      <c r="BD48" s="109"/>
      <c r="BE48" s="109"/>
      <c r="BF48" s="110"/>
      <c r="BG48" s="108"/>
      <c r="BH48" s="109"/>
      <c r="BI48" s="109"/>
      <c r="BJ48" s="110"/>
      <c r="BK48" s="52"/>
      <c r="BL48" s="52"/>
      <c r="BM48" s="52"/>
      <c r="BN48" s="52"/>
      <c r="BO48" s="52"/>
      <c r="BP48" s="52"/>
      <c r="BQ48" s="52"/>
      <c r="BR48" s="52"/>
      <c r="BT48" s="5"/>
      <c r="BU48" s="24"/>
    </row>
    <row r="49" spans="1:73" ht="21" customHeight="1" x14ac:dyDescent="0.55000000000000004">
      <c r="A49" s="5"/>
      <c r="AI49" s="52"/>
      <c r="AJ49" s="52"/>
      <c r="AK49" s="52"/>
      <c r="AL49" s="52"/>
      <c r="AM49" s="52"/>
      <c r="AN49" s="52"/>
      <c r="AO49" s="52"/>
      <c r="AP49" s="52"/>
      <c r="AQ49" s="52"/>
      <c r="AR49" s="52"/>
      <c r="AS49" s="52"/>
      <c r="AT49" s="52"/>
      <c r="AU49" s="52"/>
      <c r="AV49" s="52"/>
      <c r="AW49" s="52"/>
      <c r="AX49" s="52"/>
      <c r="AY49" s="111"/>
      <c r="AZ49" s="112"/>
      <c r="BA49" s="112"/>
      <c r="BB49" s="113"/>
      <c r="BC49" s="111"/>
      <c r="BD49" s="112"/>
      <c r="BE49" s="112"/>
      <c r="BF49" s="113"/>
      <c r="BG49" s="111"/>
      <c r="BH49" s="112"/>
      <c r="BI49" s="112"/>
      <c r="BJ49" s="113"/>
      <c r="BK49" s="52"/>
      <c r="BL49" s="52"/>
      <c r="BM49" s="52"/>
      <c r="BN49" s="52"/>
      <c r="BO49" s="52"/>
      <c r="BP49" s="52"/>
      <c r="BQ49" s="52"/>
      <c r="BR49" s="52"/>
      <c r="BT49" s="5"/>
      <c r="BU49" s="24"/>
    </row>
    <row r="50" spans="1:73" ht="21" customHeight="1" thickBot="1" x14ac:dyDescent="0.6">
      <c r="A50" s="5"/>
      <c r="AV50" s="52"/>
      <c r="AW50" s="52"/>
      <c r="AX50" s="52"/>
      <c r="AY50" s="114"/>
      <c r="AZ50" s="115"/>
      <c r="BA50" s="115"/>
      <c r="BB50" s="116"/>
      <c r="BC50" s="114"/>
      <c r="BD50" s="115"/>
      <c r="BE50" s="115"/>
      <c r="BF50" s="116"/>
      <c r="BG50" s="114"/>
      <c r="BH50" s="115"/>
      <c r="BI50" s="115"/>
      <c r="BJ50" s="116"/>
      <c r="BO50" s="52"/>
      <c r="BP50" s="52"/>
      <c r="BQ50" s="52"/>
      <c r="BR50" s="52"/>
      <c r="BS50" s="52"/>
      <c r="BT50" s="5"/>
      <c r="BU50" s="24"/>
    </row>
    <row r="51" spans="1:73" ht="21" customHeight="1" x14ac:dyDescent="0.55000000000000004">
      <c r="A51" s="5"/>
      <c r="B51" t="s">
        <v>175</v>
      </c>
      <c r="G51" s="7"/>
      <c r="AM51" s="53"/>
      <c r="AN51" s="53"/>
      <c r="AO51" s="53"/>
      <c r="AP51" s="53"/>
      <c r="AQ51" s="53"/>
      <c r="AR51" s="53"/>
      <c r="AS51" s="53"/>
      <c r="AT51" s="53"/>
      <c r="AU51" s="53"/>
      <c r="AV51" s="53"/>
      <c r="AW51" s="53"/>
      <c r="AX51" s="53"/>
      <c r="AY51" s="53"/>
      <c r="AZ51" s="53"/>
      <c r="BA51" s="53"/>
      <c r="BB51" s="53"/>
      <c r="BC51" s="53"/>
      <c r="BD51" s="53"/>
      <c r="BE51" s="53"/>
      <c r="BF51" s="53"/>
      <c r="BG51" s="53"/>
      <c r="BH51" s="53"/>
      <c r="BI51" s="53"/>
      <c r="BJ51" s="53"/>
      <c r="BK51" s="53"/>
      <c r="BL51" s="53"/>
      <c r="BM51" s="53"/>
      <c r="BN51" s="53"/>
      <c r="BO51" s="53"/>
      <c r="BP51" s="53"/>
      <c r="BQ51" s="53"/>
      <c r="BR51" s="53"/>
      <c r="BS51" s="53"/>
      <c r="BT51" s="5"/>
      <c r="BU51" s="24"/>
    </row>
    <row r="52" spans="1:73" ht="21" customHeight="1" x14ac:dyDescent="0.55000000000000004">
      <c r="A52" s="5"/>
      <c r="B52" t="s">
        <v>172</v>
      </c>
      <c r="BT52" s="5"/>
      <c r="BU52" s="24"/>
    </row>
    <row r="53" spans="1:73" ht="21" customHeight="1" x14ac:dyDescent="0.55000000000000004">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24"/>
    </row>
    <row r="54" spans="1:73" ht="21" customHeight="1" x14ac:dyDescent="0.55000000000000004">
      <c r="A54" s="24" t="s">
        <v>99</v>
      </c>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24"/>
      <c r="BG54" s="24"/>
      <c r="BH54" s="24"/>
      <c r="BI54" s="24"/>
      <c r="BJ54" s="24"/>
      <c r="BK54" s="24"/>
      <c r="BL54" s="24"/>
      <c r="BM54" s="24"/>
      <c r="BN54" s="24"/>
      <c r="BO54" s="24"/>
      <c r="BP54" s="24"/>
      <c r="BQ54" s="24"/>
      <c r="BR54" s="24"/>
      <c r="BS54" s="24"/>
      <c r="BT54" s="24"/>
      <c r="BU54" s="24"/>
    </row>
  </sheetData>
  <mergeCells count="328">
    <mergeCell ref="AJ31:AL31"/>
    <mergeCell ref="AN31:AP31"/>
    <mergeCell ref="AI32:AL32"/>
    <mergeCell ref="AI33:AL33"/>
    <mergeCell ref="AI34:AL34"/>
    <mergeCell ref="AM32:AP32"/>
    <mergeCell ref="AM33:AP33"/>
    <mergeCell ref="AM34:AP34"/>
    <mergeCell ref="BC32:BF32"/>
    <mergeCell ref="BC33:BF33"/>
    <mergeCell ref="BC34:BF34"/>
    <mergeCell ref="AY34:BB34"/>
    <mergeCell ref="AZ31:BB31"/>
    <mergeCell ref="BD31:BF31"/>
    <mergeCell ref="AY32:BB32"/>
    <mergeCell ref="AY33:BB33"/>
    <mergeCell ref="AU32:AX32"/>
    <mergeCell ref="AU33:AX33"/>
    <mergeCell ref="S32:V32"/>
    <mergeCell ref="S33:V33"/>
    <mergeCell ref="S34:V34"/>
    <mergeCell ref="BC30:BF30"/>
    <mergeCell ref="AM28:AP28"/>
    <mergeCell ref="AM29:AP29"/>
    <mergeCell ref="AM30:AP30"/>
    <mergeCell ref="AZ27:BB27"/>
    <mergeCell ref="BD27:BF27"/>
    <mergeCell ref="BC28:BF28"/>
    <mergeCell ref="BC29:BF29"/>
    <mergeCell ref="AY28:BB28"/>
    <mergeCell ref="AY29:BB29"/>
    <mergeCell ref="AY30:BB30"/>
    <mergeCell ref="AE28:AH28"/>
    <mergeCell ref="AE29:AH29"/>
    <mergeCell ref="AE30:AH30"/>
    <mergeCell ref="AI28:AL28"/>
    <mergeCell ref="AI29:AL29"/>
    <mergeCell ref="AI30:AL30"/>
    <mergeCell ref="AF27:AH27"/>
    <mergeCell ref="AJ27:AL27"/>
    <mergeCell ref="AN27:AP27"/>
    <mergeCell ref="AQ28:AT28"/>
    <mergeCell ref="W26:Z26"/>
    <mergeCell ref="AA24:AD24"/>
    <mergeCell ref="AA25:AD25"/>
    <mergeCell ref="AA26:AD26"/>
    <mergeCell ref="AI24:AL24"/>
    <mergeCell ref="AI25:AL25"/>
    <mergeCell ref="AI26:AL26"/>
    <mergeCell ref="AY26:BB26"/>
    <mergeCell ref="AE26:AH26"/>
    <mergeCell ref="AU34:AX34"/>
    <mergeCell ref="AU24:AX24"/>
    <mergeCell ref="AU25:AX25"/>
    <mergeCell ref="AU26:AX26"/>
    <mergeCell ref="AQ24:AT24"/>
    <mergeCell ref="AQ25:AT25"/>
    <mergeCell ref="AQ26:AT26"/>
    <mergeCell ref="AV27:AX27"/>
    <mergeCell ref="AV31:AX31"/>
    <mergeCell ref="AU28:AX28"/>
    <mergeCell ref="AU29:AX29"/>
    <mergeCell ref="AU30:AX30"/>
    <mergeCell ref="AR27:AT27"/>
    <mergeCell ref="AQ29:AT29"/>
    <mergeCell ref="AQ30:AT30"/>
    <mergeCell ref="X23:Z23"/>
    <mergeCell ref="AB23:AD23"/>
    <mergeCell ref="AF23:AH23"/>
    <mergeCell ref="AJ23:AL23"/>
    <mergeCell ref="AR23:AT23"/>
    <mergeCell ref="AV23:AX23"/>
    <mergeCell ref="AE24:AH24"/>
    <mergeCell ref="AE25:AH25"/>
    <mergeCell ref="AZ23:BB23"/>
    <mergeCell ref="AY24:BB24"/>
    <mergeCell ref="W24:Z24"/>
    <mergeCell ref="W25:Z25"/>
    <mergeCell ref="P23:R23"/>
    <mergeCell ref="O24:R24"/>
    <mergeCell ref="O25:R25"/>
    <mergeCell ref="O26:R26"/>
    <mergeCell ref="S22:V22"/>
    <mergeCell ref="T23:V23"/>
    <mergeCell ref="S24:V24"/>
    <mergeCell ref="S25:V25"/>
    <mergeCell ref="S26:V26"/>
    <mergeCell ref="P19:R19"/>
    <mergeCell ref="O20:R20"/>
    <mergeCell ref="O21:R21"/>
    <mergeCell ref="O22:R22"/>
    <mergeCell ref="AE20:AH20"/>
    <mergeCell ref="AE21:AH21"/>
    <mergeCell ref="AE22:AH22"/>
    <mergeCell ref="AI20:AL20"/>
    <mergeCell ref="AI21:AL21"/>
    <mergeCell ref="AI22:AL22"/>
    <mergeCell ref="W22:Z22"/>
    <mergeCell ref="AF19:AH19"/>
    <mergeCell ref="T19:V19"/>
    <mergeCell ref="S20:V20"/>
    <mergeCell ref="S21:V21"/>
    <mergeCell ref="X19:Z19"/>
    <mergeCell ref="W20:Z20"/>
    <mergeCell ref="W21:Z21"/>
    <mergeCell ref="AA20:AD20"/>
    <mergeCell ref="AA21:AD21"/>
    <mergeCell ref="AA22:AD22"/>
    <mergeCell ref="AM16:AP16"/>
    <mergeCell ref="AM17:AP17"/>
    <mergeCell ref="AJ19:AL19"/>
    <mergeCell ref="AE16:AH16"/>
    <mergeCell ref="AE17:AH17"/>
    <mergeCell ref="AE18:AH18"/>
    <mergeCell ref="AI16:AL16"/>
    <mergeCell ref="AI17:AL17"/>
    <mergeCell ref="AI18:AL18"/>
    <mergeCell ref="AN19:AP19"/>
    <mergeCell ref="AN11:AP11"/>
    <mergeCell ref="L15:N15"/>
    <mergeCell ref="P15:R15"/>
    <mergeCell ref="T15:V15"/>
    <mergeCell ref="X15:Z15"/>
    <mergeCell ref="AB15:AD15"/>
    <mergeCell ref="AF15:AH15"/>
    <mergeCell ref="AJ15:AL15"/>
    <mergeCell ref="AN15:AP15"/>
    <mergeCell ref="X11:Z11"/>
    <mergeCell ref="W12:Z12"/>
    <mergeCell ref="W13:Z13"/>
    <mergeCell ref="W14:Z14"/>
    <mergeCell ref="AB11:AD11"/>
    <mergeCell ref="AA12:AD12"/>
    <mergeCell ref="AA13:AD13"/>
    <mergeCell ref="AA14:AD14"/>
    <mergeCell ref="G16:J16"/>
    <mergeCell ref="G17:J17"/>
    <mergeCell ref="G18:J18"/>
    <mergeCell ref="G12:J12"/>
    <mergeCell ref="G13:J13"/>
    <mergeCell ref="G14:J14"/>
    <mergeCell ref="AM12:AP12"/>
    <mergeCell ref="AM13:AP13"/>
    <mergeCell ref="AM14:AP14"/>
    <mergeCell ref="K16:N16"/>
    <mergeCell ref="K17:N17"/>
    <mergeCell ref="K18:N18"/>
    <mergeCell ref="O16:R16"/>
    <mergeCell ref="O17:R17"/>
    <mergeCell ref="O18:R18"/>
    <mergeCell ref="S16:V16"/>
    <mergeCell ref="S17:V17"/>
    <mergeCell ref="S18:V18"/>
    <mergeCell ref="W16:Z16"/>
    <mergeCell ref="W17:Z17"/>
    <mergeCell ref="W18:Z18"/>
    <mergeCell ref="AA16:AD16"/>
    <mergeCell ref="AA17:AD17"/>
    <mergeCell ref="AA18:AD18"/>
    <mergeCell ref="H15:J15"/>
    <mergeCell ref="H11:J11"/>
    <mergeCell ref="L7:N7"/>
    <mergeCell ref="T7:V7"/>
    <mergeCell ref="K8:N8"/>
    <mergeCell ref="K9:N9"/>
    <mergeCell ref="K10:N10"/>
    <mergeCell ref="S8:V8"/>
    <mergeCell ref="S9:V9"/>
    <mergeCell ref="S10:V10"/>
    <mergeCell ref="L11:N11"/>
    <mergeCell ref="P7:R7"/>
    <mergeCell ref="O8:R8"/>
    <mergeCell ref="O9:R9"/>
    <mergeCell ref="O10:R10"/>
    <mergeCell ref="K12:N12"/>
    <mergeCell ref="K13:N13"/>
    <mergeCell ref="K14:N14"/>
    <mergeCell ref="T11:V11"/>
    <mergeCell ref="S12:V12"/>
    <mergeCell ref="S13:V13"/>
    <mergeCell ref="S14:V14"/>
    <mergeCell ref="X7:Z7"/>
    <mergeCell ref="W8:Z8"/>
    <mergeCell ref="W9:Z9"/>
    <mergeCell ref="W10:Z10"/>
    <mergeCell ref="AB7:AD7"/>
    <mergeCell ref="AA8:AD8"/>
    <mergeCell ref="AA9:AD9"/>
    <mergeCell ref="AA10:AD10"/>
    <mergeCell ref="AF7:AH7"/>
    <mergeCell ref="AE8:AH8"/>
    <mergeCell ref="AE9:AH9"/>
    <mergeCell ref="AE10:AH10"/>
    <mergeCell ref="AF11:AH11"/>
    <mergeCell ref="AE12:AH12"/>
    <mergeCell ref="AE13:AH13"/>
    <mergeCell ref="AE14:AH14"/>
    <mergeCell ref="AJ11:AL11"/>
    <mergeCell ref="AI12:AL12"/>
    <mergeCell ref="AI13:AL13"/>
    <mergeCell ref="AI14:AL14"/>
    <mergeCell ref="AB19:AD19"/>
    <mergeCell ref="X27:Z27"/>
    <mergeCell ref="W28:Z28"/>
    <mergeCell ref="W29:Z29"/>
    <mergeCell ref="W30:Z30"/>
    <mergeCell ref="T27:V27"/>
    <mergeCell ref="S28:V28"/>
    <mergeCell ref="S29:V29"/>
    <mergeCell ref="S30:V30"/>
    <mergeCell ref="P31:R31"/>
    <mergeCell ref="T31:V31"/>
    <mergeCell ref="O32:R32"/>
    <mergeCell ref="O33:R33"/>
    <mergeCell ref="O34:R34"/>
    <mergeCell ref="L31:N31"/>
    <mergeCell ref="K32:N32"/>
    <mergeCell ref="K33:N33"/>
    <mergeCell ref="K34:N34"/>
    <mergeCell ref="H31:J31"/>
    <mergeCell ref="G32:J32"/>
    <mergeCell ref="G33:J33"/>
    <mergeCell ref="G34:J34"/>
    <mergeCell ref="AM18:AP18"/>
    <mergeCell ref="AN23:AP23"/>
    <mergeCell ref="AM24:AP24"/>
    <mergeCell ref="AM25:AP25"/>
    <mergeCell ref="AM26:AP26"/>
    <mergeCell ref="BL27:BN27"/>
    <mergeCell ref="BK28:BN28"/>
    <mergeCell ref="BK29:BN29"/>
    <mergeCell ref="BK30:BN30"/>
    <mergeCell ref="AM20:AP20"/>
    <mergeCell ref="AM21:AP21"/>
    <mergeCell ref="AM22:AP22"/>
    <mergeCell ref="AR19:AT19"/>
    <mergeCell ref="AQ20:AT20"/>
    <mergeCell ref="AQ21:AT21"/>
    <mergeCell ref="AQ22:AT22"/>
    <mergeCell ref="AY25:BB25"/>
    <mergeCell ref="BH27:BJ27"/>
    <mergeCell ref="BG28:BJ28"/>
    <mergeCell ref="BG29:BJ29"/>
    <mergeCell ref="BG30:BJ30"/>
    <mergeCell ref="BL31:BN31"/>
    <mergeCell ref="BG32:BJ32"/>
    <mergeCell ref="BK32:BN32"/>
    <mergeCell ref="BG33:BJ33"/>
    <mergeCell ref="BK33:BN33"/>
    <mergeCell ref="BG34:BJ34"/>
    <mergeCell ref="BK34:BN34"/>
    <mergeCell ref="AZ39:BB39"/>
    <mergeCell ref="BD39:BF39"/>
    <mergeCell ref="BH39:BJ39"/>
    <mergeCell ref="BL39:BN39"/>
    <mergeCell ref="BH31:BJ31"/>
    <mergeCell ref="BL35:BN35"/>
    <mergeCell ref="BD35:BF35"/>
    <mergeCell ref="BH35:BJ35"/>
    <mergeCell ref="BK36:BN36"/>
    <mergeCell ref="BK37:BN37"/>
    <mergeCell ref="BK38:BN38"/>
    <mergeCell ref="BC36:BF36"/>
    <mergeCell ref="BC37:BF37"/>
    <mergeCell ref="BC38:BF38"/>
    <mergeCell ref="BG36:BJ36"/>
    <mergeCell ref="BG37:BJ37"/>
    <mergeCell ref="BG38:BJ38"/>
    <mergeCell ref="BC45:BF45"/>
    <mergeCell ref="BG45:BJ45"/>
    <mergeCell ref="AY46:BB46"/>
    <mergeCell ref="BC46:BF46"/>
    <mergeCell ref="BG46:BJ46"/>
    <mergeCell ref="BP39:BR39"/>
    <mergeCell ref="BK40:BN40"/>
    <mergeCell ref="BO40:BR40"/>
    <mergeCell ref="BK41:BN41"/>
    <mergeCell ref="BO41:BR41"/>
    <mergeCell ref="BK42:BN42"/>
    <mergeCell ref="BO42:BR42"/>
    <mergeCell ref="AZ43:BB43"/>
    <mergeCell ref="BD43:BF43"/>
    <mergeCell ref="BH43:BJ43"/>
    <mergeCell ref="AY40:BB40"/>
    <mergeCell ref="BC40:BF40"/>
    <mergeCell ref="BG40:BJ40"/>
    <mergeCell ref="AY41:BB41"/>
    <mergeCell ref="BC41:BF41"/>
    <mergeCell ref="BG41:BJ41"/>
    <mergeCell ref="AY42:BB42"/>
    <mergeCell ref="BC42:BF42"/>
    <mergeCell ref="BG42:BJ42"/>
    <mergeCell ref="AY50:BB50"/>
    <mergeCell ref="BC50:BF50"/>
    <mergeCell ref="BG50:BJ50"/>
    <mergeCell ref="AF31:AH31"/>
    <mergeCell ref="AE32:AH32"/>
    <mergeCell ref="AE33:AH33"/>
    <mergeCell ref="AE34:AH34"/>
    <mergeCell ref="AF35:AH35"/>
    <mergeCell ref="AE36:AH36"/>
    <mergeCell ref="AE37:AH37"/>
    <mergeCell ref="AE38:AH38"/>
    <mergeCell ref="AZ47:BB47"/>
    <mergeCell ref="BD47:BF47"/>
    <mergeCell ref="BH47:BJ47"/>
    <mergeCell ref="AY48:BB48"/>
    <mergeCell ref="BC48:BF48"/>
    <mergeCell ref="BG48:BJ48"/>
    <mergeCell ref="AY49:BB49"/>
    <mergeCell ref="BC49:BF49"/>
    <mergeCell ref="BG49:BJ49"/>
    <mergeCell ref="AY44:BB44"/>
    <mergeCell ref="BC44:BF44"/>
    <mergeCell ref="BG44:BJ44"/>
    <mergeCell ref="AY45:BB45"/>
    <mergeCell ref="AB35:AD35"/>
    <mergeCell ref="AA36:AD36"/>
    <mergeCell ref="AA37:AD37"/>
    <mergeCell ref="AA38:AD38"/>
    <mergeCell ref="AB31:AD31"/>
    <mergeCell ref="AA32:AD32"/>
    <mergeCell ref="AA33:AD33"/>
    <mergeCell ref="AA34:AD34"/>
    <mergeCell ref="AB27:AD27"/>
    <mergeCell ref="AA28:AD28"/>
    <mergeCell ref="AA29:AD29"/>
    <mergeCell ref="AA30:AD30"/>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3CFC0-6221-46BC-A420-2544B662A8E5}">
  <sheetPr codeName="Sheet11">
    <tabColor rgb="FF86DFCB"/>
  </sheetPr>
  <dimension ref="A1:BU54"/>
  <sheetViews>
    <sheetView topLeftCell="A6" zoomScale="85" zoomScaleNormal="85" workbookViewId="0">
      <selection activeCell="AV43" sqref="AV43"/>
    </sheetView>
  </sheetViews>
  <sheetFormatPr defaultColWidth="3.5" defaultRowHeight="21" customHeight="1" x14ac:dyDescent="0.55000000000000004"/>
  <cols>
    <col min="1" max="16384" width="3.5" style="2"/>
  </cols>
  <sheetData>
    <row r="1" spans="1:7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24"/>
    </row>
    <row r="2" spans="1:73" ht="21" customHeight="1" x14ac:dyDescent="0.55000000000000004">
      <c r="A2" s="5"/>
      <c r="BT2" s="5"/>
      <c r="BU2" s="24"/>
    </row>
    <row r="3" spans="1:73" ht="21" customHeight="1" x14ac:dyDescent="0.55000000000000004">
      <c r="A3" s="5"/>
      <c r="C3" s="5"/>
      <c r="D3" s="12"/>
      <c r="E3" s="12"/>
      <c r="F3" s="12"/>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T3" s="5"/>
      <c r="BU3" s="24"/>
    </row>
    <row r="4" spans="1:73" ht="21" customHeight="1" x14ac:dyDescent="0.55000000000000004">
      <c r="A4" s="5"/>
      <c r="C4" s="12"/>
      <c r="D4" s="12"/>
      <c r="E4" s="12"/>
      <c r="F4" s="12"/>
      <c r="BT4" s="5"/>
      <c r="BU4" s="24"/>
    </row>
    <row r="5" spans="1:73" ht="21" customHeight="1" x14ac:dyDescent="0.55000000000000004">
      <c r="A5" s="5"/>
      <c r="C5" s="12"/>
      <c r="D5" s="12"/>
      <c r="E5" s="12"/>
      <c r="F5" s="12"/>
      <c r="BT5" s="5"/>
      <c r="BU5" s="24"/>
    </row>
    <row r="6" spans="1:73" ht="21" customHeight="1" thickBot="1" x14ac:dyDescent="0.6">
      <c r="A6" s="5"/>
      <c r="C6" s="12"/>
      <c r="D6" s="12"/>
      <c r="E6" s="12"/>
      <c r="F6" s="12"/>
      <c r="BT6" s="5"/>
      <c r="BU6" s="24"/>
    </row>
    <row r="7" spans="1:73" ht="21" customHeight="1" x14ac:dyDescent="0.55000000000000004">
      <c r="A7" s="5"/>
      <c r="C7" s="1" t="s">
        <v>16</v>
      </c>
      <c r="K7" s="4" t="s">
        <v>16</v>
      </c>
      <c r="L7" s="106" t="s">
        <v>534</v>
      </c>
      <c r="M7" s="106"/>
      <c r="N7" s="106"/>
      <c r="O7" s="67"/>
      <c r="P7" s="62"/>
      <c r="Q7" s="62"/>
      <c r="R7" s="62"/>
      <c r="S7" s="67"/>
      <c r="T7" s="62"/>
      <c r="U7" s="62"/>
      <c r="V7" s="62"/>
      <c r="W7" s="4" t="s">
        <v>17</v>
      </c>
      <c r="X7" s="106" t="s">
        <v>535</v>
      </c>
      <c r="Y7" s="106"/>
      <c r="Z7" s="106"/>
      <c r="AA7" s="4" t="s">
        <v>18</v>
      </c>
      <c r="AB7" s="106" t="s">
        <v>536</v>
      </c>
      <c r="AC7" s="106"/>
      <c r="AD7" s="106"/>
      <c r="AE7" s="62"/>
      <c r="AF7" s="62"/>
      <c r="AG7" s="62"/>
      <c r="AH7" s="63"/>
      <c r="AI7" s="10"/>
      <c r="AJ7" s="10"/>
      <c r="AK7" s="10"/>
      <c r="AL7" s="10"/>
      <c r="AM7" s="59"/>
      <c r="AN7" s="10"/>
      <c r="AO7" s="10"/>
      <c r="AP7" s="10"/>
      <c r="AQ7" s="59"/>
      <c r="AR7" s="10"/>
      <c r="AS7" s="10"/>
      <c r="AT7" s="10"/>
      <c r="AU7" s="10"/>
      <c r="AV7" s="10"/>
      <c r="AW7" s="10"/>
      <c r="AX7" s="10"/>
      <c r="AY7" s="10"/>
      <c r="AZ7" s="10"/>
      <c r="BA7" s="10"/>
      <c r="BB7" s="10"/>
      <c r="BC7" s="10"/>
      <c r="BD7" s="10"/>
      <c r="BE7" s="10"/>
      <c r="BF7" s="10"/>
      <c r="BG7" s="10"/>
      <c r="BH7" s="10"/>
      <c r="BI7" s="10"/>
      <c r="BJ7" s="10"/>
      <c r="BK7" s="59"/>
      <c r="BL7" s="10"/>
      <c r="BM7" s="10"/>
      <c r="BN7" s="10"/>
      <c r="BO7" s="10"/>
      <c r="BT7" s="5"/>
      <c r="BU7" s="24"/>
    </row>
    <row r="8" spans="1:73" ht="21" customHeight="1" x14ac:dyDescent="0.55000000000000004">
      <c r="A8" s="5"/>
      <c r="K8" s="108"/>
      <c r="L8" s="109"/>
      <c r="M8" s="109"/>
      <c r="N8" s="109"/>
      <c r="O8" s="60"/>
      <c r="P8" s="60"/>
      <c r="Q8" s="60"/>
      <c r="R8" s="60"/>
      <c r="S8" s="60"/>
      <c r="T8" s="60"/>
      <c r="U8" s="60"/>
      <c r="V8" s="60"/>
      <c r="W8" s="108"/>
      <c r="X8" s="109"/>
      <c r="Y8" s="109"/>
      <c r="Z8" s="109"/>
      <c r="AA8" s="108"/>
      <c r="AB8" s="109"/>
      <c r="AC8" s="109"/>
      <c r="AD8" s="109"/>
      <c r="AE8" s="60"/>
      <c r="AF8" s="60"/>
      <c r="AG8" s="60"/>
      <c r="AH8" s="68"/>
      <c r="AI8" s="10"/>
      <c r="AJ8" s="10"/>
      <c r="AK8" s="10"/>
      <c r="AL8" s="10"/>
      <c r="AM8" s="60"/>
      <c r="AN8" s="60"/>
      <c r="AO8" s="60"/>
      <c r="AP8" s="60"/>
      <c r="AQ8" s="60"/>
      <c r="AR8" s="60"/>
      <c r="AS8" s="60"/>
      <c r="AT8" s="60"/>
      <c r="AU8" s="10"/>
      <c r="AV8" s="10"/>
      <c r="AW8" s="10"/>
      <c r="AX8" s="10"/>
      <c r="AY8" s="10"/>
      <c r="AZ8" s="10"/>
      <c r="BA8" s="10"/>
      <c r="BB8" s="10"/>
      <c r="BC8" s="10"/>
      <c r="BD8" s="10"/>
      <c r="BE8" s="10"/>
      <c r="BF8" s="10"/>
      <c r="BG8" s="10"/>
      <c r="BH8" s="10"/>
      <c r="BI8" s="10"/>
      <c r="BJ8" s="10"/>
      <c r="BK8" s="10"/>
      <c r="BL8" s="10"/>
      <c r="BM8" s="10"/>
      <c r="BN8" s="10"/>
      <c r="BO8" s="10"/>
      <c r="BS8" s="9"/>
      <c r="BT8" s="5"/>
      <c r="BU8" s="24"/>
    </row>
    <row r="9" spans="1:73" ht="21" customHeight="1" x14ac:dyDescent="0.55000000000000004">
      <c r="A9" s="5"/>
      <c r="K9" s="111"/>
      <c r="L9" s="112"/>
      <c r="M9" s="112"/>
      <c r="N9" s="112"/>
      <c r="O9" s="61"/>
      <c r="P9" s="61"/>
      <c r="Q9" s="61"/>
      <c r="R9" s="61"/>
      <c r="S9" s="61"/>
      <c r="T9" s="61"/>
      <c r="U9" s="61"/>
      <c r="V9" s="61"/>
      <c r="W9" s="111"/>
      <c r="X9" s="112"/>
      <c r="Y9" s="112"/>
      <c r="Z9" s="112"/>
      <c r="AA9" s="111"/>
      <c r="AB9" s="112"/>
      <c r="AC9" s="112"/>
      <c r="AD9" s="112"/>
      <c r="AE9" s="60"/>
      <c r="AF9" s="60"/>
      <c r="AG9" s="60"/>
      <c r="AH9" s="68"/>
      <c r="AI9" s="10"/>
      <c r="AJ9" s="10"/>
      <c r="AK9" s="10"/>
      <c r="AL9" s="10"/>
      <c r="AM9" s="61"/>
      <c r="AN9" s="61"/>
      <c r="AO9" s="61"/>
      <c r="AP9" s="61"/>
      <c r="AQ9" s="61"/>
      <c r="AR9" s="61"/>
      <c r="AS9" s="61"/>
      <c r="AT9" s="61"/>
      <c r="AU9" s="10"/>
      <c r="AV9" s="10"/>
      <c r="AW9" s="10"/>
      <c r="AX9" s="10"/>
      <c r="AY9" s="10"/>
      <c r="AZ9" s="10"/>
      <c r="BA9" s="10"/>
      <c r="BB9" s="10"/>
      <c r="BC9" s="10"/>
      <c r="BD9" s="10"/>
      <c r="BE9" s="10"/>
      <c r="BF9" s="10"/>
      <c r="BG9" s="10"/>
      <c r="BH9" s="10"/>
      <c r="BI9" s="10"/>
      <c r="BJ9" s="10"/>
      <c r="BK9" s="10"/>
      <c r="BL9" s="10"/>
      <c r="BM9" s="10"/>
      <c r="BN9" s="10"/>
      <c r="BO9" s="10"/>
      <c r="BS9" s="9"/>
      <c r="BT9" s="5"/>
      <c r="BU9" s="24"/>
    </row>
    <row r="10" spans="1:73" ht="21" customHeight="1" thickBot="1" x14ac:dyDescent="0.6">
      <c r="A10" s="5"/>
      <c r="K10" s="117"/>
      <c r="L10" s="118"/>
      <c r="M10" s="118"/>
      <c r="N10" s="118"/>
      <c r="O10" s="10"/>
      <c r="P10" s="10"/>
      <c r="Q10" s="10"/>
      <c r="R10" s="10"/>
      <c r="S10" s="10"/>
      <c r="T10" s="10"/>
      <c r="U10" s="10"/>
      <c r="V10" s="10"/>
      <c r="W10" s="117"/>
      <c r="X10" s="118"/>
      <c r="Y10" s="118"/>
      <c r="Z10" s="118"/>
      <c r="AA10" s="114"/>
      <c r="AB10" s="115"/>
      <c r="AC10" s="115"/>
      <c r="AD10" s="115"/>
      <c r="AE10" s="10"/>
      <c r="AF10" s="10"/>
      <c r="AG10" s="10"/>
      <c r="AH10" s="64"/>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S10" s="9"/>
      <c r="BT10" s="5"/>
      <c r="BU10" s="24"/>
    </row>
    <row r="11" spans="1:73" ht="21" customHeight="1" x14ac:dyDescent="0.55000000000000004">
      <c r="A11" s="5"/>
      <c r="C11" s="1" t="s">
        <v>17</v>
      </c>
      <c r="G11" s="4" t="s">
        <v>19</v>
      </c>
      <c r="H11" s="106" t="s">
        <v>537</v>
      </c>
      <c r="I11" s="106"/>
      <c r="J11" s="106"/>
      <c r="K11" s="4" t="s">
        <v>20</v>
      </c>
      <c r="L11" s="106" t="s">
        <v>538</v>
      </c>
      <c r="M11" s="106"/>
      <c r="N11" s="106"/>
      <c r="O11" s="62"/>
      <c r="P11" s="62"/>
      <c r="Q11" s="62"/>
      <c r="R11" s="62"/>
      <c r="S11" s="72"/>
      <c r="T11" s="62"/>
      <c r="U11" s="62"/>
      <c r="V11" s="63"/>
      <c r="W11" s="10"/>
      <c r="X11" s="10"/>
      <c r="Y11" s="10"/>
      <c r="Z11" s="10"/>
      <c r="AA11" s="10"/>
      <c r="AB11" s="10"/>
      <c r="AC11" s="10"/>
      <c r="AD11" s="10"/>
      <c r="AE11" s="4" t="s">
        <v>21</v>
      </c>
      <c r="AF11" s="106" t="s">
        <v>539</v>
      </c>
      <c r="AG11" s="106"/>
      <c r="AH11" s="106"/>
      <c r="AI11" s="62"/>
      <c r="AJ11" s="62"/>
      <c r="AK11" s="62"/>
      <c r="AL11" s="62"/>
      <c r="AM11" s="62"/>
      <c r="AN11" s="62"/>
      <c r="AO11" s="62"/>
      <c r="AP11" s="63"/>
      <c r="AQ11" s="59"/>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S11" s="9"/>
      <c r="BT11" s="5"/>
      <c r="BU11" s="24"/>
    </row>
    <row r="12" spans="1:73" ht="21" customHeight="1" x14ac:dyDescent="0.55000000000000004">
      <c r="A12" s="5"/>
      <c r="G12" s="108"/>
      <c r="H12" s="109"/>
      <c r="I12" s="109"/>
      <c r="J12" s="109"/>
      <c r="K12" s="108"/>
      <c r="L12" s="109"/>
      <c r="M12" s="109"/>
      <c r="N12" s="109"/>
      <c r="O12" s="10"/>
      <c r="P12" s="10"/>
      <c r="Q12" s="10"/>
      <c r="R12" s="10"/>
      <c r="S12" s="60"/>
      <c r="T12" s="60"/>
      <c r="U12" s="60"/>
      <c r="V12" s="68"/>
      <c r="W12" s="60"/>
      <c r="X12" s="60"/>
      <c r="Y12" s="60"/>
      <c r="Z12" s="60"/>
      <c r="AA12" s="60"/>
      <c r="AB12" s="60"/>
      <c r="AC12" s="60"/>
      <c r="AD12" s="60"/>
      <c r="AE12" s="108"/>
      <c r="AF12" s="109"/>
      <c r="AG12" s="109"/>
      <c r="AH12" s="109"/>
      <c r="AI12" s="60"/>
      <c r="AJ12" s="60"/>
      <c r="AK12" s="60"/>
      <c r="AL12" s="60"/>
      <c r="AM12" s="60"/>
      <c r="AN12" s="60"/>
      <c r="AO12" s="60"/>
      <c r="AP12" s="68"/>
      <c r="AQ12" s="60"/>
      <c r="AR12" s="60"/>
      <c r="AS12" s="60"/>
      <c r="AT12" s="60"/>
      <c r="AU12" s="10"/>
      <c r="AV12" s="10"/>
      <c r="AW12" s="10"/>
      <c r="AX12" s="10"/>
      <c r="AY12" s="10"/>
      <c r="AZ12" s="10"/>
      <c r="BA12" s="10"/>
      <c r="BB12" s="10"/>
      <c r="BC12" s="10"/>
      <c r="BD12" s="10"/>
      <c r="BE12" s="10"/>
      <c r="BF12" s="10"/>
      <c r="BG12" s="10"/>
      <c r="BH12" s="10"/>
      <c r="BI12" s="10"/>
      <c r="BJ12" s="10"/>
      <c r="BK12" s="10"/>
      <c r="BL12" s="10"/>
      <c r="BM12" s="10"/>
      <c r="BN12" s="10"/>
      <c r="BO12" s="10"/>
      <c r="BS12" s="9"/>
      <c r="BT12" s="5"/>
      <c r="BU12" s="24"/>
    </row>
    <row r="13" spans="1:73" ht="21" customHeight="1" x14ac:dyDescent="0.55000000000000004">
      <c r="A13" s="5"/>
      <c r="G13" s="111"/>
      <c r="H13" s="112"/>
      <c r="I13" s="112"/>
      <c r="J13" s="112"/>
      <c r="K13" s="111"/>
      <c r="L13" s="112"/>
      <c r="M13" s="112"/>
      <c r="N13" s="112"/>
      <c r="O13" s="10"/>
      <c r="P13" s="10"/>
      <c r="Q13" s="10"/>
      <c r="R13" s="10"/>
      <c r="S13" s="60"/>
      <c r="T13" s="60"/>
      <c r="U13" s="60"/>
      <c r="V13" s="68"/>
      <c r="W13" s="60"/>
      <c r="X13" s="60"/>
      <c r="Y13" s="60"/>
      <c r="Z13" s="60"/>
      <c r="AA13" s="60"/>
      <c r="AB13" s="60"/>
      <c r="AC13" s="60"/>
      <c r="AD13" s="60"/>
      <c r="AE13" s="111"/>
      <c r="AF13" s="112"/>
      <c r="AG13" s="112"/>
      <c r="AH13" s="112"/>
      <c r="AI13" s="60"/>
      <c r="AJ13" s="60"/>
      <c r="AK13" s="60"/>
      <c r="AL13" s="60"/>
      <c r="AM13" s="60"/>
      <c r="AN13" s="60"/>
      <c r="AO13" s="60"/>
      <c r="AP13" s="68"/>
      <c r="AQ13" s="61"/>
      <c r="AR13" s="61"/>
      <c r="AS13" s="61"/>
      <c r="AT13" s="61"/>
      <c r="AU13" s="10"/>
      <c r="AV13" s="10"/>
      <c r="AW13" s="10"/>
      <c r="AX13" s="10"/>
      <c r="AY13" s="10"/>
      <c r="AZ13" s="10"/>
      <c r="BA13" s="10"/>
      <c r="BB13" s="10"/>
      <c r="BC13" s="10"/>
      <c r="BD13" s="10"/>
      <c r="BE13" s="10"/>
      <c r="BF13" s="10"/>
      <c r="BG13" s="10"/>
      <c r="BH13" s="10"/>
      <c r="BI13" s="10"/>
      <c r="BJ13" s="10"/>
      <c r="BK13" s="10"/>
      <c r="BL13" s="10"/>
      <c r="BM13" s="10"/>
      <c r="BN13" s="10"/>
      <c r="BO13" s="10"/>
      <c r="BS13" s="9"/>
      <c r="BT13" s="5"/>
      <c r="BU13" s="24"/>
    </row>
    <row r="14" spans="1:73" ht="21" customHeight="1" thickBot="1" x14ac:dyDescent="0.6">
      <c r="A14" s="5"/>
      <c r="G14" s="117"/>
      <c r="H14" s="118"/>
      <c r="I14" s="118"/>
      <c r="J14" s="118"/>
      <c r="K14" s="117"/>
      <c r="L14" s="118"/>
      <c r="M14" s="118"/>
      <c r="N14" s="118"/>
      <c r="O14" s="10"/>
      <c r="P14" s="10"/>
      <c r="Q14" s="10"/>
      <c r="R14" s="10"/>
      <c r="S14" s="10"/>
      <c r="T14" s="10"/>
      <c r="U14" s="10"/>
      <c r="V14" s="64"/>
      <c r="W14" s="10"/>
      <c r="X14" s="10"/>
      <c r="Y14" s="10"/>
      <c r="Z14" s="10"/>
      <c r="AA14" s="10"/>
      <c r="AB14" s="10"/>
      <c r="AC14" s="10"/>
      <c r="AD14" s="10"/>
      <c r="AE14" s="117"/>
      <c r="AF14" s="118"/>
      <c r="AG14" s="118"/>
      <c r="AH14" s="118"/>
      <c r="AI14" s="10"/>
      <c r="AJ14" s="10"/>
      <c r="AK14" s="10"/>
      <c r="AL14" s="10"/>
      <c r="AM14" s="10"/>
      <c r="AN14" s="10"/>
      <c r="AO14" s="10"/>
      <c r="AP14" s="64"/>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S14" s="9"/>
      <c r="BT14" s="5"/>
      <c r="BU14" s="24"/>
    </row>
    <row r="15" spans="1:73" ht="21" customHeight="1" x14ac:dyDescent="0.55000000000000004">
      <c r="A15" s="5"/>
      <c r="C15" s="1" t="s">
        <v>18</v>
      </c>
      <c r="G15" s="71"/>
      <c r="H15" s="10"/>
      <c r="I15" s="10"/>
      <c r="J15" s="10"/>
      <c r="K15" s="71"/>
      <c r="L15" s="10"/>
      <c r="M15" s="10"/>
      <c r="N15" s="10"/>
      <c r="O15" s="50"/>
      <c r="P15" s="10"/>
      <c r="Q15" s="10"/>
      <c r="R15" s="10"/>
      <c r="S15" s="50"/>
      <c r="T15" s="10"/>
      <c r="U15" s="10"/>
      <c r="V15" s="10"/>
      <c r="W15" s="4" t="s">
        <v>22</v>
      </c>
      <c r="X15" s="106" t="s">
        <v>540</v>
      </c>
      <c r="Y15" s="106"/>
      <c r="Z15" s="106"/>
      <c r="AA15" s="62"/>
      <c r="AB15" s="62"/>
      <c r="AC15" s="62"/>
      <c r="AD15" s="62"/>
      <c r="AE15" s="62"/>
      <c r="AF15" s="62"/>
      <c r="AG15" s="62"/>
      <c r="AH15" s="62"/>
      <c r="AI15" s="62"/>
      <c r="AJ15" s="62"/>
      <c r="AK15" s="62"/>
      <c r="AL15" s="62"/>
      <c r="AM15" s="4" t="s">
        <v>23</v>
      </c>
      <c r="AN15" s="106" t="s">
        <v>541</v>
      </c>
      <c r="AO15" s="106"/>
      <c r="AP15" s="107"/>
      <c r="AQ15" s="59"/>
      <c r="AR15" s="10"/>
      <c r="AS15" s="10"/>
      <c r="AT15" s="10"/>
      <c r="AU15" s="10"/>
      <c r="AV15" s="10"/>
      <c r="AW15" s="10"/>
      <c r="AX15" s="10"/>
      <c r="AY15" s="10"/>
      <c r="AZ15" s="10"/>
      <c r="BA15" s="10"/>
      <c r="BB15" s="10"/>
      <c r="BC15" s="10"/>
      <c r="BD15" s="10"/>
      <c r="BE15" s="10"/>
      <c r="BF15" s="10"/>
      <c r="BG15" s="10"/>
      <c r="BH15" s="10"/>
      <c r="BI15" s="10"/>
      <c r="BJ15" s="10"/>
      <c r="BK15" s="59"/>
      <c r="BL15" s="10"/>
      <c r="BM15" s="10"/>
      <c r="BN15" s="10"/>
      <c r="BO15" s="10"/>
      <c r="BS15" s="9"/>
      <c r="BT15" s="5"/>
      <c r="BU15" s="24"/>
    </row>
    <row r="16" spans="1:73" ht="21" customHeight="1" x14ac:dyDescent="0.55000000000000004">
      <c r="A16" s="5"/>
      <c r="G16" s="69"/>
      <c r="H16" s="60"/>
      <c r="I16" s="60"/>
      <c r="J16" s="60"/>
      <c r="K16" s="69"/>
      <c r="L16" s="60"/>
      <c r="M16" s="60"/>
      <c r="N16" s="60"/>
      <c r="O16" s="60"/>
      <c r="P16" s="60"/>
      <c r="Q16" s="60"/>
      <c r="R16" s="60"/>
      <c r="S16" s="60"/>
      <c r="T16" s="60"/>
      <c r="U16" s="60"/>
      <c r="V16" s="60"/>
      <c r="W16" s="108"/>
      <c r="X16" s="109"/>
      <c r="Y16" s="109"/>
      <c r="Z16" s="109"/>
      <c r="AA16" s="60"/>
      <c r="AB16" s="60"/>
      <c r="AC16" s="60"/>
      <c r="AD16" s="60"/>
      <c r="AE16" s="60"/>
      <c r="AF16" s="60"/>
      <c r="AG16" s="60"/>
      <c r="AH16" s="60"/>
      <c r="AI16" s="60"/>
      <c r="AJ16" s="60"/>
      <c r="AK16" s="60"/>
      <c r="AL16" s="60"/>
      <c r="AM16" s="108"/>
      <c r="AN16" s="109"/>
      <c r="AO16" s="109"/>
      <c r="AP16" s="110"/>
      <c r="AQ16" s="60"/>
      <c r="AR16" s="60"/>
      <c r="AS16" s="60"/>
      <c r="AT16" s="60"/>
      <c r="AU16" s="10"/>
      <c r="AV16" s="10"/>
      <c r="AW16" s="10"/>
      <c r="AX16" s="10"/>
      <c r="AY16" s="10"/>
      <c r="AZ16" s="10"/>
      <c r="BA16" s="10"/>
      <c r="BB16" s="10"/>
      <c r="BC16" s="10"/>
      <c r="BD16" s="10"/>
      <c r="BE16" s="10"/>
      <c r="BF16" s="10"/>
      <c r="BG16" s="10"/>
      <c r="BH16" s="10"/>
      <c r="BI16" s="10"/>
      <c r="BJ16" s="10"/>
      <c r="BK16" s="60"/>
      <c r="BL16" s="60"/>
      <c r="BM16" s="60"/>
      <c r="BN16" s="60"/>
      <c r="BO16" s="10"/>
      <c r="BS16" s="9"/>
      <c r="BT16" s="5"/>
      <c r="BU16" s="24"/>
    </row>
    <row r="17" spans="1:73" ht="21" customHeight="1" x14ac:dyDescent="0.55000000000000004">
      <c r="A17" s="5"/>
      <c r="G17" s="69"/>
      <c r="H17" s="60"/>
      <c r="I17" s="60"/>
      <c r="J17" s="60"/>
      <c r="K17" s="69"/>
      <c r="L17" s="60"/>
      <c r="M17" s="60"/>
      <c r="N17" s="60"/>
      <c r="O17" s="60"/>
      <c r="P17" s="60"/>
      <c r="Q17" s="60"/>
      <c r="R17" s="60"/>
      <c r="S17" s="60"/>
      <c r="T17" s="60"/>
      <c r="U17" s="60"/>
      <c r="V17" s="60"/>
      <c r="W17" s="111"/>
      <c r="X17" s="112"/>
      <c r="Y17" s="112"/>
      <c r="Z17" s="112"/>
      <c r="AA17" s="60"/>
      <c r="AB17" s="60"/>
      <c r="AC17" s="60"/>
      <c r="AD17" s="60"/>
      <c r="AE17" s="60"/>
      <c r="AF17" s="60"/>
      <c r="AG17" s="60"/>
      <c r="AH17" s="60"/>
      <c r="AI17" s="60"/>
      <c r="AJ17" s="60"/>
      <c r="AK17" s="60"/>
      <c r="AL17" s="60"/>
      <c r="AM17" s="111"/>
      <c r="AN17" s="112"/>
      <c r="AO17" s="112"/>
      <c r="AP17" s="113"/>
      <c r="AQ17" s="61"/>
      <c r="AR17" s="61"/>
      <c r="AS17" s="61"/>
      <c r="AT17" s="61"/>
      <c r="AU17" s="10"/>
      <c r="AV17" s="10"/>
      <c r="AW17" s="10"/>
      <c r="AX17" s="10"/>
      <c r="AY17" s="10"/>
      <c r="AZ17" s="10"/>
      <c r="BA17" s="10"/>
      <c r="BB17" s="10"/>
      <c r="BC17" s="10"/>
      <c r="BD17" s="10"/>
      <c r="BE17" s="10"/>
      <c r="BF17" s="10"/>
      <c r="BG17" s="10"/>
      <c r="BH17" s="10"/>
      <c r="BI17" s="10"/>
      <c r="BJ17" s="10"/>
      <c r="BK17" s="61"/>
      <c r="BL17" s="61"/>
      <c r="BM17" s="61"/>
      <c r="BN17" s="61"/>
      <c r="BO17" s="10"/>
      <c r="BS17" s="10"/>
      <c r="BT17" s="5"/>
      <c r="BU17" s="24"/>
    </row>
    <row r="18" spans="1:73" ht="21" customHeight="1" thickBot="1" x14ac:dyDescent="0.6">
      <c r="A18" s="5"/>
      <c r="G18" s="70"/>
      <c r="H18" s="65"/>
      <c r="I18" s="65"/>
      <c r="J18" s="65"/>
      <c r="K18" s="70"/>
      <c r="L18" s="65"/>
      <c r="M18" s="65"/>
      <c r="N18" s="65"/>
      <c r="O18" s="65"/>
      <c r="P18" s="65"/>
      <c r="Q18" s="65"/>
      <c r="R18" s="65"/>
      <c r="S18" s="65"/>
      <c r="T18" s="65"/>
      <c r="U18" s="65"/>
      <c r="V18" s="65"/>
      <c r="W18" s="117"/>
      <c r="X18" s="118"/>
      <c r="Y18" s="118"/>
      <c r="Z18" s="118"/>
      <c r="AA18" s="10"/>
      <c r="AB18" s="10"/>
      <c r="AC18" s="10"/>
      <c r="AD18" s="10"/>
      <c r="AE18" s="10"/>
      <c r="AF18" s="10"/>
      <c r="AG18" s="10"/>
      <c r="AH18" s="10"/>
      <c r="AI18" s="10"/>
      <c r="AJ18" s="10"/>
      <c r="AK18" s="10"/>
      <c r="AL18" s="10"/>
      <c r="AM18" s="117"/>
      <c r="AN18" s="118"/>
      <c r="AO18" s="118"/>
      <c r="AP18" s="119"/>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S18" s="10"/>
      <c r="BT18" s="5"/>
      <c r="BU18" s="24"/>
    </row>
    <row r="19" spans="1:73" ht="21" customHeight="1" x14ac:dyDescent="0.55000000000000004">
      <c r="A19" s="5"/>
      <c r="C19" s="1" t="s">
        <v>19</v>
      </c>
      <c r="G19" s="59"/>
      <c r="H19" s="10"/>
      <c r="I19" s="10"/>
      <c r="J19" s="10"/>
      <c r="K19" s="59"/>
      <c r="L19" s="10"/>
      <c r="M19" s="10"/>
      <c r="N19" s="10"/>
      <c r="O19" s="6" t="s">
        <v>529</v>
      </c>
      <c r="P19" s="120" t="s">
        <v>542</v>
      </c>
      <c r="Q19" s="120"/>
      <c r="R19" s="120"/>
      <c r="S19" s="62"/>
      <c r="T19" s="10"/>
      <c r="U19" s="10"/>
      <c r="V19" s="10"/>
      <c r="W19" s="71"/>
      <c r="X19" s="10"/>
      <c r="Y19" s="10"/>
      <c r="Z19" s="10"/>
      <c r="AA19" s="10"/>
      <c r="AB19" s="10"/>
      <c r="AC19" s="10"/>
      <c r="AD19" s="10"/>
      <c r="AE19" s="10"/>
      <c r="AF19" s="10"/>
      <c r="AG19" s="10"/>
      <c r="AH19" s="10"/>
      <c r="AI19" s="10"/>
      <c r="AJ19" s="10"/>
      <c r="AK19" s="10"/>
      <c r="AL19" s="10"/>
      <c r="AM19" s="71"/>
      <c r="AN19" s="10"/>
      <c r="AO19" s="10"/>
      <c r="AP19" s="10"/>
      <c r="AQ19" s="62"/>
      <c r="AR19" s="62"/>
      <c r="AS19" s="62"/>
      <c r="AT19" s="63"/>
      <c r="AU19" s="59"/>
      <c r="AV19" s="10"/>
      <c r="AW19" s="10"/>
      <c r="AX19" s="10"/>
      <c r="AY19" s="59"/>
      <c r="AZ19" s="10"/>
      <c r="BA19" s="10"/>
      <c r="BB19" s="10"/>
      <c r="BC19" s="59"/>
      <c r="BD19" s="10"/>
      <c r="BE19" s="10"/>
      <c r="BF19" s="10"/>
      <c r="BG19" s="59"/>
      <c r="BH19" s="10"/>
      <c r="BI19" s="10"/>
      <c r="BJ19" s="10"/>
      <c r="BK19" s="59"/>
      <c r="BL19" s="10"/>
      <c r="BM19" s="10"/>
      <c r="BN19" s="10"/>
      <c r="BO19" s="10"/>
      <c r="BT19" s="5"/>
      <c r="BU19" s="24"/>
    </row>
    <row r="20" spans="1:73" ht="21" customHeight="1" x14ac:dyDescent="0.55000000000000004">
      <c r="A20" s="5"/>
      <c r="G20" s="60"/>
      <c r="H20" s="60"/>
      <c r="I20" s="60"/>
      <c r="J20" s="60"/>
      <c r="K20" s="60"/>
      <c r="L20" s="60"/>
      <c r="M20" s="60"/>
      <c r="N20" s="60"/>
      <c r="O20" s="108"/>
      <c r="P20" s="109"/>
      <c r="Q20" s="109"/>
      <c r="R20" s="109"/>
      <c r="S20" s="60"/>
      <c r="T20" s="60"/>
      <c r="U20" s="60"/>
      <c r="V20" s="60"/>
      <c r="W20" s="69"/>
      <c r="X20" s="60"/>
      <c r="Y20" s="60"/>
      <c r="Z20" s="60"/>
      <c r="AA20" s="60"/>
      <c r="AB20" s="60"/>
      <c r="AC20" s="60"/>
      <c r="AD20" s="60"/>
      <c r="AE20" s="60"/>
      <c r="AF20" s="60"/>
      <c r="AG20" s="60"/>
      <c r="AH20" s="60"/>
      <c r="AI20" s="60"/>
      <c r="AJ20" s="60"/>
      <c r="AK20" s="60"/>
      <c r="AL20" s="60"/>
      <c r="AM20" s="69"/>
      <c r="AN20" s="60"/>
      <c r="AO20" s="60"/>
      <c r="AP20" s="60"/>
      <c r="AQ20" s="60"/>
      <c r="AR20" s="60"/>
      <c r="AS20" s="60"/>
      <c r="AT20" s="68"/>
      <c r="AU20" s="60"/>
      <c r="AV20" s="60"/>
      <c r="AW20" s="60"/>
      <c r="AX20" s="60"/>
      <c r="AY20" s="60"/>
      <c r="AZ20" s="60"/>
      <c r="BA20" s="60"/>
      <c r="BB20" s="60"/>
      <c r="BC20" s="60"/>
      <c r="BD20" s="60"/>
      <c r="BE20" s="60"/>
      <c r="BF20" s="60"/>
      <c r="BG20" s="60"/>
      <c r="BH20" s="60"/>
      <c r="BI20" s="60"/>
      <c r="BJ20" s="60"/>
      <c r="BK20" s="60"/>
      <c r="BL20" s="60"/>
      <c r="BM20" s="60"/>
      <c r="BN20" s="60"/>
      <c r="BO20" s="10"/>
      <c r="BT20" s="5"/>
      <c r="BU20" s="24"/>
    </row>
    <row r="21" spans="1:73" ht="21" customHeight="1" x14ac:dyDescent="0.55000000000000004">
      <c r="A21" s="5"/>
      <c r="G21" s="61"/>
      <c r="H21" s="61"/>
      <c r="I21" s="61"/>
      <c r="J21" s="61"/>
      <c r="K21" s="61"/>
      <c r="L21" s="61"/>
      <c r="M21" s="61"/>
      <c r="N21" s="61"/>
      <c r="O21" s="111"/>
      <c r="P21" s="112"/>
      <c r="Q21" s="112"/>
      <c r="R21" s="112"/>
      <c r="S21" s="60"/>
      <c r="T21" s="60"/>
      <c r="U21" s="60"/>
      <c r="V21" s="60"/>
      <c r="W21" s="69"/>
      <c r="X21" s="60"/>
      <c r="Y21" s="60"/>
      <c r="Z21" s="60"/>
      <c r="AA21" s="60"/>
      <c r="AB21" s="60"/>
      <c r="AC21" s="60"/>
      <c r="AD21" s="60"/>
      <c r="AE21" s="60"/>
      <c r="AF21" s="60"/>
      <c r="AG21" s="60"/>
      <c r="AH21" s="60"/>
      <c r="AI21" s="60"/>
      <c r="AJ21" s="60"/>
      <c r="AK21" s="60"/>
      <c r="AL21" s="60"/>
      <c r="AM21" s="69"/>
      <c r="AN21" s="60"/>
      <c r="AO21" s="60"/>
      <c r="AP21" s="60"/>
      <c r="AQ21" s="60"/>
      <c r="AR21" s="60"/>
      <c r="AS21" s="60"/>
      <c r="AT21" s="68"/>
      <c r="AU21" s="61"/>
      <c r="AV21" s="61"/>
      <c r="AW21" s="61"/>
      <c r="AX21" s="61"/>
      <c r="AY21" s="61"/>
      <c r="AZ21" s="61"/>
      <c r="BA21" s="61"/>
      <c r="BB21" s="61"/>
      <c r="BC21" s="61"/>
      <c r="BD21" s="61"/>
      <c r="BE21" s="61"/>
      <c r="BF21" s="61"/>
      <c r="BG21" s="61"/>
      <c r="BH21" s="61"/>
      <c r="BI21" s="61"/>
      <c r="BJ21" s="61"/>
      <c r="BK21" s="61"/>
      <c r="BL21" s="61"/>
      <c r="BM21" s="61"/>
      <c r="BN21" s="61"/>
      <c r="BO21" s="10"/>
      <c r="BT21" s="5"/>
      <c r="BU21" s="24"/>
    </row>
    <row r="22" spans="1:73" ht="21" customHeight="1" thickBot="1" x14ac:dyDescent="0.6">
      <c r="A22" s="5"/>
      <c r="G22" s="10"/>
      <c r="H22" s="10"/>
      <c r="I22" s="10"/>
      <c r="J22" s="10"/>
      <c r="K22" s="10"/>
      <c r="L22" s="10"/>
      <c r="M22" s="10"/>
      <c r="N22" s="10"/>
      <c r="O22" s="114"/>
      <c r="P22" s="115"/>
      <c r="Q22" s="115"/>
      <c r="R22" s="115"/>
      <c r="S22" s="65"/>
      <c r="T22" s="65"/>
      <c r="U22" s="65"/>
      <c r="V22" s="65"/>
      <c r="W22" s="70"/>
      <c r="X22" s="65"/>
      <c r="Y22" s="65"/>
      <c r="Z22" s="65"/>
      <c r="AA22" s="65"/>
      <c r="AB22" s="65"/>
      <c r="AC22" s="65"/>
      <c r="AD22" s="65"/>
      <c r="AE22" s="65"/>
      <c r="AF22" s="65"/>
      <c r="AG22" s="65"/>
      <c r="AH22" s="65"/>
      <c r="AI22" s="65"/>
      <c r="AJ22" s="65"/>
      <c r="AK22" s="65"/>
      <c r="AL22" s="65"/>
      <c r="AM22" s="70"/>
      <c r="AN22" s="65"/>
      <c r="AO22" s="65"/>
      <c r="AP22" s="65"/>
      <c r="AQ22" s="65"/>
      <c r="AR22" s="65"/>
      <c r="AS22" s="65"/>
      <c r="AT22" s="66"/>
      <c r="AU22" s="10"/>
      <c r="AV22" s="10"/>
      <c r="AW22" s="10"/>
      <c r="AX22" s="10"/>
      <c r="AY22" s="10"/>
      <c r="AZ22" s="10"/>
      <c r="BA22" s="10"/>
      <c r="BB22" s="10"/>
      <c r="BC22" s="10"/>
      <c r="BD22" s="10"/>
      <c r="BE22" s="10"/>
      <c r="BF22" s="10"/>
      <c r="BG22" s="10"/>
      <c r="BH22" s="10"/>
      <c r="BI22" s="10"/>
      <c r="BJ22" s="10"/>
      <c r="BK22" s="10"/>
      <c r="BL22" s="10"/>
      <c r="BM22" s="10"/>
      <c r="BN22" s="10"/>
      <c r="BO22" s="10"/>
      <c r="BT22" s="5"/>
      <c r="BU22" s="24"/>
    </row>
    <row r="23" spans="1:73" ht="21" customHeight="1" x14ac:dyDescent="0.55000000000000004">
      <c r="A23" s="5"/>
      <c r="C23" s="1" t="s">
        <v>20</v>
      </c>
      <c r="G23" s="10"/>
      <c r="H23" s="10"/>
      <c r="I23" s="10"/>
      <c r="J23" s="10"/>
      <c r="K23" s="10"/>
      <c r="L23" s="10"/>
      <c r="M23" s="10"/>
      <c r="N23" s="10"/>
      <c r="O23" s="4" t="s">
        <v>531</v>
      </c>
      <c r="P23" s="106" t="s">
        <v>543</v>
      </c>
      <c r="Q23" s="106"/>
      <c r="R23" s="106"/>
      <c r="S23" s="62"/>
      <c r="T23" s="62"/>
      <c r="U23" s="62"/>
      <c r="V23" s="62"/>
      <c r="W23" s="62"/>
      <c r="X23" s="10"/>
      <c r="Y23" s="10"/>
      <c r="Z23" s="64"/>
      <c r="AA23" s="6" t="s">
        <v>533</v>
      </c>
      <c r="AB23" s="120" t="s">
        <v>544</v>
      </c>
      <c r="AC23" s="120"/>
      <c r="AD23" s="120"/>
      <c r="AE23" s="62"/>
      <c r="AF23" s="10"/>
      <c r="AG23" s="10"/>
      <c r="AH23" s="64"/>
      <c r="AI23" s="6" t="s">
        <v>546</v>
      </c>
      <c r="AJ23" s="120" t="s">
        <v>547</v>
      </c>
      <c r="AK23" s="120"/>
      <c r="AL23" s="121"/>
      <c r="AM23" s="6" t="s">
        <v>549</v>
      </c>
      <c r="AN23" s="120" t="s">
        <v>550</v>
      </c>
      <c r="AO23" s="120"/>
      <c r="AP23" s="120"/>
      <c r="AQ23" s="62"/>
      <c r="AR23" s="10"/>
      <c r="AS23" s="10"/>
      <c r="AT23" s="64"/>
      <c r="AU23" s="4" t="s">
        <v>552</v>
      </c>
      <c r="AV23" s="106" t="s">
        <v>553</v>
      </c>
      <c r="AW23" s="106"/>
      <c r="AX23" s="106"/>
      <c r="AY23" s="62"/>
      <c r="AZ23" s="62"/>
      <c r="BA23" s="62"/>
      <c r="BB23" s="63"/>
      <c r="BC23" s="59"/>
      <c r="BD23" s="10"/>
      <c r="BE23" s="10"/>
      <c r="BF23" s="10"/>
      <c r="BG23" s="59"/>
      <c r="BH23" s="10"/>
      <c r="BI23" s="10"/>
      <c r="BJ23" s="10"/>
      <c r="BK23" s="10"/>
      <c r="BL23" s="10"/>
      <c r="BM23" s="10"/>
      <c r="BN23" s="10"/>
      <c r="BO23" s="59"/>
      <c r="BT23" s="5"/>
      <c r="BU23" s="24"/>
    </row>
    <row r="24" spans="1:73" ht="21" customHeight="1" x14ac:dyDescent="0.55000000000000004">
      <c r="A24" s="5"/>
      <c r="G24" s="10"/>
      <c r="H24" s="10"/>
      <c r="I24" s="10"/>
      <c r="J24" s="10"/>
      <c r="K24" s="10"/>
      <c r="L24" s="10"/>
      <c r="M24" s="10"/>
      <c r="N24" s="10"/>
      <c r="O24" s="108"/>
      <c r="P24" s="109"/>
      <c r="Q24" s="109"/>
      <c r="R24" s="109"/>
      <c r="S24" s="60"/>
      <c r="T24" s="60"/>
      <c r="U24" s="60"/>
      <c r="V24" s="60"/>
      <c r="W24" s="60"/>
      <c r="X24" s="60"/>
      <c r="Y24" s="60"/>
      <c r="Z24" s="68"/>
      <c r="AA24" s="108"/>
      <c r="AB24" s="109"/>
      <c r="AC24" s="109"/>
      <c r="AD24" s="109"/>
      <c r="AE24" s="60"/>
      <c r="AF24" s="60"/>
      <c r="AG24" s="60"/>
      <c r="AH24" s="68"/>
      <c r="AI24" s="108"/>
      <c r="AJ24" s="109"/>
      <c r="AK24" s="109"/>
      <c r="AL24" s="110"/>
      <c r="AM24" s="108"/>
      <c r="AN24" s="109"/>
      <c r="AO24" s="109"/>
      <c r="AP24" s="109"/>
      <c r="AQ24" s="60"/>
      <c r="AR24" s="60"/>
      <c r="AS24" s="60"/>
      <c r="AT24" s="68"/>
      <c r="AU24" s="108"/>
      <c r="AV24" s="109"/>
      <c r="AW24" s="109"/>
      <c r="AX24" s="109"/>
      <c r="AY24" s="60"/>
      <c r="AZ24" s="60"/>
      <c r="BA24" s="60"/>
      <c r="BB24" s="68"/>
      <c r="BC24" s="60"/>
      <c r="BD24" s="60"/>
      <c r="BE24" s="60"/>
      <c r="BF24" s="60"/>
      <c r="BG24" s="60"/>
      <c r="BH24" s="60"/>
      <c r="BI24" s="60"/>
      <c r="BJ24" s="60"/>
      <c r="BK24" s="10"/>
      <c r="BL24" s="10"/>
      <c r="BM24" s="10"/>
      <c r="BN24" s="10"/>
      <c r="BO24" s="60"/>
      <c r="BP24" s="51"/>
      <c r="BQ24" s="51"/>
      <c r="BR24" s="51"/>
      <c r="BT24" s="5"/>
      <c r="BU24" s="24"/>
    </row>
    <row r="25" spans="1:73" ht="21" customHeight="1" x14ac:dyDescent="0.55000000000000004">
      <c r="A25" s="5"/>
      <c r="G25" s="10"/>
      <c r="H25" s="10"/>
      <c r="I25" s="10"/>
      <c r="J25" s="10"/>
      <c r="K25" s="10"/>
      <c r="L25" s="10"/>
      <c r="M25" s="10"/>
      <c r="N25" s="10"/>
      <c r="O25" s="111"/>
      <c r="P25" s="112"/>
      <c r="Q25" s="112"/>
      <c r="R25" s="112"/>
      <c r="S25" s="60"/>
      <c r="T25" s="60"/>
      <c r="U25" s="60"/>
      <c r="V25" s="60"/>
      <c r="W25" s="60"/>
      <c r="X25" s="60"/>
      <c r="Y25" s="60"/>
      <c r="Z25" s="68"/>
      <c r="AA25" s="111"/>
      <c r="AB25" s="112"/>
      <c r="AC25" s="112"/>
      <c r="AD25" s="112"/>
      <c r="AE25" s="60"/>
      <c r="AF25" s="60"/>
      <c r="AG25" s="60"/>
      <c r="AH25" s="68"/>
      <c r="AI25" s="111"/>
      <c r="AJ25" s="112"/>
      <c r="AK25" s="112"/>
      <c r="AL25" s="113"/>
      <c r="AM25" s="111"/>
      <c r="AN25" s="112"/>
      <c r="AO25" s="112"/>
      <c r="AP25" s="112"/>
      <c r="AQ25" s="60"/>
      <c r="AR25" s="60"/>
      <c r="AS25" s="60"/>
      <c r="AT25" s="68"/>
      <c r="AU25" s="111"/>
      <c r="AV25" s="112"/>
      <c r="AW25" s="112"/>
      <c r="AX25" s="112"/>
      <c r="AY25" s="60"/>
      <c r="AZ25" s="60"/>
      <c r="BA25" s="60"/>
      <c r="BB25" s="68"/>
      <c r="BC25" s="61"/>
      <c r="BD25" s="61"/>
      <c r="BE25" s="61"/>
      <c r="BF25" s="61"/>
      <c r="BG25" s="61"/>
      <c r="BH25" s="61"/>
      <c r="BI25" s="61"/>
      <c r="BJ25" s="61"/>
      <c r="BK25" s="10"/>
      <c r="BL25" s="10"/>
      <c r="BM25" s="10"/>
      <c r="BN25" s="10"/>
      <c r="BO25" s="61"/>
      <c r="BP25" s="52"/>
      <c r="BQ25" s="52"/>
      <c r="BR25" s="52"/>
      <c r="BT25" s="5"/>
      <c r="BU25" s="24"/>
    </row>
    <row r="26" spans="1:73" ht="21" customHeight="1" thickBot="1" x14ac:dyDescent="0.6">
      <c r="A26" s="5"/>
      <c r="G26" s="10"/>
      <c r="H26" s="10"/>
      <c r="I26" s="10"/>
      <c r="J26" s="10"/>
      <c r="K26" s="10"/>
      <c r="L26" s="10"/>
      <c r="M26" s="10"/>
      <c r="N26" s="10"/>
      <c r="O26" s="114"/>
      <c r="P26" s="115"/>
      <c r="Q26" s="115"/>
      <c r="R26" s="115"/>
      <c r="S26" s="65"/>
      <c r="T26" s="65"/>
      <c r="U26" s="65"/>
      <c r="V26" s="65"/>
      <c r="W26" s="65"/>
      <c r="X26" s="65"/>
      <c r="Y26" s="65"/>
      <c r="Z26" s="66"/>
      <c r="AA26" s="114"/>
      <c r="AB26" s="115"/>
      <c r="AC26" s="115"/>
      <c r="AD26" s="115"/>
      <c r="AE26" s="65"/>
      <c r="AF26" s="65"/>
      <c r="AG26" s="65"/>
      <c r="AH26" s="66"/>
      <c r="AI26" s="117"/>
      <c r="AJ26" s="118"/>
      <c r="AK26" s="118"/>
      <c r="AL26" s="119"/>
      <c r="AM26" s="117"/>
      <c r="AN26" s="118"/>
      <c r="AO26" s="118"/>
      <c r="AP26" s="118"/>
      <c r="AQ26" s="10"/>
      <c r="AR26" s="10"/>
      <c r="AS26" s="10"/>
      <c r="AT26" s="64"/>
      <c r="AU26" s="117"/>
      <c r="AV26" s="118"/>
      <c r="AW26" s="118"/>
      <c r="AX26" s="118"/>
      <c r="AY26" s="10"/>
      <c r="AZ26" s="10"/>
      <c r="BA26" s="10"/>
      <c r="BB26" s="64"/>
      <c r="BC26" s="10"/>
      <c r="BD26" s="10"/>
      <c r="BE26" s="10"/>
      <c r="BF26" s="10"/>
      <c r="BG26" s="10"/>
      <c r="BH26" s="10"/>
      <c r="BI26" s="10"/>
      <c r="BJ26" s="10"/>
      <c r="BK26" s="10"/>
      <c r="BL26" s="10"/>
      <c r="BM26" s="10"/>
      <c r="BN26" s="10"/>
      <c r="BO26" s="10"/>
      <c r="BP26" s="53"/>
      <c r="BQ26" s="53"/>
      <c r="BR26" s="53"/>
      <c r="BT26" s="5"/>
      <c r="BU26" s="24"/>
    </row>
    <row r="27" spans="1:73" ht="21" customHeight="1" x14ac:dyDescent="0.55000000000000004">
      <c r="A27" s="5"/>
      <c r="C27" s="1" t="s">
        <v>21</v>
      </c>
      <c r="G27" s="10"/>
      <c r="H27" s="10"/>
      <c r="I27" s="10"/>
      <c r="J27" s="10"/>
      <c r="K27" s="10"/>
      <c r="L27" s="10"/>
      <c r="M27" s="10"/>
      <c r="N27" s="10"/>
      <c r="S27" s="4" t="s">
        <v>555</v>
      </c>
      <c r="T27" s="106" t="s">
        <v>303</v>
      </c>
      <c r="U27" s="106"/>
      <c r="V27" s="106"/>
      <c r="W27" s="62"/>
      <c r="X27" s="62"/>
      <c r="Y27" s="62"/>
      <c r="Z27" s="63"/>
      <c r="AA27" s="4" t="s">
        <v>557</v>
      </c>
      <c r="AB27" s="106" t="s">
        <v>395</v>
      </c>
      <c r="AC27" s="106"/>
      <c r="AD27" s="107"/>
      <c r="AE27" s="73"/>
      <c r="AF27" s="62"/>
      <c r="AG27" s="62"/>
      <c r="AH27" s="62"/>
      <c r="AI27" s="10"/>
      <c r="AJ27" s="10"/>
      <c r="AK27" s="10"/>
      <c r="AL27" s="64"/>
      <c r="AM27" s="71"/>
      <c r="AN27" s="10"/>
      <c r="AO27" s="10"/>
      <c r="AP27" s="10"/>
      <c r="AQ27" s="10"/>
      <c r="AR27" s="10"/>
      <c r="AS27" s="10"/>
      <c r="AT27" s="10"/>
      <c r="AU27" s="4" t="s">
        <v>559</v>
      </c>
      <c r="AV27" s="106" t="s">
        <v>336</v>
      </c>
      <c r="AW27" s="106"/>
      <c r="AX27" s="106"/>
      <c r="AY27" s="62"/>
      <c r="AZ27" s="62"/>
      <c r="BA27" s="62"/>
      <c r="BB27" s="62"/>
      <c r="BC27" s="62"/>
      <c r="BD27" s="62"/>
      <c r="BE27" s="62"/>
      <c r="BF27" s="62"/>
      <c r="BG27" s="62"/>
      <c r="BH27" s="62"/>
      <c r="BI27" s="62"/>
      <c r="BJ27" s="62"/>
      <c r="BK27" s="62"/>
      <c r="BL27" s="62"/>
      <c r="BM27" s="62"/>
      <c r="BN27" s="63"/>
      <c r="BO27" s="59"/>
      <c r="BT27" s="5"/>
      <c r="BU27" s="24"/>
    </row>
    <row r="28" spans="1:73" ht="21" customHeight="1" x14ac:dyDescent="0.55000000000000004">
      <c r="A28" s="5"/>
      <c r="G28" s="10"/>
      <c r="H28" s="10"/>
      <c r="I28" s="10"/>
      <c r="J28" s="10"/>
      <c r="K28" s="10"/>
      <c r="L28" s="10"/>
      <c r="M28" s="10"/>
      <c r="N28" s="10"/>
      <c r="S28" s="108"/>
      <c r="T28" s="109"/>
      <c r="U28" s="109"/>
      <c r="V28" s="109"/>
      <c r="W28" s="60"/>
      <c r="X28" s="60"/>
      <c r="Y28" s="60"/>
      <c r="Z28" s="68"/>
      <c r="AA28" s="108"/>
      <c r="AB28" s="109"/>
      <c r="AC28" s="109"/>
      <c r="AD28" s="110"/>
      <c r="AE28" s="69"/>
      <c r="AF28" s="60"/>
      <c r="AG28" s="60"/>
      <c r="AH28" s="60"/>
      <c r="AI28" s="60"/>
      <c r="AJ28" s="60"/>
      <c r="AK28" s="60"/>
      <c r="AL28" s="68"/>
      <c r="AM28" s="69"/>
      <c r="AN28" s="60"/>
      <c r="AO28" s="60"/>
      <c r="AP28" s="60"/>
      <c r="AQ28" s="60"/>
      <c r="AR28" s="60"/>
      <c r="AS28" s="60"/>
      <c r="AT28" s="60"/>
      <c r="AU28" s="108"/>
      <c r="AV28" s="109"/>
      <c r="AW28" s="109"/>
      <c r="AX28" s="109"/>
      <c r="AY28" s="60"/>
      <c r="AZ28" s="60"/>
      <c r="BA28" s="60"/>
      <c r="BB28" s="60"/>
      <c r="BC28" s="60"/>
      <c r="BD28" s="60"/>
      <c r="BE28" s="60"/>
      <c r="BF28" s="60"/>
      <c r="BG28" s="60"/>
      <c r="BH28" s="60"/>
      <c r="BI28" s="60"/>
      <c r="BJ28" s="60"/>
      <c r="BK28" s="60"/>
      <c r="BL28" s="60"/>
      <c r="BM28" s="60"/>
      <c r="BN28" s="68"/>
      <c r="BO28" s="60"/>
      <c r="BP28" s="51"/>
      <c r="BQ28" s="51"/>
      <c r="BR28" s="51"/>
      <c r="BT28" s="5"/>
      <c r="BU28" s="24"/>
    </row>
    <row r="29" spans="1:73" ht="21" customHeight="1" x14ac:dyDescent="0.55000000000000004">
      <c r="A29" s="5"/>
      <c r="G29" s="10"/>
      <c r="H29" s="10"/>
      <c r="I29" s="10"/>
      <c r="J29" s="10"/>
      <c r="K29" s="10"/>
      <c r="L29" s="10"/>
      <c r="M29" s="10"/>
      <c r="N29" s="10"/>
      <c r="S29" s="111"/>
      <c r="T29" s="112"/>
      <c r="U29" s="112"/>
      <c r="V29" s="112"/>
      <c r="W29" s="60"/>
      <c r="X29" s="60"/>
      <c r="Y29" s="60"/>
      <c r="Z29" s="68"/>
      <c r="AA29" s="111"/>
      <c r="AB29" s="112"/>
      <c r="AC29" s="112"/>
      <c r="AD29" s="113"/>
      <c r="AE29" s="69"/>
      <c r="AF29" s="60"/>
      <c r="AG29" s="60"/>
      <c r="AH29" s="60"/>
      <c r="AI29" s="60"/>
      <c r="AJ29" s="60"/>
      <c r="AK29" s="60"/>
      <c r="AL29" s="68"/>
      <c r="AM29" s="69"/>
      <c r="AN29" s="60"/>
      <c r="AO29" s="60"/>
      <c r="AP29" s="60"/>
      <c r="AQ29" s="60"/>
      <c r="AR29" s="60"/>
      <c r="AS29" s="60"/>
      <c r="AT29" s="60"/>
      <c r="AU29" s="111"/>
      <c r="AV29" s="112"/>
      <c r="AW29" s="112"/>
      <c r="AX29" s="112"/>
      <c r="AY29" s="60"/>
      <c r="AZ29" s="60"/>
      <c r="BA29" s="60"/>
      <c r="BB29" s="60"/>
      <c r="BC29" s="60"/>
      <c r="BD29" s="60"/>
      <c r="BE29" s="60"/>
      <c r="BF29" s="60"/>
      <c r="BG29" s="60"/>
      <c r="BH29" s="60"/>
      <c r="BI29" s="60"/>
      <c r="BJ29" s="60"/>
      <c r="BK29" s="60"/>
      <c r="BL29" s="60"/>
      <c r="BM29" s="60"/>
      <c r="BN29" s="68"/>
      <c r="BO29" s="61"/>
      <c r="BP29" s="52"/>
      <c r="BQ29" s="52"/>
      <c r="BR29" s="52"/>
      <c r="BT29" s="5"/>
      <c r="BU29" s="24"/>
    </row>
    <row r="30" spans="1:73" ht="21" customHeight="1" thickBot="1" x14ac:dyDescent="0.6">
      <c r="A30" s="5"/>
      <c r="G30" s="10"/>
      <c r="H30" s="10"/>
      <c r="I30" s="10"/>
      <c r="J30" s="10"/>
      <c r="K30" s="10"/>
      <c r="L30" s="10"/>
      <c r="M30" s="10"/>
      <c r="N30" s="10"/>
      <c r="S30" s="117"/>
      <c r="T30" s="118"/>
      <c r="U30" s="118"/>
      <c r="V30" s="118"/>
      <c r="W30" s="65"/>
      <c r="X30" s="65"/>
      <c r="Y30" s="65"/>
      <c r="Z30" s="66"/>
      <c r="AA30" s="117"/>
      <c r="AB30" s="118"/>
      <c r="AC30" s="118"/>
      <c r="AD30" s="119"/>
      <c r="AE30" s="70"/>
      <c r="AF30" s="65"/>
      <c r="AG30" s="65"/>
      <c r="AH30" s="65"/>
      <c r="AI30" s="65"/>
      <c r="AJ30" s="65"/>
      <c r="AK30" s="65"/>
      <c r="AL30" s="66"/>
      <c r="AM30" s="70"/>
      <c r="AN30" s="65"/>
      <c r="AO30" s="65"/>
      <c r="AP30" s="65"/>
      <c r="AQ30" s="65"/>
      <c r="AR30" s="65"/>
      <c r="AS30" s="65"/>
      <c r="AT30" s="65"/>
      <c r="AU30" s="117"/>
      <c r="AV30" s="118"/>
      <c r="AW30" s="118"/>
      <c r="AX30" s="118"/>
      <c r="AY30" s="10"/>
      <c r="AZ30" s="10"/>
      <c r="BA30" s="10"/>
      <c r="BB30" s="10"/>
      <c r="BC30" s="10"/>
      <c r="BD30" s="10"/>
      <c r="BE30" s="10"/>
      <c r="BF30" s="10"/>
      <c r="BG30" s="10"/>
      <c r="BH30" s="10"/>
      <c r="BI30" s="10"/>
      <c r="BJ30" s="10"/>
      <c r="BK30" s="10"/>
      <c r="BL30" s="10"/>
      <c r="BM30" s="10"/>
      <c r="BN30" s="64"/>
      <c r="BO30" s="10"/>
      <c r="BP30" s="53"/>
      <c r="BQ30" s="53"/>
      <c r="BR30" s="53"/>
      <c r="BT30" s="5"/>
      <c r="BU30" s="24"/>
    </row>
    <row r="31" spans="1:73" ht="21" customHeight="1" x14ac:dyDescent="0.55000000000000004">
      <c r="A31" s="5"/>
      <c r="C31" s="1" t="s">
        <v>22</v>
      </c>
      <c r="G31" s="4" t="s">
        <v>561</v>
      </c>
      <c r="H31" s="106" t="s">
        <v>311</v>
      </c>
      <c r="I31" s="106"/>
      <c r="J31" s="106"/>
      <c r="K31" s="62"/>
      <c r="L31" s="62"/>
      <c r="M31" s="62"/>
      <c r="N31" s="62"/>
      <c r="O31" s="62"/>
      <c r="P31" s="62"/>
      <c r="Q31" s="62"/>
      <c r="R31" s="63"/>
      <c r="S31" s="10"/>
      <c r="T31" s="10"/>
      <c r="U31" s="10"/>
      <c r="V31" s="64"/>
      <c r="W31" s="10"/>
      <c r="X31" s="10"/>
      <c r="Y31" s="10"/>
      <c r="Z31" s="10"/>
      <c r="AA31" s="71"/>
      <c r="AB31" s="10"/>
      <c r="AC31" s="10"/>
      <c r="AD31" s="10"/>
      <c r="AE31" s="62"/>
      <c r="AF31" s="62"/>
      <c r="AG31" s="62"/>
      <c r="AH31" s="63"/>
      <c r="AI31" s="4" t="s">
        <v>563</v>
      </c>
      <c r="AJ31" s="106" t="s">
        <v>355</v>
      </c>
      <c r="AK31" s="106"/>
      <c r="AL31" s="106"/>
      <c r="AM31" s="62"/>
      <c r="AN31" s="62"/>
      <c r="AO31" s="62"/>
      <c r="AP31" s="63"/>
      <c r="AQ31" s="59"/>
      <c r="AR31" s="10"/>
      <c r="AS31" s="10"/>
      <c r="AT31" s="10"/>
      <c r="AU31" s="4" t="s">
        <v>565</v>
      </c>
      <c r="AV31" s="56" t="s">
        <v>345</v>
      </c>
      <c r="AW31" s="56"/>
      <c r="AX31" s="56"/>
      <c r="AY31" s="62"/>
      <c r="AZ31" s="62"/>
      <c r="BA31" s="62"/>
      <c r="BB31" s="62"/>
      <c r="BC31" s="62"/>
      <c r="BD31" s="62"/>
      <c r="BE31" s="62"/>
      <c r="BF31" s="62"/>
      <c r="BG31" s="62"/>
      <c r="BH31" s="62"/>
      <c r="BI31" s="62"/>
      <c r="BJ31" s="62"/>
      <c r="BK31" s="62"/>
      <c r="BL31" s="62"/>
      <c r="BM31" s="62"/>
      <c r="BN31" s="63"/>
      <c r="BO31" s="59"/>
      <c r="BT31" s="5"/>
      <c r="BU31" s="24"/>
    </row>
    <row r="32" spans="1:73" ht="21" customHeight="1" x14ac:dyDescent="0.55000000000000004">
      <c r="A32" s="5"/>
      <c r="G32" s="108"/>
      <c r="H32" s="109"/>
      <c r="I32" s="109"/>
      <c r="J32" s="109"/>
      <c r="K32" s="60"/>
      <c r="L32" s="60"/>
      <c r="M32" s="60"/>
      <c r="N32" s="60"/>
      <c r="O32" s="60"/>
      <c r="P32" s="60"/>
      <c r="Q32" s="60"/>
      <c r="R32" s="68"/>
      <c r="S32" s="60"/>
      <c r="T32" s="60"/>
      <c r="U32" s="60"/>
      <c r="V32" s="68"/>
      <c r="W32" s="10"/>
      <c r="X32" s="10"/>
      <c r="Y32" s="10"/>
      <c r="Z32" s="10"/>
      <c r="AA32" s="69"/>
      <c r="AB32" s="60"/>
      <c r="AC32" s="60"/>
      <c r="AD32" s="60"/>
      <c r="AE32" s="60"/>
      <c r="AF32" s="60"/>
      <c r="AG32" s="60"/>
      <c r="AH32" s="68"/>
      <c r="AI32" s="108"/>
      <c r="AJ32" s="109"/>
      <c r="AK32" s="109"/>
      <c r="AL32" s="109"/>
      <c r="AM32" s="60"/>
      <c r="AN32" s="60"/>
      <c r="AO32" s="60"/>
      <c r="AP32" s="68"/>
      <c r="AQ32" s="60"/>
      <c r="AR32" s="60"/>
      <c r="AS32" s="60"/>
      <c r="AT32" s="60"/>
      <c r="AU32" s="54"/>
      <c r="AV32" s="51"/>
      <c r="AW32" s="51"/>
      <c r="AX32" s="51"/>
      <c r="AY32" s="60"/>
      <c r="AZ32" s="60"/>
      <c r="BA32" s="60"/>
      <c r="BB32" s="60"/>
      <c r="BC32" s="60"/>
      <c r="BD32" s="60"/>
      <c r="BE32" s="60"/>
      <c r="BF32" s="60"/>
      <c r="BG32" s="60"/>
      <c r="BH32" s="60"/>
      <c r="BI32" s="60"/>
      <c r="BJ32" s="60"/>
      <c r="BK32" s="60"/>
      <c r="BL32" s="60"/>
      <c r="BM32" s="60"/>
      <c r="BN32" s="68"/>
      <c r="BO32" s="60"/>
      <c r="BP32" s="51"/>
      <c r="BQ32" s="51"/>
      <c r="BR32" s="51"/>
      <c r="BT32" s="5"/>
      <c r="BU32" s="24"/>
    </row>
    <row r="33" spans="1:73" ht="21" customHeight="1" x14ac:dyDescent="0.55000000000000004">
      <c r="A33" s="5"/>
      <c r="G33" s="111"/>
      <c r="H33" s="112"/>
      <c r="I33" s="112"/>
      <c r="J33" s="112"/>
      <c r="K33" s="60"/>
      <c r="L33" s="60"/>
      <c r="M33" s="60"/>
      <c r="N33" s="60"/>
      <c r="O33" s="60"/>
      <c r="P33" s="60"/>
      <c r="Q33" s="60"/>
      <c r="R33" s="68"/>
      <c r="S33" s="60"/>
      <c r="T33" s="60"/>
      <c r="U33" s="60"/>
      <c r="V33" s="68"/>
      <c r="W33" s="10"/>
      <c r="X33" s="10"/>
      <c r="Y33" s="10"/>
      <c r="Z33" s="10"/>
      <c r="AA33" s="69"/>
      <c r="AB33" s="60"/>
      <c r="AC33" s="60"/>
      <c r="AD33" s="60"/>
      <c r="AE33" s="60"/>
      <c r="AF33" s="60"/>
      <c r="AG33" s="60"/>
      <c r="AH33" s="68"/>
      <c r="AI33" s="111"/>
      <c r="AJ33" s="112"/>
      <c r="AK33" s="112"/>
      <c r="AL33" s="112"/>
      <c r="AM33" s="60"/>
      <c r="AN33" s="60"/>
      <c r="AO33" s="60"/>
      <c r="AP33" s="68"/>
      <c r="AQ33" s="61"/>
      <c r="AR33" s="61"/>
      <c r="AS33" s="61"/>
      <c r="AT33" s="61"/>
      <c r="AU33" s="55"/>
      <c r="AV33" s="52"/>
      <c r="AW33" s="52"/>
      <c r="AX33" s="52"/>
      <c r="AY33" s="60"/>
      <c r="AZ33" s="60"/>
      <c r="BA33" s="60"/>
      <c r="BB33" s="60"/>
      <c r="BC33" s="60"/>
      <c r="BD33" s="60"/>
      <c r="BE33" s="60"/>
      <c r="BF33" s="60"/>
      <c r="BG33" s="60"/>
      <c r="BH33" s="60"/>
      <c r="BI33" s="60"/>
      <c r="BJ33" s="60"/>
      <c r="BK33" s="60"/>
      <c r="BL33" s="60"/>
      <c r="BM33" s="60"/>
      <c r="BN33" s="68"/>
      <c r="BO33" s="61"/>
      <c r="BP33" s="52"/>
      <c r="BQ33" s="52"/>
      <c r="BR33" s="52"/>
      <c r="BT33" s="5"/>
      <c r="BU33" s="24"/>
    </row>
    <row r="34" spans="1:73" ht="21" customHeight="1" thickBot="1" x14ac:dyDescent="0.6">
      <c r="A34" s="5"/>
      <c r="G34" s="114"/>
      <c r="H34" s="115"/>
      <c r="I34" s="115"/>
      <c r="J34" s="115"/>
      <c r="K34" s="65"/>
      <c r="L34" s="65"/>
      <c r="M34" s="65"/>
      <c r="N34" s="65"/>
      <c r="O34" s="65"/>
      <c r="P34" s="65"/>
      <c r="Q34" s="65"/>
      <c r="R34" s="66"/>
      <c r="S34" s="65"/>
      <c r="T34" s="65"/>
      <c r="U34" s="65"/>
      <c r="V34" s="66"/>
      <c r="W34" s="10"/>
      <c r="X34" s="10"/>
      <c r="Y34" s="10"/>
      <c r="Z34" s="10"/>
      <c r="AA34" s="71"/>
      <c r="AB34" s="10"/>
      <c r="AC34" s="10"/>
      <c r="AD34" s="10"/>
      <c r="AE34" s="10"/>
      <c r="AF34" s="10"/>
      <c r="AG34" s="10"/>
      <c r="AH34" s="64"/>
      <c r="AI34" s="114"/>
      <c r="AJ34" s="115"/>
      <c r="AK34" s="115"/>
      <c r="AL34" s="115"/>
      <c r="AM34" s="65"/>
      <c r="AN34" s="65"/>
      <c r="AO34" s="65"/>
      <c r="AP34" s="66"/>
      <c r="AQ34" s="10"/>
      <c r="AR34" s="10"/>
      <c r="AS34" s="10"/>
      <c r="AT34" s="10"/>
      <c r="AU34" s="57"/>
      <c r="AV34" s="58"/>
      <c r="AW34" s="58"/>
      <c r="AX34" s="58"/>
      <c r="AY34" s="65"/>
      <c r="AZ34" s="65"/>
      <c r="BA34" s="65"/>
      <c r="BB34" s="65"/>
      <c r="BC34" s="10"/>
      <c r="BD34" s="10"/>
      <c r="BE34" s="10"/>
      <c r="BF34" s="10"/>
      <c r="BG34" s="10"/>
      <c r="BH34" s="10"/>
      <c r="BI34" s="10"/>
      <c r="BJ34" s="10"/>
      <c r="BK34" s="10"/>
      <c r="BL34" s="10"/>
      <c r="BM34" s="10"/>
      <c r="BN34" s="64"/>
      <c r="BO34" s="10"/>
      <c r="BP34" s="53"/>
      <c r="BQ34" s="53"/>
      <c r="BR34" s="53"/>
      <c r="BT34" s="5"/>
      <c r="BU34" s="24"/>
    </row>
    <row r="35" spans="1:73" ht="21" customHeight="1" x14ac:dyDescent="0.55000000000000004">
      <c r="A35" s="5"/>
      <c r="C35" s="1" t="s">
        <v>23</v>
      </c>
      <c r="G35" s="10"/>
      <c r="H35" s="10"/>
      <c r="I35" s="10"/>
      <c r="J35" s="10"/>
      <c r="K35" s="10"/>
      <c r="L35" s="10"/>
      <c r="M35" s="10"/>
      <c r="N35" s="10"/>
      <c r="O35" s="10"/>
      <c r="P35" s="10"/>
      <c r="Q35" s="10"/>
      <c r="R35" s="10"/>
      <c r="S35" s="10"/>
      <c r="T35" s="10"/>
      <c r="U35" s="10"/>
      <c r="V35" s="10"/>
      <c r="W35" s="10"/>
      <c r="X35" s="10"/>
      <c r="Y35" s="10"/>
      <c r="Z35" s="10"/>
      <c r="AA35" s="71"/>
      <c r="AB35" s="10"/>
      <c r="AC35" s="10"/>
      <c r="AD35" s="10"/>
      <c r="AE35" s="10"/>
      <c r="AF35" s="10"/>
      <c r="AG35" s="10"/>
      <c r="AH35" s="64"/>
      <c r="AI35" s="59"/>
      <c r="AJ35" s="10"/>
      <c r="AK35" s="10"/>
      <c r="AL35" s="10"/>
      <c r="AM35" s="59"/>
      <c r="AN35" s="10"/>
      <c r="AO35" s="10"/>
      <c r="AP35" s="10"/>
      <c r="AQ35" s="59"/>
      <c r="AR35" s="10"/>
      <c r="AS35" s="10"/>
      <c r="AT35" s="10"/>
      <c r="AU35" s="59"/>
      <c r="AV35" s="10"/>
      <c r="AW35" s="10"/>
      <c r="AX35" s="10"/>
      <c r="AY35" s="59"/>
      <c r="AZ35" s="10"/>
      <c r="BA35" s="10"/>
      <c r="BB35" s="10"/>
      <c r="BC35" s="4" t="s">
        <v>567</v>
      </c>
      <c r="BD35" s="106" t="s">
        <v>359</v>
      </c>
      <c r="BE35" s="106"/>
      <c r="BF35" s="106"/>
      <c r="BG35" s="62"/>
      <c r="BH35" s="62"/>
      <c r="BI35" s="62"/>
      <c r="BJ35" s="62"/>
      <c r="BK35" s="62"/>
      <c r="BL35" s="62"/>
      <c r="BM35" s="62"/>
      <c r="BN35" s="63"/>
      <c r="BO35" s="59"/>
      <c r="BT35" s="5"/>
      <c r="BU35" s="24"/>
    </row>
    <row r="36" spans="1:73" ht="21" customHeight="1" x14ac:dyDescent="0.55000000000000004">
      <c r="A36" s="5"/>
      <c r="AA36" s="69"/>
      <c r="AB36" s="60"/>
      <c r="AC36" s="60"/>
      <c r="AD36" s="60"/>
      <c r="AE36" s="60"/>
      <c r="AF36" s="60"/>
      <c r="AG36" s="60"/>
      <c r="AH36" s="68"/>
      <c r="AI36" s="51"/>
      <c r="AJ36" s="51"/>
      <c r="AK36" s="51"/>
      <c r="AL36" s="51"/>
      <c r="AM36" s="51"/>
      <c r="AN36" s="51"/>
      <c r="AO36" s="51"/>
      <c r="AP36" s="51"/>
      <c r="AQ36" s="51"/>
      <c r="AR36" s="51"/>
      <c r="AS36" s="51"/>
      <c r="AT36" s="51"/>
      <c r="AU36" s="51"/>
      <c r="AV36" s="51"/>
      <c r="AW36" s="51"/>
      <c r="AX36" s="51"/>
      <c r="AY36" s="51"/>
      <c r="AZ36" s="51"/>
      <c r="BA36" s="51"/>
      <c r="BB36" s="51"/>
      <c r="BC36" s="108"/>
      <c r="BD36" s="109"/>
      <c r="BE36" s="109"/>
      <c r="BF36" s="109"/>
      <c r="BG36" s="60"/>
      <c r="BH36" s="60"/>
      <c r="BI36" s="60"/>
      <c r="BJ36" s="60"/>
      <c r="BK36" s="60"/>
      <c r="BL36" s="60"/>
      <c r="BM36" s="60"/>
      <c r="BN36" s="68"/>
      <c r="BO36" s="51"/>
      <c r="BP36" s="51"/>
      <c r="BQ36" s="51"/>
      <c r="BR36" s="51"/>
      <c r="BT36" s="5"/>
      <c r="BU36" s="24"/>
    </row>
    <row r="37" spans="1:73" ht="21" customHeight="1" x14ac:dyDescent="0.55000000000000004">
      <c r="A37" s="5"/>
      <c r="AA37" s="69"/>
      <c r="AB37" s="60"/>
      <c r="AC37" s="60"/>
      <c r="AD37" s="60"/>
      <c r="AE37" s="60"/>
      <c r="AF37" s="60"/>
      <c r="AG37" s="60"/>
      <c r="AH37" s="68"/>
      <c r="AI37" s="52"/>
      <c r="AJ37" s="52"/>
      <c r="AK37" s="52"/>
      <c r="AL37" s="52"/>
      <c r="AM37" s="52"/>
      <c r="AN37" s="52"/>
      <c r="AO37" s="52"/>
      <c r="AP37" s="52"/>
      <c r="AQ37" s="52"/>
      <c r="AR37" s="52"/>
      <c r="AS37" s="52"/>
      <c r="AT37" s="52"/>
      <c r="AU37" s="52"/>
      <c r="AV37" s="52"/>
      <c r="AW37" s="52"/>
      <c r="AX37" s="52"/>
      <c r="AY37" s="52"/>
      <c r="AZ37" s="52"/>
      <c r="BA37" s="52"/>
      <c r="BB37" s="52"/>
      <c r="BC37" s="111"/>
      <c r="BD37" s="112"/>
      <c r="BE37" s="112"/>
      <c r="BF37" s="112"/>
      <c r="BG37" s="60"/>
      <c r="BH37" s="60"/>
      <c r="BI37" s="60"/>
      <c r="BJ37" s="60"/>
      <c r="BK37" s="60"/>
      <c r="BL37" s="60"/>
      <c r="BM37" s="60"/>
      <c r="BN37" s="68"/>
      <c r="BO37" s="52"/>
      <c r="BP37" s="52"/>
      <c r="BQ37" s="52"/>
      <c r="BR37" s="52"/>
      <c r="BT37" s="5"/>
      <c r="BU37" s="24"/>
    </row>
    <row r="38" spans="1:73" ht="21" customHeight="1" thickBot="1" x14ac:dyDescent="0.6">
      <c r="A38" s="5"/>
      <c r="AA38" s="70"/>
      <c r="AB38" s="65"/>
      <c r="AC38" s="65"/>
      <c r="AD38" s="65"/>
      <c r="AE38" s="65"/>
      <c r="AF38" s="65"/>
      <c r="AG38" s="65"/>
      <c r="AH38" s="66"/>
      <c r="AI38" s="52"/>
      <c r="AJ38" s="52"/>
      <c r="AK38" s="52"/>
      <c r="AL38" s="52"/>
      <c r="AM38" s="52"/>
      <c r="AN38" s="52"/>
      <c r="AO38" s="52"/>
      <c r="AP38" s="52"/>
      <c r="AQ38" s="52"/>
      <c r="AR38" s="52"/>
      <c r="AS38" s="52"/>
      <c r="AT38" s="52"/>
      <c r="AU38" s="52"/>
      <c r="AV38" s="52"/>
      <c r="AW38" s="52"/>
      <c r="AX38" s="52"/>
      <c r="AY38" s="52"/>
      <c r="AZ38" s="52"/>
      <c r="BA38" s="52"/>
      <c r="BB38" s="52"/>
      <c r="BC38" s="117"/>
      <c r="BD38" s="118"/>
      <c r="BE38" s="118"/>
      <c r="BF38" s="118"/>
      <c r="BG38" s="10"/>
      <c r="BH38" s="10"/>
      <c r="BI38" s="10"/>
      <c r="BJ38" s="10"/>
      <c r="BK38" s="10"/>
      <c r="BL38" s="10"/>
      <c r="BM38" s="10"/>
      <c r="BN38" s="64"/>
      <c r="BO38" s="52"/>
      <c r="BP38" s="52"/>
      <c r="BQ38" s="52"/>
      <c r="BR38" s="52"/>
      <c r="BT38" s="5"/>
      <c r="BU38" s="24"/>
    </row>
    <row r="39" spans="1:73" ht="21" customHeight="1" x14ac:dyDescent="0.55000000000000004">
      <c r="A39" s="5"/>
      <c r="C39" s="1" t="s">
        <v>529</v>
      </c>
      <c r="AI39" s="52"/>
      <c r="AJ39" s="52"/>
      <c r="AK39" s="52"/>
      <c r="AL39" s="52"/>
      <c r="AM39" s="52"/>
      <c r="AN39" s="52"/>
      <c r="AO39" s="52"/>
      <c r="AP39" s="52"/>
      <c r="AQ39" s="52"/>
      <c r="AR39" s="52"/>
      <c r="AS39" s="52"/>
      <c r="AT39" s="52"/>
      <c r="AU39" s="52"/>
      <c r="AV39" s="52"/>
      <c r="AW39" s="52"/>
      <c r="AX39" s="52"/>
      <c r="AY39" s="4" t="s">
        <v>569</v>
      </c>
      <c r="AZ39" s="106" t="s">
        <v>365</v>
      </c>
      <c r="BA39" s="106"/>
      <c r="BB39" s="106"/>
      <c r="BC39" s="62"/>
      <c r="BD39" s="62"/>
      <c r="BE39" s="62"/>
      <c r="BF39" s="62"/>
      <c r="BG39" s="62"/>
      <c r="BH39" s="62"/>
      <c r="BI39" s="62"/>
      <c r="BJ39" s="62"/>
      <c r="BK39" s="62"/>
      <c r="BL39" s="62"/>
      <c r="BM39" s="62"/>
      <c r="BN39" s="62"/>
      <c r="BO39" s="62"/>
      <c r="BP39" s="62"/>
      <c r="BQ39" s="62"/>
      <c r="BR39" s="63"/>
      <c r="BT39" s="5"/>
      <c r="BU39" s="24"/>
    </row>
    <row r="40" spans="1:73" ht="21" customHeight="1" x14ac:dyDescent="0.55000000000000004">
      <c r="A40" s="5"/>
      <c r="AI40" s="52"/>
      <c r="AJ40" s="52"/>
      <c r="AK40" s="52"/>
      <c r="AL40" s="52"/>
      <c r="AM40" s="52"/>
      <c r="AN40" s="52"/>
      <c r="AO40" s="52"/>
      <c r="AP40" s="52"/>
      <c r="AQ40" s="52"/>
      <c r="AR40" s="52"/>
      <c r="AS40" s="52"/>
      <c r="AT40" s="52"/>
      <c r="AU40" s="52"/>
      <c r="AV40" s="52"/>
      <c r="AW40" s="52"/>
      <c r="AX40" s="52"/>
      <c r="AY40" s="108"/>
      <c r="AZ40" s="109"/>
      <c r="BA40" s="109"/>
      <c r="BB40" s="109"/>
      <c r="BC40" s="60"/>
      <c r="BD40" s="60"/>
      <c r="BE40" s="60"/>
      <c r="BF40" s="60"/>
      <c r="BG40" s="60"/>
      <c r="BH40" s="60"/>
      <c r="BI40" s="60"/>
      <c r="BJ40" s="60"/>
      <c r="BK40" s="60"/>
      <c r="BL40" s="60"/>
      <c r="BM40" s="60"/>
      <c r="BN40" s="60"/>
      <c r="BO40" s="60"/>
      <c r="BP40" s="60"/>
      <c r="BQ40" s="60"/>
      <c r="BR40" s="68"/>
      <c r="BT40" s="5"/>
      <c r="BU40" s="24"/>
    </row>
    <row r="41" spans="1:73" ht="21" customHeight="1" x14ac:dyDescent="0.55000000000000004">
      <c r="A41" s="5"/>
      <c r="AI41" s="52"/>
      <c r="AJ41" s="52"/>
      <c r="AK41" s="52"/>
      <c r="AL41" s="52"/>
      <c r="AM41" s="52"/>
      <c r="AN41" s="52"/>
      <c r="AO41" s="52"/>
      <c r="AP41" s="52"/>
      <c r="AQ41" s="52"/>
      <c r="AR41" s="52"/>
      <c r="AS41" s="52"/>
      <c r="AT41" s="52"/>
      <c r="AU41" s="52"/>
      <c r="AV41" s="52"/>
      <c r="AW41" s="52"/>
      <c r="AX41" s="52"/>
      <c r="AY41" s="111"/>
      <c r="AZ41" s="112"/>
      <c r="BA41" s="112"/>
      <c r="BB41" s="112"/>
      <c r="BC41" s="60"/>
      <c r="BD41" s="60"/>
      <c r="BE41" s="60"/>
      <c r="BF41" s="60"/>
      <c r="BG41" s="60"/>
      <c r="BH41" s="60"/>
      <c r="BI41" s="60"/>
      <c r="BJ41" s="60"/>
      <c r="BK41" s="60"/>
      <c r="BL41" s="60"/>
      <c r="BM41" s="60"/>
      <c r="BN41" s="60"/>
      <c r="BO41" s="60"/>
      <c r="BP41" s="60"/>
      <c r="BQ41" s="60"/>
      <c r="BR41" s="68"/>
      <c r="BT41" s="5"/>
      <c r="BU41" s="24"/>
    </row>
    <row r="42" spans="1:73" ht="21" customHeight="1" thickBot="1" x14ac:dyDescent="0.6">
      <c r="A42" s="5"/>
      <c r="AI42" s="52"/>
      <c r="AJ42" s="52"/>
      <c r="AK42" s="52"/>
      <c r="AL42" s="52"/>
      <c r="AM42" s="52"/>
      <c r="AN42" s="52"/>
      <c r="AO42" s="52"/>
      <c r="AP42" s="52"/>
      <c r="AQ42" s="52"/>
      <c r="AR42" s="52"/>
      <c r="AS42" s="52"/>
      <c r="AT42" s="52"/>
      <c r="AU42" s="52"/>
      <c r="AV42" s="52"/>
      <c r="AW42" s="52"/>
      <c r="AX42" s="52"/>
      <c r="AY42" s="117"/>
      <c r="AZ42" s="118"/>
      <c r="BA42" s="118"/>
      <c r="BB42" s="118"/>
      <c r="BC42" s="10"/>
      <c r="BD42" s="10"/>
      <c r="BE42" s="10"/>
      <c r="BF42" s="10"/>
      <c r="BG42" s="10"/>
      <c r="BH42" s="10"/>
      <c r="BI42" s="10"/>
      <c r="BJ42" s="10"/>
      <c r="BK42" s="65"/>
      <c r="BL42" s="65"/>
      <c r="BM42" s="65"/>
      <c r="BN42" s="65"/>
      <c r="BO42" s="65"/>
      <c r="BP42" s="65"/>
      <c r="BQ42" s="65"/>
      <c r="BR42" s="66"/>
      <c r="BT42" s="5"/>
      <c r="BU42" s="24"/>
    </row>
    <row r="43" spans="1:73" ht="21" customHeight="1" x14ac:dyDescent="0.55000000000000004">
      <c r="A43" s="5"/>
      <c r="C43" s="1" t="s">
        <v>531</v>
      </c>
      <c r="AI43" s="52"/>
      <c r="AJ43" s="52"/>
      <c r="AK43" s="52"/>
      <c r="AL43" s="52"/>
      <c r="AM43" s="52"/>
      <c r="AN43" s="52"/>
      <c r="AO43" s="52"/>
      <c r="AP43" s="52"/>
      <c r="AQ43" s="52"/>
      <c r="AR43" s="52"/>
      <c r="AS43" s="52"/>
      <c r="AT43" s="52"/>
      <c r="AU43" s="52"/>
      <c r="AV43" s="52"/>
      <c r="AW43" s="52"/>
      <c r="AX43" s="52"/>
      <c r="AY43" s="4" t="s">
        <v>571</v>
      </c>
      <c r="AZ43" s="106" t="s">
        <v>375</v>
      </c>
      <c r="BA43" s="106"/>
      <c r="BB43" s="106"/>
      <c r="BC43" s="62"/>
      <c r="BD43" s="62"/>
      <c r="BE43" s="62"/>
      <c r="BF43" s="62"/>
      <c r="BG43" s="62"/>
      <c r="BH43" s="62"/>
      <c r="BI43" s="62"/>
      <c r="BJ43" s="63"/>
      <c r="BK43" s="52"/>
      <c r="BL43" s="52"/>
      <c r="BM43" s="52"/>
      <c r="BN43" s="52"/>
      <c r="BO43" s="52"/>
      <c r="BP43" s="52"/>
      <c r="BQ43" s="52"/>
      <c r="BR43" s="52"/>
      <c r="BT43" s="5"/>
      <c r="BU43" s="24"/>
    </row>
    <row r="44" spans="1:73" ht="21" customHeight="1" x14ac:dyDescent="0.55000000000000004">
      <c r="A44" s="5"/>
      <c r="AI44" s="52"/>
      <c r="AJ44" s="52"/>
      <c r="AK44" s="52"/>
      <c r="AL44" s="52"/>
      <c r="AM44" s="52"/>
      <c r="AN44" s="52"/>
      <c r="AO44" s="52"/>
      <c r="AP44" s="52"/>
      <c r="AQ44" s="52"/>
      <c r="AR44" s="52"/>
      <c r="AS44" s="52"/>
      <c r="AT44" s="52"/>
      <c r="AU44" s="52"/>
      <c r="AV44" s="52"/>
      <c r="AW44" s="52"/>
      <c r="AX44" s="52"/>
      <c r="AY44" s="108"/>
      <c r="AZ44" s="109"/>
      <c r="BA44" s="109"/>
      <c r="BB44" s="109"/>
      <c r="BC44" s="60"/>
      <c r="BD44" s="60"/>
      <c r="BE44" s="60"/>
      <c r="BF44" s="60"/>
      <c r="BG44" s="60"/>
      <c r="BH44" s="60"/>
      <c r="BI44" s="60"/>
      <c r="BJ44" s="68"/>
      <c r="BK44" s="52"/>
      <c r="BL44" s="52"/>
      <c r="BM44" s="52"/>
      <c r="BN44" s="52"/>
      <c r="BO44" s="52"/>
      <c r="BP44" s="52"/>
      <c r="BQ44" s="52"/>
      <c r="BR44" s="52"/>
      <c r="BT44" s="5"/>
      <c r="BU44" s="24"/>
    </row>
    <row r="45" spans="1:73" ht="21" customHeight="1" x14ac:dyDescent="0.55000000000000004">
      <c r="A45" s="5"/>
      <c r="AI45" s="52"/>
      <c r="AJ45" s="52"/>
      <c r="AK45" s="52"/>
      <c r="AL45" s="52"/>
      <c r="AM45" s="52"/>
      <c r="AN45" s="52"/>
      <c r="AO45" s="52"/>
      <c r="AP45" s="52"/>
      <c r="AQ45" s="52"/>
      <c r="AR45" s="52"/>
      <c r="AS45" s="52"/>
      <c r="AT45" s="52"/>
      <c r="AU45" s="52"/>
      <c r="AV45" s="52"/>
      <c r="AW45" s="52"/>
      <c r="AX45" s="52"/>
      <c r="AY45" s="111"/>
      <c r="AZ45" s="112"/>
      <c r="BA45" s="112"/>
      <c r="BB45" s="112"/>
      <c r="BC45" s="60"/>
      <c r="BD45" s="60"/>
      <c r="BE45" s="60"/>
      <c r="BF45" s="60"/>
      <c r="BG45" s="60"/>
      <c r="BH45" s="60"/>
      <c r="BI45" s="60"/>
      <c r="BJ45" s="68"/>
      <c r="BK45" s="52"/>
      <c r="BL45" s="52"/>
      <c r="BM45" s="52"/>
      <c r="BN45" s="52"/>
      <c r="BO45" s="52"/>
      <c r="BP45" s="52"/>
      <c r="BQ45" s="52"/>
      <c r="BR45" s="52"/>
      <c r="BT45" s="5"/>
      <c r="BU45" s="24"/>
    </row>
    <row r="46" spans="1:73" ht="21" customHeight="1" x14ac:dyDescent="0.55000000000000004">
      <c r="A46" s="5"/>
      <c r="AI46" s="52"/>
      <c r="AJ46" s="52"/>
      <c r="AK46" s="52"/>
      <c r="AL46" s="52"/>
      <c r="AM46" s="52"/>
      <c r="AN46" s="52"/>
      <c r="AO46" s="52"/>
      <c r="AP46" s="52"/>
      <c r="AQ46" s="52"/>
      <c r="AR46" s="52"/>
      <c r="AS46" s="52"/>
      <c r="AT46" s="52"/>
      <c r="AU46" s="52"/>
      <c r="AV46" s="52"/>
      <c r="AW46" s="52"/>
      <c r="AX46" s="52"/>
      <c r="AY46" s="117"/>
      <c r="AZ46" s="118"/>
      <c r="BA46" s="118"/>
      <c r="BB46" s="118"/>
      <c r="BC46" s="10"/>
      <c r="BD46" s="10"/>
      <c r="BE46" s="10"/>
      <c r="BF46" s="10"/>
      <c r="BG46" s="10"/>
      <c r="BH46" s="10"/>
      <c r="BI46" s="10"/>
      <c r="BJ46" s="64"/>
      <c r="BK46" s="52"/>
      <c r="BL46" s="52"/>
      <c r="BM46" s="52"/>
      <c r="BN46" s="52"/>
      <c r="BO46" s="52"/>
      <c r="BP46" s="52"/>
      <c r="BQ46" s="52"/>
      <c r="BR46" s="52"/>
      <c r="BT46" s="5"/>
      <c r="BU46" s="24"/>
    </row>
    <row r="47" spans="1:73" ht="21" customHeight="1" x14ac:dyDescent="0.55000000000000004">
      <c r="A47" s="5"/>
      <c r="C47" s="1" t="s">
        <v>533</v>
      </c>
      <c r="AI47" s="52"/>
      <c r="AJ47" s="52"/>
      <c r="AK47" s="52"/>
      <c r="AL47" s="52"/>
      <c r="AM47" s="52"/>
      <c r="AN47" s="52"/>
      <c r="AO47" s="52"/>
      <c r="AP47" s="52"/>
      <c r="AQ47" s="52"/>
      <c r="AR47" s="52"/>
      <c r="AS47" s="52"/>
      <c r="AT47" s="52"/>
      <c r="AU47" s="52"/>
      <c r="AV47" s="52"/>
      <c r="AW47" s="52"/>
      <c r="AX47" s="52"/>
      <c r="AY47" s="71"/>
      <c r="AZ47" s="10"/>
      <c r="BA47" s="10"/>
      <c r="BB47" s="10"/>
      <c r="BC47" s="10"/>
      <c r="BD47" s="10"/>
      <c r="BE47" s="10"/>
      <c r="BF47" s="10"/>
      <c r="BG47" s="10"/>
      <c r="BH47" s="10"/>
      <c r="BI47" s="10"/>
      <c r="BJ47" s="64"/>
      <c r="BK47" s="52"/>
      <c r="BL47" s="52"/>
      <c r="BM47" s="52"/>
      <c r="BN47" s="52"/>
      <c r="BO47" s="52"/>
      <c r="BP47" s="52"/>
      <c r="BQ47" s="52"/>
      <c r="BR47" s="52"/>
      <c r="BT47" s="5"/>
      <c r="BU47" s="24"/>
    </row>
    <row r="48" spans="1:73" ht="21" customHeight="1" x14ac:dyDescent="0.55000000000000004">
      <c r="A48" s="5"/>
      <c r="AI48" s="52"/>
      <c r="AJ48" s="52"/>
      <c r="AK48" s="52"/>
      <c r="AL48" s="52"/>
      <c r="AM48" s="52"/>
      <c r="AN48" s="52"/>
      <c r="AO48" s="52"/>
      <c r="AP48" s="52"/>
      <c r="AQ48" s="52"/>
      <c r="AR48" s="52"/>
      <c r="AS48" s="52"/>
      <c r="AT48" s="52"/>
      <c r="AU48" s="52"/>
      <c r="AV48" s="52"/>
      <c r="AW48" s="52"/>
      <c r="AX48" s="52"/>
      <c r="AY48" s="69"/>
      <c r="AZ48" s="60"/>
      <c r="BA48" s="60"/>
      <c r="BB48" s="60"/>
      <c r="BC48" s="60"/>
      <c r="BD48" s="60"/>
      <c r="BE48" s="60"/>
      <c r="BF48" s="60"/>
      <c r="BG48" s="60"/>
      <c r="BH48" s="60"/>
      <c r="BI48" s="60"/>
      <c r="BJ48" s="68"/>
      <c r="BK48" s="52"/>
      <c r="BL48" s="52"/>
      <c r="BM48" s="52"/>
      <c r="BN48" s="52"/>
      <c r="BO48" s="52"/>
      <c r="BP48" s="52"/>
      <c r="BQ48" s="52"/>
      <c r="BR48" s="52"/>
      <c r="BT48" s="5"/>
      <c r="BU48" s="24"/>
    </row>
    <row r="49" spans="1:73" ht="21" customHeight="1" x14ac:dyDescent="0.55000000000000004">
      <c r="A49" s="5"/>
      <c r="AI49" s="52"/>
      <c r="AJ49" s="52"/>
      <c r="AK49" s="52"/>
      <c r="AL49" s="52"/>
      <c r="AM49" s="52"/>
      <c r="AN49" s="52"/>
      <c r="AO49" s="52"/>
      <c r="AP49" s="52"/>
      <c r="AQ49" s="52"/>
      <c r="AR49" s="52"/>
      <c r="AS49" s="52"/>
      <c r="AT49" s="52"/>
      <c r="AU49" s="52"/>
      <c r="AV49" s="52"/>
      <c r="AW49" s="52"/>
      <c r="AX49" s="52"/>
      <c r="AY49" s="69"/>
      <c r="AZ49" s="60"/>
      <c r="BA49" s="60"/>
      <c r="BB49" s="60"/>
      <c r="BC49" s="60"/>
      <c r="BD49" s="60"/>
      <c r="BE49" s="60"/>
      <c r="BF49" s="60"/>
      <c r="BG49" s="60"/>
      <c r="BH49" s="60"/>
      <c r="BI49" s="60"/>
      <c r="BJ49" s="68"/>
      <c r="BK49" s="52"/>
      <c r="BL49" s="52"/>
      <c r="BM49" s="52"/>
      <c r="BN49" s="52"/>
      <c r="BO49" s="52"/>
      <c r="BP49" s="52"/>
      <c r="BQ49" s="52"/>
      <c r="BR49" s="52"/>
      <c r="BT49" s="5"/>
      <c r="BU49" s="24"/>
    </row>
    <row r="50" spans="1:73" ht="21" customHeight="1" thickBot="1" x14ac:dyDescent="0.6">
      <c r="A50" s="5"/>
      <c r="AV50" s="52"/>
      <c r="AW50" s="52"/>
      <c r="AX50" s="52"/>
      <c r="AY50" s="70"/>
      <c r="AZ50" s="65"/>
      <c r="BA50" s="65"/>
      <c r="BB50" s="65"/>
      <c r="BC50" s="65"/>
      <c r="BD50" s="65"/>
      <c r="BE50" s="65"/>
      <c r="BF50" s="65"/>
      <c r="BG50" s="65"/>
      <c r="BH50" s="65"/>
      <c r="BI50" s="65"/>
      <c r="BJ50" s="66"/>
      <c r="BO50" s="52"/>
      <c r="BP50" s="52"/>
      <c r="BQ50" s="52"/>
      <c r="BR50" s="52"/>
      <c r="BS50" s="52"/>
      <c r="BT50" s="5"/>
      <c r="BU50" s="24"/>
    </row>
    <row r="51" spans="1:73" ht="21" customHeight="1" x14ac:dyDescent="0.55000000000000004">
      <c r="A51" s="5"/>
      <c r="B51" t="s">
        <v>175</v>
      </c>
      <c r="G51" s="7"/>
      <c r="AM51" s="53"/>
      <c r="AN51" s="53"/>
      <c r="AO51" s="53"/>
      <c r="AP51" s="53"/>
      <c r="AQ51" s="53"/>
      <c r="AR51" s="53"/>
      <c r="AS51" s="53"/>
      <c r="AT51" s="53"/>
      <c r="AU51" s="53"/>
      <c r="AV51" s="53"/>
      <c r="AW51" s="53"/>
      <c r="AX51" s="53"/>
      <c r="AY51" s="53"/>
      <c r="AZ51" s="53"/>
      <c r="BA51" s="53"/>
      <c r="BB51" s="53"/>
      <c r="BC51" s="53"/>
      <c r="BD51" s="53"/>
      <c r="BE51" s="53"/>
      <c r="BF51" s="53"/>
      <c r="BG51" s="53"/>
      <c r="BH51" s="53"/>
      <c r="BI51" s="53"/>
      <c r="BJ51" s="53"/>
      <c r="BK51" s="53"/>
      <c r="BL51" s="53"/>
      <c r="BM51" s="53"/>
      <c r="BN51" s="53"/>
      <c r="BO51" s="53"/>
      <c r="BP51" s="53"/>
      <c r="BQ51" s="53"/>
      <c r="BR51" s="53"/>
      <c r="BS51" s="53"/>
      <c r="BT51" s="5"/>
      <c r="BU51" s="24"/>
    </row>
    <row r="52" spans="1:73" ht="21" customHeight="1" x14ac:dyDescent="0.55000000000000004">
      <c r="A52" s="5"/>
      <c r="B52" t="s">
        <v>172</v>
      </c>
      <c r="BT52" s="5"/>
      <c r="BU52" s="24"/>
    </row>
    <row r="53" spans="1:73" ht="21" customHeight="1" x14ac:dyDescent="0.55000000000000004">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24"/>
    </row>
    <row r="54" spans="1:73" ht="21" customHeight="1" x14ac:dyDescent="0.55000000000000004">
      <c r="A54" s="24" t="s">
        <v>99</v>
      </c>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24"/>
      <c r="BG54" s="24"/>
      <c r="BH54" s="24"/>
      <c r="BI54" s="24"/>
      <c r="BJ54" s="24"/>
      <c r="BK54" s="24"/>
      <c r="BL54" s="24"/>
      <c r="BM54" s="24"/>
      <c r="BN54" s="24"/>
      <c r="BO54" s="24"/>
      <c r="BP54" s="24"/>
      <c r="BQ54" s="24"/>
      <c r="BR54" s="24"/>
      <c r="BS54" s="24"/>
      <c r="BT54" s="24"/>
      <c r="BU54" s="24"/>
    </row>
  </sheetData>
  <mergeCells count="88">
    <mergeCell ref="K8:N8"/>
    <mergeCell ref="W8:Z8"/>
    <mergeCell ref="AA8:AD8"/>
    <mergeCell ref="L7:N7"/>
    <mergeCell ref="X7:Z7"/>
    <mergeCell ref="AB7:AD7"/>
    <mergeCell ref="K10:N10"/>
    <mergeCell ref="W10:Z10"/>
    <mergeCell ref="AA10:AD10"/>
    <mergeCell ref="K9:N9"/>
    <mergeCell ref="W9:Z9"/>
    <mergeCell ref="AA9:AD9"/>
    <mergeCell ref="G12:J12"/>
    <mergeCell ref="K12:N12"/>
    <mergeCell ref="AE12:AH12"/>
    <mergeCell ref="H11:J11"/>
    <mergeCell ref="L11:N11"/>
    <mergeCell ref="AF11:AH11"/>
    <mergeCell ref="G14:J14"/>
    <mergeCell ref="K14:N14"/>
    <mergeCell ref="AE14:AH14"/>
    <mergeCell ref="G13:J13"/>
    <mergeCell ref="K13:N13"/>
    <mergeCell ref="AE13:AH13"/>
    <mergeCell ref="AM16:AP16"/>
    <mergeCell ref="W17:Z17"/>
    <mergeCell ref="AN15:AP15"/>
    <mergeCell ref="W16:Z16"/>
    <mergeCell ref="X15:Z15"/>
    <mergeCell ref="O22:R22"/>
    <mergeCell ref="O21:R21"/>
    <mergeCell ref="O20:R20"/>
    <mergeCell ref="P19:R19"/>
    <mergeCell ref="AM17:AP17"/>
    <mergeCell ref="W18:Z18"/>
    <mergeCell ref="AM18:AP18"/>
    <mergeCell ref="AN23:AP23"/>
    <mergeCell ref="AV23:AX23"/>
    <mergeCell ref="O24:R24"/>
    <mergeCell ref="AA24:AD24"/>
    <mergeCell ref="AI24:AL24"/>
    <mergeCell ref="P23:R23"/>
    <mergeCell ref="AB23:AD23"/>
    <mergeCell ref="AJ23:AL23"/>
    <mergeCell ref="AM24:AP24"/>
    <mergeCell ref="AU24:AX24"/>
    <mergeCell ref="O25:R25"/>
    <mergeCell ref="AA25:AD25"/>
    <mergeCell ref="AI25:AL25"/>
    <mergeCell ref="AM25:AP25"/>
    <mergeCell ref="AU25:AX25"/>
    <mergeCell ref="O26:R26"/>
    <mergeCell ref="AA26:AD26"/>
    <mergeCell ref="AI26:AL26"/>
    <mergeCell ref="AV27:AX27"/>
    <mergeCell ref="AM26:AP26"/>
    <mergeCell ref="AU26:AX26"/>
    <mergeCell ref="T27:V27"/>
    <mergeCell ref="AB27:AD27"/>
    <mergeCell ref="AU29:AX29"/>
    <mergeCell ref="S29:V29"/>
    <mergeCell ref="AA29:AD29"/>
    <mergeCell ref="AU28:AX28"/>
    <mergeCell ref="S28:V28"/>
    <mergeCell ref="AA28:AD28"/>
    <mergeCell ref="G32:J32"/>
    <mergeCell ref="AI32:AL32"/>
    <mergeCell ref="AJ31:AL31"/>
    <mergeCell ref="H31:J31"/>
    <mergeCell ref="AU30:AX30"/>
    <mergeCell ref="S30:V30"/>
    <mergeCell ref="AA30:AD30"/>
    <mergeCell ref="BD35:BF35"/>
    <mergeCell ref="G34:J34"/>
    <mergeCell ref="AI34:AL34"/>
    <mergeCell ref="AI33:AL33"/>
    <mergeCell ref="G33:J33"/>
    <mergeCell ref="AY40:BB40"/>
    <mergeCell ref="BC38:BF38"/>
    <mergeCell ref="AZ39:BB39"/>
    <mergeCell ref="BC36:BF36"/>
    <mergeCell ref="BC37:BF37"/>
    <mergeCell ref="AY45:BB45"/>
    <mergeCell ref="AY46:BB46"/>
    <mergeCell ref="AZ43:BB43"/>
    <mergeCell ref="AY44:BB44"/>
    <mergeCell ref="AY41:BB41"/>
    <mergeCell ref="AY42:BB42"/>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I106"/>
  <sheetViews>
    <sheetView zoomScaleNormal="100" workbookViewId="0">
      <pane ySplit="1" topLeftCell="A2" activePane="bottomLeft" state="frozen"/>
      <selection pane="bottomLeft" activeCell="H1" sqref="H1"/>
    </sheetView>
  </sheetViews>
  <sheetFormatPr defaultRowHeight="18" x14ac:dyDescent="0.55000000000000004"/>
  <cols>
    <col min="1" max="1" width="14.6640625" customWidth="1"/>
    <col min="2" max="2" width="13.25" bestFit="1" customWidth="1"/>
    <col min="3" max="3" width="12.08203125" bestFit="1" customWidth="1"/>
    <col min="4" max="4" width="16.25" bestFit="1" customWidth="1"/>
    <col min="5" max="5" width="12.6640625" bestFit="1" customWidth="1"/>
    <col min="6" max="6" width="6.83203125" bestFit="1" customWidth="1"/>
    <col min="7" max="7" width="10.75" bestFit="1" customWidth="1"/>
    <col min="8" max="8" width="11" bestFit="1" customWidth="1"/>
    <col min="9" max="9" width="17.9140625" bestFit="1" customWidth="1"/>
  </cols>
  <sheetData>
    <row r="1" spans="1:9" x14ac:dyDescent="0.55000000000000004">
      <c r="A1" s="43" t="s">
        <v>174</v>
      </c>
      <c r="B1" s="43" t="s">
        <v>212</v>
      </c>
      <c r="C1" s="44" t="s">
        <v>24</v>
      </c>
      <c r="D1" s="44" t="s">
        <v>25</v>
      </c>
      <c r="E1" s="44" t="s">
        <v>643</v>
      </c>
      <c r="F1" s="44" t="s">
        <v>211</v>
      </c>
      <c r="G1" s="44" t="s">
        <v>397</v>
      </c>
      <c r="H1" s="44" t="s">
        <v>639</v>
      </c>
      <c r="I1" s="44" t="s">
        <v>641</v>
      </c>
    </row>
    <row r="2" spans="1:9" x14ac:dyDescent="0.55000000000000004">
      <c r="A2" s="45" t="s">
        <v>572</v>
      </c>
      <c r="B2" s="9">
        <v>4</v>
      </c>
      <c r="C2" s="2" t="s">
        <v>399</v>
      </c>
      <c r="D2" s="2" t="s">
        <v>399</v>
      </c>
      <c r="E2">
        <v>1476</v>
      </c>
      <c r="F2">
        <v>730</v>
      </c>
      <c r="G2" t="s">
        <v>398</v>
      </c>
      <c r="H2">
        <v>55.6</v>
      </c>
      <c r="I2">
        <f>ROUND(E2/H2,1)</f>
        <v>26.5</v>
      </c>
    </row>
    <row r="3" spans="1:9" x14ac:dyDescent="0.55000000000000004">
      <c r="A3" s="45">
        <v>34</v>
      </c>
      <c r="B3" s="9">
        <v>1</v>
      </c>
      <c r="C3" s="2" t="s">
        <v>213</v>
      </c>
      <c r="D3" s="2" t="s">
        <v>213</v>
      </c>
      <c r="E3">
        <v>125</v>
      </c>
      <c r="F3">
        <v>67</v>
      </c>
      <c r="H3">
        <v>15.9</v>
      </c>
      <c r="I3">
        <f t="shared" ref="I3:I66" si="0">ROUND(E3/H3,1)</f>
        <v>7.9</v>
      </c>
    </row>
    <row r="4" spans="1:9" x14ac:dyDescent="0.55000000000000004">
      <c r="A4" s="45">
        <v>33</v>
      </c>
      <c r="B4" s="9">
        <v>2</v>
      </c>
      <c r="C4" s="2" t="s">
        <v>214</v>
      </c>
      <c r="D4" s="2" t="s">
        <v>215</v>
      </c>
      <c r="E4">
        <v>137</v>
      </c>
      <c r="F4">
        <v>52</v>
      </c>
      <c r="H4">
        <v>15.9</v>
      </c>
      <c r="I4">
        <f t="shared" si="0"/>
        <v>8.6</v>
      </c>
    </row>
    <row r="5" spans="1:9" x14ac:dyDescent="0.55000000000000004">
      <c r="A5" s="45">
        <v>32</v>
      </c>
      <c r="B5" s="9">
        <v>3</v>
      </c>
      <c r="C5" s="2" t="s">
        <v>216</v>
      </c>
      <c r="D5" s="2" t="s">
        <v>217</v>
      </c>
      <c r="E5">
        <v>1214</v>
      </c>
      <c r="F5">
        <v>611</v>
      </c>
      <c r="H5">
        <v>23.8</v>
      </c>
      <c r="I5">
        <f t="shared" si="0"/>
        <v>51</v>
      </c>
    </row>
    <row r="6" spans="1:9" x14ac:dyDescent="0.55000000000000004">
      <c r="A6" s="45" t="s">
        <v>573</v>
      </c>
      <c r="B6" s="9">
        <v>10</v>
      </c>
      <c r="C6" s="2" t="s">
        <v>401</v>
      </c>
      <c r="D6" s="2" t="s">
        <v>408</v>
      </c>
      <c r="E6">
        <v>3138</v>
      </c>
      <c r="F6">
        <v>1448</v>
      </c>
      <c r="G6" t="s">
        <v>402</v>
      </c>
      <c r="H6">
        <v>55.3</v>
      </c>
      <c r="I6">
        <f t="shared" si="0"/>
        <v>56.7</v>
      </c>
    </row>
    <row r="7" spans="1:9" x14ac:dyDescent="0.55000000000000004">
      <c r="A7" s="45">
        <v>62</v>
      </c>
      <c r="B7" s="9">
        <v>5</v>
      </c>
      <c r="C7" s="2" t="s">
        <v>400</v>
      </c>
      <c r="D7" s="2" t="s">
        <v>403</v>
      </c>
      <c r="E7">
        <v>12</v>
      </c>
      <c r="F7">
        <v>11</v>
      </c>
      <c r="H7">
        <v>9.9</v>
      </c>
      <c r="I7">
        <f t="shared" si="0"/>
        <v>1.2</v>
      </c>
    </row>
    <row r="8" spans="1:9" x14ac:dyDescent="0.55000000000000004">
      <c r="A8" s="45">
        <v>63</v>
      </c>
      <c r="B8" s="9">
        <v>6</v>
      </c>
      <c r="C8" s="2" t="s">
        <v>346</v>
      </c>
      <c r="D8" s="2" t="s">
        <v>404</v>
      </c>
      <c r="E8">
        <v>226</v>
      </c>
      <c r="F8">
        <v>114</v>
      </c>
      <c r="H8">
        <v>11.9</v>
      </c>
      <c r="I8">
        <f t="shared" si="0"/>
        <v>19</v>
      </c>
    </row>
    <row r="9" spans="1:9" x14ac:dyDescent="0.55000000000000004">
      <c r="A9" s="45">
        <v>64</v>
      </c>
      <c r="B9" s="9">
        <v>7</v>
      </c>
      <c r="C9" s="2" t="s">
        <v>348</v>
      </c>
      <c r="D9" s="2" t="s">
        <v>406</v>
      </c>
      <c r="E9">
        <v>599</v>
      </c>
      <c r="F9">
        <v>278</v>
      </c>
      <c r="H9">
        <v>12</v>
      </c>
      <c r="I9">
        <f t="shared" si="0"/>
        <v>49.9</v>
      </c>
    </row>
    <row r="10" spans="1:9" x14ac:dyDescent="0.55000000000000004">
      <c r="A10" s="45">
        <v>65</v>
      </c>
      <c r="B10" s="9">
        <v>8</v>
      </c>
      <c r="C10" s="2" t="s">
        <v>350</v>
      </c>
      <c r="D10" s="2" t="s">
        <v>407</v>
      </c>
      <c r="E10">
        <v>1123</v>
      </c>
      <c r="F10">
        <v>506</v>
      </c>
      <c r="H10">
        <v>13.5</v>
      </c>
      <c r="I10">
        <f t="shared" si="0"/>
        <v>83.2</v>
      </c>
    </row>
    <row r="11" spans="1:9" x14ac:dyDescent="0.55000000000000004">
      <c r="A11" s="45">
        <v>66</v>
      </c>
      <c r="B11" s="9">
        <v>9</v>
      </c>
      <c r="C11" s="2" t="s">
        <v>352</v>
      </c>
      <c r="D11" s="2" t="s">
        <v>405</v>
      </c>
      <c r="E11">
        <v>1178</v>
      </c>
      <c r="F11">
        <v>539</v>
      </c>
      <c r="H11">
        <v>8</v>
      </c>
      <c r="I11">
        <f t="shared" si="0"/>
        <v>147.30000000000001</v>
      </c>
    </row>
    <row r="12" spans="1:9" x14ac:dyDescent="0.55000000000000004">
      <c r="A12" s="45" t="s">
        <v>574</v>
      </c>
      <c r="B12" s="9">
        <v>16</v>
      </c>
      <c r="C12" s="2" t="s">
        <v>218</v>
      </c>
      <c r="D12" s="2" t="s">
        <v>415</v>
      </c>
      <c r="E12">
        <v>9311</v>
      </c>
      <c r="F12">
        <v>4250</v>
      </c>
      <c r="G12" t="s">
        <v>409</v>
      </c>
      <c r="H12">
        <v>77.900000000000006</v>
      </c>
      <c r="I12">
        <f t="shared" si="0"/>
        <v>119.5</v>
      </c>
    </row>
    <row r="13" spans="1:9" x14ac:dyDescent="0.55000000000000004">
      <c r="A13" s="45">
        <v>59</v>
      </c>
      <c r="B13" s="9">
        <v>11</v>
      </c>
      <c r="C13" s="2" t="s">
        <v>386</v>
      </c>
      <c r="D13" s="2" t="s">
        <v>410</v>
      </c>
      <c r="E13">
        <v>1529</v>
      </c>
      <c r="F13">
        <v>742</v>
      </c>
      <c r="H13">
        <v>18.7</v>
      </c>
      <c r="I13">
        <f t="shared" si="0"/>
        <v>81.8</v>
      </c>
    </row>
    <row r="14" spans="1:9" x14ac:dyDescent="0.55000000000000004">
      <c r="A14" s="45">
        <v>68</v>
      </c>
      <c r="B14" s="9">
        <v>12</v>
      </c>
      <c r="C14" s="2" t="s">
        <v>388</v>
      </c>
      <c r="D14" s="2" t="s">
        <v>411</v>
      </c>
      <c r="E14">
        <v>1894</v>
      </c>
      <c r="F14">
        <v>796</v>
      </c>
      <c r="H14">
        <v>15.5</v>
      </c>
      <c r="I14">
        <f t="shared" si="0"/>
        <v>122.2</v>
      </c>
    </row>
    <row r="15" spans="1:9" x14ac:dyDescent="0.55000000000000004">
      <c r="A15" s="45">
        <v>67</v>
      </c>
      <c r="B15" s="9">
        <v>13</v>
      </c>
      <c r="C15" s="2" t="s">
        <v>390</v>
      </c>
      <c r="D15" s="2" t="s">
        <v>412</v>
      </c>
      <c r="E15">
        <v>2169</v>
      </c>
      <c r="F15">
        <v>1049</v>
      </c>
      <c r="H15">
        <v>13.7</v>
      </c>
      <c r="I15">
        <f t="shared" si="0"/>
        <v>158.30000000000001</v>
      </c>
    </row>
    <row r="16" spans="1:9" x14ac:dyDescent="0.55000000000000004">
      <c r="A16" s="45">
        <v>58</v>
      </c>
      <c r="B16" s="9">
        <v>14</v>
      </c>
      <c r="C16" s="2" t="s">
        <v>392</v>
      </c>
      <c r="D16" s="2" t="s">
        <v>413</v>
      </c>
      <c r="E16">
        <v>1686</v>
      </c>
      <c r="F16">
        <v>745</v>
      </c>
      <c r="H16">
        <v>18</v>
      </c>
      <c r="I16">
        <f t="shared" si="0"/>
        <v>93.7</v>
      </c>
    </row>
    <row r="17" spans="1:9" x14ac:dyDescent="0.55000000000000004">
      <c r="A17" s="45">
        <v>44</v>
      </c>
      <c r="B17" s="9">
        <v>15</v>
      </c>
      <c r="C17" s="2" t="s">
        <v>394</v>
      </c>
      <c r="D17" s="2" t="s">
        <v>414</v>
      </c>
      <c r="E17">
        <v>2033</v>
      </c>
      <c r="F17">
        <v>918</v>
      </c>
      <c r="H17">
        <v>12</v>
      </c>
      <c r="I17">
        <f t="shared" si="0"/>
        <v>169.4</v>
      </c>
    </row>
    <row r="18" spans="1:9" x14ac:dyDescent="0.55000000000000004">
      <c r="A18" s="45" t="s">
        <v>575</v>
      </c>
      <c r="B18" s="9">
        <v>22</v>
      </c>
      <c r="C18" s="2" t="s">
        <v>219</v>
      </c>
      <c r="D18" s="2" t="s">
        <v>422</v>
      </c>
      <c r="E18">
        <v>9278</v>
      </c>
      <c r="F18">
        <v>4328</v>
      </c>
      <c r="G18" t="s">
        <v>416</v>
      </c>
      <c r="H18">
        <v>178.2</v>
      </c>
      <c r="I18">
        <f t="shared" si="0"/>
        <v>52.1</v>
      </c>
    </row>
    <row r="19" spans="1:9" x14ac:dyDescent="0.55000000000000004">
      <c r="A19" s="45">
        <v>18</v>
      </c>
      <c r="B19" s="9">
        <v>17</v>
      </c>
      <c r="C19" s="2" t="s">
        <v>255</v>
      </c>
      <c r="D19" s="2" t="s">
        <v>417</v>
      </c>
      <c r="E19">
        <v>3836</v>
      </c>
      <c r="F19">
        <v>1824</v>
      </c>
      <c r="H19">
        <v>54</v>
      </c>
      <c r="I19">
        <f t="shared" si="0"/>
        <v>71</v>
      </c>
    </row>
    <row r="20" spans="1:9" x14ac:dyDescent="0.55000000000000004">
      <c r="A20" s="45">
        <v>17</v>
      </c>
      <c r="B20" s="9">
        <v>18</v>
      </c>
      <c r="C20" s="2" t="s">
        <v>253</v>
      </c>
      <c r="D20" s="2" t="s">
        <v>418</v>
      </c>
      <c r="E20">
        <v>156</v>
      </c>
      <c r="F20">
        <v>89</v>
      </c>
      <c r="H20">
        <v>29.7</v>
      </c>
      <c r="I20">
        <f t="shared" si="0"/>
        <v>5.3</v>
      </c>
    </row>
    <row r="21" spans="1:9" x14ac:dyDescent="0.55000000000000004">
      <c r="A21" s="45">
        <v>16</v>
      </c>
      <c r="B21" s="9">
        <v>19</v>
      </c>
      <c r="C21" s="2" t="s">
        <v>251</v>
      </c>
      <c r="D21" s="2" t="s">
        <v>419</v>
      </c>
      <c r="E21">
        <v>26</v>
      </c>
      <c r="F21">
        <v>13</v>
      </c>
      <c r="H21">
        <v>30.7</v>
      </c>
      <c r="I21">
        <f t="shared" si="0"/>
        <v>0.8</v>
      </c>
    </row>
    <row r="22" spans="1:9" x14ac:dyDescent="0.55000000000000004">
      <c r="A22" s="45">
        <v>8</v>
      </c>
      <c r="B22" s="9">
        <v>20</v>
      </c>
      <c r="C22" s="2" t="s">
        <v>247</v>
      </c>
      <c r="D22" s="2" t="s">
        <v>420</v>
      </c>
      <c r="E22">
        <v>1352</v>
      </c>
      <c r="F22">
        <v>654</v>
      </c>
      <c r="H22">
        <v>36.799999999999997</v>
      </c>
      <c r="I22">
        <f t="shared" si="0"/>
        <v>36.700000000000003</v>
      </c>
    </row>
    <row r="23" spans="1:9" x14ac:dyDescent="0.55000000000000004">
      <c r="A23" s="45">
        <v>9</v>
      </c>
      <c r="B23" s="9">
        <v>21</v>
      </c>
      <c r="C23" s="2" t="s">
        <v>249</v>
      </c>
      <c r="D23" s="2" t="s">
        <v>421</v>
      </c>
      <c r="E23">
        <v>3908</v>
      </c>
      <c r="F23">
        <v>1748</v>
      </c>
      <c r="H23">
        <v>27</v>
      </c>
      <c r="I23">
        <f t="shared" si="0"/>
        <v>144.69999999999999</v>
      </c>
    </row>
    <row r="24" spans="1:9" x14ac:dyDescent="0.55000000000000004">
      <c r="A24" s="45" t="s">
        <v>576</v>
      </c>
      <c r="B24" s="9">
        <v>26</v>
      </c>
      <c r="C24" s="2" t="s">
        <v>220</v>
      </c>
      <c r="D24" s="2" t="s">
        <v>427</v>
      </c>
      <c r="E24">
        <v>7510</v>
      </c>
      <c r="F24">
        <v>3257</v>
      </c>
      <c r="G24" t="s">
        <v>423</v>
      </c>
      <c r="H24">
        <v>73</v>
      </c>
      <c r="I24">
        <f t="shared" si="0"/>
        <v>102.9</v>
      </c>
    </row>
    <row r="25" spans="1:9" x14ac:dyDescent="0.55000000000000004">
      <c r="A25" s="45">
        <v>69</v>
      </c>
      <c r="B25" s="9">
        <v>23</v>
      </c>
      <c r="C25" s="2" t="s">
        <v>358</v>
      </c>
      <c r="D25" s="2" t="s">
        <v>424</v>
      </c>
      <c r="E25">
        <v>2365</v>
      </c>
      <c r="F25">
        <v>1069</v>
      </c>
      <c r="H25">
        <v>23</v>
      </c>
      <c r="I25">
        <f t="shared" si="0"/>
        <v>102.8</v>
      </c>
    </row>
    <row r="26" spans="1:9" x14ac:dyDescent="0.55000000000000004">
      <c r="A26" s="45">
        <v>70</v>
      </c>
      <c r="B26" s="9">
        <v>24</v>
      </c>
      <c r="C26" s="2" t="s">
        <v>360</v>
      </c>
      <c r="D26" s="2" t="s">
        <v>425</v>
      </c>
      <c r="E26">
        <v>1327</v>
      </c>
      <c r="F26">
        <v>601</v>
      </c>
      <c r="H26">
        <v>18</v>
      </c>
      <c r="I26">
        <f t="shared" si="0"/>
        <v>73.7</v>
      </c>
    </row>
    <row r="27" spans="1:9" x14ac:dyDescent="0.55000000000000004">
      <c r="A27" s="45">
        <v>71</v>
      </c>
      <c r="B27" s="9">
        <v>25</v>
      </c>
      <c r="C27" s="2" t="s">
        <v>362</v>
      </c>
      <c r="D27" s="2" t="s">
        <v>426</v>
      </c>
      <c r="E27">
        <v>3818</v>
      </c>
      <c r="F27">
        <v>1587</v>
      </c>
      <c r="H27">
        <v>32</v>
      </c>
      <c r="I27">
        <f t="shared" si="0"/>
        <v>119.3</v>
      </c>
    </row>
    <row r="28" spans="1:9" x14ac:dyDescent="0.55000000000000004">
      <c r="A28" s="45" t="s">
        <v>577</v>
      </c>
      <c r="B28" s="9">
        <v>30</v>
      </c>
      <c r="C28" s="2" t="s">
        <v>221</v>
      </c>
      <c r="D28" s="2" t="s">
        <v>432</v>
      </c>
      <c r="E28">
        <v>7064</v>
      </c>
      <c r="F28">
        <v>3601</v>
      </c>
      <c r="G28" t="s">
        <v>428</v>
      </c>
      <c r="H28">
        <v>64</v>
      </c>
      <c r="I28">
        <f t="shared" si="0"/>
        <v>110.4</v>
      </c>
    </row>
    <row r="29" spans="1:9" x14ac:dyDescent="0.55000000000000004">
      <c r="A29" s="45">
        <v>11</v>
      </c>
      <c r="B29" s="9">
        <v>27</v>
      </c>
      <c r="C29" s="2" t="s">
        <v>259</v>
      </c>
      <c r="D29" s="2" t="s">
        <v>429</v>
      </c>
      <c r="E29">
        <v>816</v>
      </c>
      <c r="F29">
        <v>444</v>
      </c>
      <c r="H29">
        <v>24</v>
      </c>
      <c r="I29">
        <f t="shared" si="0"/>
        <v>34</v>
      </c>
    </row>
    <row r="30" spans="1:9" x14ac:dyDescent="0.55000000000000004">
      <c r="A30" s="45">
        <v>10</v>
      </c>
      <c r="B30" s="9">
        <v>28</v>
      </c>
      <c r="C30" s="2" t="s">
        <v>257</v>
      </c>
      <c r="D30" s="2" t="s">
        <v>430</v>
      </c>
      <c r="E30">
        <v>2791</v>
      </c>
      <c r="F30">
        <v>1280</v>
      </c>
      <c r="H30">
        <v>21</v>
      </c>
      <c r="I30">
        <f t="shared" si="0"/>
        <v>132.9</v>
      </c>
    </row>
    <row r="31" spans="1:9" x14ac:dyDescent="0.55000000000000004">
      <c r="A31" s="45">
        <v>4</v>
      </c>
      <c r="B31" s="9">
        <v>29</v>
      </c>
      <c r="C31" s="2" t="s">
        <v>261</v>
      </c>
      <c r="D31" s="2" t="s">
        <v>431</v>
      </c>
      <c r="E31">
        <v>3457</v>
      </c>
      <c r="F31">
        <v>1877</v>
      </c>
      <c r="H31">
        <v>19</v>
      </c>
      <c r="I31">
        <f t="shared" si="0"/>
        <v>181.9</v>
      </c>
    </row>
    <row r="32" spans="1:9" x14ac:dyDescent="0.55000000000000004">
      <c r="A32" s="45" t="s">
        <v>578</v>
      </c>
      <c r="B32" s="9">
        <v>37</v>
      </c>
      <c r="C32" s="2" t="s">
        <v>222</v>
      </c>
      <c r="D32" s="2" t="s">
        <v>440</v>
      </c>
      <c r="E32">
        <v>13621</v>
      </c>
      <c r="F32">
        <v>7355</v>
      </c>
      <c r="G32" t="s">
        <v>433</v>
      </c>
      <c r="H32">
        <v>88.4</v>
      </c>
      <c r="I32">
        <f t="shared" si="0"/>
        <v>154.1</v>
      </c>
    </row>
    <row r="33" spans="1:9" x14ac:dyDescent="0.55000000000000004">
      <c r="A33" s="45">
        <v>77</v>
      </c>
      <c r="B33" s="9">
        <v>31</v>
      </c>
      <c r="C33" s="2" t="s">
        <v>374</v>
      </c>
      <c r="D33" s="2" t="s">
        <v>434</v>
      </c>
      <c r="E33">
        <v>3350</v>
      </c>
      <c r="F33">
        <v>1548</v>
      </c>
      <c r="H33">
        <v>21.9</v>
      </c>
      <c r="I33">
        <f t="shared" si="0"/>
        <v>153</v>
      </c>
    </row>
    <row r="34" spans="1:9" x14ac:dyDescent="0.55000000000000004">
      <c r="A34" s="45">
        <v>78</v>
      </c>
      <c r="B34" s="9">
        <v>32</v>
      </c>
      <c r="C34" s="2" t="s">
        <v>376</v>
      </c>
      <c r="D34" s="2" t="s">
        <v>435</v>
      </c>
      <c r="E34">
        <v>920</v>
      </c>
      <c r="F34">
        <v>440</v>
      </c>
      <c r="H34">
        <v>10</v>
      </c>
      <c r="I34">
        <f t="shared" si="0"/>
        <v>92</v>
      </c>
    </row>
    <row r="35" spans="1:9" x14ac:dyDescent="0.55000000000000004">
      <c r="A35" s="45">
        <v>79</v>
      </c>
      <c r="B35" s="9">
        <v>33</v>
      </c>
      <c r="C35" s="2" t="s">
        <v>378</v>
      </c>
      <c r="D35" s="2" t="s">
        <v>436</v>
      </c>
      <c r="E35">
        <v>2061</v>
      </c>
      <c r="F35">
        <v>1036</v>
      </c>
      <c r="H35">
        <v>15</v>
      </c>
      <c r="I35">
        <f t="shared" si="0"/>
        <v>137.4</v>
      </c>
    </row>
    <row r="36" spans="1:9" x14ac:dyDescent="0.55000000000000004">
      <c r="A36" s="45">
        <v>82</v>
      </c>
      <c r="B36" s="9">
        <v>34</v>
      </c>
      <c r="C36" s="2" t="s">
        <v>380</v>
      </c>
      <c r="D36" s="2" t="s">
        <v>437</v>
      </c>
      <c r="E36">
        <v>2036</v>
      </c>
      <c r="F36">
        <v>1083</v>
      </c>
      <c r="H36">
        <v>13</v>
      </c>
      <c r="I36">
        <f t="shared" si="0"/>
        <v>156.6</v>
      </c>
    </row>
    <row r="37" spans="1:9" x14ac:dyDescent="0.55000000000000004">
      <c r="A37" s="45">
        <v>81</v>
      </c>
      <c r="B37" s="9">
        <v>35</v>
      </c>
      <c r="C37" s="2" t="s">
        <v>382</v>
      </c>
      <c r="D37" s="2" t="s">
        <v>438</v>
      </c>
      <c r="E37">
        <v>2661</v>
      </c>
      <c r="F37">
        <v>1613</v>
      </c>
      <c r="H37">
        <v>14.5</v>
      </c>
      <c r="I37">
        <f t="shared" si="0"/>
        <v>183.5</v>
      </c>
    </row>
    <row r="38" spans="1:9" x14ac:dyDescent="0.55000000000000004">
      <c r="A38" s="45">
        <v>80</v>
      </c>
      <c r="B38" s="9">
        <v>36</v>
      </c>
      <c r="C38" s="2" t="s">
        <v>384</v>
      </c>
      <c r="D38" s="2" t="s">
        <v>439</v>
      </c>
      <c r="E38">
        <v>2593</v>
      </c>
      <c r="F38">
        <v>1635</v>
      </c>
      <c r="H38">
        <v>14</v>
      </c>
      <c r="I38">
        <f t="shared" si="0"/>
        <v>185.2</v>
      </c>
    </row>
    <row r="39" spans="1:9" x14ac:dyDescent="0.55000000000000004">
      <c r="A39" s="45" t="s">
        <v>579</v>
      </c>
      <c r="B39" s="9">
        <v>43</v>
      </c>
      <c r="C39" s="2" t="s">
        <v>223</v>
      </c>
      <c r="D39" s="2" t="s">
        <v>447</v>
      </c>
      <c r="E39">
        <v>9403</v>
      </c>
      <c r="F39">
        <v>4762</v>
      </c>
      <c r="G39" t="s">
        <v>441</v>
      </c>
      <c r="H39">
        <v>68</v>
      </c>
      <c r="I39">
        <f t="shared" si="0"/>
        <v>138.30000000000001</v>
      </c>
    </row>
    <row r="40" spans="1:9" x14ac:dyDescent="0.55000000000000004">
      <c r="A40" s="45">
        <v>49</v>
      </c>
      <c r="B40" s="9">
        <v>38</v>
      </c>
      <c r="C40" s="2" t="s">
        <v>335</v>
      </c>
      <c r="D40" s="2" t="s">
        <v>442</v>
      </c>
      <c r="E40">
        <v>849</v>
      </c>
      <c r="F40">
        <v>467</v>
      </c>
      <c r="H40">
        <v>10</v>
      </c>
      <c r="I40">
        <f t="shared" si="0"/>
        <v>84.9</v>
      </c>
    </row>
    <row r="41" spans="1:9" x14ac:dyDescent="0.55000000000000004">
      <c r="A41" s="45">
        <v>50</v>
      </c>
      <c r="B41" s="9">
        <v>39</v>
      </c>
      <c r="C41" s="2" t="s">
        <v>337</v>
      </c>
      <c r="D41" s="2" t="s">
        <v>443</v>
      </c>
      <c r="E41">
        <v>2229</v>
      </c>
      <c r="F41">
        <v>992</v>
      </c>
      <c r="H41">
        <v>15</v>
      </c>
      <c r="I41">
        <f t="shared" si="0"/>
        <v>148.6</v>
      </c>
    </row>
    <row r="42" spans="1:9" x14ac:dyDescent="0.55000000000000004">
      <c r="A42" s="45">
        <v>51</v>
      </c>
      <c r="B42" s="9">
        <v>40</v>
      </c>
      <c r="C42" s="2" t="s">
        <v>339</v>
      </c>
      <c r="D42" s="2" t="s">
        <v>444</v>
      </c>
      <c r="E42">
        <v>1839</v>
      </c>
      <c r="F42">
        <v>953</v>
      </c>
      <c r="H42">
        <v>13</v>
      </c>
      <c r="I42">
        <f t="shared" si="0"/>
        <v>141.5</v>
      </c>
    </row>
    <row r="43" spans="1:9" x14ac:dyDescent="0.55000000000000004">
      <c r="A43" s="45">
        <v>52</v>
      </c>
      <c r="B43" s="9">
        <v>41</v>
      </c>
      <c r="C43" s="2" t="s">
        <v>341</v>
      </c>
      <c r="D43" s="2" t="s">
        <v>445</v>
      </c>
      <c r="E43">
        <v>1835</v>
      </c>
      <c r="F43">
        <v>1027</v>
      </c>
      <c r="H43">
        <v>13.5</v>
      </c>
      <c r="I43">
        <f t="shared" si="0"/>
        <v>135.9</v>
      </c>
    </row>
    <row r="44" spans="1:9" x14ac:dyDescent="0.55000000000000004">
      <c r="A44" s="45">
        <v>53</v>
      </c>
      <c r="B44" s="9">
        <v>42</v>
      </c>
      <c r="C44" s="2" t="s">
        <v>343</v>
      </c>
      <c r="D44" s="2" t="s">
        <v>446</v>
      </c>
      <c r="E44">
        <v>2651</v>
      </c>
      <c r="F44">
        <v>1323</v>
      </c>
      <c r="H44">
        <v>16.5</v>
      </c>
      <c r="I44">
        <f t="shared" si="0"/>
        <v>160.69999999999999</v>
      </c>
    </row>
    <row r="45" spans="1:9" x14ac:dyDescent="0.55000000000000004">
      <c r="A45" s="45" t="s">
        <v>580</v>
      </c>
      <c r="B45" s="9">
        <v>47</v>
      </c>
      <c r="C45" s="2" t="s">
        <v>453</v>
      </c>
      <c r="D45" s="2" t="s">
        <v>451</v>
      </c>
      <c r="E45">
        <v>10458</v>
      </c>
      <c r="F45">
        <v>5364</v>
      </c>
      <c r="G45" t="s">
        <v>452</v>
      </c>
      <c r="H45">
        <v>78</v>
      </c>
      <c r="I45">
        <f t="shared" si="0"/>
        <v>134.1</v>
      </c>
    </row>
    <row r="46" spans="1:9" x14ac:dyDescent="0.55000000000000004">
      <c r="A46" s="45">
        <v>56</v>
      </c>
      <c r="B46" s="9">
        <v>44</v>
      </c>
      <c r="C46" s="2" t="s">
        <v>306</v>
      </c>
      <c r="D46" s="2" t="s">
        <v>448</v>
      </c>
      <c r="E46">
        <v>3429</v>
      </c>
      <c r="F46">
        <v>1585</v>
      </c>
      <c r="H46">
        <v>29</v>
      </c>
      <c r="I46">
        <f t="shared" si="0"/>
        <v>118.2</v>
      </c>
    </row>
    <row r="47" spans="1:9" x14ac:dyDescent="0.55000000000000004">
      <c r="A47" s="45">
        <v>55</v>
      </c>
      <c r="B47" s="9">
        <v>45</v>
      </c>
      <c r="C47" s="2" t="s">
        <v>308</v>
      </c>
      <c r="D47" s="2" t="s">
        <v>449</v>
      </c>
      <c r="E47">
        <v>3856</v>
      </c>
      <c r="F47">
        <v>1981</v>
      </c>
      <c r="H47">
        <v>29</v>
      </c>
      <c r="I47">
        <f t="shared" si="0"/>
        <v>133</v>
      </c>
    </row>
    <row r="48" spans="1:9" x14ac:dyDescent="0.55000000000000004">
      <c r="A48" s="45">
        <v>54</v>
      </c>
      <c r="B48" s="9">
        <v>46</v>
      </c>
      <c r="C48" s="2" t="s">
        <v>310</v>
      </c>
      <c r="D48" s="2" t="s">
        <v>450</v>
      </c>
      <c r="E48">
        <v>3173</v>
      </c>
      <c r="F48">
        <v>1798</v>
      </c>
      <c r="H48">
        <v>20</v>
      </c>
      <c r="I48">
        <f t="shared" si="0"/>
        <v>158.69999999999999</v>
      </c>
    </row>
    <row r="49" spans="1:9" x14ac:dyDescent="0.55000000000000004">
      <c r="A49" s="45" t="s">
        <v>581</v>
      </c>
      <c r="B49" s="9">
        <v>50</v>
      </c>
      <c r="C49" s="2" t="s">
        <v>224</v>
      </c>
      <c r="D49" s="2" t="s">
        <v>457</v>
      </c>
      <c r="E49">
        <v>1453</v>
      </c>
      <c r="F49">
        <v>692</v>
      </c>
      <c r="G49" t="s">
        <v>454</v>
      </c>
      <c r="H49">
        <v>82.1</v>
      </c>
      <c r="I49">
        <f t="shared" si="0"/>
        <v>17.7</v>
      </c>
    </row>
    <row r="50" spans="1:9" x14ac:dyDescent="0.55000000000000004">
      <c r="A50" s="45">
        <v>25</v>
      </c>
      <c r="B50" s="9">
        <v>48</v>
      </c>
      <c r="C50" s="2" t="s">
        <v>289</v>
      </c>
      <c r="D50" s="2" t="s">
        <v>455</v>
      </c>
      <c r="E50">
        <v>460</v>
      </c>
      <c r="F50">
        <v>202</v>
      </c>
      <c r="H50">
        <v>39.6</v>
      </c>
      <c r="I50">
        <f t="shared" si="0"/>
        <v>11.6</v>
      </c>
    </row>
    <row r="51" spans="1:9" x14ac:dyDescent="0.55000000000000004">
      <c r="A51" s="45">
        <v>24</v>
      </c>
      <c r="B51" s="9">
        <v>49</v>
      </c>
      <c r="C51" s="2" t="s">
        <v>291</v>
      </c>
      <c r="D51" s="2" t="s">
        <v>456</v>
      </c>
      <c r="E51">
        <v>993</v>
      </c>
      <c r="F51">
        <v>490</v>
      </c>
      <c r="H51">
        <v>42.5</v>
      </c>
      <c r="I51">
        <f t="shared" si="0"/>
        <v>23.4</v>
      </c>
    </row>
    <row r="52" spans="1:9" x14ac:dyDescent="0.55000000000000004">
      <c r="A52" s="45" t="s">
        <v>582</v>
      </c>
      <c r="B52" s="9">
        <v>56</v>
      </c>
      <c r="C52" s="2" t="s">
        <v>226</v>
      </c>
      <c r="D52" s="2" t="s">
        <v>465</v>
      </c>
      <c r="E52">
        <v>1615</v>
      </c>
      <c r="F52">
        <v>772</v>
      </c>
      <c r="G52" t="s">
        <v>462</v>
      </c>
      <c r="H52">
        <v>42.6</v>
      </c>
      <c r="I52">
        <f t="shared" si="0"/>
        <v>37.9</v>
      </c>
    </row>
    <row r="53" spans="1:9" x14ac:dyDescent="0.55000000000000004">
      <c r="A53" s="45">
        <v>61</v>
      </c>
      <c r="B53" s="9">
        <v>54</v>
      </c>
      <c r="C53" s="2" t="s">
        <v>356</v>
      </c>
      <c r="D53" s="2" t="s">
        <v>463</v>
      </c>
      <c r="E53">
        <v>1024</v>
      </c>
      <c r="F53">
        <v>496</v>
      </c>
      <c r="H53">
        <v>16.8</v>
      </c>
      <c r="I53">
        <f t="shared" si="0"/>
        <v>61</v>
      </c>
    </row>
    <row r="54" spans="1:9" x14ac:dyDescent="0.55000000000000004">
      <c r="A54" s="45">
        <v>60</v>
      </c>
      <c r="B54" s="9">
        <v>55</v>
      </c>
      <c r="C54" s="2" t="s">
        <v>354</v>
      </c>
      <c r="D54" s="2" t="s">
        <v>464</v>
      </c>
      <c r="E54">
        <v>591</v>
      </c>
      <c r="F54">
        <v>276</v>
      </c>
      <c r="H54">
        <v>25.8</v>
      </c>
      <c r="I54">
        <f t="shared" si="0"/>
        <v>22.9</v>
      </c>
    </row>
    <row r="55" spans="1:9" x14ac:dyDescent="0.55000000000000004">
      <c r="A55" s="45" t="s">
        <v>583</v>
      </c>
      <c r="B55" s="9">
        <v>53</v>
      </c>
      <c r="C55" s="2" t="s">
        <v>225</v>
      </c>
      <c r="D55" s="2" t="s">
        <v>459</v>
      </c>
      <c r="E55">
        <v>8135</v>
      </c>
      <c r="F55">
        <v>4493</v>
      </c>
      <c r="G55" t="s">
        <v>458</v>
      </c>
      <c r="H55">
        <v>51</v>
      </c>
      <c r="I55">
        <f t="shared" si="0"/>
        <v>159.5</v>
      </c>
    </row>
    <row r="56" spans="1:9" x14ac:dyDescent="0.55000000000000004">
      <c r="A56" s="45">
        <v>5</v>
      </c>
      <c r="B56" s="9">
        <v>51</v>
      </c>
      <c r="C56" s="2" t="s">
        <v>263</v>
      </c>
      <c r="D56" s="2" t="s">
        <v>460</v>
      </c>
      <c r="E56">
        <v>1952</v>
      </c>
      <c r="F56">
        <v>1026</v>
      </c>
      <c r="H56">
        <v>11</v>
      </c>
      <c r="I56">
        <f t="shared" si="0"/>
        <v>177.5</v>
      </c>
    </row>
    <row r="57" spans="1:9" x14ac:dyDescent="0.55000000000000004">
      <c r="A57" s="45">
        <v>6</v>
      </c>
      <c r="B57" s="9">
        <v>52</v>
      </c>
      <c r="C57" s="2" t="s">
        <v>265</v>
      </c>
      <c r="D57" s="2" t="s">
        <v>461</v>
      </c>
      <c r="E57">
        <v>6183</v>
      </c>
      <c r="F57">
        <v>3467</v>
      </c>
      <c r="H57">
        <v>40</v>
      </c>
      <c r="I57">
        <f t="shared" si="0"/>
        <v>154.6</v>
      </c>
    </row>
    <row r="58" spans="1:9" x14ac:dyDescent="0.55000000000000004">
      <c r="A58" s="45" t="s">
        <v>584</v>
      </c>
      <c r="B58" s="9">
        <v>59</v>
      </c>
      <c r="C58" s="2" t="s">
        <v>470</v>
      </c>
      <c r="D58" s="2" t="s">
        <v>469</v>
      </c>
      <c r="E58">
        <v>583</v>
      </c>
      <c r="F58">
        <v>285</v>
      </c>
      <c r="G58" t="s">
        <v>466</v>
      </c>
      <c r="H58">
        <v>73.7</v>
      </c>
      <c r="I58">
        <f t="shared" si="0"/>
        <v>7.9</v>
      </c>
    </row>
    <row r="59" spans="1:9" x14ac:dyDescent="0.55000000000000004">
      <c r="A59" s="45">
        <v>15</v>
      </c>
      <c r="B59" s="9">
        <v>57</v>
      </c>
      <c r="C59" s="2" t="s">
        <v>237</v>
      </c>
      <c r="D59" s="2" t="s">
        <v>467</v>
      </c>
      <c r="E59">
        <v>388</v>
      </c>
      <c r="F59">
        <v>213</v>
      </c>
      <c r="H59">
        <v>33.700000000000003</v>
      </c>
      <c r="I59">
        <f t="shared" si="0"/>
        <v>11.5</v>
      </c>
    </row>
    <row r="60" spans="1:9" x14ac:dyDescent="0.55000000000000004">
      <c r="A60" s="45">
        <v>7</v>
      </c>
      <c r="B60" s="9">
        <v>58</v>
      </c>
      <c r="C60" s="2" t="s">
        <v>239</v>
      </c>
      <c r="D60" s="2" t="s">
        <v>468</v>
      </c>
      <c r="E60">
        <v>195</v>
      </c>
      <c r="F60">
        <v>72</v>
      </c>
      <c r="H60">
        <v>40</v>
      </c>
      <c r="I60">
        <f t="shared" si="0"/>
        <v>4.9000000000000004</v>
      </c>
    </row>
    <row r="61" spans="1:9" x14ac:dyDescent="0.55000000000000004">
      <c r="A61" s="45" t="s">
        <v>585</v>
      </c>
      <c r="B61" s="9">
        <v>63</v>
      </c>
      <c r="C61" s="2" t="s">
        <v>227</v>
      </c>
      <c r="D61" s="2" t="s">
        <v>476</v>
      </c>
      <c r="E61">
        <v>7791</v>
      </c>
      <c r="F61">
        <v>4202</v>
      </c>
      <c r="G61" t="s">
        <v>472</v>
      </c>
      <c r="H61">
        <v>47</v>
      </c>
      <c r="I61">
        <f t="shared" si="0"/>
        <v>165.8</v>
      </c>
    </row>
    <row r="62" spans="1:9" x14ac:dyDescent="0.55000000000000004">
      <c r="A62" s="45">
        <v>3</v>
      </c>
      <c r="B62" s="9">
        <v>60</v>
      </c>
      <c r="C62" s="2" t="s">
        <v>245</v>
      </c>
      <c r="D62" s="2" t="s">
        <v>473</v>
      </c>
      <c r="E62">
        <v>1350</v>
      </c>
      <c r="F62">
        <v>684</v>
      </c>
      <c r="H62">
        <v>8</v>
      </c>
      <c r="I62">
        <f t="shared" si="0"/>
        <v>168.8</v>
      </c>
    </row>
    <row r="63" spans="1:9" x14ac:dyDescent="0.55000000000000004">
      <c r="A63" s="45">
        <v>2</v>
      </c>
      <c r="B63" s="9">
        <v>61</v>
      </c>
      <c r="C63" s="2" t="s">
        <v>243</v>
      </c>
      <c r="D63" s="2" t="s">
        <v>474</v>
      </c>
      <c r="E63">
        <v>2439</v>
      </c>
      <c r="F63">
        <v>1132</v>
      </c>
      <c r="H63">
        <v>14</v>
      </c>
      <c r="I63">
        <f t="shared" si="0"/>
        <v>174.2</v>
      </c>
    </row>
    <row r="64" spans="1:9" x14ac:dyDescent="0.55000000000000004">
      <c r="A64" s="45">
        <v>1</v>
      </c>
      <c r="B64" s="9">
        <v>62</v>
      </c>
      <c r="C64" s="2" t="s">
        <v>241</v>
      </c>
      <c r="D64" s="2" t="s">
        <v>475</v>
      </c>
      <c r="E64">
        <v>4002</v>
      </c>
      <c r="F64">
        <v>2386</v>
      </c>
      <c r="H64">
        <v>25</v>
      </c>
      <c r="I64">
        <f t="shared" si="0"/>
        <v>160.1</v>
      </c>
    </row>
    <row r="65" spans="1:9" x14ac:dyDescent="0.55000000000000004">
      <c r="A65" s="45" t="s">
        <v>586</v>
      </c>
      <c r="B65" s="9">
        <v>105</v>
      </c>
      <c r="C65" t="s">
        <v>235</v>
      </c>
      <c r="D65" t="s">
        <v>480</v>
      </c>
      <c r="E65">
        <v>1451</v>
      </c>
      <c r="F65">
        <v>568</v>
      </c>
      <c r="G65" t="s">
        <v>477</v>
      </c>
      <c r="H65">
        <v>62.9</v>
      </c>
      <c r="I65">
        <f t="shared" si="0"/>
        <v>23.1</v>
      </c>
    </row>
    <row r="66" spans="1:9" x14ac:dyDescent="0.55000000000000004">
      <c r="A66" s="45">
        <v>40</v>
      </c>
      <c r="B66" s="9">
        <v>103</v>
      </c>
      <c r="C66" t="s">
        <v>332</v>
      </c>
      <c r="D66" t="s">
        <v>478</v>
      </c>
      <c r="E66">
        <v>1451</v>
      </c>
      <c r="F66">
        <v>568</v>
      </c>
      <c r="H66">
        <v>21.1</v>
      </c>
      <c r="I66">
        <f t="shared" si="0"/>
        <v>68.8</v>
      </c>
    </row>
    <row r="67" spans="1:9" x14ac:dyDescent="0.55000000000000004">
      <c r="A67" s="45">
        <v>41</v>
      </c>
      <c r="B67" s="9">
        <v>104</v>
      </c>
      <c r="C67" t="s">
        <v>236</v>
      </c>
      <c r="D67" t="s">
        <v>479</v>
      </c>
      <c r="E67">
        <v>0</v>
      </c>
      <c r="F67">
        <v>0</v>
      </c>
      <c r="H67">
        <v>41.8</v>
      </c>
      <c r="I67">
        <f t="shared" ref="I67:I106" si="1">ROUND(E67/H67,1)</f>
        <v>0</v>
      </c>
    </row>
    <row r="68" spans="1:9" x14ac:dyDescent="0.55000000000000004">
      <c r="A68" s="45" t="s">
        <v>587</v>
      </c>
      <c r="B68" s="9">
        <v>67</v>
      </c>
      <c r="C68" s="2" t="s">
        <v>228</v>
      </c>
      <c r="D68" s="2" t="s">
        <v>485</v>
      </c>
      <c r="E68">
        <v>6376</v>
      </c>
      <c r="F68">
        <v>2730</v>
      </c>
      <c r="G68" t="s">
        <v>481</v>
      </c>
      <c r="H68">
        <v>104.6</v>
      </c>
      <c r="I68">
        <f t="shared" si="1"/>
        <v>61</v>
      </c>
    </row>
    <row r="69" spans="1:9" x14ac:dyDescent="0.55000000000000004">
      <c r="A69" s="45">
        <v>43</v>
      </c>
      <c r="B69" s="9">
        <v>64</v>
      </c>
      <c r="C69" s="2" t="s">
        <v>300</v>
      </c>
      <c r="D69" s="2" t="s">
        <v>482</v>
      </c>
      <c r="E69">
        <v>1864</v>
      </c>
      <c r="F69">
        <v>826</v>
      </c>
      <c r="H69">
        <v>21</v>
      </c>
      <c r="I69">
        <f t="shared" si="1"/>
        <v>88.8</v>
      </c>
    </row>
    <row r="70" spans="1:9" x14ac:dyDescent="0.55000000000000004">
      <c r="A70" s="45">
        <v>42</v>
      </c>
      <c r="B70" s="9">
        <v>65</v>
      </c>
      <c r="C70" s="2" t="s">
        <v>304</v>
      </c>
      <c r="D70" s="2" t="s">
        <v>483</v>
      </c>
      <c r="E70">
        <v>4393</v>
      </c>
      <c r="F70">
        <v>1841</v>
      </c>
      <c r="H70">
        <v>40</v>
      </c>
      <c r="I70">
        <f t="shared" si="1"/>
        <v>109.8</v>
      </c>
    </row>
    <row r="71" spans="1:9" x14ac:dyDescent="0.55000000000000004">
      <c r="A71" s="45">
        <v>57</v>
      </c>
      <c r="B71" s="9">
        <v>66</v>
      </c>
      <c r="C71" s="2" t="s">
        <v>302</v>
      </c>
      <c r="D71" s="2" t="s">
        <v>484</v>
      </c>
      <c r="E71">
        <v>119</v>
      </c>
      <c r="F71">
        <v>63</v>
      </c>
      <c r="H71">
        <v>43.6</v>
      </c>
      <c r="I71">
        <f t="shared" si="1"/>
        <v>2.7</v>
      </c>
    </row>
    <row r="72" spans="1:9" x14ac:dyDescent="0.55000000000000004">
      <c r="A72" s="45" t="s">
        <v>588</v>
      </c>
      <c r="B72" s="9">
        <v>73</v>
      </c>
      <c r="C72" s="2" t="s">
        <v>229</v>
      </c>
      <c r="D72" s="2" t="s">
        <v>492</v>
      </c>
      <c r="E72">
        <v>9852</v>
      </c>
      <c r="F72">
        <v>4690</v>
      </c>
      <c r="G72" t="s">
        <v>486</v>
      </c>
      <c r="H72">
        <v>89.2</v>
      </c>
      <c r="I72">
        <f t="shared" si="1"/>
        <v>110.4</v>
      </c>
    </row>
    <row r="73" spans="1:9" x14ac:dyDescent="0.55000000000000004">
      <c r="A73" s="45">
        <v>72</v>
      </c>
      <c r="B73" s="9">
        <v>68</v>
      </c>
      <c r="C73" s="2" t="s">
        <v>364</v>
      </c>
      <c r="D73" s="2" t="s">
        <v>487</v>
      </c>
      <c r="E73">
        <v>1322</v>
      </c>
      <c r="F73">
        <v>691</v>
      </c>
      <c r="H73">
        <v>11</v>
      </c>
      <c r="I73">
        <f t="shared" si="1"/>
        <v>120.2</v>
      </c>
    </row>
    <row r="74" spans="1:9" x14ac:dyDescent="0.55000000000000004">
      <c r="A74" s="45">
        <v>73</v>
      </c>
      <c r="B74" s="9">
        <v>69</v>
      </c>
      <c r="C74" s="2" t="s">
        <v>366</v>
      </c>
      <c r="D74" s="2" t="s">
        <v>488</v>
      </c>
      <c r="E74">
        <v>2411</v>
      </c>
      <c r="F74">
        <v>1185</v>
      </c>
      <c r="H74">
        <v>26.5</v>
      </c>
      <c r="I74">
        <f t="shared" si="1"/>
        <v>91</v>
      </c>
    </row>
    <row r="75" spans="1:9" x14ac:dyDescent="0.55000000000000004">
      <c r="A75" s="45">
        <v>74</v>
      </c>
      <c r="B75" s="9">
        <v>70</v>
      </c>
      <c r="C75" s="2" t="s">
        <v>368</v>
      </c>
      <c r="D75" s="2" t="s">
        <v>489</v>
      </c>
      <c r="E75">
        <v>2246</v>
      </c>
      <c r="F75">
        <v>933</v>
      </c>
      <c r="H75">
        <v>21.2</v>
      </c>
      <c r="I75">
        <f t="shared" si="1"/>
        <v>105.9</v>
      </c>
    </row>
    <row r="76" spans="1:9" x14ac:dyDescent="0.55000000000000004">
      <c r="A76" s="45">
        <v>75</v>
      </c>
      <c r="B76" s="9">
        <v>71</v>
      </c>
      <c r="C76" s="2" t="s">
        <v>370</v>
      </c>
      <c r="D76" s="2" t="s">
        <v>490</v>
      </c>
      <c r="E76">
        <v>2570</v>
      </c>
      <c r="F76">
        <v>1199</v>
      </c>
      <c r="H76">
        <v>20</v>
      </c>
      <c r="I76">
        <f t="shared" si="1"/>
        <v>128.5</v>
      </c>
    </row>
    <row r="77" spans="1:9" x14ac:dyDescent="0.55000000000000004">
      <c r="A77" s="45">
        <v>76</v>
      </c>
      <c r="B77" s="9">
        <v>72</v>
      </c>
      <c r="C77" s="2" t="s">
        <v>372</v>
      </c>
      <c r="D77" s="2" t="s">
        <v>491</v>
      </c>
      <c r="E77">
        <v>1303</v>
      </c>
      <c r="F77">
        <v>682</v>
      </c>
      <c r="H77">
        <v>10.5</v>
      </c>
      <c r="I77">
        <f t="shared" si="1"/>
        <v>124.1</v>
      </c>
    </row>
    <row r="78" spans="1:9" x14ac:dyDescent="0.55000000000000004">
      <c r="A78" s="45" t="s">
        <v>589</v>
      </c>
      <c r="B78" s="9">
        <v>82</v>
      </c>
      <c r="C78" s="2" t="s">
        <v>230</v>
      </c>
      <c r="D78" s="2" t="s">
        <v>502</v>
      </c>
      <c r="E78">
        <v>32499</v>
      </c>
      <c r="F78">
        <v>15021</v>
      </c>
      <c r="G78" t="s">
        <v>493</v>
      </c>
      <c r="H78">
        <v>487.2</v>
      </c>
      <c r="I78">
        <f t="shared" si="1"/>
        <v>66.7</v>
      </c>
    </row>
    <row r="79" spans="1:9" x14ac:dyDescent="0.55000000000000004">
      <c r="A79" s="45">
        <v>29</v>
      </c>
      <c r="B79" s="9">
        <v>74</v>
      </c>
      <c r="C79" s="2" t="s">
        <v>287</v>
      </c>
      <c r="D79" s="2" t="s">
        <v>494</v>
      </c>
      <c r="E79">
        <v>3149</v>
      </c>
      <c r="F79">
        <v>1466</v>
      </c>
      <c r="H79">
        <v>52.8</v>
      </c>
      <c r="I79">
        <f t="shared" si="1"/>
        <v>59.6</v>
      </c>
    </row>
    <row r="80" spans="1:9" x14ac:dyDescent="0.55000000000000004">
      <c r="A80" s="45">
        <v>28</v>
      </c>
      <c r="B80" s="9">
        <v>75</v>
      </c>
      <c r="C80" s="2" t="s">
        <v>285</v>
      </c>
      <c r="D80" s="2" t="s">
        <v>495</v>
      </c>
      <c r="E80">
        <v>450</v>
      </c>
      <c r="F80">
        <v>224</v>
      </c>
      <c r="H80">
        <v>45.6</v>
      </c>
      <c r="I80">
        <f t="shared" si="1"/>
        <v>9.9</v>
      </c>
    </row>
    <row r="81" spans="1:9" x14ac:dyDescent="0.55000000000000004">
      <c r="A81" s="45">
        <v>27</v>
      </c>
      <c r="B81" s="9">
        <v>76</v>
      </c>
      <c r="C81" s="2" t="s">
        <v>283</v>
      </c>
      <c r="D81" s="2" t="s">
        <v>496</v>
      </c>
      <c r="E81">
        <v>2316</v>
      </c>
      <c r="F81">
        <v>1085</v>
      </c>
      <c r="H81">
        <v>101.1</v>
      </c>
      <c r="I81">
        <f t="shared" si="1"/>
        <v>22.9</v>
      </c>
    </row>
    <row r="82" spans="1:9" x14ac:dyDescent="0.55000000000000004">
      <c r="A82" s="45">
        <v>26</v>
      </c>
      <c r="B82" s="9">
        <v>77</v>
      </c>
      <c r="C82" s="2" t="s">
        <v>281</v>
      </c>
      <c r="D82" s="2" t="s">
        <v>498</v>
      </c>
      <c r="E82">
        <v>5240</v>
      </c>
      <c r="F82">
        <v>2515</v>
      </c>
      <c r="H82">
        <v>65.7</v>
      </c>
      <c r="I82">
        <f t="shared" si="1"/>
        <v>79.8</v>
      </c>
    </row>
    <row r="83" spans="1:9" x14ac:dyDescent="0.55000000000000004">
      <c r="A83" s="45">
        <v>19</v>
      </c>
      <c r="B83" s="9">
        <v>78</v>
      </c>
      <c r="C83" s="2" t="s">
        <v>273</v>
      </c>
      <c r="D83" s="2" t="s">
        <v>499</v>
      </c>
      <c r="E83">
        <v>8004</v>
      </c>
      <c r="F83">
        <v>3732</v>
      </c>
      <c r="H83">
        <v>60</v>
      </c>
      <c r="I83">
        <f t="shared" si="1"/>
        <v>133.4</v>
      </c>
    </row>
    <row r="84" spans="1:9" x14ac:dyDescent="0.55000000000000004">
      <c r="A84" s="45">
        <v>20</v>
      </c>
      <c r="B84" s="9">
        <v>79</v>
      </c>
      <c r="C84" s="2" t="s">
        <v>275</v>
      </c>
      <c r="D84" s="2" t="s">
        <v>500</v>
      </c>
      <c r="E84">
        <v>4944</v>
      </c>
      <c r="F84">
        <v>2270</v>
      </c>
      <c r="H84">
        <v>47</v>
      </c>
      <c r="I84">
        <f t="shared" si="1"/>
        <v>105.2</v>
      </c>
    </row>
    <row r="85" spans="1:9" x14ac:dyDescent="0.55000000000000004">
      <c r="A85" s="45">
        <v>21</v>
      </c>
      <c r="B85" s="9">
        <v>80</v>
      </c>
      <c r="C85" s="2" t="s">
        <v>277</v>
      </c>
      <c r="D85" s="2" t="s">
        <v>497</v>
      </c>
      <c r="E85">
        <v>3539</v>
      </c>
      <c r="F85">
        <v>1609</v>
      </c>
      <c r="H85">
        <v>55</v>
      </c>
      <c r="I85">
        <f t="shared" si="1"/>
        <v>64.3</v>
      </c>
    </row>
    <row r="86" spans="1:9" x14ac:dyDescent="0.55000000000000004">
      <c r="A86" s="45">
        <v>22</v>
      </c>
      <c r="B86" s="9">
        <v>81</v>
      </c>
      <c r="C86" s="2" t="s">
        <v>279</v>
      </c>
      <c r="D86" s="2" t="s">
        <v>501</v>
      </c>
      <c r="E86">
        <v>4857</v>
      </c>
      <c r="F86">
        <v>2120</v>
      </c>
      <c r="H86">
        <v>60</v>
      </c>
      <c r="I86">
        <f t="shared" si="1"/>
        <v>81</v>
      </c>
    </row>
    <row r="87" spans="1:9" x14ac:dyDescent="0.55000000000000004">
      <c r="A87" s="45" t="s">
        <v>590</v>
      </c>
      <c r="B87" s="9">
        <v>86</v>
      </c>
      <c r="C87" t="s">
        <v>471</v>
      </c>
      <c r="D87" s="2" t="s">
        <v>507</v>
      </c>
      <c r="E87">
        <v>9767</v>
      </c>
      <c r="F87">
        <v>4562</v>
      </c>
      <c r="G87" t="s">
        <v>503</v>
      </c>
      <c r="H87">
        <v>115.8</v>
      </c>
      <c r="I87">
        <f t="shared" si="1"/>
        <v>84.3</v>
      </c>
    </row>
    <row r="88" spans="1:9" x14ac:dyDescent="0.55000000000000004">
      <c r="A88" s="45">
        <v>30</v>
      </c>
      <c r="B88" s="9">
        <v>83</v>
      </c>
      <c r="C88" t="s">
        <v>314</v>
      </c>
      <c r="D88" s="2" t="s">
        <v>504</v>
      </c>
      <c r="E88">
        <v>5131</v>
      </c>
      <c r="F88">
        <v>2453</v>
      </c>
      <c r="H88">
        <v>58.8</v>
      </c>
      <c r="I88">
        <f t="shared" si="1"/>
        <v>87.3</v>
      </c>
    </row>
    <row r="89" spans="1:9" x14ac:dyDescent="0.55000000000000004">
      <c r="A89" s="45">
        <v>31</v>
      </c>
      <c r="B89" s="9">
        <v>84</v>
      </c>
      <c r="C89" t="s">
        <v>316</v>
      </c>
      <c r="D89" s="2" t="s">
        <v>505</v>
      </c>
      <c r="E89">
        <v>3037</v>
      </c>
      <c r="F89">
        <v>1310</v>
      </c>
      <c r="H89">
        <v>42</v>
      </c>
      <c r="I89">
        <f t="shared" si="1"/>
        <v>72.3</v>
      </c>
    </row>
    <row r="90" spans="1:9" x14ac:dyDescent="0.55000000000000004">
      <c r="A90" s="45">
        <v>23</v>
      </c>
      <c r="B90" s="9">
        <v>85</v>
      </c>
      <c r="C90" t="s">
        <v>312</v>
      </c>
      <c r="D90" s="2" t="s">
        <v>506</v>
      </c>
      <c r="E90">
        <v>1599</v>
      </c>
      <c r="F90">
        <v>799</v>
      </c>
      <c r="H90">
        <v>15</v>
      </c>
      <c r="I90">
        <f t="shared" si="1"/>
        <v>106.6</v>
      </c>
    </row>
    <row r="91" spans="1:9" x14ac:dyDescent="0.55000000000000004">
      <c r="A91" s="45" t="s">
        <v>591</v>
      </c>
      <c r="B91" s="9">
        <v>91</v>
      </c>
      <c r="C91" t="s">
        <v>231</v>
      </c>
      <c r="D91" s="2" t="s">
        <v>513</v>
      </c>
      <c r="E91">
        <v>5781</v>
      </c>
      <c r="F91">
        <v>2637</v>
      </c>
      <c r="G91" t="s">
        <v>508</v>
      </c>
      <c r="H91">
        <v>125.9</v>
      </c>
      <c r="I91">
        <f t="shared" si="1"/>
        <v>45.9</v>
      </c>
    </row>
    <row r="92" spans="1:9" x14ac:dyDescent="0.55000000000000004">
      <c r="A92" s="45">
        <v>38</v>
      </c>
      <c r="B92" s="9">
        <v>87</v>
      </c>
      <c r="C92" t="s">
        <v>318</v>
      </c>
      <c r="D92" s="2" t="s">
        <v>509</v>
      </c>
      <c r="E92">
        <v>1342</v>
      </c>
      <c r="F92">
        <v>625</v>
      </c>
      <c r="H92">
        <v>39.700000000000003</v>
      </c>
      <c r="I92">
        <f t="shared" si="1"/>
        <v>33.799999999999997</v>
      </c>
    </row>
    <row r="93" spans="1:9" x14ac:dyDescent="0.55000000000000004">
      <c r="A93" s="45">
        <v>39</v>
      </c>
      <c r="B93" s="9">
        <v>88</v>
      </c>
      <c r="C93" t="s">
        <v>320</v>
      </c>
      <c r="D93" s="2" t="s">
        <v>510</v>
      </c>
      <c r="E93">
        <v>1603</v>
      </c>
      <c r="F93">
        <v>731</v>
      </c>
      <c r="H93">
        <v>19</v>
      </c>
      <c r="I93">
        <f t="shared" si="1"/>
        <v>84.4</v>
      </c>
    </row>
    <row r="94" spans="1:9" x14ac:dyDescent="0.55000000000000004">
      <c r="A94" s="45">
        <v>48</v>
      </c>
      <c r="B94" s="9">
        <v>89</v>
      </c>
      <c r="C94" t="s">
        <v>322</v>
      </c>
      <c r="D94" s="2" t="s">
        <v>511</v>
      </c>
      <c r="E94">
        <v>1390</v>
      </c>
      <c r="F94">
        <v>577</v>
      </c>
      <c r="H94">
        <v>26.1</v>
      </c>
      <c r="I94">
        <f t="shared" si="1"/>
        <v>53.3</v>
      </c>
    </row>
    <row r="95" spans="1:9" x14ac:dyDescent="0.55000000000000004">
      <c r="A95" s="45">
        <v>47</v>
      </c>
      <c r="B95" s="9">
        <v>90</v>
      </c>
      <c r="C95" t="s">
        <v>324</v>
      </c>
      <c r="D95" s="2" t="s">
        <v>512</v>
      </c>
      <c r="E95">
        <v>1446</v>
      </c>
      <c r="F95">
        <v>704</v>
      </c>
      <c r="H95">
        <v>41.1</v>
      </c>
      <c r="I95">
        <f t="shared" si="1"/>
        <v>35.200000000000003</v>
      </c>
    </row>
    <row r="96" spans="1:9" x14ac:dyDescent="0.55000000000000004">
      <c r="A96" s="45" t="s">
        <v>592</v>
      </c>
      <c r="B96" s="9">
        <v>95</v>
      </c>
      <c r="C96" t="s">
        <v>232</v>
      </c>
      <c r="D96" s="2" t="s">
        <v>515</v>
      </c>
      <c r="E96">
        <v>7078</v>
      </c>
      <c r="F96">
        <v>3330</v>
      </c>
      <c r="G96" t="s">
        <v>514</v>
      </c>
      <c r="H96">
        <v>47</v>
      </c>
      <c r="I96">
        <f t="shared" si="1"/>
        <v>150.6</v>
      </c>
    </row>
    <row r="97" spans="1:9" x14ac:dyDescent="0.55000000000000004">
      <c r="A97" s="45">
        <v>14</v>
      </c>
      <c r="B97" s="9">
        <v>92</v>
      </c>
      <c r="C97" t="s">
        <v>271</v>
      </c>
      <c r="D97" s="2" t="s">
        <v>516</v>
      </c>
      <c r="E97">
        <v>3213</v>
      </c>
      <c r="F97">
        <v>1404</v>
      </c>
      <c r="H97">
        <v>19</v>
      </c>
      <c r="I97">
        <f t="shared" si="1"/>
        <v>169.1</v>
      </c>
    </row>
    <row r="98" spans="1:9" x14ac:dyDescent="0.55000000000000004">
      <c r="A98" s="45">
        <v>13</v>
      </c>
      <c r="B98" s="9">
        <v>93</v>
      </c>
      <c r="C98" t="s">
        <v>269</v>
      </c>
      <c r="D98" s="2" t="s">
        <v>517</v>
      </c>
      <c r="E98">
        <v>1405</v>
      </c>
      <c r="F98">
        <v>595</v>
      </c>
      <c r="H98">
        <v>13</v>
      </c>
      <c r="I98">
        <f t="shared" si="1"/>
        <v>108.1</v>
      </c>
    </row>
    <row r="99" spans="1:9" x14ac:dyDescent="0.55000000000000004">
      <c r="A99" s="45">
        <v>12</v>
      </c>
      <c r="B99" s="9">
        <v>94</v>
      </c>
      <c r="C99" t="s">
        <v>267</v>
      </c>
      <c r="D99" s="2" t="s">
        <v>518</v>
      </c>
      <c r="E99">
        <v>2460</v>
      </c>
      <c r="F99">
        <v>1331</v>
      </c>
      <c r="H99">
        <v>15</v>
      </c>
      <c r="I99">
        <f t="shared" si="1"/>
        <v>164</v>
      </c>
    </row>
    <row r="100" spans="1:9" x14ac:dyDescent="0.55000000000000004">
      <c r="A100" s="45" t="s">
        <v>593</v>
      </c>
      <c r="B100" s="9">
        <v>99</v>
      </c>
      <c r="C100" t="s">
        <v>233</v>
      </c>
      <c r="D100" s="2" t="s">
        <v>520</v>
      </c>
      <c r="E100">
        <v>1539</v>
      </c>
      <c r="F100">
        <v>778</v>
      </c>
      <c r="G100" t="s">
        <v>519</v>
      </c>
      <c r="H100">
        <v>78.2</v>
      </c>
      <c r="I100">
        <f t="shared" si="1"/>
        <v>19.7</v>
      </c>
    </row>
    <row r="101" spans="1:9" x14ac:dyDescent="0.55000000000000004">
      <c r="A101" s="45">
        <v>37</v>
      </c>
      <c r="B101" s="9">
        <v>96</v>
      </c>
      <c r="C101" t="s">
        <v>326</v>
      </c>
      <c r="D101" s="2" t="s">
        <v>521</v>
      </c>
      <c r="E101">
        <v>480</v>
      </c>
      <c r="F101">
        <v>236</v>
      </c>
      <c r="H101">
        <v>27.7</v>
      </c>
      <c r="I101">
        <f t="shared" si="1"/>
        <v>17.3</v>
      </c>
    </row>
    <row r="102" spans="1:9" x14ac:dyDescent="0.55000000000000004">
      <c r="A102" s="45">
        <v>46</v>
      </c>
      <c r="B102" s="9">
        <v>97</v>
      </c>
      <c r="C102" t="s">
        <v>330</v>
      </c>
      <c r="D102" s="2" t="s">
        <v>522</v>
      </c>
      <c r="E102">
        <v>768</v>
      </c>
      <c r="F102">
        <v>358</v>
      </c>
      <c r="H102">
        <v>18.8</v>
      </c>
      <c r="I102">
        <f t="shared" si="1"/>
        <v>40.9</v>
      </c>
    </row>
    <row r="103" spans="1:9" x14ac:dyDescent="0.55000000000000004">
      <c r="A103" s="45">
        <v>45</v>
      </c>
      <c r="B103" s="9">
        <v>98</v>
      </c>
      <c r="C103" t="s">
        <v>328</v>
      </c>
      <c r="D103" s="2" t="s">
        <v>523</v>
      </c>
      <c r="E103">
        <v>291</v>
      </c>
      <c r="F103">
        <v>184</v>
      </c>
      <c r="H103">
        <v>31.7</v>
      </c>
      <c r="I103">
        <f t="shared" si="1"/>
        <v>9.1999999999999993</v>
      </c>
    </row>
    <row r="104" spans="1:9" x14ac:dyDescent="0.55000000000000004">
      <c r="A104" s="45" t="s">
        <v>594</v>
      </c>
      <c r="B104" s="9">
        <v>102</v>
      </c>
      <c r="C104" t="s">
        <v>234</v>
      </c>
      <c r="D104" s="2" t="s">
        <v>525</v>
      </c>
      <c r="E104">
        <v>1233</v>
      </c>
      <c r="F104">
        <v>622</v>
      </c>
      <c r="G104" t="s">
        <v>524</v>
      </c>
      <c r="H104">
        <v>93.1</v>
      </c>
      <c r="I104">
        <f t="shared" si="1"/>
        <v>13.2</v>
      </c>
    </row>
    <row r="105" spans="1:9" x14ac:dyDescent="0.55000000000000004">
      <c r="A105" s="45">
        <v>36</v>
      </c>
      <c r="B105" s="9">
        <v>100</v>
      </c>
      <c r="C105" t="s">
        <v>298</v>
      </c>
      <c r="D105" s="2" t="s">
        <v>526</v>
      </c>
      <c r="E105">
        <v>1175</v>
      </c>
      <c r="F105">
        <v>598</v>
      </c>
      <c r="H105">
        <v>51.5</v>
      </c>
      <c r="I105">
        <f t="shared" si="1"/>
        <v>22.8</v>
      </c>
    </row>
    <row r="106" spans="1:9" x14ac:dyDescent="0.55000000000000004">
      <c r="A106" s="45">
        <v>35</v>
      </c>
      <c r="B106" s="9">
        <v>101</v>
      </c>
      <c r="C106" t="s">
        <v>296</v>
      </c>
      <c r="D106" s="2" t="s">
        <v>527</v>
      </c>
      <c r="E106">
        <v>58</v>
      </c>
      <c r="F106">
        <v>24</v>
      </c>
      <c r="H106">
        <v>41.6</v>
      </c>
      <c r="I106">
        <f t="shared" si="1"/>
        <v>1.4</v>
      </c>
    </row>
  </sheetData>
  <autoFilter ref="A1:G106" xr:uid="{7C915BDC-0E50-4EB6-95A0-CC74E8AA64C6}">
    <sortState xmlns:xlrd2="http://schemas.microsoft.com/office/spreadsheetml/2017/richdata2" ref="A2:G106">
      <sortCondition ref="D1:D106"/>
    </sortState>
  </autoFilter>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14"/>
  <sheetViews>
    <sheetView topLeftCell="A64" zoomScaleNormal="100" workbookViewId="0">
      <selection activeCell="C75" sqref="C75"/>
    </sheetView>
  </sheetViews>
  <sheetFormatPr defaultColWidth="3.5" defaultRowHeight="21" customHeight="1" x14ac:dyDescent="0.55000000000000004"/>
  <cols>
    <col min="1" max="16384" width="3.5" style="11"/>
  </cols>
  <sheetData>
    <row r="1" spans="1:33" ht="21" customHeight="1" x14ac:dyDescent="0.55000000000000004">
      <c r="A1" s="38"/>
      <c r="F1" s="38" t="s">
        <v>182</v>
      </c>
      <c r="G1" s="38"/>
      <c r="I1" s="38"/>
      <c r="M1" s="38"/>
      <c r="Q1" s="38" t="s">
        <v>183</v>
      </c>
      <c r="V1" s="38"/>
      <c r="AF1" s="38" t="s">
        <v>181</v>
      </c>
    </row>
    <row r="2" spans="1:33" ht="21" customHeight="1" x14ac:dyDescent="0.55000000000000004">
      <c r="B2" s="14" t="s">
        <v>34</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32</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152</v>
      </c>
    </row>
    <row r="13" spans="1:33" ht="21" customHeight="1" x14ac:dyDescent="0.55000000000000004">
      <c r="F13" s="15" t="s">
        <v>30</v>
      </c>
      <c r="G13" s="11" t="s">
        <v>151</v>
      </c>
    </row>
    <row r="15" spans="1:33" ht="21" customHeight="1" thickBot="1" x14ac:dyDescent="0.45">
      <c r="F15" s="27" t="s">
        <v>44</v>
      </c>
      <c r="Q15" s="27" t="s">
        <v>45</v>
      </c>
    </row>
    <row r="16" spans="1:33" ht="21" customHeight="1" thickTop="1" thickBot="1" x14ac:dyDescent="0.6">
      <c r="A16" s="38" t="s">
        <v>158</v>
      </c>
      <c r="F16" s="103" t="s">
        <v>85</v>
      </c>
      <c r="G16" s="104"/>
      <c r="H16" s="104"/>
      <c r="I16" s="104"/>
      <c r="J16" s="104"/>
      <c r="K16" s="104"/>
      <c r="L16" s="104"/>
      <c r="M16" s="104"/>
      <c r="N16" s="104"/>
      <c r="O16" s="105"/>
      <c r="Q16" s="103" t="s">
        <v>595</v>
      </c>
      <c r="R16" s="104"/>
      <c r="S16" s="104"/>
      <c r="T16" s="105"/>
    </row>
    <row r="17" spans="1:33" ht="21" customHeight="1" thickTop="1" x14ac:dyDescent="0.55000000000000004"/>
    <row r="19" spans="1:33" ht="21" customHeight="1" x14ac:dyDescent="0.55000000000000004">
      <c r="D19" s="14" t="s">
        <v>33</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153</v>
      </c>
    </row>
    <row r="27" spans="1:33" ht="21" customHeight="1" x14ac:dyDescent="0.55000000000000004">
      <c r="F27" s="15"/>
      <c r="G27" s="15" t="s">
        <v>30</v>
      </c>
      <c r="H27" s="11" t="s">
        <v>154</v>
      </c>
    </row>
    <row r="28" spans="1:33" ht="21" customHeight="1" x14ac:dyDescent="0.55000000000000004">
      <c r="F28" s="15"/>
    </row>
    <row r="29" spans="1:33" ht="21" customHeight="1" x14ac:dyDescent="0.55000000000000004">
      <c r="G29" s="11" t="s">
        <v>86</v>
      </c>
    </row>
    <row r="30" spans="1:33" ht="21" customHeight="1" thickBot="1" x14ac:dyDescent="0.45">
      <c r="F30" s="27" t="s">
        <v>44</v>
      </c>
      <c r="Q30" s="27" t="s">
        <v>46</v>
      </c>
    </row>
    <row r="31" spans="1:33" ht="21" customHeight="1" thickTop="1" thickBot="1" x14ac:dyDescent="0.6">
      <c r="A31" s="38" t="s">
        <v>170</v>
      </c>
      <c r="F31" s="103" t="s">
        <v>43</v>
      </c>
      <c r="G31" s="104"/>
      <c r="H31" s="104"/>
      <c r="I31" s="104"/>
      <c r="J31" s="104"/>
      <c r="K31" s="104"/>
      <c r="L31" s="104"/>
      <c r="M31" s="104"/>
      <c r="N31" s="104"/>
      <c r="O31" s="105"/>
      <c r="Q31" s="103" t="s">
        <v>142</v>
      </c>
      <c r="R31" s="105"/>
    </row>
    <row r="32" spans="1:33" ht="21" customHeight="1" thickTop="1" x14ac:dyDescent="0.55000000000000004"/>
    <row r="34" spans="4:33" ht="21" customHeight="1" x14ac:dyDescent="0.55000000000000004">
      <c r="D34" s="14" t="s">
        <v>35</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30</v>
      </c>
      <c r="G46" s="11" t="s">
        <v>38</v>
      </c>
    </row>
    <row r="47" spans="4:33" ht="21" customHeight="1" x14ac:dyDescent="0.55000000000000004">
      <c r="F47" s="15"/>
      <c r="P47" s="30" t="s">
        <v>94</v>
      </c>
      <c r="Q47" s="30"/>
      <c r="R47" s="30"/>
      <c r="S47" s="30"/>
      <c r="T47" s="11" t="s">
        <v>156</v>
      </c>
    </row>
    <row r="48" spans="4:33" ht="21" customHeight="1" x14ac:dyDescent="0.55000000000000004">
      <c r="F48" s="15"/>
      <c r="P48" s="15" t="s">
        <v>30</v>
      </c>
      <c r="Q48" s="11" t="s">
        <v>155</v>
      </c>
    </row>
    <row r="49" spans="1:20" ht="21" customHeight="1" x14ac:dyDescent="0.55000000000000004">
      <c r="F49" s="15"/>
    </row>
    <row r="50" spans="1:20" ht="21" customHeight="1" thickBot="1" x14ac:dyDescent="0.45">
      <c r="F50" s="15"/>
      <c r="Q50" s="27" t="s">
        <v>47</v>
      </c>
    </row>
    <row r="51" spans="1:20" ht="21" customHeight="1" thickTop="1" thickBot="1" x14ac:dyDescent="0.6">
      <c r="A51" s="38" t="s">
        <v>205</v>
      </c>
      <c r="F51" s="15"/>
      <c r="Q51" s="103" t="s">
        <v>145</v>
      </c>
      <c r="R51" s="105"/>
    </row>
    <row r="52" spans="1:20" ht="21" customHeight="1" thickTop="1" x14ac:dyDescent="0.55000000000000004">
      <c r="E52" s="11" t="s">
        <v>208</v>
      </c>
    </row>
    <row r="53" spans="1:20" ht="21" customHeight="1" thickBot="1" x14ac:dyDescent="0.6">
      <c r="E53" s="25"/>
      <c r="F53" s="40" t="s">
        <v>16</v>
      </c>
      <c r="G53" s="41" t="s">
        <v>17</v>
      </c>
      <c r="H53" s="41" t="s">
        <v>18</v>
      </c>
      <c r="I53" s="41" t="s">
        <v>19</v>
      </c>
      <c r="J53" s="25"/>
    </row>
    <row r="54" spans="1:20" ht="21" customHeight="1" x14ac:dyDescent="0.55000000000000004">
      <c r="A54" s="38" t="s">
        <v>169</v>
      </c>
      <c r="E54" s="39">
        <v>1</v>
      </c>
      <c r="F54" s="8"/>
      <c r="G54" s="106" t="s">
        <v>24</v>
      </c>
      <c r="H54" s="106"/>
      <c r="I54" s="107"/>
      <c r="J54" s="25"/>
    </row>
    <row r="55" spans="1:20" ht="21" customHeight="1" x14ac:dyDescent="0.55000000000000004">
      <c r="E55" s="39">
        <v>2</v>
      </c>
      <c r="F55" s="125" t="s">
        <v>25</v>
      </c>
      <c r="G55" s="126"/>
      <c r="H55" s="126"/>
      <c r="I55" s="127"/>
      <c r="J55" s="25"/>
    </row>
    <row r="56" spans="1:20" ht="21" customHeight="1" x14ac:dyDescent="0.55000000000000004">
      <c r="E56" s="39">
        <v>3</v>
      </c>
      <c r="F56" s="125" t="s">
        <v>397</v>
      </c>
      <c r="G56" s="126"/>
      <c r="H56" s="126"/>
      <c r="I56" s="127"/>
      <c r="J56" s="25"/>
    </row>
    <row r="57" spans="1:20" ht="21" customHeight="1" thickBot="1" x14ac:dyDescent="0.6">
      <c r="A57" s="38"/>
      <c r="E57" s="39">
        <v>4</v>
      </c>
      <c r="F57" s="122"/>
      <c r="G57" s="123"/>
      <c r="H57" s="123"/>
      <c r="I57" s="124"/>
      <c r="J57" s="25"/>
    </row>
    <row r="58" spans="1:20" ht="21" customHeight="1" x14ac:dyDescent="0.55000000000000004">
      <c r="E58" s="25"/>
      <c r="F58" s="25"/>
      <c r="G58" s="25"/>
      <c r="H58" s="25"/>
      <c r="I58" s="25"/>
      <c r="J58" s="25"/>
    </row>
    <row r="59" spans="1:20" ht="21" customHeight="1" thickBot="1" x14ac:dyDescent="0.45">
      <c r="Q59" s="27" t="s">
        <v>202</v>
      </c>
    </row>
    <row r="60" spans="1:20" ht="21" customHeight="1" thickTop="1" thickBot="1" x14ac:dyDescent="0.6">
      <c r="A60" s="38" t="s">
        <v>207</v>
      </c>
      <c r="Q60" s="103" t="s">
        <v>206</v>
      </c>
      <c r="R60" s="104"/>
      <c r="S60" s="104"/>
      <c r="T60" s="105"/>
    </row>
    <row r="61" spans="1:20" ht="21" customHeight="1" thickTop="1" x14ac:dyDescent="0.55000000000000004">
      <c r="Q61" s="46" t="s">
        <v>198</v>
      </c>
    </row>
    <row r="63" spans="1:20" ht="21" customHeight="1" x14ac:dyDescent="0.55000000000000004">
      <c r="G63" s="11" t="s">
        <v>87</v>
      </c>
    </row>
    <row r="66" spans="1:33" ht="21" customHeight="1" x14ac:dyDescent="0.55000000000000004">
      <c r="D66" s="14" t="s">
        <v>36</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row>
    <row r="68" spans="1:33" ht="21" customHeight="1" x14ac:dyDescent="0.55000000000000004">
      <c r="F68" s="15" t="s">
        <v>30</v>
      </c>
      <c r="G68" s="11" t="s">
        <v>40</v>
      </c>
    </row>
    <row r="69" spans="1:33" ht="21" customHeight="1" x14ac:dyDescent="0.55000000000000004">
      <c r="G69" s="11" t="s">
        <v>200</v>
      </c>
    </row>
    <row r="70" spans="1:33" ht="21" customHeight="1" thickBot="1" x14ac:dyDescent="0.45">
      <c r="Q70" s="27" t="s">
        <v>47</v>
      </c>
    </row>
    <row r="71" spans="1:33" ht="21" customHeight="1" thickTop="1" thickBot="1" x14ac:dyDescent="0.6">
      <c r="A71" s="38" t="s">
        <v>196</v>
      </c>
      <c r="Q71" s="103" t="s">
        <v>637</v>
      </c>
      <c r="R71" s="105"/>
    </row>
    <row r="72" spans="1:33" ht="21" customHeight="1" thickTop="1" x14ac:dyDescent="0.55000000000000004">
      <c r="Q72" s="46" t="s">
        <v>197</v>
      </c>
    </row>
    <row r="73" spans="1:33" ht="21" customHeight="1" x14ac:dyDescent="0.55000000000000004">
      <c r="E73" s="39"/>
      <c r="F73" s="40" t="s">
        <v>16</v>
      </c>
      <c r="G73" s="41" t="s">
        <v>17</v>
      </c>
      <c r="H73" s="41" t="s">
        <v>18</v>
      </c>
      <c r="I73" s="41" t="s">
        <v>19</v>
      </c>
      <c r="J73" s="41" t="s">
        <v>20</v>
      </c>
      <c r="K73" s="41" t="s">
        <v>21</v>
      </c>
      <c r="L73" s="41" t="s">
        <v>22</v>
      </c>
      <c r="M73" s="41" t="s">
        <v>23</v>
      </c>
      <c r="N73" s="42"/>
    </row>
    <row r="74" spans="1:33" ht="21" customHeight="1" x14ac:dyDescent="0.55000000000000004">
      <c r="A74" s="38" t="s">
        <v>168</v>
      </c>
      <c r="E74" s="39">
        <v>1</v>
      </c>
      <c r="F74" s="11" t="s">
        <v>41</v>
      </c>
      <c r="G74" s="128" t="s">
        <v>28</v>
      </c>
      <c r="H74" s="128"/>
      <c r="I74" s="128"/>
      <c r="J74" s="129" t="s">
        <v>27</v>
      </c>
      <c r="K74" s="129"/>
      <c r="L74" s="130" t="s">
        <v>29</v>
      </c>
      <c r="M74" s="130"/>
      <c r="N74" s="26"/>
    </row>
    <row r="75" spans="1:33" ht="21" customHeight="1" x14ac:dyDescent="0.55000000000000004">
      <c r="E75" s="39">
        <v>2</v>
      </c>
      <c r="F75" s="11">
        <v>1</v>
      </c>
      <c r="G75" s="131"/>
      <c r="H75" s="131"/>
      <c r="I75" s="131"/>
      <c r="J75" s="132"/>
      <c r="K75" s="132"/>
      <c r="L75" s="133"/>
      <c r="M75" s="133"/>
      <c r="N75" s="26"/>
    </row>
    <row r="76" spans="1:33" ht="21" customHeight="1" x14ac:dyDescent="0.55000000000000004">
      <c r="E76" s="39"/>
      <c r="F76" s="26"/>
      <c r="G76" s="26"/>
      <c r="H76" s="26"/>
      <c r="I76" s="26"/>
      <c r="J76" s="26"/>
      <c r="K76" s="26"/>
      <c r="L76" s="26"/>
      <c r="M76" s="26"/>
      <c r="N76" s="26"/>
    </row>
    <row r="78" spans="1:33" ht="21" customHeight="1" thickBot="1" x14ac:dyDescent="0.45">
      <c r="Q78" s="27" t="s">
        <v>202</v>
      </c>
    </row>
    <row r="79" spans="1:33" ht="21" customHeight="1" thickTop="1" thickBot="1" x14ac:dyDescent="0.6">
      <c r="A79" s="38" t="s">
        <v>201</v>
      </c>
      <c r="Q79" s="103" t="s">
        <v>204</v>
      </c>
      <c r="R79" s="104"/>
      <c r="S79" s="104"/>
      <c r="T79" s="105"/>
    </row>
    <row r="80" spans="1:33" ht="21" customHeight="1" thickTop="1" x14ac:dyDescent="0.55000000000000004">
      <c r="Q80" s="46" t="s">
        <v>198</v>
      </c>
    </row>
    <row r="81" spans="1:33" ht="21" customHeight="1" thickBot="1" x14ac:dyDescent="0.45">
      <c r="F81" s="27" t="s">
        <v>48</v>
      </c>
    </row>
    <row r="82" spans="1:33" ht="21" customHeight="1" thickTop="1" thickBot="1" x14ac:dyDescent="0.6">
      <c r="A82" s="38" t="s">
        <v>199</v>
      </c>
      <c r="F82" s="103" t="s">
        <v>185</v>
      </c>
      <c r="G82" s="104"/>
      <c r="H82" s="104"/>
      <c r="I82" s="105"/>
    </row>
    <row r="83" spans="1:33" ht="21" customHeight="1" thickTop="1" x14ac:dyDescent="0.55000000000000004">
      <c r="F83" s="46" t="s">
        <v>198</v>
      </c>
    </row>
    <row r="86" spans="1:33" ht="21" customHeight="1" x14ac:dyDescent="0.55000000000000004">
      <c r="D86" s="14" t="s">
        <v>36</v>
      </c>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row>
    <row r="88" spans="1:33" ht="21" customHeight="1" thickBot="1" x14ac:dyDescent="0.6">
      <c r="F88" s="15" t="s">
        <v>30</v>
      </c>
      <c r="G88" s="11" t="s">
        <v>31</v>
      </c>
    </row>
    <row r="89" spans="1:33" ht="21" customHeight="1" x14ac:dyDescent="0.55000000000000004">
      <c r="F89" s="16"/>
      <c r="G89" s="17"/>
      <c r="H89" s="17"/>
      <c r="I89" s="17"/>
      <c r="J89" s="17"/>
      <c r="K89" s="17"/>
      <c r="L89" s="17"/>
      <c r="M89" s="17"/>
      <c r="N89" s="18"/>
    </row>
    <row r="90" spans="1:33" ht="21" customHeight="1" x14ac:dyDescent="0.55000000000000004">
      <c r="F90" s="19"/>
      <c r="N90" s="20"/>
    </row>
    <row r="91" spans="1:33" ht="21" customHeight="1" x14ac:dyDescent="0.55000000000000004">
      <c r="F91" s="19"/>
      <c r="N91" s="20"/>
    </row>
    <row r="92" spans="1:33" ht="21" customHeight="1" thickBot="1" x14ac:dyDescent="0.6">
      <c r="F92" s="21"/>
      <c r="G92" s="22"/>
      <c r="H92" s="22"/>
      <c r="I92" s="22"/>
      <c r="J92" s="22"/>
      <c r="K92" s="22"/>
      <c r="L92" s="22"/>
      <c r="M92" s="22"/>
      <c r="N92" s="23"/>
    </row>
    <row r="111" spans="8:8" ht="21" customHeight="1" x14ac:dyDescent="0.55000000000000004">
      <c r="H111" s="11" t="s">
        <v>88</v>
      </c>
    </row>
    <row r="113" spans="1:2" ht="21" customHeight="1" x14ac:dyDescent="0.55000000000000004">
      <c r="B113" s="11" t="s">
        <v>28</v>
      </c>
    </row>
    <row r="114" spans="1:2" ht="21" customHeight="1" x14ac:dyDescent="0.55000000000000004">
      <c r="A114" s="38" t="s">
        <v>143</v>
      </c>
    </row>
  </sheetData>
  <mergeCells count="19">
    <mergeCell ref="F82:I82"/>
    <mergeCell ref="Q71:R71"/>
    <mergeCell ref="F16:O16"/>
    <mergeCell ref="F31:O31"/>
    <mergeCell ref="G54:I54"/>
    <mergeCell ref="F55:I55"/>
    <mergeCell ref="F56:I56"/>
    <mergeCell ref="G74:I74"/>
    <mergeCell ref="J74:K74"/>
    <mergeCell ref="L74:M74"/>
    <mergeCell ref="Q31:R31"/>
    <mergeCell ref="G75:I75"/>
    <mergeCell ref="J75:K75"/>
    <mergeCell ref="L75:M75"/>
    <mergeCell ref="Q79:T79"/>
    <mergeCell ref="Q51:R51"/>
    <mergeCell ref="Q60:T60"/>
    <mergeCell ref="F57:I57"/>
    <mergeCell ref="Q16:T1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88</xdr:row>
                    <xdr:rowOff>184150</xdr:rowOff>
                  </from>
                  <to>
                    <xdr:col>12</xdr:col>
                    <xdr:colOff>139700</xdr:colOff>
                    <xdr:row>91</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046FE-749E-4C1A-B079-89F63D560DE2}">
  <sheetPr codeName="Sheet2"/>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4"/>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row>
    <row r="2" spans="1:72" ht="21.15" customHeight="1" thickBot="1" x14ac:dyDescent="0.6">
      <c r="A2" s="74"/>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4"/>
    </row>
    <row r="3" spans="1:72" ht="21.15" customHeight="1" x14ac:dyDescent="0.55000000000000004">
      <c r="A3" s="74"/>
      <c r="B3" s="75"/>
      <c r="C3" s="98"/>
      <c r="D3" s="138" t="s">
        <v>73</v>
      </c>
      <c r="E3" s="139"/>
      <c r="F3" s="140"/>
      <c r="G3" s="76" t="s">
        <v>66</v>
      </c>
      <c r="H3" s="75"/>
      <c r="I3" s="75"/>
      <c r="J3" s="75"/>
      <c r="K3" s="76" t="s">
        <v>65</v>
      </c>
      <c r="L3" s="75"/>
      <c r="M3" s="75"/>
      <c r="N3" s="75"/>
      <c r="O3" s="76" t="s">
        <v>64</v>
      </c>
      <c r="P3" s="75"/>
      <c r="Q3" s="75"/>
      <c r="R3" s="75"/>
      <c r="S3" s="76" t="s">
        <v>63</v>
      </c>
      <c r="T3" s="75"/>
      <c r="U3" s="75"/>
      <c r="V3" s="75"/>
      <c r="W3" s="76" t="s">
        <v>62</v>
      </c>
      <c r="X3" s="75"/>
      <c r="Y3" s="75"/>
      <c r="Z3" s="75"/>
      <c r="AA3" s="76" t="s">
        <v>61</v>
      </c>
      <c r="AB3" s="75"/>
      <c r="AC3" s="75"/>
      <c r="AD3" s="75"/>
      <c r="AE3" s="76" t="s">
        <v>60</v>
      </c>
      <c r="AF3" s="75"/>
      <c r="AG3" s="75"/>
      <c r="AH3" s="75"/>
      <c r="AI3" s="76" t="s">
        <v>59</v>
      </c>
      <c r="AJ3" s="75"/>
      <c r="AK3" s="75"/>
      <c r="AL3" s="75"/>
      <c r="AM3" s="76" t="s">
        <v>58</v>
      </c>
      <c r="AN3" s="75"/>
      <c r="AO3" s="75"/>
      <c r="AP3" s="75"/>
      <c r="AQ3" s="76" t="s">
        <v>57</v>
      </c>
      <c r="AR3" s="75"/>
      <c r="AS3" s="75"/>
      <c r="AT3" s="75"/>
      <c r="AU3" s="76" t="s">
        <v>56</v>
      </c>
      <c r="AV3" s="75"/>
      <c r="AW3" s="75"/>
      <c r="AX3" s="75"/>
      <c r="AY3" s="76" t="s">
        <v>55</v>
      </c>
      <c r="AZ3" s="75"/>
      <c r="BA3" s="75"/>
      <c r="BB3" s="75"/>
      <c r="BC3" s="76" t="s">
        <v>54</v>
      </c>
      <c r="BD3" s="75"/>
      <c r="BE3" s="75"/>
      <c r="BF3" s="75"/>
      <c r="BG3" s="76" t="s">
        <v>53</v>
      </c>
      <c r="BH3" s="75"/>
      <c r="BI3" s="75"/>
      <c r="BJ3" s="75"/>
      <c r="BK3" s="76" t="s">
        <v>52</v>
      </c>
      <c r="BL3" s="75"/>
      <c r="BM3" s="75"/>
      <c r="BN3" s="75"/>
      <c r="BO3" s="76" t="s">
        <v>51</v>
      </c>
      <c r="BP3" s="75"/>
      <c r="BQ3" s="75"/>
      <c r="BR3" s="75"/>
      <c r="BS3" s="75"/>
      <c r="BT3" s="74"/>
    </row>
    <row r="4" spans="1:72" ht="21.15" customHeight="1" x14ac:dyDescent="0.55000000000000004">
      <c r="A4" s="74"/>
      <c r="B4" s="75"/>
      <c r="C4" s="141" t="s">
        <v>89</v>
      </c>
      <c r="D4" s="142"/>
      <c r="E4" s="142"/>
      <c r="F4" s="143"/>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c r="BK4" s="75"/>
      <c r="BL4" s="75"/>
      <c r="BM4" s="75"/>
      <c r="BN4" s="75"/>
      <c r="BO4" s="75"/>
      <c r="BP4" s="75"/>
      <c r="BQ4" s="75"/>
      <c r="BR4" s="75"/>
      <c r="BS4" s="75"/>
      <c r="BT4" s="74"/>
    </row>
    <row r="5" spans="1:72" ht="21.15" customHeight="1" x14ac:dyDescent="0.55000000000000004">
      <c r="A5" s="74"/>
      <c r="B5" s="75"/>
      <c r="C5" s="141" t="s">
        <v>396</v>
      </c>
      <c r="D5" s="142"/>
      <c r="E5" s="142"/>
      <c r="F5" s="143"/>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4"/>
    </row>
    <row r="6" spans="1:72" ht="21.15" customHeight="1" thickBot="1" x14ac:dyDescent="0.6">
      <c r="A6" s="74"/>
      <c r="B6" s="75"/>
      <c r="C6" s="144"/>
      <c r="D6" s="145"/>
      <c r="E6" s="145"/>
      <c r="F6" s="146"/>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4"/>
    </row>
    <row r="7" spans="1:72" ht="21.15" customHeight="1" x14ac:dyDescent="0.55000000000000004">
      <c r="A7" s="74"/>
      <c r="B7" s="75"/>
      <c r="C7" s="76" t="s">
        <v>50</v>
      </c>
      <c r="D7" s="75"/>
      <c r="E7" s="75"/>
      <c r="F7" s="75"/>
      <c r="G7" s="75"/>
      <c r="H7" s="75"/>
      <c r="I7" s="75"/>
      <c r="J7" s="75"/>
      <c r="K7" s="77" t="s">
        <v>50</v>
      </c>
      <c r="L7" s="138" t="str">
        <f>VLOOKUP(K7,市町村データ!A2:I106,MATCH(手順書_市町村なまえ!$G$54, 市町村データ!A1:I1, 0),FALSE)</f>
        <v>新座</v>
      </c>
      <c r="M7" s="147"/>
      <c r="N7" s="147"/>
      <c r="O7" s="99"/>
      <c r="P7" s="85"/>
      <c r="Q7" s="85"/>
      <c r="R7" s="85"/>
      <c r="S7" s="99"/>
      <c r="T7" s="85"/>
      <c r="U7" s="85"/>
      <c r="V7" s="85"/>
      <c r="W7" s="77" t="s">
        <v>67</v>
      </c>
      <c r="X7" s="138" t="str">
        <f>VLOOKUP(W7,市町村データ!A2:I106,MATCH(手順書_市町村なまえ!$G$54, 市町村データ!A1:I1, 0),FALSE)</f>
        <v>北野</v>
      </c>
      <c r="Y7" s="147"/>
      <c r="Z7" s="152"/>
      <c r="AA7" s="77" t="s">
        <v>144</v>
      </c>
      <c r="AB7" s="138" t="str">
        <f>VLOOKUP(AA7,市町村データ!A2:I106,MATCH(手順書_市町村なまえ!$G$54, 市町村データ!A1:I1, 0),FALSE)</f>
        <v>東北</v>
      </c>
      <c r="AC7" s="147"/>
      <c r="AD7" s="147"/>
      <c r="AE7" s="85"/>
      <c r="AF7" s="85"/>
      <c r="AG7" s="85"/>
      <c r="AH7" s="85"/>
      <c r="AI7" s="79"/>
      <c r="AJ7" s="75"/>
      <c r="AK7" s="75"/>
      <c r="AL7" s="75"/>
      <c r="AM7" s="80"/>
      <c r="AN7" s="75"/>
      <c r="AO7" s="75"/>
      <c r="AP7" s="75"/>
      <c r="AQ7" s="80"/>
      <c r="AR7" s="75"/>
      <c r="AS7" s="75"/>
      <c r="AT7" s="75"/>
      <c r="AU7" s="75"/>
      <c r="AV7" s="75"/>
      <c r="AW7" s="75"/>
      <c r="AX7" s="75"/>
      <c r="AY7" s="75"/>
      <c r="AZ7" s="75"/>
      <c r="BA7" s="75"/>
      <c r="BB7" s="75"/>
      <c r="BC7" s="75"/>
      <c r="BD7" s="75"/>
      <c r="BE7" s="75"/>
      <c r="BF7" s="75"/>
      <c r="BG7" s="75"/>
      <c r="BH7" s="75"/>
      <c r="BI7" s="75"/>
      <c r="BJ7" s="75"/>
      <c r="BK7" s="80"/>
      <c r="BL7" s="75"/>
      <c r="BM7" s="75"/>
      <c r="BN7" s="75"/>
      <c r="BO7" s="75"/>
      <c r="BP7" s="75"/>
      <c r="BQ7" s="75"/>
      <c r="BR7" s="75"/>
      <c r="BS7" s="75"/>
      <c r="BT7" s="74"/>
    </row>
    <row r="8" spans="1:72" ht="21.15" customHeight="1" x14ac:dyDescent="0.55000000000000004">
      <c r="A8" s="74"/>
      <c r="B8" s="75"/>
      <c r="C8" s="75"/>
      <c r="D8" s="75"/>
      <c r="E8" s="75"/>
      <c r="F8" s="75"/>
      <c r="G8" s="75"/>
      <c r="H8" s="75"/>
      <c r="I8" s="75"/>
      <c r="J8" s="75"/>
      <c r="K8" s="134" t="str">
        <f>VLOOKUP(K7,市町村データ!A2:I106,MATCH(手順書_市町村なまえ!$F$55, 市町村データ!A1:I1, 0),FALSE)</f>
        <v>にいざ</v>
      </c>
      <c r="L8" s="135"/>
      <c r="M8" s="135"/>
      <c r="N8" s="135"/>
      <c r="O8" s="82"/>
      <c r="P8" s="82"/>
      <c r="Q8" s="82"/>
      <c r="R8" s="82"/>
      <c r="S8" s="82"/>
      <c r="T8" s="82"/>
      <c r="U8" s="82"/>
      <c r="V8" s="82"/>
      <c r="W8" s="134" t="str">
        <f>VLOOKUP(W7,市町村データ!A2:I106,MATCH(手順書_市町村なまえ!$F$55, 市町村データ!A1:I1, 0),FALSE)</f>
        <v>きたの</v>
      </c>
      <c r="X8" s="135"/>
      <c r="Y8" s="135"/>
      <c r="Z8" s="150"/>
      <c r="AA8" s="134" t="str">
        <f>VLOOKUP(AA7,市町村データ!A2:I106,MATCH(手順書_市町村なまえ!$F$55, 市町村データ!A1:I1, 0),FALSE)</f>
        <v>とおほく</v>
      </c>
      <c r="AB8" s="135"/>
      <c r="AC8" s="135"/>
      <c r="AD8" s="135"/>
      <c r="AE8" s="82"/>
      <c r="AF8" s="82"/>
      <c r="AG8" s="82"/>
      <c r="AH8" s="82"/>
      <c r="AI8" s="79"/>
      <c r="AJ8" s="75"/>
      <c r="AK8" s="75"/>
      <c r="AL8" s="75"/>
      <c r="AM8" s="82"/>
      <c r="AN8" s="82"/>
      <c r="AO8" s="82"/>
      <c r="AP8" s="82"/>
      <c r="AQ8" s="82"/>
      <c r="AR8" s="82"/>
      <c r="AS8" s="82"/>
      <c r="AT8" s="82"/>
      <c r="AU8" s="75"/>
      <c r="AV8" s="75"/>
      <c r="AW8" s="75"/>
      <c r="AX8" s="75"/>
      <c r="AY8" s="75"/>
      <c r="AZ8" s="75"/>
      <c r="BA8" s="75"/>
      <c r="BB8" s="75"/>
      <c r="BC8" s="75"/>
      <c r="BD8" s="75"/>
      <c r="BE8" s="75"/>
      <c r="BF8" s="75"/>
      <c r="BG8" s="75"/>
      <c r="BH8" s="75"/>
      <c r="BI8" s="75"/>
      <c r="BJ8" s="75"/>
      <c r="BK8" s="75"/>
      <c r="BL8" s="75"/>
      <c r="BM8" s="75"/>
      <c r="BN8" s="75"/>
      <c r="BO8" s="75"/>
      <c r="BP8" s="75"/>
      <c r="BQ8" s="75"/>
      <c r="BR8" s="75"/>
      <c r="BS8" s="83"/>
      <c r="BT8" s="74"/>
    </row>
    <row r="9" spans="1:72" ht="21.15" customHeight="1" x14ac:dyDescent="0.55000000000000004">
      <c r="A9" s="74"/>
      <c r="B9" s="75"/>
      <c r="C9" s="75"/>
      <c r="D9" s="75"/>
      <c r="E9" s="75"/>
      <c r="F9" s="75"/>
      <c r="G9" s="75"/>
      <c r="H9" s="75"/>
      <c r="I9" s="75"/>
      <c r="J9" s="75"/>
      <c r="K9" s="134" t="str">
        <f>VLOOKUP(K7,市町村データ!A2:I106,MATCH(手順書_市町村なまえ!$F$56, 市町村データ!A1:I1, 0),FALSE)</f>
        <v>352-0006</v>
      </c>
      <c r="L9" s="135"/>
      <c r="M9" s="135"/>
      <c r="N9" s="135"/>
      <c r="O9" s="84"/>
      <c r="P9" s="84"/>
      <c r="Q9" s="84"/>
      <c r="R9" s="84"/>
      <c r="S9" s="84"/>
      <c r="T9" s="84"/>
      <c r="U9" s="84"/>
      <c r="V9" s="84"/>
      <c r="W9" s="134" t="str">
        <f>VLOOKUP(W7,市町村データ!A2:I106,MATCH(手順書_市町村なまえ!$F$56, 市町村データ!A1:I1, 0),FALSE)</f>
        <v>352-0003</v>
      </c>
      <c r="X9" s="135"/>
      <c r="Y9" s="135"/>
      <c r="Z9" s="150"/>
      <c r="AA9" s="134" t="str">
        <f>VLOOKUP(AA7,市町村データ!A2:I106,MATCH(手順書_市町村なまえ!$F$56, 市町村データ!A1:I1, 0),FALSE)</f>
        <v>352-0001</v>
      </c>
      <c r="AB9" s="135"/>
      <c r="AC9" s="135"/>
      <c r="AD9" s="135"/>
      <c r="AE9" s="82"/>
      <c r="AF9" s="82"/>
      <c r="AG9" s="82"/>
      <c r="AH9" s="82"/>
      <c r="AI9" s="79"/>
      <c r="AJ9" s="75"/>
      <c r="AK9" s="75"/>
      <c r="AL9" s="75"/>
      <c r="AM9" s="84"/>
      <c r="AN9" s="84"/>
      <c r="AO9" s="84"/>
      <c r="AP9" s="84"/>
      <c r="AQ9" s="84"/>
      <c r="AR9" s="84"/>
      <c r="AS9" s="84"/>
      <c r="AT9" s="84"/>
      <c r="AU9" s="75"/>
      <c r="AV9" s="75"/>
      <c r="AW9" s="75"/>
      <c r="AX9" s="75"/>
      <c r="AY9" s="75"/>
      <c r="AZ9" s="75"/>
      <c r="BA9" s="75"/>
      <c r="BB9" s="75"/>
      <c r="BC9" s="75"/>
      <c r="BD9" s="75"/>
      <c r="BE9" s="75"/>
      <c r="BF9" s="75"/>
      <c r="BG9" s="75"/>
      <c r="BH9" s="75"/>
      <c r="BI9" s="75"/>
      <c r="BJ9" s="75"/>
      <c r="BK9" s="75"/>
      <c r="BL9" s="75"/>
      <c r="BM9" s="75"/>
      <c r="BN9" s="75"/>
      <c r="BO9" s="75"/>
      <c r="BP9" s="75"/>
      <c r="BQ9" s="75"/>
      <c r="BR9" s="75"/>
      <c r="BS9" s="83"/>
      <c r="BT9" s="74"/>
    </row>
    <row r="10" spans="1:72" ht="21.15" customHeight="1" thickBot="1" x14ac:dyDescent="0.6">
      <c r="A10" s="74"/>
      <c r="B10" s="75"/>
      <c r="C10" s="75"/>
      <c r="D10" s="75"/>
      <c r="E10" s="75"/>
      <c r="F10" s="75"/>
      <c r="G10" s="75"/>
      <c r="H10" s="75"/>
      <c r="I10" s="75"/>
      <c r="J10" s="75"/>
      <c r="K10" s="148"/>
      <c r="L10" s="149"/>
      <c r="M10" s="149"/>
      <c r="N10" s="149"/>
      <c r="O10" s="75"/>
      <c r="P10" s="75"/>
      <c r="Q10" s="75"/>
      <c r="R10" s="75"/>
      <c r="S10" s="75"/>
      <c r="T10" s="75"/>
      <c r="U10" s="75"/>
      <c r="V10" s="75"/>
      <c r="W10" s="136"/>
      <c r="X10" s="137"/>
      <c r="Y10" s="137"/>
      <c r="Z10" s="151"/>
      <c r="AA10" s="148"/>
      <c r="AB10" s="149"/>
      <c r="AC10" s="149"/>
      <c r="AD10" s="149"/>
      <c r="AE10" s="75"/>
      <c r="AF10" s="75"/>
      <c r="AG10" s="75"/>
      <c r="AH10" s="75"/>
      <c r="AI10" s="79"/>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83"/>
      <c r="BT10" s="74"/>
    </row>
    <row r="11" spans="1:72" ht="21.15" customHeight="1" x14ac:dyDescent="0.55000000000000004">
      <c r="A11" s="74"/>
      <c r="B11" s="75"/>
      <c r="C11" s="76" t="s">
        <v>67</v>
      </c>
      <c r="D11" s="75"/>
      <c r="E11" s="75"/>
      <c r="F11" s="75"/>
      <c r="G11" s="77" t="s">
        <v>68</v>
      </c>
      <c r="H11" s="138" t="str">
        <f>VLOOKUP(G11,市町村データ!A2:I106,MATCH(手順書_市町村なまえ!$G$54, 市町村データ!A1:I1, 0),FALSE)</f>
        <v>中野</v>
      </c>
      <c r="I11" s="147"/>
      <c r="J11" s="152"/>
      <c r="K11" s="77" t="s">
        <v>69</v>
      </c>
      <c r="L11" s="138" t="str">
        <f>VLOOKUP(K11,市町村データ!A2:I106,MATCH(手順書_市町村なまえ!$G$54, 市町村データ!A1:I1, 0),FALSE)</f>
        <v>大和田</v>
      </c>
      <c r="M11" s="147"/>
      <c r="N11" s="147"/>
      <c r="O11" s="85"/>
      <c r="P11" s="85"/>
      <c r="Q11" s="85"/>
      <c r="R11" s="85"/>
      <c r="S11" s="100"/>
      <c r="T11" s="85"/>
      <c r="U11" s="85"/>
      <c r="V11" s="85"/>
      <c r="W11" s="79"/>
      <c r="X11" s="75"/>
      <c r="Y11" s="75"/>
      <c r="Z11" s="75"/>
      <c r="AA11" s="85"/>
      <c r="AB11" s="85"/>
      <c r="AC11" s="85"/>
      <c r="AD11" s="85"/>
      <c r="AE11" s="77" t="s">
        <v>70</v>
      </c>
      <c r="AF11" s="138" t="str">
        <f>VLOOKUP(AE11,市町村データ!A2:I106,MATCH(手順書_市町村なまえ!$G$54, 市町村データ!A1:I1, 0),FALSE)</f>
        <v>東</v>
      </c>
      <c r="AG11" s="147"/>
      <c r="AH11" s="147"/>
      <c r="AI11" s="85"/>
      <c r="AJ11" s="85"/>
      <c r="AK11" s="85"/>
      <c r="AL11" s="85"/>
      <c r="AM11" s="85"/>
      <c r="AN11" s="85"/>
      <c r="AO11" s="85"/>
      <c r="AP11" s="85"/>
      <c r="AQ11" s="86"/>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83"/>
      <c r="BT11" s="74"/>
    </row>
    <row r="12" spans="1:72" ht="21.15" customHeight="1" x14ac:dyDescent="0.55000000000000004">
      <c r="A12" s="74"/>
      <c r="B12" s="75"/>
      <c r="C12" s="75"/>
      <c r="D12" s="75"/>
      <c r="E12" s="75"/>
      <c r="F12" s="75"/>
      <c r="G12" s="134" t="str">
        <f>VLOOKUP(G11,市町村データ!A2:I106,MATCH(手順書_市町村なまえ!$F$55, 市町村データ!A1:I1, 0),FALSE)</f>
        <v>なかの</v>
      </c>
      <c r="H12" s="135"/>
      <c r="I12" s="135"/>
      <c r="J12" s="150"/>
      <c r="K12" s="134" t="str">
        <f>VLOOKUP(K11,市町村データ!A2:I106,MATCH(手順書_市町村なまえ!$F$55, 市町村データ!A1:I1, 0),FALSE)</f>
        <v>おおわだ</v>
      </c>
      <c r="L12" s="135"/>
      <c r="M12" s="135"/>
      <c r="N12" s="135"/>
      <c r="O12" s="75"/>
      <c r="P12" s="75"/>
      <c r="Q12" s="75"/>
      <c r="R12" s="75"/>
      <c r="S12" s="82"/>
      <c r="T12" s="82"/>
      <c r="U12" s="82"/>
      <c r="V12" s="82"/>
      <c r="W12" s="87"/>
      <c r="X12" s="82"/>
      <c r="Y12" s="82"/>
      <c r="Z12" s="82"/>
      <c r="AA12" s="82"/>
      <c r="AB12" s="82"/>
      <c r="AC12" s="82"/>
      <c r="AD12" s="82"/>
      <c r="AE12" s="134" t="str">
        <f>VLOOKUP(AE11,市町村データ!A2:I106,MATCH(手順書_市町村なまえ!$F$55, 市町村データ!A1:I1, 0),FALSE)</f>
        <v>ひがし</v>
      </c>
      <c r="AF12" s="135"/>
      <c r="AG12" s="135"/>
      <c r="AH12" s="135"/>
      <c r="AI12" s="82"/>
      <c r="AJ12" s="82"/>
      <c r="AK12" s="82"/>
      <c r="AL12" s="82"/>
      <c r="AM12" s="82"/>
      <c r="AN12" s="82"/>
      <c r="AO12" s="82"/>
      <c r="AP12" s="82"/>
      <c r="AQ12" s="87"/>
      <c r="AR12" s="82"/>
      <c r="AS12" s="82"/>
      <c r="AT12" s="82"/>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83"/>
      <c r="BT12" s="74"/>
    </row>
    <row r="13" spans="1:72" ht="21.15" customHeight="1" x14ac:dyDescent="0.55000000000000004">
      <c r="A13" s="74"/>
      <c r="B13" s="75"/>
      <c r="C13" s="75"/>
      <c r="D13" s="75"/>
      <c r="E13" s="75"/>
      <c r="F13" s="75"/>
      <c r="G13" s="134" t="str">
        <f>VLOOKUP(G11,市町村データ!A2:I106,MATCH(手順書_市町村なまえ!$F$56, 市町村データ!A1:I1, 0),FALSE)</f>
        <v>352-0005</v>
      </c>
      <c r="H13" s="135"/>
      <c r="I13" s="135"/>
      <c r="J13" s="150"/>
      <c r="K13" s="134" t="str">
        <f>VLOOKUP(K11,市町村データ!A2:I106,MATCH(手順書_市町村なまえ!$F$56, 市町村データ!A1:I1, 0),FALSE)</f>
        <v>352-0004</v>
      </c>
      <c r="L13" s="135"/>
      <c r="M13" s="135"/>
      <c r="N13" s="135"/>
      <c r="O13" s="75"/>
      <c r="P13" s="75"/>
      <c r="Q13" s="75"/>
      <c r="R13" s="75"/>
      <c r="S13" s="82"/>
      <c r="T13" s="82"/>
      <c r="U13" s="82"/>
      <c r="V13" s="82"/>
      <c r="W13" s="87"/>
      <c r="X13" s="82"/>
      <c r="Y13" s="82"/>
      <c r="Z13" s="82"/>
      <c r="AA13" s="82"/>
      <c r="AB13" s="82"/>
      <c r="AC13" s="82"/>
      <c r="AD13" s="82"/>
      <c r="AE13" s="134" t="str">
        <f>VLOOKUP(AE11,市町村データ!A2:I106,MATCH(手順書_市町村なまえ!$F$56, 市町村データ!A1:I1, 0),FALSE)</f>
        <v>352-0002</v>
      </c>
      <c r="AF13" s="135"/>
      <c r="AG13" s="135"/>
      <c r="AH13" s="135"/>
      <c r="AI13" s="82"/>
      <c r="AJ13" s="82"/>
      <c r="AK13" s="82"/>
      <c r="AL13" s="82"/>
      <c r="AM13" s="82"/>
      <c r="AN13" s="82"/>
      <c r="AO13" s="82"/>
      <c r="AP13" s="82"/>
      <c r="AQ13" s="88"/>
      <c r="AR13" s="84"/>
      <c r="AS13" s="84"/>
      <c r="AT13" s="84"/>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83"/>
      <c r="BT13" s="74"/>
    </row>
    <row r="14" spans="1:72" ht="21.15" customHeight="1" thickBot="1" x14ac:dyDescent="0.6">
      <c r="A14" s="74"/>
      <c r="B14" s="75"/>
      <c r="C14" s="75"/>
      <c r="D14" s="75"/>
      <c r="E14" s="75"/>
      <c r="F14" s="75"/>
      <c r="G14" s="136"/>
      <c r="H14" s="137"/>
      <c r="I14" s="137"/>
      <c r="J14" s="151"/>
      <c r="K14" s="136"/>
      <c r="L14" s="137"/>
      <c r="M14" s="137"/>
      <c r="N14" s="137"/>
      <c r="O14" s="75"/>
      <c r="P14" s="75"/>
      <c r="Q14" s="75"/>
      <c r="R14" s="75"/>
      <c r="S14" s="75"/>
      <c r="T14" s="75"/>
      <c r="U14" s="75"/>
      <c r="V14" s="75"/>
      <c r="W14" s="79"/>
      <c r="X14" s="75"/>
      <c r="Y14" s="75"/>
      <c r="Z14" s="75"/>
      <c r="AA14" s="75"/>
      <c r="AB14" s="75"/>
      <c r="AC14" s="75"/>
      <c r="AD14" s="75"/>
      <c r="AE14" s="148"/>
      <c r="AF14" s="149"/>
      <c r="AG14" s="149"/>
      <c r="AH14" s="149"/>
      <c r="AI14" s="75"/>
      <c r="AJ14" s="75"/>
      <c r="AK14" s="75"/>
      <c r="AL14" s="75"/>
      <c r="AM14" s="75"/>
      <c r="AN14" s="75"/>
      <c r="AO14" s="75"/>
      <c r="AP14" s="75"/>
      <c r="AQ14" s="79"/>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83"/>
      <c r="BT14" s="74"/>
    </row>
    <row r="15" spans="1:72" ht="21.15" customHeight="1" x14ac:dyDescent="0.55000000000000004">
      <c r="A15" s="74"/>
      <c r="B15" s="75"/>
      <c r="C15" s="76" t="s">
        <v>144</v>
      </c>
      <c r="D15" s="75"/>
      <c r="E15" s="75"/>
      <c r="F15" s="75"/>
      <c r="G15" s="79"/>
      <c r="H15" s="75"/>
      <c r="I15" s="75"/>
      <c r="J15" s="75"/>
      <c r="K15" s="79"/>
      <c r="L15" s="75"/>
      <c r="M15" s="75"/>
      <c r="N15" s="75"/>
      <c r="O15" s="101"/>
      <c r="P15" s="75"/>
      <c r="Q15" s="75"/>
      <c r="R15" s="75"/>
      <c r="S15" s="101"/>
      <c r="T15" s="75"/>
      <c r="U15" s="75"/>
      <c r="V15" s="75"/>
      <c r="W15" s="77" t="s">
        <v>71</v>
      </c>
      <c r="X15" s="138" t="str">
        <f>VLOOKUP(W15,市町村データ!A2:I106,MATCH(手順書_市町村なまえ!$G$54, 市町村データ!A1:I1, 0),FALSE)</f>
        <v>野火止</v>
      </c>
      <c r="Y15" s="147"/>
      <c r="Z15" s="147"/>
      <c r="AA15" s="85"/>
      <c r="AB15" s="85"/>
      <c r="AC15" s="85"/>
      <c r="AD15" s="85"/>
      <c r="AE15" s="85"/>
      <c r="AF15" s="85"/>
      <c r="AG15" s="85"/>
      <c r="AH15" s="85"/>
      <c r="AI15" s="85"/>
      <c r="AJ15" s="85"/>
      <c r="AK15" s="85"/>
      <c r="AL15" s="85"/>
      <c r="AM15" s="77" t="s">
        <v>72</v>
      </c>
      <c r="AN15" s="138" t="str">
        <f>VLOOKUP(AM15,市町村データ!A2:I106,MATCH(手順書_市町村なまえ!$G$54, 市町村データ!A1:I1, 0),FALSE)</f>
        <v>畑中</v>
      </c>
      <c r="AO15" s="147"/>
      <c r="AP15" s="152"/>
      <c r="AQ15" s="86"/>
      <c r="AR15" s="75"/>
      <c r="AS15" s="75"/>
      <c r="AT15" s="75"/>
      <c r="AU15" s="75"/>
      <c r="AV15" s="75"/>
      <c r="AW15" s="75"/>
      <c r="AX15" s="75"/>
      <c r="AY15" s="75"/>
      <c r="AZ15" s="75"/>
      <c r="BA15" s="75"/>
      <c r="BB15" s="75"/>
      <c r="BC15" s="75"/>
      <c r="BD15" s="75"/>
      <c r="BE15" s="75"/>
      <c r="BF15" s="75"/>
      <c r="BG15" s="75"/>
      <c r="BH15" s="75"/>
      <c r="BI15" s="75"/>
      <c r="BJ15" s="75"/>
      <c r="BK15" s="80"/>
      <c r="BL15" s="75"/>
      <c r="BM15" s="75"/>
      <c r="BN15" s="75"/>
      <c r="BO15" s="75"/>
      <c r="BP15" s="75"/>
      <c r="BQ15" s="75"/>
      <c r="BR15" s="75"/>
      <c r="BS15" s="83"/>
      <c r="BT15" s="74"/>
    </row>
    <row r="16" spans="1:72" ht="21.15" customHeight="1" x14ac:dyDescent="0.55000000000000004">
      <c r="A16" s="74"/>
      <c r="B16" s="75"/>
      <c r="C16" s="75"/>
      <c r="D16" s="75"/>
      <c r="E16" s="75"/>
      <c r="F16" s="75"/>
      <c r="G16" s="87"/>
      <c r="H16" s="82"/>
      <c r="I16" s="82"/>
      <c r="J16" s="82"/>
      <c r="K16" s="87"/>
      <c r="L16" s="82"/>
      <c r="M16" s="82"/>
      <c r="N16" s="82"/>
      <c r="O16" s="82"/>
      <c r="P16" s="82"/>
      <c r="Q16" s="82"/>
      <c r="R16" s="82"/>
      <c r="S16" s="82"/>
      <c r="T16" s="82"/>
      <c r="U16" s="82"/>
      <c r="V16" s="82"/>
      <c r="W16" s="134" t="str">
        <f>VLOOKUP(W15,市町村データ!A2:I106,MATCH(手順書_市町村なまえ!$F$55, 市町村データ!A1:I1, 0),FALSE)</f>
        <v>のびとめ</v>
      </c>
      <c r="X16" s="135"/>
      <c r="Y16" s="135"/>
      <c r="Z16" s="135"/>
      <c r="AA16" s="82"/>
      <c r="AB16" s="82"/>
      <c r="AC16" s="82"/>
      <c r="AD16" s="82"/>
      <c r="AE16" s="82"/>
      <c r="AF16" s="82"/>
      <c r="AG16" s="82"/>
      <c r="AH16" s="82"/>
      <c r="AI16" s="82"/>
      <c r="AJ16" s="82"/>
      <c r="AK16" s="82"/>
      <c r="AL16" s="82"/>
      <c r="AM16" s="134" t="str">
        <f>VLOOKUP(AM15,市町村データ!A2:I106,MATCH(手順書_市町村なまえ!$F$55, 市町村データ!A1:I1, 0),FALSE)</f>
        <v>はたなか</v>
      </c>
      <c r="AN16" s="135"/>
      <c r="AO16" s="135"/>
      <c r="AP16" s="150"/>
      <c r="AQ16" s="87"/>
      <c r="AR16" s="82"/>
      <c r="AS16" s="82"/>
      <c r="AT16" s="82"/>
      <c r="AU16" s="75"/>
      <c r="AV16" s="75"/>
      <c r="AW16" s="75"/>
      <c r="AX16" s="75"/>
      <c r="AY16" s="75"/>
      <c r="AZ16" s="75"/>
      <c r="BA16" s="75"/>
      <c r="BB16" s="75"/>
      <c r="BC16" s="75"/>
      <c r="BD16" s="75"/>
      <c r="BE16" s="75"/>
      <c r="BF16" s="75"/>
      <c r="BG16" s="75"/>
      <c r="BH16" s="75"/>
      <c r="BI16" s="75"/>
      <c r="BJ16" s="75"/>
      <c r="BK16" s="82"/>
      <c r="BL16" s="82"/>
      <c r="BM16" s="82"/>
      <c r="BN16" s="82"/>
      <c r="BO16" s="75"/>
      <c r="BP16" s="75"/>
      <c r="BQ16" s="75"/>
      <c r="BR16" s="75"/>
      <c r="BS16" s="83"/>
      <c r="BT16" s="74"/>
    </row>
    <row r="17" spans="1:72" ht="21.15" customHeight="1" x14ac:dyDescent="0.55000000000000004">
      <c r="A17" s="74"/>
      <c r="B17" s="75"/>
      <c r="C17" s="75"/>
      <c r="D17" s="75"/>
      <c r="E17" s="75"/>
      <c r="F17" s="75"/>
      <c r="G17" s="87"/>
      <c r="H17" s="82"/>
      <c r="I17" s="82"/>
      <c r="J17" s="82"/>
      <c r="K17" s="87"/>
      <c r="L17" s="82"/>
      <c r="M17" s="82"/>
      <c r="N17" s="82"/>
      <c r="O17" s="82"/>
      <c r="P17" s="82"/>
      <c r="Q17" s="82"/>
      <c r="R17" s="82"/>
      <c r="S17" s="82"/>
      <c r="T17" s="82"/>
      <c r="U17" s="82"/>
      <c r="V17" s="82"/>
      <c r="W17" s="134" t="str">
        <f>VLOOKUP(W15,市町村データ!A2:I106,MATCH(手順書_市町村なまえ!$F$56, 市町村データ!A1:I1, 0),FALSE)</f>
        <v>352-0011</v>
      </c>
      <c r="X17" s="135"/>
      <c r="Y17" s="135"/>
      <c r="Z17" s="135"/>
      <c r="AA17" s="82"/>
      <c r="AB17" s="82"/>
      <c r="AC17" s="82"/>
      <c r="AD17" s="82"/>
      <c r="AE17" s="82"/>
      <c r="AF17" s="82"/>
      <c r="AG17" s="82"/>
      <c r="AH17" s="82"/>
      <c r="AI17" s="82"/>
      <c r="AJ17" s="82"/>
      <c r="AK17" s="82"/>
      <c r="AL17" s="82"/>
      <c r="AM17" s="134" t="str">
        <f>VLOOKUP(AM15,市町村データ!A2:I106,MATCH(手順書_市町村なまえ!$F$56, 市町村データ!A1:I1, 0),FALSE)</f>
        <v>352-0012</v>
      </c>
      <c r="AN17" s="135"/>
      <c r="AO17" s="135"/>
      <c r="AP17" s="150"/>
      <c r="AQ17" s="88"/>
      <c r="AR17" s="84"/>
      <c r="AS17" s="84"/>
      <c r="AT17" s="84"/>
      <c r="AU17" s="75"/>
      <c r="AV17" s="75"/>
      <c r="AW17" s="75"/>
      <c r="AX17" s="75"/>
      <c r="AY17" s="75"/>
      <c r="AZ17" s="75"/>
      <c r="BA17" s="75"/>
      <c r="BB17" s="75"/>
      <c r="BC17" s="75"/>
      <c r="BD17" s="75"/>
      <c r="BE17" s="75"/>
      <c r="BF17" s="75"/>
      <c r="BG17" s="75"/>
      <c r="BH17" s="75"/>
      <c r="BI17" s="75"/>
      <c r="BJ17" s="75"/>
      <c r="BK17" s="84"/>
      <c r="BL17" s="84"/>
      <c r="BM17" s="84"/>
      <c r="BN17" s="84"/>
      <c r="BO17" s="75"/>
      <c r="BP17" s="75"/>
      <c r="BQ17" s="75"/>
      <c r="BR17" s="75"/>
      <c r="BS17" s="75"/>
      <c r="BT17" s="74"/>
    </row>
    <row r="18" spans="1:72" ht="21.15" customHeight="1" thickBot="1" x14ac:dyDescent="0.6">
      <c r="A18" s="74"/>
      <c r="B18" s="75"/>
      <c r="C18" s="75"/>
      <c r="D18" s="75"/>
      <c r="E18" s="75"/>
      <c r="F18" s="75"/>
      <c r="G18" s="79"/>
      <c r="H18" s="75"/>
      <c r="I18" s="75"/>
      <c r="J18" s="75"/>
      <c r="K18" s="79"/>
      <c r="L18" s="75"/>
      <c r="M18" s="75"/>
      <c r="N18" s="75"/>
      <c r="O18" s="75"/>
      <c r="P18" s="75"/>
      <c r="Q18" s="75"/>
      <c r="R18" s="75"/>
      <c r="S18" s="75"/>
      <c r="T18" s="75"/>
      <c r="U18" s="75"/>
      <c r="V18" s="75"/>
      <c r="W18" s="136"/>
      <c r="X18" s="137"/>
      <c r="Y18" s="137"/>
      <c r="Z18" s="137"/>
      <c r="AA18" s="75"/>
      <c r="AB18" s="75"/>
      <c r="AC18" s="75"/>
      <c r="AD18" s="75"/>
      <c r="AE18" s="75"/>
      <c r="AF18" s="75"/>
      <c r="AG18" s="75"/>
      <c r="AH18" s="75"/>
      <c r="AI18" s="75"/>
      <c r="AJ18" s="75"/>
      <c r="AK18" s="75"/>
      <c r="AL18" s="75"/>
      <c r="AM18" s="136"/>
      <c r="AN18" s="137"/>
      <c r="AO18" s="137"/>
      <c r="AP18" s="151"/>
      <c r="AQ18" s="79"/>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4"/>
    </row>
    <row r="19" spans="1:72" ht="21.15" customHeight="1" x14ac:dyDescent="0.55000000000000004">
      <c r="A19" s="74"/>
      <c r="B19" s="75"/>
      <c r="C19" s="76" t="s">
        <v>68</v>
      </c>
      <c r="D19" s="75"/>
      <c r="E19" s="75"/>
      <c r="F19" s="75"/>
      <c r="G19" s="89"/>
      <c r="H19" s="85"/>
      <c r="I19" s="85"/>
      <c r="J19" s="85"/>
      <c r="K19" s="89"/>
      <c r="L19" s="85"/>
      <c r="M19" s="85"/>
      <c r="N19" s="85"/>
      <c r="O19" s="77" t="s">
        <v>528</v>
      </c>
      <c r="P19" s="138" t="str">
        <f>VLOOKUP(O19,市町村データ!A2:I106,MATCH(手順書_市町村なまえ!$G$54, 市町村データ!A1:I1, 0),FALSE)</f>
        <v>菅沢</v>
      </c>
      <c r="Q19" s="147"/>
      <c r="R19" s="147"/>
      <c r="S19" s="85"/>
      <c r="T19" s="85"/>
      <c r="U19" s="85"/>
      <c r="V19" s="85"/>
      <c r="W19" s="79"/>
      <c r="X19" s="75"/>
      <c r="Y19" s="75"/>
      <c r="Z19" s="75"/>
      <c r="AA19" s="75"/>
      <c r="AB19" s="75"/>
      <c r="AC19" s="75"/>
      <c r="AD19" s="75"/>
      <c r="AE19" s="75"/>
      <c r="AF19" s="75"/>
      <c r="AG19" s="75"/>
      <c r="AH19" s="75"/>
      <c r="AI19" s="75"/>
      <c r="AJ19" s="75"/>
      <c r="AK19" s="75"/>
      <c r="AL19" s="75"/>
      <c r="AM19" s="79"/>
      <c r="AN19" s="75"/>
      <c r="AO19" s="75"/>
      <c r="AP19" s="75"/>
      <c r="AQ19" s="85"/>
      <c r="AR19" s="85"/>
      <c r="AS19" s="85"/>
      <c r="AT19" s="85"/>
      <c r="AU19" s="86"/>
      <c r="AV19" s="75"/>
      <c r="AW19" s="75"/>
      <c r="AX19" s="75"/>
      <c r="AY19" s="80"/>
      <c r="AZ19" s="75"/>
      <c r="BA19" s="75"/>
      <c r="BB19" s="75"/>
      <c r="BC19" s="80"/>
      <c r="BD19" s="75"/>
      <c r="BE19" s="75"/>
      <c r="BF19" s="75"/>
      <c r="BG19" s="80"/>
      <c r="BH19" s="75"/>
      <c r="BI19" s="75"/>
      <c r="BJ19" s="75"/>
      <c r="BK19" s="80"/>
      <c r="BL19" s="75"/>
      <c r="BM19" s="75"/>
      <c r="BN19" s="75"/>
      <c r="BO19" s="75"/>
      <c r="BP19" s="75"/>
      <c r="BQ19" s="75"/>
      <c r="BR19" s="75"/>
      <c r="BS19" s="75"/>
      <c r="BT19" s="74"/>
    </row>
    <row r="20" spans="1:72" ht="21.15" customHeight="1" x14ac:dyDescent="0.55000000000000004">
      <c r="A20" s="74"/>
      <c r="B20" s="75"/>
      <c r="C20" s="75"/>
      <c r="D20" s="75"/>
      <c r="E20" s="75"/>
      <c r="F20" s="75"/>
      <c r="G20" s="82"/>
      <c r="H20" s="82"/>
      <c r="I20" s="82"/>
      <c r="J20" s="82"/>
      <c r="K20" s="82"/>
      <c r="L20" s="82"/>
      <c r="M20" s="82"/>
      <c r="N20" s="82"/>
      <c r="O20" s="134" t="str">
        <f>VLOOKUP(O19,市町村データ!A2:I106,MATCH(手順書_市町村なまえ!$F$55, 市町村データ!A1:I1, 0),FALSE)</f>
        <v>すがさわ</v>
      </c>
      <c r="P20" s="135"/>
      <c r="Q20" s="135"/>
      <c r="R20" s="135"/>
      <c r="S20" s="82"/>
      <c r="T20" s="82"/>
      <c r="U20" s="82"/>
      <c r="V20" s="82"/>
      <c r="W20" s="87"/>
      <c r="X20" s="82"/>
      <c r="Y20" s="82"/>
      <c r="Z20" s="82"/>
      <c r="AA20" s="82"/>
      <c r="AB20" s="82"/>
      <c r="AC20" s="82"/>
      <c r="AD20" s="82"/>
      <c r="AE20" s="82"/>
      <c r="AF20" s="82"/>
      <c r="AG20" s="82"/>
      <c r="AH20" s="82"/>
      <c r="AI20" s="82"/>
      <c r="AJ20" s="82"/>
      <c r="AK20" s="82"/>
      <c r="AL20" s="82"/>
      <c r="AM20" s="87"/>
      <c r="AN20" s="82"/>
      <c r="AO20" s="82"/>
      <c r="AP20" s="82"/>
      <c r="AQ20" s="82"/>
      <c r="AR20" s="82"/>
      <c r="AS20" s="82"/>
      <c r="AT20" s="82"/>
      <c r="AU20" s="87"/>
      <c r="AV20" s="82"/>
      <c r="AW20" s="82"/>
      <c r="AX20" s="82"/>
      <c r="AY20" s="82"/>
      <c r="AZ20" s="82"/>
      <c r="BA20" s="82"/>
      <c r="BB20" s="82"/>
      <c r="BC20" s="82"/>
      <c r="BD20" s="82"/>
      <c r="BE20" s="82"/>
      <c r="BF20" s="82"/>
      <c r="BG20" s="82"/>
      <c r="BH20" s="82"/>
      <c r="BI20" s="82"/>
      <c r="BJ20" s="82"/>
      <c r="BK20" s="82"/>
      <c r="BL20" s="82"/>
      <c r="BM20" s="82"/>
      <c r="BN20" s="82"/>
      <c r="BO20" s="75"/>
      <c r="BP20" s="75"/>
      <c r="BQ20" s="75"/>
      <c r="BR20" s="75"/>
      <c r="BS20" s="75"/>
      <c r="BT20" s="74"/>
    </row>
    <row r="21" spans="1:72" ht="21.15" customHeight="1" x14ac:dyDescent="0.55000000000000004">
      <c r="A21" s="74"/>
      <c r="B21" s="75"/>
      <c r="C21" s="75"/>
      <c r="D21" s="75"/>
      <c r="E21" s="75"/>
      <c r="F21" s="75"/>
      <c r="G21" s="84"/>
      <c r="H21" s="84"/>
      <c r="I21" s="84"/>
      <c r="J21" s="84"/>
      <c r="K21" s="84"/>
      <c r="L21" s="84"/>
      <c r="M21" s="84"/>
      <c r="N21" s="84"/>
      <c r="O21" s="134" t="str">
        <f>VLOOKUP(O19,市町村データ!A2:I106,MATCH(手順書_市町村なまえ!$F$56, 市町村データ!A1:I1, 0),FALSE)</f>
        <v>352-0017</v>
      </c>
      <c r="P21" s="135"/>
      <c r="Q21" s="135"/>
      <c r="R21" s="135"/>
      <c r="S21" s="82"/>
      <c r="T21" s="82"/>
      <c r="U21" s="82"/>
      <c r="V21" s="82"/>
      <c r="W21" s="87"/>
      <c r="X21" s="82"/>
      <c r="Y21" s="82"/>
      <c r="Z21" s="82"/>
      <c r="AA21" s="82"/>
      <c r="AB21" s="82"/>
      <c r="AC21" s="82"/>
      <c r="AD21" s="82"/>
      <c r="AE21" s="82"/>
      <c r="AF21" s="82"/>
      <c r="AG21" s="82"/>
      <c r="AH21" s="82"/>
      <c r="AI21" s="82"/>
      <c r="AJ21" s="82"/>
      <c r="AK21" s="82"/>
      <c r="AL21" s="82"/>
      <c r="AM21" s="87"/>
      <c r="AN21" s="82"/>
      <c r="AO21" s="82"/>
      <c r="AP21" s="82"/>
      <c r="AQ21" s="82"/>
      <c r="AR21" s="82"/>
      <c r="AS21" s="82"/>
      <c r="AT21" s="82"/>
      <c r="AU21" s="88"/>
      <c r="AV21" s="84"/>
      <c r="AW21" s="84"/>
      <c r="AX21" s="84"/>
      <c r="AY21" s="84"/>
      <c r="AZ21" s="84"/>
      <c r="BA21" s="84"/>
      <c r="BB21" s="84"/>
      <c r="BC21" s="84"/>
      <c r="BD21" s="84"/>
      <c r="BE21" s="84"/>
      <c r="BF21" s="84"/>
      <c r="BG21" s="84"/>
      <c r="BH21" s="84"/>
      <c r="BI21" s="84"/>
      <c r="BJ21" s="84"/>
      <c r="BK21" s="84"/>
      <c r="BL21" s="84"/>
      <c r="BM21" s="84"/>
      <c r="BN21" s="84"/>
      <c r="BO21" s="75"/>
      <c r="BP21" s="75"/>
      <c r="BQ21" s="75"/>
      <c r="BR21" s="75"/>
      <c r="BS21" s="75"/>
      <c r="BT21" s="74"/>
    </row>
    <row r="22" spans="1:72" ht="21.15" customHeight="1" thickBot="1" x14ac:dyDescent="0.6">
      <c r="A22" s="74"/>
      <c r="B22" s="75"/>
      <c r="C22" s="75"/>
      <c r="D22" s="75"/>
      <c r="E22" s="75"/>
      <c r="F22" s="75"/>
      <c r="G22" s="75"/>
      <c r="H22" s="75"/>
      <c r="I22" s="75"/>
      <c r="J22" s="75"/>
      <c r="K22" s="75"/>
      <c r="L22" s="75"/>
      <c r="M22" s="75"/>
      <c r="N22" s="75"/>
      <c r="O22" s="148"/>
      <c r="P22" s="149"/>
      <c r="Q22" s="149"/>
      <c r="R22" s="149"/>
      <c r="S22" s="75"/>
      <c r="T22" s="75"/>
      <c r="U22" s="75"/>
      <c r="V22" s="75"/>
      <c r="W22" s="79"/>
      <c r="X22" s="75"/>
      <c r="Y22" s="75"/>
      <c r="Z22" s="75"/>
      <c r="AA22" s="75"/>
      <c r="AB22" s="75"/>
      <c r="AC22" s="75"/>
      <c r="AD22" s="75"/>
      <c r="AE22" s="75"/>
      <c r="AF22" s="75"/>
      <c r="AG22" s="75"/>
      <c r="AH22" s="75"/>
      <c r="AI22" s="75"/>
      <c r="AJ22" s="75"/>
      <c r="AK22" s="75"/>
      <c r="AL22" s="75"/>
      <c r="AM22" s="79"/>
      <c r="AN22" s="75"/>
      <c r="AO22" s="75"/>
      <c r="AP22" s="75"/>
      <c r="AQ22" s="75"/>
      <c r="AR22" s="75"/>
      <c r="AS22" s="75"/>
      <c r="AT22" s="75"/>
      <c r="AU22" s="79"/>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4"/>
    </row>
    <row r="23" spans="1:72" ht="21.15" customHeight="1" x14ac:dyDescent="0.55000000000000004">
      <c r="A23" s="74"/>
      <c r="B23" s="75"/>
      <c r="C23" s="76" t="s">
        <v>69</v>
      </c>
      <c r="D23" s="75"/>
      <c r="E23" s="75"/>
      <c r="F23" s="75"/>
      <c r="G23" s="75"/>
      <c r="H23" s="75"/>
      <c r="I23" s="75"/>
      <c r="J23" s="75"/>
      <c r="K23" s="75"/>
      <c r="L23" s="75"/>
      <c r="M23" s="75"/>
      <c r="N23" s="75"/>
      <c r="O23" s="77" t="s">
        <v>530</v>
      </c>
      <c r="P23" s="138" t="str">
        <f>VLOOKUP(O23,市町村データ!A2:I106,MATCH(手順書_市町村なまえ!$G$54, 市町村データ!A1:I1, 0),FALSE)</f>
        <v>あたご</v>
      </c>
      <c r="Q23" s="147"/>
      <c r="R23" s="147"/>
      <c r="S23" s="85"/>
      <c r="T23" s="85"/>
      <c r="U23" s="85"/>
      <c r="V23" s="85"/>
      <c r="W23" s="85"/>
      <c r="X23" s="85"/>
      <c r="Y23" s="85"/>
      <c r="Z23" s="85"/>
      <c r="AA23" s="77" t="s">
        <v>532</v>
      </c>
      <c r="AB23" s="138" t="str">
        <f>VLOOKUP(AA23,市町村データ!A2:I106,MATCH(手順書_市町村なまえ!$G$54, 市町村データ!A1:I1, 0),FALSE)</f>
        <v>本多</v>
      </c>
      <c r="AC23" s="147"/>
      <c r="AD23" s="147"/>
      <c r="AE23" s="85"/>
      <c r="AF23" s="85"/>
      <c r="AG23" s="85"/>
      <c r="AH23" s="85"/>
      <c r="AI23" s="77" t="s">
        <v>545</v>
      </c>
      <c r="AJ23" s="138" t="str">
        <f>VLOOKUP(AI23,市町村データ!A2:I106,MATCH(手順書_市町村なまえ!$G$54, 市町村データ!A1:I1, 0),FALSE)</f>
        <v>堀ノ内</v>
      </c>
      <c r="AK23" s="147"/>
      <c r="AL23" s="152"/>
      <c r="AM23" s="77" t="s">
        <v>548</v>
      </c>
      <c r="AN23" s="138" t="str">
        <f>VLOOKUP(AM23,市町村データ!A2:I106,MATCH(手順書_市町村なまえ!$G$54, 市町村データ!A1:I1, 0),FALSE)</f>
        <v>馬場</v>
      </c>
      <c r="AO23" s="147"/>
      <c r="AP23" s="147"/>
      <c r="AQ23" s="85"/>
      <c r="AR23" s="85"/>
      <c r="AS23" s="85"/>
      <c r="AT23" s="85"/>
      <c r="AU23" s="77" t="s">
        <v>551</v>
      </c>
      <c r="AV23" s="138" t="str">
        <f>VLOOKUP(AU23,市町村データ!A2:I106,MATCH(手順書_市町村なまえ!$G$54, 市町村データ!A1:I1, 0),FALSE)</f>
        <v>新塚</v>
      </c>
      <c r="AW23" s="147"/>
      <c r="AX23" s="147"/>
      <c r="AY23" s="85"/>
      <c r="AZ23" s="85"/>
      <c r="BA23" s="85"/>
      <c r="BB23" s="85"/>
      <c r="BC23" s="86"/>
      <c r="BD23" s="75"/>
      <c r="BE23" s="75"/>
      <c r="BF23" s="75"/>
      <c r="BG23" s="80"/>
      <c r="BH23" s="75"/>
      <c r="BI23" s="75"/>
      <c r="BJ23" s="75"/>
      <c r="BK23" s="75"/>
      <c r="BL23" s="75"/>
      <c r="BM23" s="75"/>
      <c r="BN23" s="75"/>
      <c r="BO23" s="80"/>
      <c r="BP23" s="75"/>
      <c r="BQ23" s="75"/>
      <c r="BR23" s="75"/>
      <c r="BS23" s="75"/>
      <c r="BT23" s="74"/>
    </row>
    <row r="24" spans="1:72" ht="21.15" customHeight="1" x14ac:dyDescent="0.55000000000000004">
      <c r="A24" s="74"/>
      <c r="B24" s="75"/>
      <c r="C24" s="75"/>
      <c r="D24" s="75"/>
      <c r="E24" s="75"/>
      <c r="F24" s="75"/>
      <c r="G24" s="75"/>
      <c r="H24" s="75"/>
      <c r="I24" s="75"/>
      <c r="J24" s="75"/>
      <c r="K24" s="75"/>
      <c r="L24" s="75"/>
      <c r="M24" s="75"/>
      <c r="N24" s="75"/>
      <c r="O24" s="134" t="str">
        <f>VLOOKUP(O23,市町村データ!A2:I106,MATCH(手順書_市町村なまえ!$F$55, 市町村データ!A1:I1, 0),FALSE)</f>
        <v>あたご</v>
      </c>
      <c r="P24" s="135"/>
      <c r="Q24" s="135"/>
      <c r="R24" s="135"/>
      <c r="S24" s="82"/>
      <c r="T24" s="82"/>
      <c r="U24" s="82"/>
      <c r="V24" s="82"/>
      <c r="W24" s="82"/>
      <c r="X24" s="82"/>
      <c r="Y24" s="82"/>
      <c r="Z24" s="82"/>
      <c r="AA24" s="134" t="str">
        <f>VLOOKUP(AA23,市町村データ!A2:I106,MATCH(手順書_市町村なまえ!$F$55, 市町村データ!A1:I1, 0),FALSE)</f>
        <v>ほんだ</v>
      </c>
      <c r="AB24" s="135"/>
      <c r="AC24" s="135"/>
      <c r="AD24" s="135"/>
      <c r="AE24" s="82"/>
      <c r="AF24" s="82"/>
      <c r="AG24" s="82"/>
      <c r="AH24" s="82"/>
      <c r="AI24" s="134" t="str">
        <f>VLOOKUP(AI23,市町村データ!A2:I106,MATCH(手順書_市町村なまえ!$F$55, 市町村データ!A1:I1, 0),FALSE)</f>
        <v>ほりのうち</v>
      </c>
      <c r="AJ24" s="135"/>
      <c r="AK24" s="135"/>
      <c r="AL24" s="150"/>
      <c r="AM24" s="134" t="str">
        <f>VLOOKUP(AM23,市町村データ!A2:I106,MATCH(手順書_市町村なまえ!$F$55, 市町村データ!A1:I1, 0),FALSE)</f>
        <v>ばば</v>
      </c>
      <c r="AN24" s="135"/>
      <c r="AO24" s="135"/>
      <c r="AP24" s="135"/>
      <c r="AQ24" s="82"/>
      <c r="AR24" s="82"/>
      <c r="AS24" s="82"/>
      <c r="AT24" s="82"/>
      <c r="AU24" s="134" t="str">
        <f>VLOOKUP(AU23,市町村データ!A2:I106,MATCH(手順書_市町村なまえ!$F$55, 市町村データ!A1:I1, 0),FALSE)</f>
        <v>にいづか</v>
      </c>
      <c r="AV24" s="135"/>
      <c r="AW24" s="135"/>
      <c r="AX24" s="135"/>
      <c r="AY24" s="82"/>
      <c r="AZ24" s="82"/>
      <c r="BA24" s="82"/>
      <c r="BB24" s="82"/>
      <c r="BC24" s="87"/>
      <c r="BD24" s="82"/>
      <c r="BE24" s="82"/>
      <c r="BF24" s="82"/>
      <c r="BG24" s="82"/>
      <c r="BH24" s="82"/>
      <c r="BI24" s="82"/>
      <c r="BJ24" s="82"/>
      <c r="BK24" s="75"/>
      <c r="BL24" s="75"/>
      <c r="BM24" s="75"/>
      <c r="BN24" s="75"/>
      <c r="BO24" s="82"/>
      <c r="BP24" s="51"/>
      <c r="BQ24" s="51"/>
      <c r="BR24" s="51"/>
      <c r="BS24" s="75"/>
      <c r="BT24" s="74"/>
    </row>
    <row r="25" spans="1:72" ht="21.15" customHeight="1" x14ac:dyDescent="0.55000000000000004">
      <c r="A25" s="74"/>
      <c r="B25" s="75"/>
      <c r="C25" s="75"/>
      <c r="D25" s="75"/>
      <c r="E25" s="75"/>
      <c r="F25" s="75"/>
      <c r="G25" s="75"/>
      <c r="H25" s="75"/>
      <c r="I25" s="75"/>
      <c r="J25" s="75"/>
      <c r="K25" s="75"/>
      <c r="L25" s="75"/>
      <c r="M25" s="75"/>
      <c r="N25" s="75"/>
      <c r="O25" s="134" t="str">
        <f>VLOOKUP(O23,市町村データ!A2:I106,MATCH(手順書_市町村なまえ!$F$56, 市町村データ!A1:I1, 0),FALSE)</f>
        <v>352-0021</v>
      </c>
      <c r="P25" s="135"/>
      <c r="Q25" s="135"/>
      <c r="R25" s="135"/>
      <c r="S25" s="82"/>
      <c r="T25" s="82"/>
      <c r="U25" s="82"/>
      <c r="V25" s="82"/>
      <c r="W25" s="82"/>
      <c r="X25" s="82"/>
      <c r="Y25" s="82"/>
      <c r="Z25" s="82"/>
      <c r="AA25" s="134" t="str">
        <f>VLOOKUP(AA23,市町村データ!A2:I106,MATCH(手順書_市町村なまえ!$F$56, 市町村データ!A1:I1, 0),FALSE)</f>
        <v>352-0022</v>
      </c>
      <c r="AB25" s="135"/>
      <c r="AC25" s="135"/>
      <c r="AD25" s="135"/>
      <c r="AE25" s="82"/>
      <c r="AF25" s="82"/>
      <c r="AG25" s="82"/>
      <c r="AH25" s="82"/>
      <c r="AI25" s="134" t="str">
        <f>VLOOKUP(AI23,市町村データ!A2:I106,MATCH(手順書_市町村なまえ!$F$56, 市町村データ!A1:I1, 0),FALSE)</f>
        <v>352-0023</v>
      </c>
      <c r="AJ25" s="135"/>
      <c r="AK25" s="135"/>
      <c r="AL25" s="150"/>
      <c r="AM25" s="134" t="str">
        <f>VLOOKUP(AM23,市町村データ!A2:I106,MATCH(手順書_市町村なまえ!$F$56, 市町村データ!A1:I1, 0),FALSE)</f>
        <v>352-0016</v>
      </c>
      <c r="AN25" s="135"/>
      <c r="AO25" s="135"/>
      <c r="AP25" s="135"/>
      <c r="AQ25" s="82"/>
      <c r="AR25" s="82"/>
      <c r="AS25" s="82"/>
      <c r="AT25" s="82"/>
      <c r="AU25" s="134" t="str">
        <f>VLOOKUP(AU23,市町村データ!A2:I106,MATCH(手順書_市町村なまえ!$F$56, 市町村データ!A1:I1, 0),FALSE)</f>
        <v>352-0013</v>
      </c>
      <c r="AV25" s="135"/>
      <c r="AW25" s="135"/>
      <c r="AX25" s="135"/>
      <c r="AY25" s="82"/>
      <c r="AZ25" s="82"/>
      <c r="BA25" s="82"/>
      <c r="BB25" s="82"/>
      <c r="BC25" s="88"/>
      <c r="BD25" s="84"/>
      <c r="BE25" s="84"/>
      <c r="BF25" s="84"/>
      <c r="BG25" s="84"/>
      <c r="BH25" s="84"/>
      <c r="BI25" s="84"/>
      <c r="BJ25" s="84"/>
      <c r="BK25" s="75"/>
      <c r="BL25" s="75"/>
      <c r="BM25" s="75"/>
      <c r="BN25" s="75"/>
      <c r="BO25" s="84"/>
      <c r="BP25" s="52"/>
      <c r="BQ25" s="52"/>
      <c r="BR25" s="52"/>
      <c r="BS25" s="75"/>
      <c r="BT25" s="74"/>
    </row>
    <row r="26" spans="1:72" ht="21.15" customHeight="1" thickBot="1" x14ac:dyDescent="0.6">
      <c r="A26" s="74"/>
      <c r="B26" s="75"/>
      <c r="C26" s="75"/>
      <c r="D26" s="75"/>
      <c r="E26" s="75"/>
      <c r="F26" s="75"/>
      <c r="G26" s="75"/>
      <c r="H26" s="75"/>
      <c r="I26" s="75"/>
      <c r="J26" s="75"/>
      <c r="K26" s="75"/>
      <c r="L26" s="75"/>
      <c r="M26" s="75"/>
      <c r="N26" s="75"/>
      <c r="O26" s="148"/>
      <c r="P26" s="149"/>
      <c r="Q26" s="149"/>
      <c r="R26" s="149"/>
      <c r="S26" s="75"/>
      <c r="T26" s="75"/>
      <c r="U26" s="75"/>
      <c r="V26" s="75"/>
      <c r="W26" s="75"/>
      <c r="X26" s="75"/>
      <c r="Y26" s="75"/>
      <c r="Z26" s="75"/>
      <c r="AA26" s="148"/>
      <c r="AB26" s="149"/>
      <c r="AC26" s="149"/>
      <c r="AD26" s="149"/>
      <c r="AE26" s="75"/>
      <c r="AF26" s="75"/>
      <c r="AG26" s="75"/>
      <c r="AH26" s="75"/>
      <c r="AI26" s="136"/>
      <c r="AJ26" s="137"/>
      <c r="AK26" s="137"/>
      <c r="AL26" s="151"/>
      <c r="AM26" s="136"/>
      <c r="AN26" s="137"/>
      <c r="AO26" s="137"/>
      <c r="AP26" s="137"/>
      <c r="AQ26" s="75"/>
      <c r="AR26" s="75"/>
      <c r="AS26" s="75"/>
      <c r="AT26" s="75"/>
      <c r="AU26" s="148"/>
      <c r="AV26" s="149"/>
      <c r="AW26" s="149"/>
      <c r="AX26" s="149"/>
      <c r="AY26" s="75"/>
      <c r="AZ26" s="75"/>
      <c r="BA26" s="75"/>
      <c r="BB26" s="75"/>
      <c r="BC26" s="79"/>
      <c r="BD26" s="75"/>
      <c r="BE26" s="75"/>
      <c r="BF26" s="75"/>
      <c r="BG26" s="75"/>
      <c r="BH26" s="75"/>
      <c r="BI26" s="75"/>
      <c r="BJ26" s="75"/>
      <c r="BK26" s="75"/>
      <c r="BL26" s="75"/>
      <c r="BM26" s="75"/>
      <c r="BN26" s="75"/>
      <c r="BO26" s="75"/>
      <c r="BP26" s="53"/>
      <c r="BQ26" s="53"/>
      <c r="BR26" s="53"/>
      <c r="BS26" s="75"/>
      <c r="BT26" s="74"/>
    </row>
    <row r="27" spans="1:72" ht="21.15" customHeight="1" x14ac:dyDescent="0.55000000000000004">
      <c r="A27" s="74"/>
      <c r="B27" s="75"/>
      <c r="C27" s="76" t="s">
        <v>70</v>
      </c>
      <c r="D27" s="75"/>
      <c r="E27" s="75"/>
      <c r="F27" s="75"/>
      <c r="G27" s="75"/>
      <c r="H27" s="75"/>
      <c r="I27" s="75"/>
      <c r="J27" s="75"/>
      <c r="K27" s="75"/>
      <c r="L27" s="75"/>
      <c r="M27" s="75"/>
      <c r="N27" s="75"/>
      <c r="O27" s="85"/>
      <c r="P27" s="85"/>
      <c r="Q27" s="85"/>
      <c r="R27" s="85"/>
      <c r="S27" s="77" t="s">
        <v>554</v>
      </c>
      <c r="T27" s="138" t="str">
        <f>VLOOKUP(S27,市町村データ!A2:I106,MATCH(手順書_市町村なまえ!$G$54, 市町村データ!A1:I1, 0),FALSE)</f>
        <v>西堀</v>
      </c>
      <c r="U27" s="147"/>
      <c r="V27" s="147"/>
      <c r="W27" s="85"/>
      <c r="X27" s="85"/>
      <c r="Y27" s="85"/>
      <c r="Z27" s="85"/>
      <c r="AA27" s="77" t="s">
        <v>556</v>
      </c>
      <c r="AB27" s="138" t="str">
        <f>VLOOKUP(AA27,市町村データ!A2:I106,MATCH(手順書_市町村なまえ!$G$54, 市町村データ!A1:I1, 0),FALSE)</f>
        <v>石神</v>
      </c>
      <c r="AC27" s="147"/>
      <c r="AD27" s="152"/>
      <c r="AE27" s="90"/>
      <c r="AF27" s="85"/>
      <c r="AG27" s="85"/>
      <c r="AH27" s="85"/>
      <c r="AI27" s="75"/>
      <c r="AJ27" s="75"/>
      <c r="AK27" s="75"/>
      <c r="AL27" s="75"/>
      <c r="AM27" s="79"/>
      <c r="AN27" s="75"/>
      <c r="AO27" s="75"/>
      <c r="AP27" s="75"/>
      <c r="AQ27" s="75"/>
      <c r="AR27" s="75"/>
      <c r="AS27" s="75"/>
      <c r="AT27" s="75"/>
      <c r="AU27" s="77" t="s">
        <v>558</v>
      </c>
      <c r="AV27" s="138" t="str">
        <f>VLOOKUP(AU27,市町村データ!A2:I106,MATCH(手順書_市町村なまえ!$G$54, 市町村データ!A1:I1, 0),FALSE)</f>
        <v>栄</v>
      </c>
      <c r="AW27" s="147"/>
      <c r="AX27" s="147"/>
      <c r="AY27" s="85"/>
      <c r="AZ27" s="85"/>
      <c r="BA27" s="85"/>
      <c r="BB27" s="85"/>
      <c r="BC27" s="85"/>
      <c r="BD27" s="85"/>
      <c r="BE27" s="85"/>
      <c r="BF27" s="85"/>
      <c r="BG27" s="85"/>
      <c r="BH27" s="85"/>
      <c r="BI27" s="85"/>
      <c r="BJ27" s="85"/>
      <c r="BK27" s="85"/>
      <c r="BL27" s="85"/>
      <c r="BM27" s="85"/>
      <c r="BN27" s="85"/>
      <c r="BO27" s="86"/>
      <c r="BP27" s="75"/>
      <c r="BQ27" s="75"/>
      <c r="BR27" s="75"/>
      <c r="BS27" s="75"/>
      <c r="BT27" s="74"/>
    </row>
    <row r="28" spans="1:72" ht="21.15" customHeight="1" x14ac:dyDescent="0.55000000000000004">
      <c r="A28" s="74"/>
      <c r="B28" s="75"/>
      <c r="C28" s="75"/>
      <c r="D28" s="75"/>
      <c r="E28" s="75"/>
      <c r="F28" s="75"/>
      <c r="G28" s="75"/>
      <c r="H28" s="75"/>
      <c r="I28" s="75"/>
      <c r="J28" s="75"/>
      <c r="K28" s="75"/>
      <c r="L28" s="75"/>
      <c r="M28" s="75"/>
      <c r="N28" s="75"/>
      <c r="O28" s="75"/>
      <c r="P28" s="75"/>
      <c r="Q28" s="75"/>
      <c r="R28" s="75"/>
      <c r="S28" s="134" t="str">
        <f>VLOOKUP(S27,市町村データ!A2:I106,MATCH(手順書_市町村なまえ!$F$55, 市町村データ!A1:I1, 0),FALSE)</f>
        <v>にしぼり</v>
      </c>
      <c r="T28" s="135"/>
      <c r="U28" s="135"/>
      <c r="V28" s="135"/>
      <c r="W28" s="82"/>
      <c r="X28" s="82"/>
      <c r="Y28" s="82"/>
      <c r="Z28" s="82"/>
      <c r="AA28" s="134" t="str">
        <f>VLOOKUP(AA27,市町村データ!A2:I106,MATCH(手順書_市町村なまえ!$F$55, 市町村データ!A1:I1, 0),FALSE)</f>
        <v>いしがみ</v>
      </c>
      <c r="AB28" s="135"/>
      <c r="AC28" s="135"/>
      <c r="AD28" s="150"/>
      <c r="AE28" s="87"/>
      <c r="AF28" s="82"/>
      <c r="AG28" s="82"/>
      <c r="AH28" s="82"/>
      <c r="AI28" s="82"/>
      <c r="AJ28" s="82"/>
      <c r="AK28" s="82"/>
      <c r="AL28" s="82"/>
      <c r="AM28" s="87"/>
      <c r="AN28" s="82"/>
      <c r="AO28" s="82"/>
      <c r="AP28" s="82"/>
      <c r="AQ28" s="82"/>
      <c r="AR28" s="82"/>
      <c r="AS28" s="82"/>
      <c r="AT28" s="82"/>
      <c r="AU28" s="134" t="str">
        <f>VLOOKUP(AU27,市町村データ!A2:I106,MATCH(手順書_市町村なまえ!$F$55, 市町村データ!A1:I1, 0),FALSE)</f>
        <v>さかえ</v>
      </c>
      <c r="AV28" s="135"/>
      <c r="AW28" s="135"/>
      <c r="AX28" s="135"/>
      <c r="AY28" s="82"/>
      <c r="AZ28" s="82"/>
      <c r="BA28" s="82"/>
      <c r="BB28" s="82"/>
      <c r="BC28" s="82"/>
      <c r="BD28" s="82"/>
      <c r="BE28" s="82"/>
      <c r="BF28" s="82"/>
      <c r="BG28" s="82"/>
      <c r="BH28" s="82"/>
      <c r="BI28" s="82"/>
      <c r="BJ28" s="82"/>
      <c r="BK28" s="82"/>
      <c r="BL28" s="82"/>
      <c r="BM28" s="82"/>
      <c r="BN28" s="82"/>
      <c r="BO28" s="87"/>
      <c r="BP28" s="51"/>
      <c r="BQ28" s="51"/>
      <c r="BR28" s="51"/>
      <c r="BS28" s="75"/>
      <c r="BT28" s="74"/>
    </row>
    <row r="29" spans="1:72" ht="21.15" customHeight="1" x14ac:dyDescent="0.55000000000000004">
      <c r="A29" s="74"/>
      <c r="B29" s="75"/>
      <c r="C29" s="75"/>
      <c r="D29" s="75"/>
      <c r="E29" s="75"/>
      <c r="F29" s="75"/>
      <c r="G29" s="75"/>
      <c r="H29" s="75"/>
      <c r="I29" s="75"/>
      <c r="J29" s="75"/>
      <c r="K29" s="75"/>
      <c r="L29" s="75"/>
      <c r="M29" s="75"/>
      <c r="N29" s="75"/>
      <c r="O29" s="75"/>
      <c r="P29" s="75"/>
      <c r="Q29" s="75"/>
      <c r="R29" s="75"/>
      <c r="S29" s="134" t="str">
        <f>VLOOKUP(S27,市町村データ!A2:I106,MATCH(手順書_市町村なまえ!$F$56, 市町村データ!A1:I1, 0),FALSE)</f>
        <v>352-0031</v>
      </c>
      <c r="T29" s="135"/>
      <c r="U29" s="135"/>
      <c r="V29" s="135"/>
      <c r="W29" s="82"/>
      <c r="X29" s="82"/>
      <c r="Y29" s="82"/>
      <c r="Z29" s="82"/>
      <c r="AA29" s="134" t="str">
        <f>VLOOKUP(AA27,市町村データ!A2:I106,MATCH(手順書_市町村なまえ!$F$56, 市町村データ!A1:I1, 0),FALSE)</f>
        <v>352-0033</v>
      </c>
      <c r="AB29" s="135"/>
      <c r="AC29" s="135"/>
      <c r="AD29" s="150"/>
      <c r="AE29" s="87"/>
      <c r="AF29" s="82"/>
      <c r="AG29" s="82"/>
      <c r="AH29" s="82"/>
      <c r="AI29" s="82"/>
      <c r="AJ29" s="82"/>
      <c r="AK29" s="82"/>
      <c r="AL29" s="82"/>
      <c r="AM29" s="87"/>
      <c r="AN29" s="82"/>
      <c r="AO29" s="82"/>
      <c r="AP29" s="82"/>
      <c r="AQ29" s="82"/>
      <c r="AR29" s="82"/>
      <c r="AS29" s="82"/>
      <c r="AT29" s="82"/>
      <c r="AU29" s="134" t="str">
        <f>VLOOKUP(AU27,市町村データ!A2:I106,MATCH(手順書_市町村なまえ!$F$56, 市町村データ!A1:I1, 0),FALSE)</f>
        <v>352-0014</v>
      </c>
      <c r="AV29" s="135"/>
      <c r="AW29" s="135"/>
      <c r="AX29" s="135"/>
      <c r="AY29" s="82"/>
      <c r="AZ29" s="82"/>
      <c r="BA29" s="82"/>
      <c r="BB29" s="82"/>
      <c r="BC29" s="82"/>
      <c r="BD29" s="82"/>
      <c r="BE29" s="82"/>
      <c r="BF29" s="82"/>
      <c r="BG29" s="82"/>
      <c r="BH29" s="82"/>
      <c r="BI29" s="82"/>
      <c r="BJ29" s="82"/>
      <c r="BK29" s="82"/>
      <c r="BL29" s="82"/>
      <c r="BM29" s="82"/>
      <c r="BN29" s="82"/>
      <c r="BO29" s="88"/>
      <c r="BP29" s="52"/>
      <c r="BQ29" s="52"/>
      <c r="BR29" s="52"/>
      <c r="BS29" s="75"/>
      <c r="BT29" s="74"/>
    </row>
    <row r="30" spans="1:72" ht="21.15" customHeight="1" thickBot="1" x14ac:dyDescent="0.6">
      <c r="A30" s="74"/>
      <c r="B30" s="75"/>
      <c r="C30" s="75"/>
      <c r="D30" s="75"/>
      <c r="E30" s="75"/>
      <c r="F30" s="75"/>
      <c r="G30" s="75"/>
      <c r="H30" s="75"/>
      <c r="I30" s="75"/>
      <c r="J30" s="75"/>
      <c r="K30" s="75"/>
      <c r="L30" s="75"/>
      <c r="M30" s="75"/>
      <c r="N30" s="75"/>
      <c r="O30" s="75"/>
      <c r="P30" s="75"/>
      <c r="Q30" s="75"/>
      <c r="R30" s="75"/>
      <c r="S30" s="136"/>
      <c r="T30" s="137"/>
      <c r="U30" s="137"/>
      <c r="V30" s="137"/>
      <c r="W30" s="75"/>
      <c r="X30" s="75"/>
      <c r="Y30" s="75"/>
      <c r="Z30" s="75"/>
      <c r="AA30" s="136"/>
      <c r="AB30" s="137"/>
      <c r="AC30" s="137"/>
      <c r="AD30" s="151"/>
      <c r="AE30" s="79"/>
      <c r="AF30" s="75"/>
      <c r="AG30" s="75"/>
      <c r="AH30" s="75"/>
      <c r="AI30" s="75"/>
      <c r="AJ30" s="75"/>
      <c r="AK30" s="75"/>
      <c r="AL30" s="75"/>
      <c r="AM30" s="79"/>
      <c r="AN30" s="75"/>
      <c r="AO30" s="75"/>
      <c r="AP30" s="75"/>
      <c r="AQ30" s="75"/>
      <c r="AR30" s="75"/>
      <c r="AS30" s="75"/>
      <c r="AT30" s="75"/>
      <c r="AU30" s="148"/>
      <c r="AV30" s="149"/>
      <c r="AW30" s="149"/>
      <c r="AX30" s="149"/>
      <c r="AY30" s="75"/>
      <c r="AZ30" s="75"/>
      <c r="BA30" s="75"/>
      <c r="BB30" s="75"/>
      <c r="BC30" s="75"/>
      <c r="BD30" s="75"/>
      <c r="BE30" s="75"/>
      <c r="BF30" s="75"/>
      <c r="BG30" s="75"/>
      <c r="BH30" s="75"/>
      <c r="BI30" s="75"/>
      <c r="BJ30" s="75"/>
      <c r="BK30" s="75"/>
      <c r="BL30" s="75"/>
      <c r="BM30" s="75"/>
      <c r="BN30" s="75"/>
      <c r="BO30" s="79"/>
      <c r="BP30" s="53"/>
      <c r="BQ30" s="53"/>
      <c r="BR30" s="53"/>
      <c r="BS30" s="75"/>
      <c r="BT30" s="74"/>
    </row>
    <row r="31" spans="1:72" ht="21.15" customHeight="1" x14ac:dyDescent="0.55000000000000004">
      <c r="A31" s="74"/>
      <c r="B31" s="75"/>
      <c r="C31" s="76" t="s">
        <v>71</v>
      </c>
      <c r="D31" s="75"/>
      <c r="E31" s="75"/>
      <c r="F31" s="75"/>
      <c r="G31" s="77" t="s">
        <v>560</v>
      </c>
      <c r="H31" s="138" t="str">
        <f>VLOOKUP(G31,市町村データ!A2:I106,MATCH(手順書_市町村なまえ!$G$54, 市町村データ!A1:I1, 0),FALSE)</f>
        <v>新堀</v>
      </c>
      <c r="I31" s="147"/>
      <c r="J31" s="147"/>
      <c r="K31" s="85"/>
      <c r="L31" s="85"/>
      <c r="M31" s="85"/>
      <c r="N31" s="85"/>
      <c r="O31" s="85"/>
      <c r="P31" s="85"/>
      <c r="Q31" s="85"/>
      <c r="R31" s="85"/>
      <c r="S31" s="79"/>
      <c r="T31" s="75"/>
      <c r="U31" s="75"/>
      <c r="V31" s="75"/>
      <c r="W31" s="90"/>
      <c r="X31" s="85"/>
      <c r="Y31" s="85"/>
      <c r="Z31" s="85"/>
      <c r="AA31" s="79"/>
      <c r="AB31" s="75"/>
      <c r="AC31" s="75"/>
      <c r="AD31" s="75"/>
      <c r="AE31" s="85"/>
      <c r="AF31" s="85"/>
      <c r="AG31" s="85"/>
      <c r="AH31" s="85"/>
      <c r="AI31" s="77" t="s">
        <v>562</v>
      </c>
      <c r="AJ31" s="138" t="str">
        <f>VLOOKUP(AI31,市町村データ!A2:I106,MATCH(手順書_市町村なまえ!$G$54, 市町村データ!A1:I1, 0),FALSE)</f>
        <v>道場</v>
      </c>
      <c r="AK31" s="147"/>
      <c r="AL31" s="147"/>
      <c r="AM31" s="85"/>
      <c r="AN31" s="85"/>
      <c r="AO31" s="85"/>
      <c r="AP31" s="85"/>
      <c r="AQ31" s="91"/>
      <c r="AR31" s="85"/>
      <c r="AS31" s="85"/>
      <c r="AT31" s="85"/>
      <c r="AU31" s="77" t="s">
        <v>564</v>
      </c>
      <c r="AV31" s="78" t="str">
        <f>VLOOKUP(AU31,市町村データ!A2:I106,MATCH(手順書_市町村なまえ!$G$54, 市町村データ!A1:I1, 0),FALSE)</f>
        <v>池田</v>
      </c>
      <c r="AW31" s="85"/>
      <c r="AX31" s="85"/>
      <c r="AY31" s="85"/>
      <c r="AZ31" s="85"/>
      <c r="BA31" s="85"/>
      <c r="BB31" s="85"/>
      <c r="BC31" s="85"/>
      <c r="BD31" s="85"/>
      <c r="BE31" s="85"/>
      <c r="BF31" s="85"/>
      <c r="BG31" s="85"/>
      <c r="BH31" s="85"/>
      <c r="BI31" s="85"/>
      <c r="BJ31" s="85"/>
      <c r="BK31" s="85"/>
      <c r="BL31" s="85"/>
      <c r="BM31" s="85"/>
      <c r="BN31" s="85"/>
      <c r="BO31" s="86"/>
      <c r="BP31" s="75"/>
      <c r="BQ31" s="75"/>
      <c r="BR31" s="75"/>
      <c r="BS31" s="75"/>
      <c r="BT31" s="74"/>
    </row>
    <row r="32" spans="1:72" ht="21.15" customHeight="1" x14ac:dyDescent="0.55000000000000004">
      <c r="A32" s="74"/>
      <c r="B32" s="75"/>
      <c r="C32" s="75"/>
      <c r="D32" s="75"/>
      <c r="E32" s="75"/>
      <c r="F32" s="75"/>
      <c r="G32" s="134" t="str">
        <f>VLOOKUP(G31,市町村データ!A2:I106,MATCH(手順書_市町村なまえ!$F$55, 市町村データ!A1:I1, 0),FALSE)</f>
        <v>しんぼり</v>
      </c>
      <c r="H32" s="135"/>
      <c r="I32" s="135"/>
      <c r="J32" s="135"/>
      <c r="K32" s="82"/>
      <c r="L32" s="82"/>
      <c r="M32" s="82"/>
      <c r="N32" s="82"/>
      <c r="O32" s="82"/>
      <c r="P32" s="82"/>
      <c r="Q32" s="82"/>
      <c r="R32" s="82"/>
      <c r="S32" s="87"/>
      <c r="T32" s="82"/>
      <c r="U32" s="82"/>
      <c r="V32" s="82"/>
      <c r="W32" s="79"/>
      <c r="X32" s="75"/>
      <c r="Y32" s="75"/>
      <c r="Z32" s="75"/>
      <c r="AA32" s="87"/>
      <c r="AB32" s="82"/>
      <c r="AC32" s="82"/>
      <c r="AD32" s="82"/>
      <c r="AE32" s="82"/>
      <c r="AF32" s="82"/>
      <c r="AG32" s="82"/>
      <c r="AH32" s="82"/>
      <c r="AI32" s="134" t="str">
        <f>VLOOKUP(AI31,市町村データ!A2:I106,MATCH(手順書_市町村なまえ!$F$55, 市町村データ!A1:I1, 0),FALSE)</f>
        <v>どうじょう</v>
      </c>
      <c r="AJ32" s="135"/>
      <c r="AK32" s="135"/>
      <c r="AL32" s="135"/>
      <c r="AM32" s="82"/>
      <c r="AN32" s="82"/>
      <c r="AO32" s="82"/>
      <c r="AP32" s="82"/>
      <c r="AQ32" s="87"/>
      <c r="AR32" s="82"/>
      <c r="AS32" s="82"/>
      <c r="AT32" s="82"/>
      <c r="AU32" s="81" t="str">
        <f>VLOOKUP(AU31,市町村データ!A2:I106,MATCH(手順書_市町村なまえ!$F$55, 市町村データ!A1:I1, 0),FALSE)</f>
        <v>いけだ</v>
      </c>
      <c r="AV32" s="51"/>
      <c r="AW32" s="51"/>
      <c r="AX32" s="51"/>
      <c r="AY32" s="82"/>
      <c r="AZ32" s="82"/>
      <c r="BA32" s="82"/>
      <c r="BB32" s="82"/>
      <c r="BC32" s="82"/>
      <c r="BD32" s="82"/>
      <c r="BE32" s="82"/>
      <c r="BF32" s="82"/>
      <c r="BG32" s="82"/>
      <c r="BH32" s="82"/>
      <c r="BI32" s="82"/>
      <c r="BJ32" s="82"/>
      <c r="BK32" s="82"/>
      <c r="BL32" s="82"/>
      <c r="BM32" s="82"/>
      <c r="BN32" s="82"/>
      <c r="BO32" s="87"/>
      <c r="BP32" s="51"/>
      <c r="BQ32" s="51"/>
      <c r="BR32" s="51"/>
      <c r="BS32" s="75"/>
      <c r="BT32" s="74"/>
    </row>
    <row r="33" spans="1:72" ht="21.15" customHeight="1" x14ac:dyDescent="0.55000000000000004">
      <c r="A33" s="74"/>
      <c r="B33" s="75"/>
      <c r="C33" s="75"/>
      <c r="D33" s="75"/>
      <c r="E33" s="75"/>
      <c r="F33" s="75"/>
      <c r="G33" s="134" t="str">
        <f>VLOOKUP(G31,市町村データ!A2:I106,MATCH(手順書_市町村なまえ!$F$56, 市町村データ!A1:I1, 0),FALSE)</f>
        <v>352-0032</v>
      </c>
      <c r="H33" s="135"/>
      <c r="I33" s="135"/>
      <c r="J33" s="135"/>
      <c r="K33" s="82"/>
      <c r="L33" s="82"/>
      <c r="M33" s="82"/>
      <c r="N33" s="82"/>
      <c r="O33" s="82"/>
      <c r="P33" s="82"/>
      <c r="Q33" s="82"/>
      <c r="R33" s="82"/>
      <c r="S33" s="87"/>
      <c r="T33" s="82"/>
      <c r="U33" s="82"/>
      <c r="V33" s="82"/>
      <c r="W33" s="79"/>
      <c r="X33" s="75"/>
      <c r="Y33" s="75"/>
      <c r="Z33" s="75"/>
      <c r="AA33" s="87"/>
      <c r="AB33" s="82"/>
      <c r="AC33" s="82"/>
      <c r="AD33" s="82"/>
      <c r="AE33" s="82"/>
      <c r="AF33" s="82"/>
      <c r="AG33" s="82"/>
      <c r="AH33" s="82"/>
      <c r="AI33" s="134" t="str">
        <f>VLOOKUP(AI31,市町村データ!A2:I106,MATCH(手順書_市町村なまえ!$F$56, 市町村データ!A1:I1, 0),FALSE)</f>
        <v>352-0024</v>
      </c>
      <c r="AJ33" s="135"/>
      <c r="AK33" s="135"/>
      <c r="AL33" s="135"/>
      <c r="AM33" s="82"/>
      <c r="AN33" s="82"/>
      <c r="AO33" s="82"/>
      <c r="AP33" s="82"/>
      <c r="AQ33" s="88"/>
      <c r="AR33" s="84"/>
      <c r="AS33" s="84"/>
      <c r="AT33" s="84"/>
      <c r="AU33" s="81" t="str">
        <f>VLOOKUP(AU31,市町村データ!A2:I106,MATCH(手順書_市町村なまえ!$F$56, 市町村データ!A1:I1, 0),FALSE)</f>
        <v>352-0015</v>
      </c>
      <c r="AV33" s="52"/>
      <c r="AW33" s="52"/>
      <c r="AX33" s="52"/>
      <c r="AY33" s="82"/>
      <c r="AZ33" s="82"/>
      <c r="BA33" s="82"/>
      <c r="BB33" s="82"/>
      <c r="BC33" s="82"/>
      <c r="BD33" s="82"/>
      <c r="BE33" s="82"/>
      <c r="BF33" s="82"/>
      <c r="BG33" s="82"/>
      <c r="BH33" s="82"/>
      <c r="BI33" s="82"/>
      <c r="BJ33" s="82"/>
      <c r="BK33" s="82"/>
      <c r="BL33" s="82"/>
      <c r="BM33" s="82"/>
      <c r="BN33" s="82"/>
      <c r="BO33" s="88"/>
      <c r="BP33" s="52"/>
      <c r="BQ33" s="52"/>
      <c r="BR33" s="52"/>
      <c r="BS33" s="75"/>
      <c r="BT33" s="74"/>
    </row>
    <row r="34" spans="1:72" ht="21.15" customHeight="1" thickBot="1" x14ac:dyDescent="0.6">
      <c r="A34" s="74"/>
      <c r="B34" s="75"/>
      <c r="C34" s="75"/>
      <c r="D34" s="75"/>
      <c r="E34" s="75"/>
      <c r="F34" s="75"/>
      <c r="G34" s="148"/>
      <c r="H34" s="149"/>
      <c r="I34" s="149"/>
      <c r="J34" s="149"/>
      <c r="K34" s="75"/>
      <c r="L34" s="75"/>
      <c r="M34" s="75"/>
      <c r="N34" s="75"/>
      <c r="O34" s="75"/>
      <c r="P34" s="75"/>
      <c r="Q34" s="75"/>
      <c r="R34" s="75"/>
      <c r="S34" s="79"/>
      <c r="T34" s="75"/>
      <c r="U34" s="75"/>
      <c r="V34" s="75"/>
      <c r="W34" s="79"/>
      <c r="X34" s="75"/>
      <c r="Y34" s="75"/>
      <c r="Z34" s="75"/>
      <c r="AA34" s="79"/>
      <c r="AB34" s="75"/>
      <c r="AC34" s="75"/>
      <c r="AD34" s="75"/>
      <c r="AE34" s="75"/>
      <c r="AF34" s="75"/>
      <c r="AG34" s="75"/>
      <c r="AH34" s="75"/>
      <c r="AI34" s="148"/>
      <c r="AJ34" s="149"/>
      <c r="AK34" s="149"/>
      <c r="AL34" s="149"/>
      <c r="AM34" s="75"/>
      <c r="AN34" s="75"/>
      <c r="AO34" s="75"/>
      <c r="AP34" s="75"/>
      <c r="AQ34" s="79"/>
      <c r="AR34" s="75"/>
      <c r="AS34" s="75"/>
      <c r="AT34" s="75"/>
      <c r="AU34" s="102"/>
      <c r="AV34" s="53"/>
      <c r="AW34" s="53"/>
      <c r="AX34" s="53"/>
      <c r="AY34" s="75"/>
      <c r="AZ34" s="75"/>
      <c r="BA34" s="75"/>
      <c r="BB34" s="75"/>
      <c r="BC34" s="75"/>
      <c r="BD34" s="75"/>
      <c r="BE34" s="75"/>
      <c r="BF34" s="75"/>
      <c r="BG34" s="75"/>
      <c r="BH34" s="75"/>
      <c r="BI34" s="75"/>
      <c r="BJ34" s="75"/>
      <c r="BK34" s="75"/>
      <c r="BL34" s="75"/>
      <c r="BM34" s="75"/>
      <c r="BN34" s="75"/>
      <c r="BO34" s="79"/>
      <c r="BP34" s="53"/>
      <c r="BQ34" s="53"/>
      <c r="BR34" s="53"/>
      <c r="BS34" s="75"/>
      <c r="BT34" s="74"/>
    </row>
    <row r="35" spans="1:72" ht="21.15" customHeight="1" x14ac:dyDescent="0.55000000000000004">
      <c r="A35" s="74"/>
      <c r="B35" s="75"/>
      <c r="C35" s="76" t="s">
        <v>72</v>
      </c>
      <c r="D35" s="75"/>
      <c r="E35" s="75"/>
      <c r="F35" s="75"/>
      <c r="G35" s="85"/>
      <c r="H35" s="85"/>
      <c r="I35" s="85"/>
      <c r="J35" s="85"/>
      <c r="K35" s="85"/>
      <c r="L35" s="85"/>
      <c r="M35" s="85"/>
      <c r="N35" s="85"/>
      <c r="O35" s="85"/>
      <c r="P35" s="85"/>
      <c r="Q35" s="85"/>
      <c r="R35" s="85"/>
      <c r="S35" s="85"/>
      <c r="T35" s="85"/>
      <c r="U35" s="85"/>
      <c r="V35" s="85"/>
      <c r="W35" s="75"/>
      <c r="X35" s="75"/>
      <c r="Y35" s="75"/>
      <c r="Z35" s="75"/>
      <c r="AA35" s="79"/>
      <c r="AB35" s="75"/>
      <c r="AC35" s="75"/>
      <c r="AD35" s="75"/>
      <c r="AE35" s="75"/>
      <c r="AF35" s="75"/>
      <c r="AG35" s="75"/>
      <c r="AH35" s="75"/>
      <c r="AI35" s="91"/>
      <c r="AJ35" s="85"/>
      <c r="AK35" s="85"/>
      <c r="AL35" s="85"/>
      <c r="AM35" s="89"/>
      <c r="AN35" s="85"/>
      <c r="AO35" s="85"/>
      <c r="AP35" s="85"/>
      <c r="AQ35" s="80"/>
      <c r="AR35" s="75"/>
      <c r="AS35" s="75"/>
      <c r="AT35" s="75"/>
      <c r="AU35" s="89"/>
      <c r="AV35" s="85"/>
      <c r="AW35" s="85"/>
      <c r="AX35" s="85"/>
      <c r="AY35" s="89"/>
      <c r="AZ35" s="85"/>
      <c r="BA35" s="85"/>
      <c r="BB35" s="85"/>
      <c r="BC35" s="77" t="s">
        <v>566</v>
      </c>
      <c r="BD35" s="138" t="str">
        <f>VLOOKUP(BC35,市町村データ!A2:I106,MATCH(手順書_市町村なまえ!$G$54, 市町村データ!A1:I1, 0),FALSE)</f>
        <v>片山</v>
      </c>
      <c r="BE35" s="147"/>
      <c r="BF35" s="147"/>
      <c r="BG35" s="85"/>
      <c r="BH35" s="85"/>
      <c r="BI35" s="85"/>
      <c r="BJ35" s="85"/>
      <c r="BK35" s="85"/>
      <c r="BL35" s="85"/>
      <c r="BM35" s="85"/>
      <c r="BN35" s="85"/>
      <c r="BO35" s="86"/>
      <c r="BP35" s="75"/>
      <c r="BQ35" s="75"/>
      <c r="BR35" s="75"/>
      <c r="BS35" s="75"/>
      <c r="BT35" s="74"/>
    </row>
    <row r="36" spans="1:72" ht="21.15" customHeight="1" x14ac:dyDescent="0.55000000000000004">
      <c r="A36" s="74"/>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87"/>
      <c r="AB36" s="82"/>
      <c r="AC36" s="82"/>
      <c r="AD36" s="82"/>
      <c r="AE36" s="82"/>
      <c r="AF36" s="82"/>
      <c r="AG36" s="82"/>
      <c r="AH36" s="82"/>
      <c r="AI36" s="92"/>
      <c r="AJ36" s="51"/>
      <c r="AK36" s="51"/>
      <c r="AL36" s="51"/>
      <c r="AM36" s="51"/>
      <c r="AN36" s="51"/>
      <c r="AO36" s="51"/>
      <c r="AP36" s="51"/>
      <c r="AQ36" s="51"/>
      <c r="AR36" s="51"/>
      <c r="AS36" s="51"/>
      <c r="AT36" s="51"/>
      <c r="AU36" s="51"/>
      <c r="AV36" s="51"/>
      <c r="AW36" s="51"/>
      <c r="AX36" s="51"/>
      <c r="AY36" s="51"/>
      <c r="AZ36" s="51"/>
      <c r="BA36" s="51"/>
      <c r="BB36" s="51"/>
      <c r="BC36" s="134" t="str">
        <f>VLOOKUP(BC35,市町村データ!A2:I106,MATCH(手順書_市町村なまえ!$F$55, 市町村データ!A1:I1, 0),FALSE)</f>
        <v>かたやま</v>
      </c>
      <c r="BD36" s="135"/>
      <c r="BE36" s="135"/>
      <c r="BF36" s="135"/>
      <c r="BG36" s="82"/>
      <c r="BH36" s="82"/>
      <c r="BI36" s="82"/>
      <c r="BJ36" s="82"/>
      <c r="BK36" s="82"/>
      <c r="BL36" s="82"/>
      <c r="BM36" s="82"/>
      <c r="BN36" s="82"/>
      <c r="BO36" s="92"/>
      <c r="BP36" s="51"/>
      <c r="BQ36" s="51"/>
      <c r="BR36" s="51"/>
      <c r="BS36" s="75"/>
      <c r="BT36" s="74"/>
    </row>
    <row r="37" spans="1:72" ht="21.15" customHeight="1" x14ac:dyDescent="0.55000000000000004">
      <c r="A37" s="74"/>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87"/>
      <c r="AB37" s="82"/>
      <c r="AC37" s="82"/>
      <c r="AD37" s="82"/>
      <c r="AE37" s="82"/>
      <c r="AF37" s="82"/>
      <c r="AG37" s="82"/>
      <c r="AH37" s="82"/>
      <c r="AI37" s="93"/>
      <c r="AJ37" s="52"/>
      <c r="AK37" s="52"/>
      <c r="AL37" s="52"/>
      <c r="AM37" s="52"/>
      <c r="AN37" s="52"/>
      <c r="AO37" s="52"/>
      <c r="AP37" s="52"/>
      <c r="AQ37" s="52"/>
      <c r="AR37" s="52"/>
      <c r="AS37" s="52"/>
      <c r="AT37" s="52"/>
      <c r="AU37" s="52"/>
      <c r="AV37" s="52"/>
      <c r="AW37" s="52"/>
      <c r="AX37" s="52"/>
      <c r="AY37" s="52"/>
      <c r="AZ37" s="52"/>
      <c r="BA37" s="52"/>
      <c r="BB37" s="52"/>
      <c r="BC37" s="134" t="str">
        <f>VLOOKUP(BC35,市町村データ!A2:I106,MATCH(手順書_市町村なまえ!$F$56, 市町村データ!A1:I1, 0),FALSE)</f>
        <v>352-0025</v>
      </c>
      <c r="BD37" s="135"/>
      <c r="BE37" s="135"/>
      <c r="BF37" s="135"/>
      <c r="BG37" s="82"/>
      <c r="BH37" s="82"/>
      <c r="BI37" s="82"/>
      <c r="BJ37" s="82"/>
      <c r="BK37" s="82"/>
      <c r="BL37" s="82"/>
      <c r="BM37" s="82"/>
      <c r="BN37" s="82"/>
      <c r="BO37" s="93"/>
      <c r="BP37" s="52"/>
      <c r="BQ37" s="52"/>
      <c r="BR37" s="52"/>
      <c r="BS37" s="75"/>
      <c r="BT37" s="74"/>
    </row>
    <row r="38" spans="1:72" ht="21.15" customHeight="1" thickBot="1" x14ac:dyDescent="0.6">
      <c r="A38" s="74"/>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79"/>
      <c r="AB38" s="75"/>
      <c r="AC38" s="75"/>
      <c r="AD38" s="75"/>
      <c r="AE38" s="75"/>
      <c r="AF38" s="75"/>
      <c r="AG38" s="75"/>
      <c r="AH38" s="75"/>
      <c r="AI38" s="93"/>
      <c r="AJ38" s="52"/>
      <c r="AK38" s="52"/>
      <c r="AL38" s="52"/>
      <c r="AM38" s="52"/>
      <c r="AN38" s="52"/>
      <c r="AO38" s="52"/>
      <c r="AP38" s="52"/>
      <c r="AQ38" s="52"/>
      <c r="AR38" s="52"/>
      <c r="AS38" s="52"/>
      <c r="AT38" s="52"/>
      <c r="AU38" s="52"/>
      <c r="AV38" s="52"/>
      <c r="AW38" s="52"/>
      <c r="AX38" s="52"/>
      <c r="AY38" s="52"/>
      <c r="AZ38" s="52"/>
      <c r="BA38" s="52"/>
      <c r="BB38" s="52"/>
      <c r="BC38" s="148"/>
      <c r="BD38" s="149"/>
      <c r="BE38" s="149"/>
      <c r="BF38" s="149"/>
      <c r="BG38" s="75"/>
      <c r="BH38" s="75"/>
      <c r="BI38" s="75"/>
      <c r="BJ38" s="75"/>
      <c r="BK38" s="75"/>
      <c r="BL38" s="75"/>
      <c r="BM38" s="75"/>
      <c r="BN38" s="75"/>
      <c r="BO38" s="93"/>
      <c r="BP38" s="52"/>
      <c r="BQ38" s="52"/>
      <c r="BR38" s="52"/>
      <c r="BS38" s="75"/>
      <c r="BT38" s="74"/>
    </row>
    <row r="39" spans="1:72" ht="21.15" customHeight="1" x14ac:dyDescent="0.55000000000000004">
      <c r="A39" s="74"/>
      <c r="B39" s="75"/>
      <c r="C39" s="76" t="s">
        <v>528</v>
      </c>
      <c r="D39" s="75"/>
      <c r="E39" s="75"/>
      <c r="F39" s="75"/>
      <c r="G39" s="75"/>
      <c r="H39" s="75"/>
      <c r="I39" s="75"/>
      <c r="J39" s="75"/>
      <c r="K39" s="75"/>
      <c r="L39" s="75"/>
      <c r="M39" s="75"/>
      <c r="N39" s="75"/>
      <c r="O39" s="75"/>
      <c r="P39" s="75"/>
      <c r="Q39" s="75"/>
      <c r="R39" s="75"/>
      <c r="S39" s="75"/>
      <c r="T39" s="75"/>
      <c r="U39" s="75"/>
      <c r="V39" s="75"/>
      <c r="W39" s="75"/>
      <c r="X39" s="75"/>
      <c r="Y39" s="75"/>
      <c r="Z39" s="75"/>
      <c r="AA39" s="85"/>
      <c r="AB39" s="85"/>
      <c r="AC39" s="85"/>
      <c r="AD39" s="85"/>
      <c r="AE39" s="85"/>
      <c r="AF39" s="85"/>
      <c r="AG39" s="85"/>
      <c r="AH39" s="85"/>
      <c r="AI39" s="52"/>
      <c r="AJ39" s="52"/>
      <c r="AK39" s="52"/>
      <c r="AL39" s="52"/>
      <c r="AM39" s="52"/>
      <c r="AN39" s="52"/>
      <c r="AO39" s="52"/>
      <c r="AP39" s="52"/>
      <c r="AQ39" s="52"/>
      <c r="AR39" s="52"/>
      <c r="AS39" s="52"/>
      <c r="AT39" s="52"/>
      <c r="AU39" s="52"/>
      <c r="AV39" s="52"/>
      <c r="AW39" s="52"/>
      <c r="AX39" s="52"/>
      <c r="AY39" s="77" t="s">
        <v>568</v>
      </c>
      <c r="AZ39" s="138" t="str">
        <f>VLOOKUP(AY39,市町村データ!A2:I106,MATCH(手順書_市町村なまえ!$G$54, 市町村データ!A1:I1, 0),FALSE)</f>
        <v>野寺</v>
      </c>
      <c r="BA39" s="147"/>
      <c r="BB39" s="147"/>
      <c r="BC39" s="85"/>
      <c r="BD39" s="85"/>
      <c r="BE39" s="85"/>
      <c r="BF39" s="85"/>
      <c r="BG39" s="85"/>
      <c r="BH39" s="85"/>
      <c r="BI39" s="85"/>
      <c r="BJ39" s="85"/>
      <c r="BK39" s="85"/>
      <c r="BL39" s="85"/>
      <c r="BM39" s="85"/>
      <c r="BN39" s="85"/>
      <c r="BO39" s="85"/>
      <c r="BP39" s="85"/>
      <c r="BQ39" s="85"/>
      <c r="BR39" s="85"/>
      <c r="BS39" s="79"/>
      <c r="BT39" s="74"/>
    </row>
    <row r="40" spans="1:72" ht="21.15" customHeight="1" x14ac:dyDescent="0.55000000000000004">
      <c r="A40" s="74"/>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52"/>
      <c r="AJ40" s="52"/>
      <c r="AK40" s="52"/>
      <c r="AL40" s="52"/>
      <c r="AM40" s="52"/>
      <c r="AN40" s="52"/>
      <c r="AO40" s="52"/>
      <c r="AP40" s="52"/>
      <c r="AQ40" s="52"/>
      <c r="AR40" s="52"/>
      <c r="AS40" s="52"/>
      <c r="AT40" s="52"/>
      <c r="AU40" s="52"/>
      <c r="AV40" s="52"/>
      <c r="AW40" s="52"/>
      <c r="AX40" s="52"/>
      <c r="AY40" s="134" t="str">
        <f>VLOOKUP(AY39,市町村データ!A2:I106,MATCH(手順書_市町村なまえ!$F$55, 市町村データ!A1:I1, 0),FALSE)</f>
        <v>のでら</v>
      </c>
      <c r="AZ40" s="135"/>
      <c r="BA40" s="135"/>
      <c r="BB40" s="135"/>
      <c r="BC40" s="82"/>
      <c r="BD40" s="82"/>
      <c r="BE40" s="82"/>
      <c r="BF40" s="82"/>
      <c r="BG40" s="82"/>
      <c r="BH40" s="82"/>
      <c r="BI40" s="82"/>
      <c r="BJ40" s="82"/>
      <c r="BK40" s="82"/>
      <c r="BL40" s="82"/>
      <c r="BM40" s="82"/>
      <c r="BN40" s="82"/>
      <c r="BO40" s="82"/>
      <c r="BP40" s="82"/>
      <c r="BQ40" s="82"/>
      <c r="BR40" s="82"/>
      <c r="BS40" s="79"/>
      <c r="BT40" s="74"/>
    </row>
    <row r="41" spans="1:72" ht="21.15" customHeight="1" x14ac:dyDescent="0.55000000000000004">
      <c r="A41" s="74"/>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52"/>
      <c r="AJ41" s="52"/>
      <c r="AK41" s="52"/>
      <c r="AL41" s="52"/>
      <c r="AM41" s="52"/>
      <c r="AN41" s="52"/>
      <c r="AO41" s="52"/>
      <c r="AP41" s="52"/>
      <c r="AQ41" s="52"/>
      <c r="AR41" s="52"/>
      <c r="AS41" s="52"/>
      <c r="AT41" s="52"/>
      <c r="AU41" s="52"/>
      <c r="AV41" s="52"/>
      <c r="AW41" s="52"/>
      <c r="AX41" s="52"/>
      <c r="AY41" s="134" t="str">
        <f>VLOOKUP(AY39,市町村データ!A2:I106,MATCH(手順書_市町村なまえ!$F$56, 市町村データ!A1:I1, 0),FALSE)</f>
        <v>352-0034</v>
      </c>
      <c r="AZ41" s="135"/>
      <c r="BA41" s="135"/>
      <c r="BB41" s="135"/>
      <c r="BC41" s="82"/>
      <c r="BD41" s="82"/>
      <c r="BE41" s="82"/>
      <c r="BF41" s="82"/>
      <c r="BG41" s="82"/>
      <c r="BH41" s="82"/>
      <c r="BI41" s="82"/>
      <c r="BJ41" s="82"/>
      <c r="BK41" s="82"/>
      <c r="BL41" s="82"/>
      <c r="BM41" s="82"/>
      <c r="BN41" s="82"/>
      <c r="BO41" s="82"/>
      <c r="BP41" s="82"/>
      <c r="BQ41" s="82"/>
      <c r="BR41" s="82"/>
      <c r="BS41" s="79"/>
      <c r="BT41" s="74"/>
    </row>
    <row r="42" spans="1:72" ht="21.15" customHeight="1" thickBot="1" x14ac:dyDescent="0.6">
      <c r="A42" s="74"/>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52"/>
      <c r="AJ42" s="52"/>
      <c r="AK42" s="52"/>
      <c r="AL42" s="52"/>
      <c r="AM42" s="52"/>
      <c r="AN42" s="52"/>
      <c r="AO42" s="52"/>
      <c r="AP42" s="52"/>
      <c r="AQ42" s="52"/>
      <c r="AR42" s="52"/>
      <c r="AS42" s="52"/>
      <c r="AT42" s="52"/>
      <c r="AU42" s="52"/>
      <c r="AV42" s="52"/>
      <c r="AW42" s="52"/>
      <c r="AX42" s="52"/>
      <c r="AY42" s="148"/>
      <c r="AZ42" s="149"/>
      <c r="BA42" s="149"/>
      <c r="BB42" s="149"/>
      <c r="BC42" s="75"/>
      <c r="BD42" s="75"/>
      <c r="BE42" s="75"/>
      <c r="BF42" s="75"/>
      <c r="BG42" s="75"/>
      <c r="BH42" s="75"/>
      <c r="BI42" s="75"/>
      <c r="BJ42" s="75"/>
      <c r="BK42" s="75"/>
      <c r="BL42" s="75"/>
      <c r="BM42" s="75"/>
      <c r="BN42" s="75"/>
      <c r="BO42" s="75"/>
      <c r="BP42" s="75"/>
      <c r="BQ42" s="75"/>
      <c r="BR42" s="75"/>
      <c r="BS42" s="79"/>
      <c r="BT42" s="74"/>
    </row>
    <row r="43" spans="1:72" ht="21.15" customHeight="1" x14ac:dyDescent="0.55000000000000004">
      <c r="A43" s="74"/>
      <c r="B43" s="75"/>
      <c r="C43" s="76" t="s">
        <v>530</v>
      </c>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52"/>
      <c r="AJ43" s="52"/>
      <c r="AK43" s="52"/>
      <c r="AL43" s="52"/>
      <c r="AM43" s="52"/>
      <c r="AN43" s="52"/>
      <c r="AO43" s="52"/>
      <c r="AP43" s="52"/>
      <c r="AQ43" s="52"/>
      <c r="AR43" s="52"/>
      <c r="AS43" s="52"/>
      <c r="AT43" s="52"/>
      <c r="AU43" s="52"/>
      <c r="AV43" s="52"/>
      <c r="AW43" s="52"/>
      <c r="AX43" s="52"/>
      <c r="AY43" s="77" t="s">
        <v>570</v>
      </c>
      <c r="AZ43" s="138" t="str">
        <f>VLOOKUP(AY43,市町村データ!A2:I106,MATCH(手順書_市町村なまえ!$G$54, 市町村データ!A1:I1, 0),FALSE)</f>
        <v>栗原</v>
      </c>
      <c r="BA43" s="147"/>
      <c r="BB43" s="147"/>
      <c r="BC43" s="85"/>
      <c r="BD43" s="85"/>
      <c r="BE43" s="85"/>
      <c r="BF43" s="85"/>
      <c r="BG43" s="85"/>
      <c r="BH43" s="85"/>
      <c r="BI43" s="85"/>
      <c r="BJ43" s="85"/>
      <c r="BK43" s="94"/>
      <c r="BL43" s="95"/>
      <c r="BM43" s="95"/>
      <c r="BN43" s="95"/>
      <c r="BO43" s="95"/>
      <c r="BP43" s="95"/>
      <c r="BQ43" s="95"/>
      <c r="BR43" s="95"/>
      <c r="BS43" s="75"/>
      <c r="BT43" s="74"/>
    </row>
    <row r="44" spans="1:72" ht="21.15" customHeight="1" x14ac:dyDescent="0.55000000000000004">
      <c r="A44" s="74"/>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52"/>
      <c r="AJ44" s="52"/>
      <c r="AK44" s="52"/>
      <c r="AL44" s="52"/>
      <c r="AM44" s="52"/>
      <c r="AN44" s="52"/>
      <c r="AO44" s="52"/>
      <c r="AP44" s="52"/>
      <c r="AQ44" s="52"/>
      <c r="AR44" s="52"/>
      <c r="AS44" s="52"/>
      <c r="AT44" s="52"/>
      <c r="AU44" s="52"/>
      <c r="AV44" s="52"/>
      <c r="AW44" s="52"/>
      <c r="AX44" s="52"/>
      <c r="AY44" s="134" t="str">
        <f>VLOOKUP(AY43,市町村データ!A2:I106,MATCH(手順書_市町村なまえ!$F$55, 市町村データ!A1:I1, 0),FALSE)</f>
        <v>くりはら</v>
      </c>
      <c r="AZ44" s="135"/>
      <c r="BA44" s="135"/>
      <c r="BB44" s="135"/>
      <c r="BC44" s="82"/>
      <c r="BD44" s="82"/>
      <c r="BE44" s="82"/>
      <c r="BF44" s="82"/>
      <c r="BG44" s="82"/>
      <c r="BH44" s="82"/>
      <c r="BI44" s="82"/>
      <c r="BJ44" s="82"/>
      <c r="BK44" s="93"/>
      <c r="BL44" s="52"/>
      <c r="BM44" s="52"/>
      <c r="BN44" s="52"/>
      <c r="BO44" s="52"/>
      <c r="BP44" s="52"/>
      <c r="BQ44" s="52"/>
      <c r="BR44" s="52"/>
      <c r="BS44" s="75"/>
      <c r="BT44" s="74"/>
    </row>
    <row r="45" spans="1:72" ht="21.15" customHeight="1" x14ac:dyDescent="0.55000000000000004">
      <c r="A45" s="74"/>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52"/>
      <c r="AJ45" s="52"/>
      <c r="AK45" s="52"/>
      <c r="AL45" s="52"/>
      <c r="AM45" s="52"/>
      <c r="AN45" s="52"/>
      <c r="AO45" s="52"/>
      <c r="AP45" s="52"/>
      <c r="AQ45" s="52"/>
      <c r="AR45" s="52"/>
      <c r="AS45" s="52"/>
      <c r="AT45" s="52"/>
      <c r="AU45" s="52"/>
      <c r="AV45" s="52"/>
      <c r="AW45" s="52"/>
      <c r="AX45" s="52"/>
      <c r="AY45" s="134" t="str">
        <f>VLOOKUP(AY43,市町村データ!A2:I106,MATCH(手順書_市町村なまえ!$F$56, 市町村データ!A1:I1, 0),FALSE)</f>
        <v>352-0035</v>
      </c>
      <c r="AZ45" s="135"/>
      <c r="BA45" s="135"/>
      <c r="BB45" s="135"/>
      <c r="BC45" s="82"/>
      <c r="BD45" s="82"/>
      <c r="BE45" s="82"/>
      <c r="BF45" s="82"/>
      <c r="BG45" s="82"/>
      <c r="BH45" s="82"/>
      <c r="BI45" s="82"/>
      <c r="BJ45" s="82"/>
      <c r="BK45" s="93"/>
      <c r="BL45" s="52"/>
      <c r="BM45" s="52"/>
      <c r="BN45" s="52"/>
      <c r="BO45" s="52"/>
      <c r="BP45" s="52"/>
      <c r="BQ45" s="52"/>
      <c r="BR45" s="52"/>
      <c r="BS45" s="75"/>
      <c r="BT45" s="74"/>
    </row>
    <row r="46" spans="1:72" ht="21.15" customHeight="1" x14ac:dyDescent="0.55000000000000004">
      <c r="A46" s="74"/>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52"/>
      <c r="AJ46" s="52"/>
      <c r="AK46" s="52"/>
      <c r="AL46" s="52"/>
      <c r="AM46" s="52"/>
      <c r="AN46" s="52"/>
      <c r="AO46" s="52"/>
      <c r="AP46" s="52"/>
      <c r="AQ46" s="52"/>
      <c r="AR46" s="52"/>
      <c r="AS46" s="52"/>
      <c r="AT46" s="52"/>
      <c r="AU46" s="52"/>
      <c r="AV46" s="52"/>
      <c r="AW46" s="52"/>
      <c r="AX46" s="52"/>
      <c r="AY46" s="136"/>
      <c r="AZ46" s="137"/>
      <c r="BA46" s="137"/>
      <c r="BB46" s="137"/>
      <c r="BC46" s="75"/>
      <c r="BD46" s="75"/>
      <c r="BE46" s="75"/>
      <c r="BF46" s="75"/>
      <c r="BG46" s="75"/>
      <c r="BH46" s="75"/>
      <c r="BI46" s="75"/>
      <c r="BJ46" s="75"/>
      <c r="BK46" s="93"/>
      <c r="BL46" s="52"/>
      <c r="BM46" s="52"/>
      <c r="BN46" s="52"/>
      <c r="BO46" s="52"/>
      <c r="BP46" s="52"/>
      <c r="BQ46" s="52"/>
      <c r="BR46" s="52"/>
      <c r="BS46" s="75"/>
      <c r="BT46" s="74"/>
    </row>
    <row r="47" spans="1:72" ht="21.15" customHeight="1" x14ac:dyDescent="0.55000000000000004">
      <c r="A47" s="74"/>
      <c r="B47" s="75"/>
      <c r="C47" s="76" t="s">
        <v>532</v>
      </c>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52"/>
      <c r="AJ47" s="52"/>
      <c r="AK47" s="52"/>
      <c r="AL47" s="52"/>
      <c r="AM47" s="52"/>
      <c r="AN47" s="52"/>
      <c r="AO47" s="52"/>
      <c r="AP47" s="52"/>
      <c r="AQ47" s="52"/>
      <c r="AR47" s="52"/>
      <c r="AS47" s="52"/>
      <c r="AT47" s="52"/>
      <c r="AU47" s="52"/>
      <c r="AV47" s="52"/>
      <c r="AW47" s="52"/>
      <c r="AX47" s="52"/>
      <c r="AY47" s="79"/>
      <c r="AZ47" s="75"/>
      <c r="BA47" s="75"/>
      <c r="BB47" s="75"/>
      <c r="BC47" s="75"/>
      <c r="BD47" s="75"/>
      <c r="BE47" s="75"/>
      <c r="BF47" s="75"/>
      <c r="BG47" s="75"/>
      <c r="BH47" s="75"/>
      <c r="BI47" s="75"/>
      <c r="BJ47" s="75"/>
      <c r="BK47" s="93"/>
      <c r="BL47" s="52"/>
      <c r="BM47" s="52"/>
      <c r="BN47" s="52"/>
      <c r="BO47" s="52"/>
      <c r="BP47" s="52"/>
      <c r="BQ47" s="52"/>
      <c r="BR47" s="52"/>
      <c r="BS47" s="75"/>
      <c r="BT47" s="74"/>
    </row>
    <row r="48" spans="1:72" ht="21.15" customHeight="1" x14ac:dyDescent="0.55000000000000004">
      <c r="A48" s="74"/>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52"/>
      <c r="AJ48" s="52"/>
      <c r="AK48" s="52"/>
      <c r="AL48" s="52"/>
      <c r="AM48" s="52"/>
      <c r="AN48" s="52"/>
      <c r="AO48" s="52"/>
      <c r="AP48" s="52"/>
      <c r="AQ48" s="52"/>
      <c r="AR48" s="52"/>
      <c r="AS48" s="52"/>
      <c r="AT48" s="52"/>
      <c r="AU48" s="52"/>
      <c r="AV48" s="52"/>
      <c r="AW48" s="52"/>
      <c r="AX48" s="52"/>
      <c r="AY48" s="87"/>
      <c r="AZ48" s="82"/>
      <c r="BA48" s="82"/>
      <c r="BB48" s="82"/>
      <c r="BC48" s="82"/>
      <c r="BD48" s="82"/>
      <c r="BE48" s="82"/>
      <c r="BF48" s="82"/>
      <c r="BG48" s="82"/>
      <c r="BH48" s="82"/>
      <c r="BI48" s="82"/>
      <c r="BJ48" s="82"/>
      <c r="BK48" s="93"/>
      <c r="BL48" s="52"/>
      <c r="BM48" s="52"/>
      <c r="BN48" s="52"/>
      <c r="BO48" s="52"/>
      <c r="BP48" s="52"/>
      <c r="BQ48" s="52"/>
      <c r="BR48" s="52"/>
      <c r="BS48" s="75"/>
      <c r="BT48" s="74"/>
    </row>
    <row r="49" spans="1:72" ht="21.15" customHeight="1" x14ac:dyDescent="0.55000000000000004">
      <c r="A49" s="74"/>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52"/>
      <c r="AJ49" s="52"/>
      <c r="AK49" s="52"/>
      <c r="AL49" s="52"/>
      <c r="AM49" s="52"/>
      <c r="AN49" s="52"/>
      <c r="AO49" s="52"/>
      <c r="AP49" s="52"/>
      <c r="AQ49" s="52"/>
      <c r="AR49" s="52"/>
      <c r="AS49" s="52"/>
      <c r="AT49" s="52"/>
      <c r="AU49" s="52"/>
      <c r="AV49" s="52"/>
      <c r="AW49" s="52"/>
      <c r="AX49" s="52"/>
      <c r="AY49" s="87"/>
      <c r="AZ49" s="82"/>
      <c r="BA49" s="82"/>
      <c r="BB49" s="82"/>
      <c r="BC49" s="82"/>
      <c r="BD49" s="82"/>
      <c r="BE49" s="82"/>
      <c r="BF49" s="82"/>
      <c r="BG49" s="82"/>
      <c r="BH49" s="82"/>
      <c r="BI49" s="82"/>
      <c r="BJ49" s="82"/>
      <c r="BK49" s="93"/>
      <c r="BL49" s="52"/>
      <c r="BM49" s="52"/>
      <c r="BN49" s="52"/>
      <c r="BO49" s="52"/>
      <c r="BP49" s="52"/>
      <c r="BQ49" s="52"/>
      <c r="BR49" s="52"/>
      <c r="BS49" s="75"/>
      <c r="BT49" s="74"/>
    </row>
    <row r="50" spans="1:72" ht="21.15" customHeight="1" thickBot="1" x14ac:dyDescent="0.6">
      <c r="A50" s="74"/>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52"/>
      <c r="AW50" s="52"/>
      <c r="AX50" s="52"/>
      <c r="AY50" s="79"/>
      <c r="AZ50" s="75"/>
      <c r="BA50" s="75"/>
      <c r="BB50" s="75"/>
      <c r="BC50" s="75"/>
      <c r="BD50" s="75"/>
      <c r="BE50" s="75"/>
      <c r="BF50" s="75"/>
      <c r="BG50" s="75"/>
      <c r="BH50" s="75"/>
      <c r="BI50" s="75"/>
      <c r="BJ50" s="75"/>
      <c r="BK50" s="79"/>
      <c r="BL50" s="75"/>
      <c r="BM50" s="75"/>
      <c r="BN50" s="75"/>
      <c r="BO50" s="52"/>
      <c r="BP50" s="52"/>
      <c r="BQ50" s="52"/>
      <c r="BR50" s="52"/>
      <c r="BS50" s="52"/>
      <c r="BT50" s="74"/>
    </row>
    <row r="51" spans="1:72" ht="21.15" customHeight="1" x14ac:dyDescent="0.55000000000000004">
      <c r="A51" s="74"/>
      <c r="B51" s="75" t="s">
        <v>173</v>
      </c>
      <c r="C51" s="75"/>
      <c r="D51" s="75"/>
      <c r="E51" s="75"/>
      <c r="F51" s="75"/>
      <c r="G51" s="96"/>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53"/>
      <c r="AN51" s="53"/>
      <c r="AO51" s="53"/>
      <c r="AP51" s="53"/>
      <c r="AQ51" s="53"/>
      <c r="AR51" s="53"/>
      <c r="AS51" s="53"/>
      <c r="AT51" s="53"/>
      <c r="AU51" s="53"/>
      <c r="AV51" s="53"/>
      <c r="AW51" s="53"/>
      <c r="AX51" s="53"/>
      <c r="AY51" s="97"/>
      <c r="AZ51" s="97"/>
      <c r="BA51" s="97"/>
      <c r="BB51" s="97"/>
      <c r="BC51" s="97"/>
      <c r="BD51" s="97"/>
      <c r="BE51" s="97"/>
      <c r="BF51" s="97"/>
      <c r="BG51" s="97"/>
      <c r="BH51" s="97"/>
      <c r="BI51" s="97"/>
      <c r="BJ51" s="97"/>
      <c r="BK51" s="53"/>
      <c r="BL51" s="53"/>
      <c r="BM51" s="53"/>
      <c r="BN51" s="53"/>
      <c r="BO51" s="53"/>
      <c r="BP51" s="53"/>
      <c r="BQ51" s="53"/>
      <c r="BR51" s="53"/>
      <c r="BS51" s="53"/>
      <c r="BT51" s="74"/>
    </row>
    <row r="52" spans="1:72" ht="21.15" customHeight="1" x14ac:dyDescent="0.55000000000000004">
      <c r="A52" s="74"/>
      <c r="B52" s="75" t="s">
        <v>172</v>
      </c>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4"/>
    </row>
    <row r="53" spans="1:72" ht="21.15" customHeight="1" x14ac:dyDescent="0.55000000000000004">
      <c r="A53" s="74"/>
      <c r="B53" s="74"/>
      <c r="C53" s="74"/>
      <c r="D53" s="74"/>
      <c r="E53" s="74"/>
      <c r="F53" s="74"/>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row>
  </sheetData>
  <mergeCells count="92">
    <mergeCell ref="L7:N7"/>
    <mergeCell ref="X7:Z7"/>
    <mergeCell ref="AB7:AD7"/>
    <mergeCell ref="K8:N8"/>
    <mergeCell ref="W8:Z8"/>
    <mergeCell ref="AA8:AD8"/>
    <mergeCell ref="K9:N9"/>
    <mergeCell ref="W9:Z9"/>
    <mergeCell ref="AA9:AD9"/>
    <mergeCell ref="K10:N10"/>
    <mergeCell ref="W10:Z10"/>
    <mergeCell ref="AA10:AD10"/>
    <mergeCell ref="H11:J11"/>
    <mergeCell ref="L11:N11"/>
    <mergeCell ref="AF11:AH11"/>
    <mergeCell ref="G12:J12"/>
    <mergeCell ref="K12:N12"/>
    <mergeCell ref="AE12:AH12"/>
    <mergeCell ref="G13:J13"/>
    <mergeCell ref="K13:N13"/>
    <mergeCell ref="AE13:AH13"/>
    <mergeCell ref="G14:J14"/>
    <mergeCell ref="K14:N14"/>
    <mergeCell ref="AE14:AH14"/>
    <mergeCell ref="O22:R22"/>
    <mergeCell ref="X15:Z15"/>
    <mergeCell ref="AN15:AP15"/>
    <mergeCell ref="W16:Z16"/>
    <mergeCell ref="AM16:AP16"/>
    <mergeCell ref="W17:Z17"/>
    <mergeCell ref="AM17:AP17"/>
    <mergeCell ref="W18:Z18"/>
    <mergeCell ref="AM18:AP18"/>
    <mergeCell ref="P19:R19"/>
    <mergeCell ref="O20:R20"/>
    <mergeCell ref="O21:R21"/>
    <mergeCell ref="O24:R24"/>
    <mergeCell ref="AA24:AD24"/>
    <mergeCell ref="AI24:AL24"/>
    <mergeCell ref="AM24:AP24"/>
    <mergeCell ref="AU24:AX24"/>
    <mergeCell ref="P23:R23"/>
    <mergeCell ref="AB23:AD23"/>
    <mergeCell ref="AJ23:AL23"/>
    <mergeCell ref="AN23:AP23"/>
    <mergeCell ref="AV23:AX23"/>
    <mergeCell ref="O26:R26"/>
    <mergeCell ref="AA26:AD26"/>
    <mergeCell ref="AI26:AL26"/>
    <mergeCell ref="AM26:AP26"/>
    <mergeCell ref="AU26:AX26"/>
    <mergeCell ref="O25:R25"/>
    <mergeCell ref="AA25:AD25"/>
    <mergeCell ref="AI25:AL25"/>
    <mergeCell ref="AM25:AP25"/>
    <mergeCell ref="AU25:AX25"/>
    <mergeCell ref="AU29:AX29"/>
    <mergeCell ref="S30:V30"/>
    <mergeCell ref="AA30:AD30"/>
    <mergeCell ref="AU30:AX30"/>
    <mergeCell ref="T27:V27"/>
    <mergeCell ref="AB27:AD27"/>
    <mergeCell ref="AV27:AX27"/>
    <mergeCell ref="S28:V28"/>
    <mergeCell ref="AA28:AD28"/>
    <mergeCell ref="AU28:AX28"/>
    <mergeCell ref="BD35:BF35"/>
    <mergeCell ref="BC36:BF36"/>
    <mergeCell ref="BC37:BF37"/>
    <mergeCell ref="BC38:BF38"/>
    <mergeCell ref="H31:J31"/>
    <mergeCell ref="AJ31:AL31"/>
    <mergeCell ref="G32:J32"/>
    <mergeCell ref="AI32:AL32"/>
    <mergeCell ref="G33:J33"/>
    <mergeCell ref="AI33:AL33"/>
    <mergeCell ref="AY45:BB45"/>
    <mergeCell ref="AY46:BB46"/>
    <mergeCell ref="D3:F3"/>
    <mergeCell ref="C4:F4"/>
    <mergeCell ref="C5:F5"/>
    <mergeCell ref="C6:F6"/>
    <mergeCell ref="AZ39:BB39"/>
    <mergeCell ref="AY40:BB40"/>
    <mergeCell ref="AY41:BB41"/>
    <mergeCell ref="AY42:BB42"/>
    <mergeCell ref="AZ43:BB43"/>
    <mergeCell ref="AY44:BB44"/>
    <mergeCell ref="G34:J34"/>
    <mergeCell ref="AI34:AL34"/>
    <mergeCell ref="S29:V29"/>
    <mergeCell ref="AA29:AD29"/>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43"/>
  <sheetViews>
    <sheetView topLeftCell="A85" zoomScaleNormal="100" workbookViewId="0">
      <selection activeCell="Q103" sqref="Q103"/>
    </sheetView>
  </sheetViews>
  <sheetFormatPr defaultColWidth="3.5" defaultRowHeight="21" customHeight="1" x14ac:dyDescent="0.55000000000000004"/>
  <cols>
    <col min="1" max="16384" width="3.5" style="11"/>
  </cols>
  <sheetData>
    <row r="1" spans="1:33" ht="21" customHeight="1" x14ac:dyDescent="0.55000000000000004">
      <c r="A1" s="38"/>
      <c r="F1" s="38" t="s">
        <v>182</v>
      </c>
      <c r="G1" s="38"/>
      <c r="I1" s="38"/>
      <c r="M1" s="38"/>
      <c r="Q1" s="38" t="s">
        <v>183</v>
      </c>
      <c r="V1" s="38"/>
      <c r="AF1" s="38" t="s">
        <v>181</v>
      </c>
    </row>
    <row r="2" spans="1:33" ht="21" customHeight="1" x14ac:dyDescent="0.55000000000000004">
      <c r="B2" s="14" t="s">
        <v>34</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32</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152</v>
      </c>
    </row>
    <row r="13" spans="1:33" ht="21" customHeight="1" x14ac:dyDescent="0.55000000000000004">
      <c r="F13" s="15" t="s">
        <v>30</v>
      </c>
      <c r="G13" s="11" t="s">
        <v>151</v>
      </c>
    </row>
    <row r="14" spans="1:33" ht="21" customHeight="1" x14ac:dyDescent="0.55000000000000004">
      <c r="F14" s="15"/>
    </row>
    <row r="15" spans="1:33" ht="21" customHeight="1" thickBot="1" x14ac:dyDescent="0.45">
      <c r="F15" s="27" t="s">
        <v>44</v>
      </c>
      <c r="Q15" s="27" t="s">
        <v>45</v>
      </c>
    </row>
    <row r="16" spans="1:33" ht="21" customHeight="1" thickTop="1" thickBot="1" x14ac:dyDescent="0.6">
      <c r="A16" s="38" t="s">
        <v>158</v>
      </c>
      <c r="F16" s="103" t="s">
        <v>84</v>
      </c>
      <c r="G16" s="104"/>
      <c r="H16" s="104"/>
      <c r="I16" s="104"/>
      <c r="J16" s="104"/>
      <c r="K16" s="104"/>
      <c r="L16" s="104"/>
      <c r="M16" s="104"/>
      <c r="N16" s="104"/>
      <c r="O16" s="105"/>
      <c r="Q16" s="103" t="s">
        <v>595</v>
      </c>
      <c r="R16" s="104"/>
      <c r="S16" s="104"/>
      <c r="T16" s="105"/>
    </row>
    <row r="17" spans="1:33" ht="21" customHeight="1" thickTop="1" x14ac:dyDescent="0.55000000000000004"/>
    <row r="19" spans="1:33" ht="21" customHeight="1" x14ac:dyDescent="0.55000000000000004">
      <c r="D19" s="14" t="s">
        <v>33</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153</v>
      </c>
    </row>
    <row r="27" spans="1:33" ht="21" customHeight="1" x14ac:dyDescent="0.55000000000000004">
      <c r="F27" s="15"/>
      <c r="G27" s="15" t="s">
        <v>30</v>
      </c>
      <c r="H27" s="11" t="s">
        <v>154</v>
      </c>
    </row>
    <row r="28" spans="1:33" ht="21" customHeight="1" x14ac:dyDescent="0.55000000000000004">
      <c r="F28" s="15"/>
    </row>
    <row r="29" spans="1:33" ht="21" customHeight="1" x14ac:dyDescent="0.55000000000000004">
      <c r="F29" s="15"/>
      <c r="G29" s="11" t="s">
        <v>86</v>
      </c>
    </row>
    <row r="30" spans="1:33" ht="21" customHeight="1" thickBot="1" x14ac:dyDescent="0.45">
      <c r="F30" s="27" t="s">
        <v>44</v>
      </c>
      <c r="Q30" s="27" t="s">
        <v>46</v>
      </c>
    </row>
    <row r="31" spans="1:33" ht="21" customHeight="1" thickTop="1" thickBot="1" x14ac:dyDescent="0.6">
      <c r="A31" s="38" t="s">
        <v>170</v>
      </c>
      <c r="F31" s="103" t="s">
        <v>42</v>
      </c>
      <c r="G31" s="104"/>
      <c r="H31" s="104"/>
      <c r="I31" s="104"/>
      <c r="J31" s="104"/>
      <c r="K31" s="104"/>
      <c r="L31" s="104"/>
      <c r="M31" s="104"/>
      <c r="N31" s="104"/>
      <c r="O31" s="105"/>
      <c r="Q31" s="103" t="s">
        <v>142</v>
      </c>
      <c r="R31" s="105"/>
    </row>
    <row r="32" spans="1:33" ht="21" customHeight="1" thickTop="1" x14ac:dyDescent="0.55000000000000004"/>
    <row r="34" spans="4:33" ht="21" customHeight="1" x14ac:dyDescent="0.55000000000000004">
      <c r="D34" s="14" t="s">
        <v>35</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30</v>
      </c>
      <c r="G46" s="11" t="s">
        <v>38</v>
      </c>
    </row>
    <row r="47" spans="4:33" ht="21" customHeight="1" x14ac:dyDescent="0.55000000000000004">
      <c r="P47" s="30" t="s">
        <v>94</v>
      </c>
      <c r="Q47" s="30"/>
      <c r="R47" s="30"/>
      <c r="S47" s="30"/>
      <c r="T47" s="11" t="s">
        <v>156</v>
      </c>
    </row>
    <row r="48" spans="4:33" ht="21" customHeight="1" x14ac:dyDescent="0.55000000000000004">
      <c r="F48" s="15"/>
      <c r="P48" s="15" t="s">
        <v>30</v>
      </c>
      <c r="Q48" s="11" t="s">
        <v>155</v>
      </c>
    </row>
    <row r="49" spans="1:20" ht="21" customHeight="1" x14ac:dyDescent="0.55000000000000004">
      <c r="F49" s="15"/>
    </row>
    <row r="50" spans="1:20" ht="21" customHeight="1" thickBot="1" x14ac:dyDescent="0.45">
      <c r="F50" s="15"/>
      <c r="Q50" s="27" t="s">
        <v>47</v>
      </c>
    </row>
    <row r="51" spans="1:20" ht="21" customHeight="1" thickTop="1" thickBot="1" x14ac:dyDescent="0.6">
      <c r="A51" s="38" t="s">
        <v>205</v>
      </c>
      <c r="F51" s="15"/>
      <c r="Q51" s="103" t="s">
        <v>145</v>
      </c>
      <c r="R51" s="105"/>
    </row>
    <row r="52" spans="1:20" ht="21" customHeight="1" thickTop="1" x14ac:dyDescent="0.55000000000000004">
      <c r="E52" s="11" t="s">
        <v>208</v>
      </c>
    </row>
    <row r="53" spans="1:20" ht="21" customHeight="1" thickBot="1" x14ac:dyDescent="0.6">
      <c r="E53" s="25"/>
      <c r="F53" s="40" t="s">
        <v>16</v>
      </c>
      <c r="G53" s="41" t="s">
        <v>17</v>
      </c>
      <c r="H53" s="41" t="s">
        <v>18</v>
      </c>
      <c r="I53" s="41" t="s">
        <v>19</v>
      </c>
      <c r="J53" s="25"/>
    </row>
    <row r="54" spans="1:20" ht="21" customHeight="1" x14ac:dyDescent="0.55000000000000004">
      <c r="A54" s="38" t="s">
        <v>169</v>
      </c>
      <c r="E54" s="25"/>
      <c r="F54" s="8"/>
      <c r="G54" s="106" t="s">
        <v>24</v>
      </c>
      <c r="H54" s="106"/>
      <c r="I54" s="107"/>
      <c r="J54" s="25"/>
    </row>
    <row r="55" spans="1:20" ht="21" customHeight="1" x14ac:dyDescent="0.55000000000000004">
      <c r="E55" s="25"/>
      <c r="F55" s="184" t="s">
        <v>642</v>
      </c>
      <c r="G55" s="185"/>
      <c r="H55" s="185"/>
      <c r="I55" s="186"/>
      <c r="J55" s="25"/>
    </row>
    <row r="56" spans="1:20" ht="21" customHeight="1" x14ac:dyDescent="0.55000000000000004">
      <c r="E56" s="25"/>
      <c r="F56" s="187" t="s">
        <v>26</v>
      </c>
      <c r="G56" s="188"/>
      <c r="H56" s="188"/>
      <c r="I56" s="189"/>
      <c r="J56" s="25"/>
    </row>
    <row r="57" spans="1:20" ht="21" customHeight="1" thickBot="1" x14ac:dyDescent="0.6">
      <c r="A57" s="38"/>
      <c r="E57" s="25"/>
      <c r="F57" s="122" t="s">
        <v>644</v>
      </c>
      <c r="G57" s="123"/>
      <c r="H57" s="123"/>
      <c r="I57" s="124"/>
      <c r="J57" s="25"/>
    </row>
    <row r="58" spans="1:20" ht="21" customHeight="1" x14ac:dyDescent="0.55000000000000004">
      <c r="E58" s="25"/>
      <c r="F58" s="25"/>
      <c r="G58" s="25"/>
      <c r="H58" s="25"/>
      <c r="I58" s="25"/>
      <c r="J58" s="25"/>
    </row>
    <row r="59" spans="1:20" ht="21" customHeight="1" thickBot="1" x14ac:dyDescent="0.45">
      <c r="Q59" s="27" t="s">
        <v>202</v>
      </c>
    </row>
    <row r="60" spans="1:20" ht="21" customHeight="1" thickTop="1" thickBot="1" x14ac:dyDescent="0.6">
      <c r="A60" s="38" t="s">
        <v>207</v>
      </c>
      <c r="Q60" s="103" t="s">
        <v>206</v>
      </c>
      <c r="R60" s="104"/>
      <c r="S60" s="104"/>
      <c r="T60" s="105"/>
    </row>
    <row r="61" spans="1:20" ht="21" customHeight="1" thickTop="1" x14ac:dyDescent="0.55000000000000004">
      <c r="Q61" s="46" t="s">
        <v>198</v>
      </c>
    </row>
    <row r="63" spans="1:20" ht="21" customHeight="1" x14ac:dyDescent="0.55000000000000004">
      <c r="G63" s="11" t="s">
        <v>39</v>
      </c>
    </row>
    <row r="66" spans="4:33" ht="21" customHeight="1" x14ac:dyDescent="0.55000000000000004">
      <c r="D66" s="14" t="s">
        <v>36</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row>
    <row r="86" spans="1:18" ht="21" customHeight="1" x14ac:dyDescent="0.55000000000000004">
      <c r="H86" s="11" t="s">
        <v>157</v>
      </c>
    </row>
    <row r="88" spans="1:18" ht="21" customHeight="1" thickBot="1" x14ac:dyDescent="0.45">
      <c r="Q88" s="27" t="s">
        <v>171</v>
      </c>
    </row>
    <row r="89" spans="1:18" ht="21" customHeight="1" thickTop="1" thickBot="1" x14ac:dyDescent="0.6">
      <c r="A89" s="38" t="s">
        <v>196</v>
      </c>
      <c r="Q89" s="103" t="s">
        <v>637</v>
      </c>
      <c r="R89" s="105"/>
    </row>
    <row r="90" spans="1:18" ht="21" customHeight="1" thickTop="1" x14ac:dyDescent="0.55000000000000004"/>
    <row r="91" spans="1:18" ht="21" customHeight="1" x14ac:dyDescent="0.55000000000000004">
      <c r="G91" s="15" t="s">
        <v>30</v>
      </c>
      <c r="H91" s="11" t="s">
        <v>195</v>
      </c>
    </row>
    <row r="93" spans="1:18" ht="21" customHeight="1" thickBot="1" x14ac:dyDescent="0.6">
      <c r="E93" s="39"/>
      <c r="F93" s="40" t="s">
        <v>16</v>
      </c>
      <c r="G93" s="41" t="s">
        <v>17</v>
      </c>
      <c r="H93" s="41" t="s">
        <v>18</v>
      </c>
      <c r="I93" s="41" t="s">
        <v>19</v>
      </c>
      <c r="J93" s="41" t="s">
        <v>20</v>
      </c>
      <c r="K93" s="41" t="s">
        <v>21</v>
      </c>
      <c r="L93" s="41" t="s">
        <v>22</v>
      </c>
      <c r="M93" s="41" t="s">
        <v>23</v>
      </c>
      <c r="N93" s="42"/>
    </row>
    <row r="94" spans="1:18" ht="21" customHeight="1" x14ac:dyDescent="0.55000000000000004">
      <c r="A94" s="38" t="s">
        <v>168</v>
      </c>
      <c r="E94" s="39">
        <v>1</v>
      </c>
      <c r="F94" s="11" t="s">
        <v>41</v>
      </c>
      <c r="G94" s="178" t="s">
        <v>28</v>
      </c>
      <c r="H94" s="179"/>
      <c r="I94" s="179"/>
      <c r="J94" s="180" t="s">
        <v>27</v>
      </c>
      <c r="K94" s="181"/>
      <c r="L94" s="130" t="s">
        <v>29</v>
      </c>
      <c r="M94" s="130"/>
      <c r="N94" s="26"/>
    </row>
    <row r="95" spans="1:18" ht="21" customHeight="1" x14ac:dyDescent="0.55000000000000004">
      <c r="E95" s="39">
        <v>2</v>
      </c>
      <c r="F95" s="11">
        <v>1</v>
      </c>
      <c r="G95" s="156">
        <v>180</v>
      </c>
      <c r="H95" s="131"/>
      <c r="I95" s="131"/>
      <c r="J95" s="182"/>
      <c r="K95" s="183"/>
      <c r="L95" s="175"/>
      <c r="M95" s="175"/>
      <c r="N95" s="26"/>
    </row>
    <row r="96" spans="1:18" ht="21" customHeight="1" x14ac:dyDescent="0.55000000000000004">
      <c r="E96" s="39">
        <v>3</v>
      </c>
      <c r="F96" s="11">
        <v>2</v>
      </c>
      <c r="G96" s="156">
        <v>160</v>
      </c>
      <c r="H96" s="131"/>
      <c r="I96" s="131"/>
      <c r="J96" s="173"/>
      <c r="K96" s="174"/>
      <c r="L96" s="175"/>
      <c r="M96" s="175"/>
      <c r="N96" s="26"/>
    </row>
    <row r="97" spans="1:20" ht="21" customHeight="1" x14ac:dyDescent="0.55000000000000004">
      <c r="E97" s="39">
        <v>4</v>
      </c>
      <c r="F97" s="11">
        <v>3</v>
      </c>
      <c r="G97" s="156">
        <v>140</v>
      </c>
      <c r="H97" s="131"/>
      <c r="I97" s="131"/>
      <c r="J97" s="176"/>
      <c r="K97" s="177"/>
      <c r="L97" s="155"/>
      <c r="M97" s="155"/>
      <c r="N97" s="26"/>
    </row>
    <row r="98" spans="1:20" ht="21" customHeight="1" x14ac:dyDescent="0.55000000000000004">
      <c r="E98" s="39">
        <v>5</v>
      </c>
      <c r="F98" s="11">
        <v>4</v>
      </c>
      <c r="G98" s="165">
        <v>120</v>
      </c>
      <c r="H98" s="166"/>
      <c r="I98" s="166"/>
      <c r="J98" s="171"/>
      <c r="K98" s="172"/>
      <c r="L98" s="155"/>
      <c r="M98" s="155"/>
      <c r="N98" s="26"/>
    </row>
    <row r="99" spans="1:20" ht="21" customHeight="1" x14ac:dyDescent="0.55000000000000004">
      <c r="E99" s="39">
        <v>6</v>
      </c>
      <c r="F99" s="11">
        <v>5</v>
      </c>
      <c r="G99" s="156">
        <v>100</v>
      </c>
      <c r="H99" s="131"/>
      <c r="I99" s="131"/>
      <c r="J99" s="167"/>
      <c r="K99" s="168"/>
      <c r="L99" s="155"/>
      <c r="M99" s="155"/>
      <c r="N99" s="26"/>
    </row>
    <row r="100" spans="1:20" ht="21" customHeight="1" x14ac:dyDescent="0.55000000000000004">
      <c r="E100" s="39">
        <v>7</v>
      </c>
      <c r="F100" s="11">
        <v>6</v>
      </c>
      <c r="G100" s="156">
        <v>80</v>
      </c>
      <c r="H100" s="131"/>
      <c r="I100" s="131"/>
      <c r="J100" s="163"/>
      <c r="K100" s="164"/>
      <c r="L100" s="155"/>
      <c r="M100" s="155"/>
      <c r="N100" s="26"/>
    </row>
    <row r="101" spans="1:20" ht="21" customHeight="1" x14ac:dyDescent="0.55000000000000004">
      <c r="E101" s="39">
        <v>8</v>
      </c>
      <c r="F101" s="11">
        <v>7</v>
      </c>
      <c r="G101" s="156">
        <v>60</v>
      </c>
      <c r="H101" s="131"/>
      <c r="I101" s="131"/>
      <c r="J101" s="161"/>
      <c r="K101" s="162"/>
      <c r="L101" s="155"/>
      <c r="M101" s="155"/>
      <c r="N101" s="26"/>
    </row>
    <row r="102" spans="1:20" ht="21" customHeight="1" x14ac:dyDescent="0.55000000000000004">
      <c r="E102" s="39">
        <v>9</v>
      </c>
      <c r="F102" s="11">
        <v>8</v>
      </c>
      <c r="G102" s="156">
        <v>40</v>
      </c>
      <c r="H102" s="131"/>
      <c r="I102" s="131"/>
      <c r="J102" s="169"/>
      <c r="K102" s="170"/>
      <c r="L102" s="155"/>
      <c r="M102" s="155"/>
      <c r="N102" s="26"/>
    </row>
    <row r="103" spans="1:20" ht="21" customHeight="1" x14ac:dyDescent="0.55000000000000004">
      <c r="E103" s="39">
        <v>10</v>
      </c>
      <c r="F103" s="11">
        <v>9</v>
      </c>
      <c r="G103" s="156">
        <v>20</v>
      </c>
      <c r="H103" s="131"/>
      <c r="I103" s="131"/>
      <c r="J103" s="157"/>
      <c r="K103" s="158"/>
      <c r="L103" s="155"/>
      <c r="M103" s="155"/>
      <c r="N103" s="26"/>
    </row>
    <row r="104" spans="1:20" ht="21" customHeight="1" thickBot="1" x14ac:dyDescent="0.6">
      <c r="E104" s="39">
        <v>11</v>
      </c>
      <c r="F104" s="11">
        <v>10</v>
      </c>
      <c r="G104" s="153">
        <v>0</v>
      </c>
      <c r="H104" s="154"/>
      <c r="I104" s="154"/>
      <c r="J104" s="159"/>
      <c r="K104" s="160"/>
      <c r="L104" s="155"/>
      <c r="M104" s="155"/>
      <c r="N104" s="26"/>
    </row>
    <row r="105" spans="1:20" ht="21" customHeight="1" x14ac:dyDescent="0.55000000000000004">
      <c r="E105" s="39"/>
      <c r="F105" s="26"/>
      <c r="G105" s="26"/>
      <c r="H105" s="26"/>
      <c r="I105" s="26"/>
      <c r="J105" s="26"/>
      <c r="K105" s="26"/>
      <c r="L105" s="26"/>
      <c r="M105" s="26"/>
      <c r="N105" s="26"/>
    </row>
    <row r="107" spans="1:20" ht="21" customHeight="1" thickBot="1" x14ac:dyDescent="0.45">
      <c r="Q107" s="27" t="s">
        <v>202</v>
      </c>
    </row>
    <row r="108" spans="1:20" ht="21" customHeight="1" thickTop="1" thickBot="1" x14ac:dyDescent="0.6">
      <c r="A108" s="38" t="s">
        <v>201</v>
      </c>
      <c r="Q108" s="103" t="s">
        <v>645</v>
      </c>
      <c r="R108" s="104"/>
      <c r="S108" s="104"/>
      <c r="T108" s="105"/>
    </row>
    <row r="109" spans="1:20" ht="21" customHeight="1" thickTop="1" x14ac:dyDescent="0.55000000000000004">
      <c r="Q109" s="46" t="s">
        <v>198</v>
      </c>
    </row>
    <row r="110" spans="1:20" ht="21" customHeight="1" thickBot="1" x14ac:dyDescent="0.45">
      <c r="F110" s="27" t="s">
        <v>48</v>
      </c>
    </row>
    <row r="111" spans="1:20" ht="21" customHeight="1" thickTop="1" thickBot="1" x14ac:dyDescent="0.6">
      <c r="A111" s="38" t="s">
        <v>199</v>
      </c>
      <c r="F111" s="103" t="s">
        <v>646</v>
      </c>
      <c r="G111" s="104"/>
      <c r="H111" s="104"/>
      <c r="I111" s="105"/>
    </row>
    <row r="112" spans="1:20" ht="21" customHeight="1" thickTop="1" x14ac:dyDescent="0.55000000000000004">
      <c r="F112" s="46" t="s">
        <v>198</v>
      </c>
    </row>
    <row r="115" spans="4:33" ht="21" customHeight="1" x14ac:dyDescent="0.55000000000000004">
      <c r="D115" s="14" t="s">
        <v>36</v>
      </c>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row>
    <row r="117" spans="4:33" ht="21" customHeight="1" thickBot="1" x14ac:dyDescent="0.6">
      <c r="F117" s="15" t="s">
        <v>30</v>
      </c>
      <c r="G117" s="11" t="s">
        <v>31</v>
      </c>
    </row>
    <row r="118" spans="4:33" ht="21" customHeight="1" x14ac:dyDescent="0.55000000000000004">
      <c r="F118" s="16"/>
      <c r="G118" s="17"/>
      <c r="H118" s="17"/>
      <c r="I118" s="17"/>
      <c r="J118" s="17"/>
      <c r="K118" s="17"/>
      <c r="L118" s="17"/>
      <c r="M118" s="17"/>
      <c r="N118" s="18"/>
    </row>
    <row r="119" spans="4:33" ht="21" customHeight="1" x14ac:dyDescent="0.55000000000000004">
      <c r="F119" s="19"/>
      <c r="N119" s="20"/>
    </row>
    <row r="120" spans="4:33" ht="21" customHeight="1" x14ac:dyDescent="0.55000000000000004">
      <c r="F120" s="19"/>
      <c r="N120" s="20"/>
    </row>
    <row r="121" spans="4:33" ht="21" customHeight="1" thickBot="1" x14ac:dyDescent="0.6">
      <c r="F121" s="21"/>
      <c r="G121" s="22"/>
      <c r="H121" s="22"/>
      <c r="I121" s="22"/>
      <c r="J121" s="22"/>
      <c r="K121" s="22"/>
      <c r="L121" s="22"/>
      <c r="M121" s="22"/>
      <c r="N121" s="23"/>
    </row>
    <row r="140" spans="1:8" ht="21" customHeight="1" x14ac:dyDescent="0.55000000000000004">
      <c r="H140" s="11" t="s">
        <v>88</v>
      </c>
    </row>
    <row r="142" spans="1:8" ht="21" customHeight="1" x14ac:dyDescent="0.55000000000000004">
      <c r="B142" s="11" t="s">
        <v>28</v>
      </c>
    </row>
    <row r="143" spans="1:8" ht="21" customHeight="1" x14ac:dyDescent="0.55000000000000004">
      <c r="A143" s="38" t="s">
        <v>143</v>
      </c>
    </row>
  </sheetData>
  <mergeCells count="46">
    <mergeCell ref="Q31:R31"/>
    <mergeCell ref="F57:I57"/>
    <mergeCell ref="F16:O16"/>
    <mergeCell ref="F31:O31"/>
    <mergeCell ref="G54:I54"/>
    <mergeCell ref="F55:I55"/>
    <mergeCell ref="F56:I56"/>
    <mergeCell ref="Q16:T16"/>
    <mergeCell ref="G94:I94"/>
    <mergeCell ref="J94:K94"/>
    <mergeCell ref="L94:M94"/>
    <mergeCell ref="G95:I95"/>
    <mergeCell ref="J95:K95"/>
    <mergeCell ref="L95:M95"/>
    <mergeCell ref="J102:K102"/>
    <mergeCell ref="L99:M99"/>
    <mergeCell ref="J98:K98"/>
    <mergeCell ref="G96:I96"/>
    <mergeCell ref="J96:K96"/>
    <mergeCell ref="L96:M96"/>
    <mergeCell ref="G97:I97"/>
    <mergeCell ref="J97:K97"/>
    <mergeCell ref="L97:M97"/>
    <mergeCell ref="L101:M101"/>
    <mergeCell ref="J101:K101"/>
    <mergeCell ref="J100:K100"/>
    <mergeCell ref="G98:I98"/>
    <mergeCell ref="J99:K99"/>
    <mergeCell ref="L98:M98"/>
    <mergeCell ref="G99:I99"/>
    <mergeCell ref="Q108:T108"/>
    <mergeCell ref="Q51:R51"/>
    <mergeCell ref="Q60:T60"/>
    <mergeCell ref="F111:I111"/>
    <mergeCell ref="Q89:R89"/>
    <mergeCell ref="G104:I104"/>
    <mergeCell ref="L104:M104"/>
    <mergeCell ref="G102:I102"/>
    <mergeCell ref="L102:M102"/>
    <mergeCell ref="G103:I103"/>
    <mergeCell ref="L103:M103"/>
    <mergeCell ref="J103:K103"/>
    <mergeCell ref="G100:I100"/>
    <mergeCell ref="J104:K104"/>
    <mergeCell ref="L100:M100"/>
    <mergeCell ref="G101:I10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117</xdr:row>
                    <xdr:rowOff>184150</xdr:rowOff>
                  </from>
                  <to>
                    <xdr:col>12</xdr:col>
                    <xdr:colOff>139700</xdr:colOff>
                    <xdr:row>120</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9F10C-EF5C-4E63-BDE7-9C348369921D}">
  <sheetPr codeName="Sheet14"/>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4"/>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row>
    <row r="2" spans="1:72" ht="21.15" customHeight="1" thickBot="1" x14ac:dyDescent="0.6">
      <c r="A2" s="74"/>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4"/>
    </row>
    <row r="3" spans="1:72" ht="21.15" customHeight="1" x14ac:dyDescent="0.55000000000000004">
      <c r="A3" s="74"/>
      <c r="B3" s="75"/>
      <c r="C3" s="98"/>
      <c r="D3" s="138" t="s">
        <v>73</v>
      </c>
      <c r="E3" s="139"/>
      <c r="F3" s="140"/>
      <c r="G3" s="76" t="s">
        <v>66</v>
      </c>
      <c r="H3" s="75"/>
      <c r="I3" s="75"/>
      <c r="J3" s="75"/>
      <c r="K3" s="76" t="s">
        <v>65</v>
      </c>
      <c r="L3" s="75"/>
      <c r="M3" s="75"/>
      <c r="N3" s="75"/>
      <c r="O3" s="76" t="s">
        <v>64</v>
      </c>
      <c r="P3" s="75"/>
      <c r="Q3" s="75"/>
      <c r="R3" s="75"/>
      <c r="S3" s="76" t="s">
        <v>63</v>
      </c>
      <c r="T3" s="75"/>
      <c r="U3" s="75"/>
      <c r="V3" s="75"/>
      <c r="W3" s="76" t="s">
        <v>62</v>
      </c>
      <c r="X3" s="75"/>
      <c r="Y3" s="75"/>
      <c r="Z3" s="75"/>
      <c r="AA3" s="76" t="s">
        <v>61</v>
      </c>
      <c r="AB3" s="75"/>
      <c r="AC3" s="75"/>
      <c r="AD3" s="75"/>
      <c r="AE3" s="76" t="s">
        <v>60</v>
      </c>
      <c r="AF3" s="75"/>
      <c r="AG3" s="75"/>
      <c r="AH3" s="75"/>
      <c r="AI3" s="76" t="s">
        <v>59</v>
      </c>
      <c r="AJ3" s="75"/>
      <c r="AK3" s="75"/>
      <c r="AL3" s="75"/>
      <c r="AM3" s="76" t="s">
        <v>58</v>
      </c>
      <c r="AN3" s="75"/>
      <c r="AO3" s="75"/>
      <c r="AP3" s="75"/>
      <c r="AQ3" s="76" t="s">
        <v>57</v>
      </c>
      <c r="AR3" s="75"/>
      <c r="AS3" s="75"/>
      <c r="AT3" s="75"/>
      <c r="AU3" s="76" t="s">
        <v>56</v>
      </c>
      <c r="AV3" s="75"/>
      <c r="AW3" s="75"/>
      <c r="AX3" s="75"/>
      <c r="AY3" s="76" t="s">
        <v>55</v>
      </c>
      <c r="AZ3" s="75"/>
      <c r="BA3" s="75"/>
      <c r="BB3" s="75"/>
      <c r="BC3" s="76" t="s">
        <v>54</v>
      </c>
      <c r="BD3" s="75"/>
      <c r="BE3" s="75"/>
      <c r="BF3" s="75"/>
      <c r="BG3" s="76" t="s">
        <v>53</v>
      </c>
      <c r="BH3" s="75"/>
      <c r="BI3" s="75"/>
      <c r="BJ3" s="75"/>
      <c r="BK3" s="76" t="s">
        <v>52</v>
      </c>
      <c r="BL3" s="75"/>
      <c r="BM3" s="75"/>
      <c r="BN3" s="75"/>
      <c r="BO3" s="76" t="s">
        <v>51</v>
      </c>
      <c r="BP3" s="75"/>
      <c r="BQ3" s="75"/>
      <c r="BR3" s="75"/>
      <c r="BS3" s="75"/>
      <c r="BT3" s="74"/>
    </row>
    <row r="4" spans="1:72" ht="21.15" customHeight="1" x14ac:dyDescent="0.55000000000000004">
      <c r="A4" s="74"/>
      <c r="B4" s="75"/>
      <c r="C4" s="211" t="s">
        <v>640</v>
      </c>
      <c r="D4" s="212"/>
      <c r="E4" s="212"/>
      <c r="F4" s="213"/>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c r="BK4" s="75"/>
      <c r="BL4" s="75"/>
      <c r="BM4" s="75"/>
      <c r="BN4" s="75"/>
      <c r="BO4" s="75"/>
      <c r="BP4" s="75"/>
      <c r="BQ4" s="75"/>
      <c r="BR4" s="75"/>
      <c r="BS4" s="75"/>
      <c r="BT4" s="74"/>
    </row>
    <row r="5" spans="1:72" ht="21.15" customHeight="1" x14ac:dyDescent="0.55000000000000004">
      <c r="A5" s="74"/>
      <c r="B5" s="75"/>
      <c r="C5" s="214" t="s">
        <v>74</v>
      </c>
      <c r="D5" s="212"/>
      <c r="E5" s="212"/>
      <c r="F5" s="213"/>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4"/>
    </row>
    <row r="6" spans="1:72" ht="21.15" customHeight="1" thickBot="1" x14ac:dyDescent="0.6">
      <c r="A6" s="74"/>
      <c r="B6" s="75"/>
      <c r="C6" s="144" t="s">
        <v>638</v>
      </c>
      <c r="D6" s="145"/>
      <c r="E6" s="145"/>
      <c r="F6" s="146"/>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4"/>
    </row>
    <row r="7" spans="1:72" ht="21.15" customHeight="1" x14ac:dyDescent="0.55000000000000004">
      <c r="A7" s="74"/>
      <c r="B7" s="75"/>
      <c r="C7" s="76" t="s">
        <v>50</v>
      </c>
      <c r="D7" s="75"/>
      <c r="E7" s="75"/>
      <c r="F7" s="75"/>
      <c r="G7" s="75"/>
      <c r="H7" s="75"/>
      <c r="I7" s="75"/>
      <c r="J7" s="75"/>
      <c r="K7" s="77">
        <v>1</v>
      </c>
      <c r="L7" s="138" t="str">
        <f>VLOOKUP(K7,市町村データ!A2:I106,MATCH(手順書_人口密度!$G$54, 市町村データ!A1:I1, 0),FALSE)</f>
        <v>新座3</v>
      </c>
      <c r="M7" s="147"/>
      <c r="N7" s="152"/>
      <c r="O7" s="77">
        <v>2</v>
      </c>
      <c r="P7" s="138" t="str">
        <f>VLOOKUP(O7,市町村データ!A2:I106,MATCH(手順書_人口密度!$G$54, 市町村データ!A1:I1, 0),FALSE)</f>
        <v>新座2</v>
      </c>
      <c r="Q7" s="147"/>
      <c r="R7" s="152"/>
      <c r="S7" s="77">
        <v>3</v>
      </c>
      <c r="T7" s="138" t="str">
        <f>VLOOKUP(S7,市町村データ!A2:I106,MATCH(手順書_人口密度!$G$54, 市町村データ!A1:I1, 0),FALSE)</f>
        <v>新座1</v>
      </c>
      <c r="U7" s="147"/>
      <c r="V7" s="152"/>
      <c r="W7" s="77">
        <v>4</v>
      </c>
      <c r="X7" s="138" t="str">
        <f>VLOOKUP(W7,市町村データ!A2:I106,MATCH(手順書_人口密度!$G$54, 市町村データ!A1:I1, 0),FALSE)</f>
        <v>北野3</v>
      </c>
      <c r="Y7" s="147"/>
      <c r="Z7" s="152"/>
      <c r="AA7" s="77">
        <v>5</v>
      </c>
      <c r="AB7" s="138" t="str">
        <f>VLOOKUP(AA7,市町村データ!A2:I106,MATCH(手順書_人口密度!$G$54, 市町村データ!A1:I1, 0),FALSE)</f>
        <v>東北1</v>
      </c>
      <c r="AC7" s="147"/>
      <c r="AD7" s="152"/>
      <c r="AE7" s="77">
        <v>6</v>
      </c>
      <c r="AF7" s="138" t="str">
        <f>VLOOKUP(AE7,市町村データ!A2:I106,MATCH(手順書_人口密度!$G$54, 市町村データ!A1:I1, 0),FALSE)</f>
        <v>東北2</v>
      </c>
      <c r="AG7" s="147"/>
      <c r="AH7" s="152"/>
      <c r="AI7" s="79"/>
      <c r="AJ7" s="75"/>
      <c r="AK7" s="75"/>
      <c r="AL7" s="75"/>
      <c r="AM7" s="80"/>
      <c r="AN7" s="75"/>
      <c r="AO7" s="75"/>
      <c r="AP7" s="75"/>
      <c r="AQ7" s="80"/>
      <c r="AR7" s="75"/>
      <c r="AS7" s="75"/>
      <c r="AT7" s="75"/>
      <c r="AU7" s="75"/>
      <c r="AV7" s="75"/>
      <c r="AW7" s="75"/>
      <c r="AX7" s="75"/>
      <c r="AY7" s="75"/>
      <c r="AZ7" s="75"/>
      <c r="BA7" s="75"/>
      <c r="BB7" s="75"/>
      <c r="BC7" s="75"/>
      <c r="BD7" s="75"/>
      <c r="BE7" s="75"/>
      <c r="BF7" s="75"/>
      <c r="BG7" s="75"/>
      <c r="BH7" s="75"/>
      <c r="BI7" s="75"/>
      <c r="BJ7" s="75"/>
      <c r="BK7" s="215" t="s">
        <v>76</v>
      </c>
      <c r="BL7" s="216"/>
      <c r="BM7" s="216"/>
      <c r="BN7" s="217" t="s">
        <v>75</v>
      </c>
      <c r="BO7" s="218"/>
      <c r="BP7" s="75"/>
      <c r="BQ7" s="75"/>
      <c r="BR7" s="75"/>
      <c r="BS7" s="75"/>
      <c r="BT7" s="74"/>
    </row>
    <row r="8" spans="1:72" ht="21.15" customHeight="1" x14ac:dyDescent="0.55000000000000004">
      <c r="A8" s="74"/>
      <c r="B8" s="75"/>
      <c r="C8" s="75"/>
      <c r="D8" s="75"/>
      <c r="E8" s="75"/>
      <c r="F8" s="75"/>
      <c r="G8" s="75"/>
      <c r="H8" s="75"/>
      <c r="I8" s="75"/>
      <c r="J8" s="75"/>
      <c r="K8" s="225">
        <f>VLOOKUP(K7,市町村データ!A2:I106,MATCH(手順書_人口密度!$F$55, 市町村データ!A1:I1, 0),FALSE)</f>
        <v>160.1</v>
      </c>
      <c r="L8" s="137"/>
      <c r="M8" s="137"/>
      <c r="N8" s="151"/>
      <c r="O8" s="249">
        <f>VLOOKUP(O7,市町村データ!A2:I106,MATCH(手順書_人口密度!$F$55, 市町村データ!A1:I1, 0),FALSE)</f>
        <v>174.2</v>
      </c>
      <c r="P8" s="137"/>
      <c r="Q8" s="137"/>
      <c r="R8" s="151"/>
      <c r="S8" s="249">
        <f>VLOOKUP(S7,市町村データ!A2:I106,MATCH(手順書_人口密度!$F$55, 市町村データ!A1:I1, 0),FALSE)</f>
        <v>168.8</v>
      </c>
      <c r="T8" s="137"/>
      <c r="U8" s="137"/>
      <c r="V8" s="151"/>
      <c r="W8" s="224">
        <f>VLOOKUP(W7,市町村データ!A2:I106,MATCH(手順書_人口密度!$F$55, 市町村データ!A1:I1, 0),FALSE)</f>
        <v>181.9</v>
      </c>
      <c r="X8" s="137"/>
      <c r="Y8" s="137"/>
      <c r="Z8" s="151"/>
      <c r="AA8" s="249">
        <f>VLOOKUP(AA7,市町村データ!A2:I106,MATCH(手順書_人口密度!$F$55, 市町村データ!A1:I1, 0),FALSE)</f>
        <v>177.5</v>
      </c>
      <c r="AB8" s="137"/>
      <c r="AC8" s="137"/>
      <c r="AD8" s="151"/>
      <c r="AE8" s="225">
        <f>VLOOKUP(AE7,市町村データ!A2:I106,MATCH(手順書_人口密度!$F$55, 市町村データ!A1:I1, 0),FALSE)</f>
        <v>154.6</v>
      </c>
      <c r="AF8" s="137"/>
      <c r="AG8" s="137"/>
      <c r="AH8" s="151"/>
      <c r="AI8" s="79"/>
      <c r="AJ8" s="75"/>
      <c r="AK8" s="75"/>
      <c r="AL8" s="75"/>
      <c r="AM8" s="82"/>
      <c r="AN8" s="82"/>
      <c r="AO8" s="82"/>
      <c r="AP8" s="82"/>
      <c r="AQ8" s="82"/>
      <c r="AR8" s="82"/>
      <c r="AS8" s="82"/>
      <c r="AT8" s="82"/>
      <c r="AU8" s="75"/>
      <c r="AV8" s="75"/>
      <c r="AW8" s="75"/>
      <c r="AX8" s="75"/>
      <c r="AY8" s="75"/>
      <c r="AZ8" s="75"/>
      <c r="BA8" s="75"/>
      <c r="BB8" s="75"/>
      <c r="BC8" s="75"/>
      <c r="BD8" s="75"/>
      <c r="BE8" s="75"/>
      <c r="BF8" s="75"/>
      <c r="BG8" s="75"/>
      <c r="BH8" s="75"/>
      <c r="BI8" s="75"/>
      <c r="BJ8" s="75"/>
      <c r="BK8" s="194">
        <v>180</v>
      </c>
      <c r="BL8" s="195"/>
      <c r="BM8" s="195"/>
      <c r="BN8" s="208"/>
      <c r="BO8" s="197"/>
      <c r="BP8" s="75"/>
      <c r="BQ8" s="75"/>
      <c r="BR8" s="75"/>
      <c r="BS8" s="83"/>
      <c r="BT8" s="74"/>
    </row>
    <row r="9" spans="1:72" ht="21.15" customHeight="1" x14ac:dyDescent="0.55000000000000004">
      <c r="A9" s="74"/>
      <c r="B9" s="75"/>
      <c r="C9" s="75"/>
      <c r="D9" s="75"/>
      <c r="E9" s="75"/>
      <c r="F9" s="75"/>
      <c r="G9" s="75"/>
      <c r="H9" s="75"/>
      <c r="I9" s="75"/>
      <c r="J9" s="75"/>
      <c r="K9" s="220">
        <f>VLOOKUP(K7,市町村データ!A2:I106,MATCH(手順書_人口密度!$F$56, 市町村データ!A1:I1, 0),FALSE)</f>
        <v>4002</v>
      </c>
      <c r="L9" s="137"/>
      <c r="M9" s="137"/>
      <c r="N9" s="151"/>
      <c r="O9" s="248">
        <f>VLOOKUP(O7,市町村データ!A2:I106,MATCH(手順書_人口密度!$F$56, 市町村データ!A1:I1, 0),FALSE)</f>
        <v>2439</v>
      </c>
      <c r="P9" s="137"/>
      <c r="Q9" s="137"/>
      <c r="R9" s="151"/>
      <c r="S9" s="248">
        <f>VLOOKUP(S7,市町村データ!A2:I106,MATCH(手順書_人口密度!$F$56, 市町村データ!A1:I1, 0),FALSE)</f>
        <v>1350</v>
      </c>
      <c r="T9" s="137"/>
      <c r="U9" s="137"/>
      <c r="V9" s="151"/>
      <c r="W9" s="219">
        <f>VLOOKUP(W7,市町村データ!A2:I106,MATCH(手順書_人口密度!$F$56, 市町村データ!A1:I1, 0),FALSE)</f>
        <v>3457</v>
      </c>
      <c r="X9" s="137"/>
      <c r="Y9" s="137"/>
      <c r="Z9" s="151"/>
      <c r="AA9" s="248">
        <f>VLOOKUP(AA7,市町村データ!A2:I106,MATCH(手順書_人口密度!$F$56, 市町村データ!A1:I1, 0),FALSE)</f>
        <v>1952</v>
      </c>
      <c r="AB9" s="137"/>
      <c r="AC9" s="137"/>
      <c r="AD9" s="151"/>
      <c r="AE9" s="220">
        <f>VLOOKUP(AE7,市町村データ!A2:I106,MATCH(手順書_人口密度!$F$56, 市町村データ!A1:I1, 0),FALSE)</f>
        <v>6183</v>
      </c>
      <c r="AF9" s="137"/>
      <c r="AG9" s="137"/>
      <c r="AH9" s="151"/>
      <c r="AI9" s="79"/>
      <c r="AJ9" s="75"/>
      <c r="AK9" s="75"/>
      <c r="AL9" s="75"/>
      <c r="AM9" s="84"/>
      <c r="AN9" s="84"/>
      <c r="AO9" s="84"/>
      <c r="AP9" s="84"/>
      <c r="AQ9" s="84"/>
      <c r="AR9" s="84"/>
      <c r="AS9" s="84"/>
      <c r="AT9" s="84"/>
      <c r="AU9" s="75"/>
      <c r="AV9" s="75"/>
      <c r="AW9" s="75"/>
      <c r="AX9" s="75"/>
      <c r="AY9" s="75"/>
      <c r="AZ9" s="75"/>
      <c r="BA9" s="75"/>
      <c r="BB9" s="75"/>
      <c r="BC9" s="75"/>
      <c r="BD9" s="75"/>
      <c r="BE9" s="75"/>
      <c r="BF9" s="75"/>
      <c r="BG9" s="75"/>
      <c r="BH9" s="75"/>
      <c r="BI9" s="75"/>
      <c r="BJ9" s="75"/>
      <c r="BK9" s="194">
        <v>160</v>
      </c>
      <c r="BL9" s="195"/>
      <c r="BM9" s="195"/>
      <c r="BN9" s="209"/>
      <c r="BO9" s="197"/>
      <c r="BP9" s="75"/>
      <c r="BQ9" s="75"/>
      <c r="BR9" s="75"/>
      <c r="BS9" s="83"/>
      <c r="BT9" s="74"/>
    </row>
    <row r="10" spans="1:72" ht="21.15" customHeight="1" thickBot="1" x14ac:dyDescent="0.6">
      <c r="A10" s="74"/>
      <c r="B10" s="75"/>
      <c r="C10" s="75"/>
      <c r="D10" s="75"/>
      <c r="E10" s="75"/>
      <c r="F10" s="75"/>
      <c r="G10" s="75"/>
      <c r="H10" s="75"/>
      <c r="I10" s="75"/>
      <c r="J10" s="75"/>
      <c r="K10" s="223">
        <f>VLOOKUP(K7,市町村データ!A2:I106,MATCH(手順書_人口密度!$F$57, 市町村データ!A1:I1, 0),FALSE)</f>
        <v>25</v>
      </c>
      <c r="L10" s="149"/>
      <c r="M10" s="149"/>
      <c r="N10" s="222"/>
      <c r="O10" s="247">
        <f>VLOOKUP(O7,市町村データ!A2:I106,MATCH(手順書_人口密度!$F$57, 市町村データ!A1:I1, 0),FALSE)</f>
        <v>14</v>
      </c>
      <c r="P10" s="149"/>
      <c r="Q10" s="149"/>
      <c r="R10" s="222"/>
      <c r="S10" s="247">
        <f>VLOOKUP(S7,市町村データ!A2:I106,MATCH(手順書_人口密度!$F$57, 市町村データ!A1:I1, 0),FALSE)</f>
        <v>8</v>
      </c>
      <c r="T10" s="149"/>
      <c r="U10" s="149"/>
      <c r="V10" s="222"/>
      <c r="W10" s="221">
        <f>VLOOKUP(W7,市町村データ!A2:I106,MATCH(手順書_人口密度!$F$57, 市町村データ!A1:I1, 0),FALSE)</f>
        <v>19</v>
      </c>
      <c r="X10" s="149"/>
      <c r="Y10" s="149"/>
      <c r="Z10" s="222"/>
      <c r="AA10" s="247">
        <f>VLOOKUP(AA7,市町村データ!A2:I106,MATCH(手順書_人口密度!$F$57, 市町村データ!A1:I1, 0),FALSE)</f>
        <v>11</v>
      </c>
      <c r="AB10" s="149"/>
      <c r="AC10" s="149"/>
      <c r="AD10" s="222"/>
      <c r="AE10" s="223">
        <f>VLOOKUP(AE7,市町村データ!A2:I106,MATCH(手順書_人口密度!$F$57, 市町村データ!A1:I1, 0),FALSE)</f>
        <v>40</v>
      </c>
      <c r="AF10" s="149"/>
      <c r="AG10" s="149"/>
      <c r="AH10" s="222"/>
      <c r="AI10" s="79"/>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194">
        <v>140</v>
      </c>
      <c r="BL10" s="195"/>
      <c r="BM10" s="195"/>
      <c r="BN10" s="210"/>
      <c r="BO10" s="197"/>
      <c r="BP10" s="75"/>
      <c r="BQ10" s="75"/>
      <c r="BR10" s="75"/>
      <c r="BS10" s="83"/>
      <c r="BT10" s="74"/>
    </row>
    <row r="11" spans="1:72" ht="21.15" customHeight="1" x14ac:dyDescent="0.55000000000000004">
      <c r="A11" s="74"/>
      <c r="B11" s="75"/>
      <c r="C11" s="76" t="s">
        <v>67</v>
      </c>
      <c r="D11" s="75"/>
      <c r="E11" s="75"/>
      <c r="F11" s="75"/>
      <c r="G11" s="77">
        <v>7</v>
      </c>
      <c r="H11" s="138" t="str">
        <f>VLOOKUP(G11,市町村データ!A2:I106,MATCH(手順書_人口密度!$G$54, 市町村データ!A1:I1, 0),FALSE)</f>
        <v>中野2</v>
      </c>
      <c r="I11" s="147"/>
      <c r="J11" s="152"/>
      <c r="K11" s="77">
        <v>8</v>
      </c>
      <c r="L11" s="138" t="str">
        <f>VLOOKUP(K11,市町村データ!A2:I106,MATCH(手順書_人口密度!$G$54, 市町村データ!A1:I1, 0),FALSE)</f>
        <v>大和田4</v>
      </c>
      <c r="M11" s="147"/>
      <c r="N11" s="147"/>
      <c r="O11" s="85"/>
      <c r="P11" s="85"/>
      <c r="Q11" s="85"/>
      <c r="R11" s="85"/>
      <c r="S11" s="77">
        <v>9</v>
      </c>
      <c r="T11" s="138" t="str">
        <f>VLOOKUP(S11,市町村データ!A2:I106,MATCH(手順書_人口密度!$G$54, 市町村データ!A1:I1, 0),FALSE)</f>
        <v>大和田5</v>
      </c>
      <c r="U11" s="147"/>
      <c r="V11" s="152"/>
      <c r="W11" s="77">
        <v>10</v>
      </c>
      <c r="X11" s="138" t="str">
        <f>VLOOKUP(W11,市町村データ!A2:I106,MATCH(手順書_人口密度!$G$54, 市町村データ!A1:I1, 0),FALSE)</f>
        <v>北野2</v>
      </c>
      <c r="Y11" s="147"/>
      <c r="Z11" s="152"/>
      <c r="AA11" s="77">
        <v>11</v>
      </c>
      <c r="AB11" s="138" t="str">
        <f>VLOOKUP(AA11,市町村データ!A2:I106,MATCH(手順書_人口密度!$G$54, 市町村データ!A1:I1, 0),FALSE)</f>
        <v>北野1</v>
      </c>
      <c r="AC11" s="147"/>
      <c r="AD11" s="152"/>
      <c r="AE11" s="77">
        <v>12</v>
      </c>
      <c r="AF11" s="138" t="str">
        <f>VLOOKUP(AE11,市町村データ!A2:I106,MATCH(手順書_人口密度!$G$54, 市町村データ!A1:I1, 0),FALSE)</f>
        <v>東3</v>
      </c>
      <c r="AG11" s="147"/>
      <c r="AH11" s="152"/>
      <c r="AI11" s="77">
        <v>13</v>
      </c>
      <c r="AJ11" s="138" t="str">
        <f>VLOOKUP(AI11,市町村データ!A2:I106,MATCH(手順書_人口密度!$G$54, 市町村データ!A1:I1, 0),FALSE)</f>
        <v>東2</v>
      </c>
      <c r="AK11" s="147"/>
      <c r="AL11" s="152"/>
      <c r="AM11" s="77">
        <v>14</v>
      </c>
      <c r="AN11" s="138" t="str">
        <f>VLOOKUP(AM11,市町村データ!A2:I106,MATCH(手順書_人口密度!$G$54, 市町村データ!A1:I1, 0),FALSE)</f>
        <v>東1</v>
      </c>
      <c r="AO11" s="147"/>
      <c r="AP11" s="152"/>
      <c r="AQ11" s="86"/>
      <c r="AR11" s="75"/>
      <c r="AS11" s="75"/>
      <c r="AT11" s="75"/>
      <c r="AU11" s="75"/>
      <c r="AV11" s="75"/>
      <c r="AW11" s="75"/>
      <c r="AX11" s="75"/>
      <c r="AY11" s="75"/>
      <c r="AZ11" s="75"/>
      <c r="BA11" s="75"/>
      <c r="BB11" s="75"/>
      <c r="BC11" s="75"/>
      <c r="BD11" s="75"/>
      <c r="BE11" s="75"/>
      <c r="BF11" s="75"/>
      <c r="BG11" s="75"/>
      <c r="BH11" s="75"/>
      <c r="BI11" s="75"/>
      <c r="BJ11" s="75"/>
      <c r="BK11" s="203">
        <v>120</v>
      </c>
      <c r="BL11" s="204"/>
      <c r="BM11" s="204"/>
      <c r="BN11" s="205"/>
      <c r="BO11" s="197"/>
      <c r="BP11" s="75"/>
      <c r="BQ11" s="75"/>
      <c r="BR11" s="75"/>
      <c r="BS11" s="83"/>
      <c r="BT11" s="74"/>
    </row>
    <row r="12" spans="1:72" ht="21.15" customHeight="1" x14ac:dyDescent="0.55000000000000004">
      <c r="A12" s="74"/>
      <c r="B12" s="75"/>
      <c r="C12" s="75"/>
      <c r="D12" s="75"/>
      <c r="E12" s="75"/>
      <c r="F12" s="75"/>
      <c r="G12" s="244">
        <f>VLOOKUP(G11,市町村データ!A2:I106,MATCH(手順書_人口密度!$F$55, 市町村データ!A1:I1, 0),FALSE)</f>
        <v>4.9000000000000004</v>
      </c>
      <c r="H12" s="137"/>
      <c r="I12" s="137"/>
      <c r="J12" s="151"/>
      <c r="K12" s="246">
        <f>VLOOKUP(K11,市町村データ!A2:I106,MATCH(手順書_人口密度!$F$55, 市町村データ!A1:I1, 0),FALSE)</f>
        <v>36.700000000000003</v>
      </c>
      <c r="L12" s="137"/>
      <c r="M12" s="137"/>
      <c r="N12" s="137"/>
      <c r="O12" s="75"/>
      <c r="P12" s="75"/>
      <c r="Q12" s="75"/>
      <c r="R12" s="75"/>
      <c r="S12" s="225">
        <f>VLOOKUP(S11,市町村データ!A2:I106,MATCH(手順書_人口密度!$F$55, 市町村データ!A1:I1, 0),FALSE)</f>
        <v>144.69999999999999</v>
      </c>
      <c r="T12" s="137"/>
      <c r="U12" s="137"/>
      <c r="V12" s="151"/>
      <c r="W12" s="231">
        <f>VLOOKUP(W11,市町村データ!A2:I106,MATCH(手順書_人口密度!$F$55, 市町村データ!A1:I1, 0),FALSE)</f>
        <v>132.9</v>
      </c>
      <c r="X12" s="137"/>
      <c r="Y12" s="137"/>
      <c r="Z12" s="151"/>
      <c r="AA12" s="246">
        <f>VLOOKUP(AA11,市町村データ!A2:I106,MATCH(手順書_人口密度!$F$55, 市町村データ!A1:I1, 0),FALSE)</f>
        <v>34</v>
      </c>
      <c r="AB12" s="137"/>
      <c r="AC12" s="137"/>
      <c r="AD12" s="151"/>
      <c r="AE12" s="249">
        <f>VLOOKUP(AE11,市町村データ!A2:I106,MATCH(手順書_人口密度!$F$55, 市町村データ!A1:I1, 0),FALSE)</f>
        <v>164</v>
      </c>
      <c r="AF12" s="137"/>
      <c r="AG12" s="137"/>
      <c r="AH12" s="151"/>
      <c r="AI12" s="234">
        <f>VLOOKUP(AI11,市町村データ!A2:I106,MATCH(手順書_人口密度!$F$55, 市町村データ!A1:I1, 0),FALSE)</f>
        <v>108.1</v>
      </c>
      <c r="AJ12" s="137"/>
      <c r="AK12" s="137"/>
      <c r="AL12" s="151"/>
      <c r="AM12" s="249">
        <f>VLOOKUP(AM11,市町村データ!A2:I106,MATCH(手順書_人口密度!$F$55, 市町村データ!A1:I1, 0),FALSE)</f>
        <v>169.1</v>
      </c>
      <c r="AN12" s="137"/>
      <c r="AO12" s="137"/>
      <c r="AP12" s="151"/>
      <c r="AQ12" s="87"/>
      <c r="AR12" s="82"/>
      <c r="AS12" s="82"/>
      <c r="AT12" s="82"/>
      <c r="AU12" s="75"/>
      <c r="AV12" s="75"/>
      <c r="AW12" s="75"/>
      <c r="AX12" s="75"/>
      <c r="AY12" s="75"/>
      <c r="AZ12" s="75"/>
      <c r="BA12" s="75"/>
      <c r="BB12" s="75"/>
      <c r="BC12" s="75"/>
      <c r="BD12" s="75"/>
      <c r="BE12" s="75"/>
      <c r="BF12" s="75"/>
      <c r="BG12" s="75"/>
      <c r="BH12" s="75"/>
      <c r="BI12" s="75"/>
      <c r="BJ12" s="75"/>
      <c r="BK12" s="194">
        <v>100</v>
      </c>
      <c r="BL12" s="195"/>
      <c r="BM12" s="195"/>
      <c r="BN12" s="206"/>
      <c r="BO12" s="197"/>
      <c r="BP12" s="75"/>
      <c r="BQ12" s="75"/>
      <c r="BR12" s="75"/>
      <c r="BS12" s="83"/>
      <c r="BT12" s="74"/>
    </row>
    <row r="13" spans="1:72" ht="21.15" customHeight="1" x14ac:dyDescent="0.55000000000000004">
      <c r="A13" s="74"/>
      <c r="B13" s="75"/>
      <c r="C13" s="75"/>
      <c r="D13" s="75"/>
      <c r="E13" s="75"/>
      <c r="F13" s="75"/>
      <c r="G13" s="242">
        <f>VLOOKUP(G11,市町村データ!A2:I106,MATCH(手順書_人口密度!$F$56, 市町村データ!A1:I1, 0),FALSE)</f>
        <v>195</v>
      </c>
      <c r="H13" s="137"/>
      <c r="I13" s="137"/>
      <c r="J13" s="151"/>
      <c r="K13" s="241">
        <f>VLOOKUP(K11,市町村データ!A2:I106,MATCH(手順書_人口密度!$F$56, 市町村データ!A1:I1, 0),FALSE)</f>
        <v>1352</v>
      </c>
      <c r="L13" s="137"/>
      <c r="M13" s="137"/>
      <c r="N13" s="137"/>
      <c r="O13" s="75"/>
      <c r="P13" s="75"/>
      <c r="Q13" s="75"/>
      <c r="R13" s="75"/>
      <c r="S13" s="220">
        <f>VLOOKUP(S11,市町村データ!A2:I106,MATCH(手順書_人口密度!$F$56, 市町村データ!A1:I1, 0),FALSE)</f>
        <v>3908</v>
      </c>
      <c r="T13" s="137"/>
      <c r="U13" s="137"/>
      <c r="V13" s="151"/>
      <c r="W13" s="227">
        <f>VLOOKUP(W11,市町村データ!A2:I106,MATCH(手順書_人口密度!$F$56, 市町村データ!A1:I1, 0),FALSE)</f>
        <v>2791</v>
      </c>
      <c r="X13" s="137"/>
      <c r="Y13" s="137"/>
      <c r="Z13" s="151"/>
      <c r="AA13" s="241">
        <f>VLOOKUP(AA11,市町村データ!A2:I106,MATCH(手順書_人口密度!$F$56, 市町村データ!A1:I1, 0),FALSE)</f>
        <v>816</v>
      </c>
      <c r="AB13" s="137"/>
      <c r="AC13" s="137"/>
      <c r="AD13" s="151"/>
      <c r="AE13" s="248">
        <f>VLOOKUP(AE11,市町村データ!A2:I106,MATCH(手順書_人口密度!$F$56, 市町村データ!A1:I1, 0),FALSE)</f>
        <v>2460</v>
      </c>
      <c r="AF13" s="137"/>
      <c r="AG13" s="137"/>
      <c r="AH13" s="151"/>
      <c r="AI13" s="232">
        <f>VLOOKUP(AI11,市町村データ!A2:I106,MATCH(手順書_人口密度!$F$56, 市町村データ!A1:I1, 0),FALSE)</f>
        <v>1405</v>
      </c>
      <c r="AJ13" s="137"/>
      <c r="AK13" s="137"/>
      <c r="AL13" s="151"/>
      <c r="AM13" s="248">
        <f>VLOOKUP(AM11,市町村データ!A2:I106,MATCH(手順書_人口密度!$F$56, 市町村データ!A1:I1, 0),FALSE)</f>
        <v>3213</v>
      </c>
      <c r="AN13" s="137"/>
      <c r="AO13" s="137"/>
      <c r="AP13" s="151"/>
      <c r="AQ13" s="88"/>
      <c r="AR13" s="84"/>
      <c r="AS13" s="84"/>
      <c r="AT13" s="84"/>
      <c r="AU13" s="75"/>
      <c r="AV13" s="75"/>
      <c r="AW13" s="75"/>
      <c r="AX13" s="75"/>
      <c r="AY13" s="75"/>
      <c r="AZ13" s="75"/>
      <c r="BA13" s="75"/>
      <c r="BB13" s="75"/>
      <c r="BC13" s="75"/>
      <c r="BD13" s="75"/>
      <c r="BE13" s="75"/>
      <c r="BF13" s="75"/>
      <c r="BG13" s="75"/>
      <c r="BH13" s="75"/>
      <c r="BI13" s="75"/>
      <c r="BJ13" s="75"/>
      <c r="BK13" s="194">
        <v>80</v>
      </c>
      <c r="BL13" s="195"/>
      <c r="BM13" s="195"/>
      <c r="BN13" s="207"/>
      <c r="BO13" s="197"/>
      <c r="BP13" s="75"/>
      <c r="BQ13" s="75"/>
      <c r="BR13" s="75"/>
      <c r="BS13" s="83"/>
      <c r="BT13" s="74"/>
    </row>
    <row r="14" spans="1:72" ht="21.15" customHeight="1" thickBot="1" x14ac:dyDescent="0.6">
      <c r="A14" s="74"/>
      <c r="B14" s="75"/>
      <c r="C14" s="75"/>
      <c r="D14" s="75"/>
      <c r="E14" s="75"/>
      <c r="F14" s="75"/>
      <c r="G14" s="238">
        <f>VLOOKUP(G11,市町村データ!A2:I106,MATCH(手順書_人口密度!$F$57, 市町村データ!A1:I1, 0),FALSE)</f>
        <v>40</v>
      </c>
      <c r="H14" s="149"/>
      <c r="I14" s="149"/>
      <c r="J14" s="222"/>
      <c r="K14" s="240">
        <f>VLOOKUP(K11,市町村データ!A2:I106,MATCH(手順書_人口密度!$F$57, 市町村データ!A1:I1, 0),FALSE)</f>
        <v>36.799999999999997</v>
      </c>
      <c r="L14" s="149"/>
      <c r="M14" s="149"/>
      <c r="N14" s="149"/>
      <c r="O14" s="75"/>
      <c r="P14" s="75"/>
      <c r="Q14" s="75"/>
      <c r="R14" s="75"/>
      <c r="S14" s="223">
        <f>VLOOKUP(S11,市町村データ!A2:I106,MATCH(手順書_人口密度!$F$57, 市町村データ!A1:I1, 0),FALSE)</f>
        <v>27</v>
      </c>
      <c r="T14" s="149"/>
      <c r="U14" s="149"/>
      <c r="V14" s="222"/>
      <c r="W14" s="229">
        <f>VLOOKUP(W11,市町村データ!A2:I106,MATCH(手順書_人口密度!$F$57, 市町村データ!A1:I1, 0),FALSE)</f>
        <v>21</v>
      </c>
      <c r="X14" s="149"/>
      <c r="Y14" s="149"/>
      <c r="Z14" s="222"/>
      <c r="AA14" s="240">
        <f>VLOOKUP(AA11,市町村データ!A2:I106,MATCH(手順書_人口密度!$F$57, 市町村データ!A1:I1, 0),FALSE)</f>
        <v>24</v>
      </c>
      <c r="AB14" s="149"/>
      <c r="AC14" s="149"/>
      <c r="AD14" s="222"/>
      <c r="AE14" s="247">
        <f>VLOOKUP(AE11,市町村データ!A2:I106,MATCH(手順書_人口密度!$F$57, 市町村データ!A1:I1, 0),FALSE)</f>
        <v>15</v>
      </c>
      <c r="AF14" s="149"/>
      <c r="AG14" s="149"/>
      <c r="AH14" s="222"/>
      <c r="AI14" s="233">
        <f>VLOOKUP(AI11,市町村データ!A2:I106,MATCH(手順書_人口密度!$F$57, 市町村データ!A1:I1, 0),FALSE)</f>
        <v>13</v>
      </c>
      <c r="AJ14" s="149"/>
      <c r="AK14" s="149"/>
      <c r="AL14" s="222"/>
      <c r="AM14" s="247">
        <f>VLOOKUP(AM11,市町村データ!A2:I106,MATCH(手順書_人口密度!$F$57, 市町村データ!A1:I1, 0),FALSE)</f>
        <v>19</v>
      </c>
      <c r="AN14" s="149"/>
      <c r="AO14" s="149"/>
      <c r="AP14" s="222"/>
      <c r="AQ14" s="79"/>
      <c r="AR14" s="75"/>
      <c r="AS14" s="75"/>
      <c r="AT14" s="75"/>
      <c r="AU14" s="75"/>
      <c r="AV14" s="75"/>
      <c r="AW14" s="75"/>
      <c r="AX14" s="75"/>
      <c r="AY14" s="75"/>
      <c r="AZ14" s="75"/>
      <c r="BA14" s="75"/>
      <c r="BB14" s="75"/>
      <c r="BC14" s="75"/>
      <c r="BD14" s="75"/>
      <c r="BE14" s="75"/>
      <c r="BF14" s="75"/>
      <c r="BG14" s="75"/>
      <c r="BH14" s="75"/>
      <c r="BI14" s="75"/>
      <c r="BJ14" s="75"/>
      <c r="BK14" s="194">
        <v>60</v>
      </c>
      <c r="BL14" s="195"/>
      <c r="BM14" s="195"/>
      <c r="BN14" s="196"/>
      <c r="BO14" s="197"/>
      <c r="BP14" s="75"/>
      <c r="BQ14" s="75"/>
      <c r="BR14" s="75"/>
      <c r="BS14" s="83"/>
      <c r="BT14" s="74"/>
    </row>
    <row r="15" spans="1:72" ht="21.15" customHeight="1" x14ac:dyDescent="0.55000000000000004">
      <c r="A15" s="74"/>
      <c r="B15" s="75"/>
      <c r="C15" s="76" t="s">
        <v>144</v>
      </c>
      <c r="D15" s="75"/>
      <c r="E15" s="75"/>
      <c r="F15" s="75"/>
      <c r="G15" s="77">
        <v>15</v>
      </c>
      <c r="H15" s="138" t="str">
        <f>VLOOKUP(G15,市町村データ!A2:I106,MATCH(手順書_人口密度!$G$54, 市町村データ!A1:I1, 0),FALSE)</f>
        <v>中野1</v>
      </c>
      <c r="I15" s="147"/>
      <c r="J15" s="152"/>
      <c r="K15" s="77">
        <v>16</v>
      </c>
      <c r="L15" s="138" t="str">
        <f>VLOOKUP(K15,市町村データ!A2:I106,MATCH(手順書_人口密度!$G$54, 市町村データ!A1:I1, 0),FALSE)</f>
        <v>大和田3</v>
      </c>
      <c r="M15" s="147"/>
      <c r="N15" s="152"/>
      <c r="O15" s="77">
        <v>17</v>
      </c>
      <c r="P15" s="138" t="str">
        <f>VLOOKUP(O15,市町村データ!A2:I106,MATCH(手順書_人口密度!$G$54, 市町村データ!A1:I1, 0),FALSE)</f>
        <v>大和田2</v>
      </c>
      <c r="Q15" s="147"/>
      <c r="R15" s="152"/>
      <c r="S15" s="77">
        <v>18</v>
      </c>
      <c r="T15" s="138" t="str">
        <f>VLOOKUP(S15,市町村データ!A2:I106,MATCH(手順書_人口密度!$G$54, 市町村データ!A1:I1, 0),FALSE)</f>
        <v>大和田1</v>
      </c>
      <c r="U15" s="147"/>
      <c r="V15" s="152"/>
      <c r="W15" s="77">
        <v>19</v>
      </c>
      <c r="X15" s="138" t="str">
        <f>VLOOKUP(W15,市町村データ!A2:I106,MATCH(手順書_人口密度!$G$54, 市町村データ!A1:I1, 0),FALSE)</f>
        <v>野火止5</v>
      </c>
      <c r="Y15" s="147"/>
      <c r="Z15" s="152"/>
      <c r="AA15" s="77">
        <v>20</v>
      </c>
      <c r="AB15" s="138" t="str">
        <f>VLOOKUP(AA15,市町村データ!A2:I106,MATCH(手順書_人口密度!$G$54, 市町村データ!A1:I1, 0),FALSE)</f>
        <v>野火止6</v>
      </c>
      <c r="AC15" s="147"/>
      <c r="AD15" s="152"/>
      <c r="AE15" s="77">
        <v>21</v>
      </c>
      <c r="AF15" s="138" t="str">
        <f>VLOOKUP(AE15,市町村データ!A2:I106,MATCH(手順書_人口密度!$G$54, 市町村データ!A1:I1, 0),FALSE)</f>
        <v>野火止7</v>
      </c>
      <c r="AG15" s="147"/>
      <c r="AH15" s="152"/>
      <c r="AI15" s="77">
        <v>22</v>
      </c>
      <c r="AJ15" s="138" t="str">
        <f>VLOOKUP(AI15,市町村データ!A2:I106,MATCH(手順書_人口密度!$G$54, 市町村データ!A1:I1, 0),FALSE)</f>
        <v>野火止8</v>
      </c>
      <c r="AK15" s="147"/>
      <c r="AL15" s="152"/>
      <c r="AM15" s="77">
        <v>23</v>
      </c>
      <c r="AN15" s="138" t="str">
        <f>VLOOKUP(AM15,市町村データ!A2:I106,MATCH(手順書_人口密度!$G$54, 市町村データ!A1:I1, 0),FALSE)</f>
        <v>畑中3</v>
      </c>
      <c r="AO15" s="147"/>
      <c r="AP15" s="152"/>
      <c r="AQ15" s="86"/>
      <c r="AR15" s="75"/>
      <c r="AS15" s="75"/>
      <c r="AT15" s="75"/>
      <c r="AU15" s="75"/>
      <c r="AV15" s="75"/>
      <c r="AW15" s="75"/>
      <c r="AX15" s="75"/>
      <c r="AY15" s="75"/>
      <c r="AZ15" s="75"/>
      <c r="BA15" s="75"/>
      <c r="BB15" s="75"/>
      <c r="BC15" s="75"/>
      <c r="BD15" s="75"/>
      <c r="BE15" s="75"/>
      <c r="BF15" s="75"/>
      <c r="BG15" s="75"/>
      <c r="BH15" s="75"/>
      <c r="BI15" s="75"/>
      <c r="BJ15" s="75"/>
      <c r="BK15" s="194">
        <v>40</v>
      </c>
      <c r="BL15" s="198"/>
      <c r="BM15" s="198"/>
      <c r="BN15" s="199"/>
      <c r="BO15" s="197"/>
      <c r="BP15" s="75"/>
      <c r="BQ15" s="75"/>
      <c r="BR15" s="75"/>
      <c r="BS15" s="83"/>
      <c r="BT15" s="74"/>
    </row>
    <row r="16" spans="1:72" ht="21.15" customHeight="1" x14ac:dyDescent="0.55000000000000004">
      <c r="A16" s="74"/>
      <c r="B16" s="75"/>
      <c r="C16" s="75"/>
      <c r="D16" s="75"/>
      <c r="E16" s="75"/>
      <c r="F16" s="75"/>
      <c r="G16" s="244">
        <f>VLOOKUP(G15,市町村データ!A2:I106,MATCH(手順書_人口密度!$F$55, 市町村データ!A1:I1, 0),FALSE)</f>
        <v>11.5</v>
      </c>
      <c r="H16" s="137"/>
      <c r="I16" s="137"/>
      <c r="J16" s="151"/>
      <c r="K16" s="244">
        <f>VLOOKUP(K15,市町村データ!A2:I106,MATCH(手順書_人口密度!$F$55, 市町村データ!A1:I1, 0),FALSE)</f>
        <v>0.8</v>
      </c>
      <c r="L16" s="137"/>
      <c r="M16" s="137"/>
      <c r="N16" s="151"/>
      <c r="O16" s="244">
        <f>VLOOKUP(O15,市町村データ!A2:I106,MATCH(手順書_人口密度!$F$55, 市町村データ!A1:I1, 0),FALSE)</f>
        <v>5.3</v>
      </c>
      <c r="P16" s="137"/>
      <c r="Q16" s="137"/>
      <c r="R16" s="151"/>
      <c r="S16" s="236">
        <f>VLOOKUP(S15,市町村データ!A2:I106,MATCH(手順書_人口密度!$F$55, 市町村データ!A1:I1, 0),FALSE)</f>
        <v>71</v>
      </c>
      <c r="T16" s="137"/>
      <c r="U16" s="137"/>
      <c r="V16" s="151"/>
      <c r="W16" s="231">
        <f>VLOOKUP(W15,市町村データ!A2:I106,MATCH(手順書_人口密度!$F$55, 市町村データ!A1:I1, 0),FALSE)</f>
        <v>133.4</v>
      </c>
      <c r="X16" s="137"/>
      <c r="Y16" s="137"/>
      <c r="Z16" s="151"/>
      <c r="AA16" s="234">
        <f>VLOOKUP(AA15,市町村データ!A2:I106,MATCH(手順書_人口密度!$F$55, 市町村データ!A1:I1, 0),FALSE)</f>
        <v>105.2</v>
      </c>
      <c r="AB16" s="137"/>
      <c r="AC16" s="137"/>
      <c r="AD16" s="151"/>
      <c r="AE16" s="236">
        <f>VLOOKUP(AE15,市町村データ!A2:I106,MATCH(手順書_人口密度!$F$55, 市町村データ!A1:I1, 0),FALSE)</f>
        <v>64.3</v>
      </c>
      <c r="AF16" s="137"/>
      <c r="AG16" s="137"/>
      <c r="AH16" s="151"/>
      <c r="AI16" s="230">
        <f>VLOOKUP(AI15,市町村データ!A2:I106,MATCH(手順書_人口密度!$F$55, 市町村データ!A1:I1, 0),FALSE)</f>
        <v>81</v>
      </c>
      <c r="AJ16" s="137"/>
      <c r="AK16" s="137"/>
      <c r="AL16" s="151"/>
      <c r="AM16" s="234">
        <f>VLOOKUP(AM15,市町村データ!A2:I106,MATCH(手順書_人口密度!$F$55, 市町村データ!A1:I1, 0),FALSE)</f>
        <v>106.6</v>
      </c>
      <c r="AN16" s="137"/>
      <c r="AO16" s="137"/>
      <c r="AP16" s="151"/>
      <c r="AQ16" s="87"/>
      <c r="AR16" s="82"/>
      <c r="AS16" s="82"/>
      <c r="AT16" s="82"/>
      <c r="AU16" s="75"/>
      <c r="AV16" s="75"/>
      <c r="AW16" s="75"/>
      <c r="AX16" s="75"/>
      <c r="AY16" s="75"/>
      <c r="AZ16" s="75"/>
      <c r="BA16" s="75"/>
      <c r="BB16" s="75"/>
      <c r="BC16" s="75"/>
      <c r="BD16" s="75"/>
      <c r="BE16" s="75"/>
      <c r="BF16" s="75"/>
      <c r="BG16" s="75"/>
      <c r="BH16" s="75"/>
      <c r="BI16" s="75"/>
      <c r="BJ16" s="75"/>
      <c r="BK16" s="194">
        <v>20</v>
      </c>
      <c r="BL16" s="200"/>
      <c r="BM16" s="200"/>
      <c r="BN16" s="201"/>
      <c r="BO16" s="202"/>
      <c r="BP16" s="75"/>
      <c r="BQ16" s="75"/>
      <c r="BR16" s="75"/>
      <c r="BS16" s="83"/>
      <c r="BT16" s="74"/>
    </row>
    <row r="17" spans="1:72" ht="21.15" customHeight="1" thickBot="1" x14ac:dyDescent="0.6">
      <c r="A17" s="74"/>
      <c r="B17" s="75"/>
      <c r="C17" s="75"/>
      <c r="D17" s="75"/>
      <c r="E17" s="75"/>
      <c r="F17" s="75"/>
      <c r="G17" s="242">
        <f>VLOOKUP(G15,市町村データ!A2:I106,MATCH(手順書_人口密度!$F$56, 市町村データ!A1:I1, 0),FALSE)</f>
        <v>388</v>
      </c>
      <c r="H17" s="137"/>
      <c r="I17" s="137"/>
      <c r="J17" s="151"/>
      <c r="K17" s="242">
        <f>VLOOKUP(K15,市町村データ!A2:I106,MATCH(手順書_人口密度!$F$56, 市町村データ!A1:I1, 0),FALSE)</f>
        <v>26</v>
      </c>
      <c r="L17" s="137"/>
      <c r="M17" s="137"/>
      <c r="N17" s="151"/>
      <c r="O17" s="242">
        <f>VLOOKUP(O15,市町村データ!A2:I106,MATCH(手順書_人口密度!$F$56, 市町村データ!A1:I1, 0),FALSE)</f>
        <v>156</v>
      </c>
      <c r="P17" s="137"/>
      <c r="Q17" s="137"/>
      <c r="R17" s="151"/>
      <c r="S17" s="237">
        <f>VLOOKUP(S15,市町村データ!A2:I106,MATCH(手順書_人口密度!$F$56, 市町村データ!A1:I1, 0),FALSE)</f>
        <v>3836</v>
      </c>
      <c r="T17" s="137"/>
      <c r="U17" s="137"/>
      <c r="V17" s="151"/>
      <c r="W17" s="227">
        <f>VLOOKUP(W15,市町村データ!A2:I106,MATCH(手順書_人口密度!$F$56, 市町村データ!A1:I1, 0),FALSE)</f>
        <v>8004</v>
      </c>
      <c r="X17" s="137"/>
      <c r="Y17" s="137"/>
      <c r="Z17" s="151"/>
      <c r="AA17" s="232">
        <f>VLOOKUP(AA15,市町村データ!A2:I106,MATCH(手順書_人口密度!$F$56, 市町村データ!A1:I1, 0),FALSE)</f>
        <v>4944</v>
      </c>
      <c r="AB17" s="137"/>
      <c r="AC17" s="137"/>
      <c r="AD17" s="151"/>
      <c r="AE17" s="237">
        <f>VLOOKUP(AE15,市町村データ!A2:I106,MATCH(手順書_人口密度!$F$56, 市町村データ!A1:I1, 0),FALSE)</f>
        <v>3539</v>
      </c>
      <c r="AF17" s="137"/>
      <c r="AG17" s="137"/>
      <c r="AH17" s="151"/>
      <c r="AI17" s="226">
        <f>VLOOKUP(AI15,市町村データ!A2:I106,MATCH(手順書_人口密度!$F$56, 市町村データ!A1:I1, 0),FALSE)</f>
        <v>4857</v>
      </c>
      <c r="AJ17" s="137"/>
      <c r="AK17" s="137"/>
      <c r="AL17" s="151"/>
      <c r="AM17" s="232">
        <f>VLOOKUP(AM15,市町村データ!A2:I106,MATCH(手順書_人口密度!$F$56, 市町村データ!A1:I1, 0),FALSE)</f>
        <v>1599</v>
      </c>
      <c r="AN17" s="137"/>
      <c r="AO17" s="137"/>
      <c r="AP17" s="151"/>
      <c r="AQ17" s="88"/>
      <c r="AR17" s="84"/>
      <c r="AS17" s="84"/>
      <c r="AT17" s="84"/>
      <c r="AU17" s="75"/>
      <c r="AV17" s="75"/>
      <c r="AW17" s="75"/>
      <c r="AX17" s="75"/>
      <c r="AY17" s="75"/>
      <c r="AZ17" s="75"/>
      <c r="BA17" s="75"/>
      <c r="BB17" s="75"/>
      <c r="BC17" s="75"/>
      <c r="BD17" s="75"/>
      <c r="BE17" s="75"/>
      <c r="BF17" s="75"/>
      <c r="BG17" s="75"/>
      <c r="BH17" s="75"/>
      <c r="BI17" s="75"/>
      <c r="BJ17" s="75"/>
      <c r="BK17" s="190">
        <v>0</v>
      </c>
      <c r="BL17" s="191"/>
      <c r="BM17" s="191"/>
      <c r="BN17" s="192"/>
      <c r="BO17" s="193"/>
      <c r="BP17" s="75"/>
      <c r="BQ17" s="75"/>
      <c r="BR17" s="75"/>
      <c r="BS17" s="75"/>
      <c r="BT17" s="74"/>
    </row>
    <row r="18" spans="1:72" ht="21.15" customHeight="1" thickBot="1" x14ac:dyDescent="0.6">
      <c r="A18" s="74"/>
      <c r="B18" s="75"/>
      <c r="C18" s="75"/>
      <c r="D18" s="75"/>
      <c r="E18" s="75"/>
      <c r="F18" s="75"/>
      <c r="G18" s="238">
        <f>VLOOKUP(G15,市町村データ!A2:I106,MATCH(手順書_人口密度!$F$57, 市町村データ!A1:I1, 0),FALSE)</f>
        <v>33.700000000000003</v>
      </c>
      <c r="H18" s="149"/>
      <c r="I18" s="149"/>
      <c r="J18" s="222"/>
      <c r="K18" s="238">
        <f>VLOOKUP(K15,市町村データ!A2:I106,MATCH(手順書_人口密度!$F$57, 市町村データ!A1:I1, 0),FALSE)</f>
        <v>30.7</v>
      </c>
      <c r="L18" s="149"/>
      <c r="M18" s="149"/>
      <c r="N18" s="222"/>
      <c r="O18" s="238">
        <f>VLOOKUP(O15,市町村データ!A2:I106,MATCH(手順書_人口密度!$F$57, 市町村データ!A1:I1, 0),FALSE)</f>
        <v>29.7</v>
      </c>
      <c r="P18" s="149"/>
      <c r="Q18" s="149"/>
      <c r="R18" s="222"/>
      <c r="S18" s="235">
        <f>VLOOKUP(S15,市町村データ!A2:I106,MATCH(手順書_人口密度!$F$57, 市町村データ!A1:I1, 0),FALSE)</f>
        <v>54</v>
      </c>
      <c r="T18" s="149"/>
      <c r="U18" s="149"/>
      <c r="V18" s="222"/>
      <c r="W18" s="229">
        <f>VLOOKUP(W15,市町村データ!A2:I106,MATCH(手順書_人口密度!$F$57, 市町村データ!A1:I1, 0),FALSE)</f>
        <v>60</v>
      </c>
      <c r="X18" s="149"/>
      <c r="Y18" s="149"/>
      <c r="Z18" s="222"/>
      <c r="AA18" s="233">
        <f>VLOOKUP(AA15,市町村データ!A2:I106,MATCH(手順書_人口密度!$F$57, 市町村データ!A1:I1, 0),FALSE)</f>
        <v>47</v>
      </c>
      <c r="AB18" s="149"/>
      <c r="AC18" s="149"/>
      <c r="AD18" s="222"/>
      <c r="AE18" s="235">
        <f>VLOOKUP(AE15,市町村データ!A2:I106,MATCH(手順書_人口密度!$F$57, 市町村データ!A1:I1, 0),FALSE)</f>
        <v>55</v>
      </c>
      <c r="AF18" s="149"/>
      <c r="AG18" s="149"/>
      <c r="AH18" s="222"/>
      <c r="AI18" s="228">
        <f>VLOOKUP(AI15,市町村データ!A2:I106,MATCH(手順書_人口密度!$F$57, 市町村データ!A1:I1, 0),FALSE)</f>
        <v>60</v>
      </c>
      <c r="AJ18" s="149"/>
      <c r="AK18" s="149"/>
      <c r="AL18" s="222"/>
      <c r="AM18" s="233">
        <f>VLOOKUP(AM15,市町村データ!A2:I106,MATCH(手順書_人口密度!$F$57, 市町村データ!A1:I1, 0),FALSE)</f>
        <v>15</v>
      </c>
      <c r="AN18" s="149"/>
      <c r="AO18" s="149"/>
      <c r="AP18" s="222"/>
      <c r="AQ18" s="79"/>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4"/>
    </row>
    <row r="19" spans="1:72" ht="21.15" customHeight="1" x14ac:dyDescent="0.55000000000000004">
      <c r="A19" s="74"/>
      <c r="B19" s="75"/>
      <c r="C19" s="76" t="s">
        <v>68</v>
      </c>
      <c r="D19" s="75"/>
      <c r="E19" s="75"/>
      <c r="F19" s="75"/>
      <c r="G19" s="89"/>
      <c r="H19" s="85"/>
      <c r="I19" s="85"/>
      <c r="J19" s="85"/>
      <c r="K19" s="89"/>
      <c r="L19" s="85"/>
      <c r="M19" s="85"/>
      <c r="N19" s="85"/>
      <c r="O19" s="77">
        <v>24</v>
      </c>
      <c r="P19" s="138" t="str">
        <f>VLOOKUP(O19,市町村データ!A2:I106,MATCH(手順書_人口密度!$G$54, 市町村データ!A1:I1, 0),FALSE)</f>
        <v>菅沢2</v>
      </c>
      <c r="Q19" s="147"/>
      <c r="R19" s="152"/>
      <c r="S19" s="77">
        <v>25</v>
      </c>
      <c r="T19" s="138" t="str">
        <f>VLOOKUP(S19,市町村データ!A2:I106,MATCH(手順書_人口密度!$G$54, 市町村データ!A1:I1, 0),FALSE)</f>
        <v>菅沢1</v>
      </c>
      <c r="U19" s="147"/>
      <c r="V19" s="152"/>
      <c r="W19" s="77">
        <v>26</v>
      </c>
      <c r="X19" s="138" t="str">
        <f>VLOOKUP(W19,市町村データ!A2:I106,MATCH(手順書_人口密度!$G$54, 市町村データ!A1:I1, 0),FALSE)</f>
        <v>野火止4</v>
      </c>
      <c r="Y19" s="147"/>
      <c r="Z19" s="152"/>
      <c r="AA19" s="77">
        <v>27</v>
      </c>
      <c r="AB19" s="138" t="str">
        <f>VLOOKUP(AA19,市町村データ!A2:I106,MATCH(手順書_人口密度!$G$54, 市町村データ!A1:I1, 0),FALSE)</f>
        <v>野火止3</v>
      </c>
      <c r="AC19" s="147"/>
      <c r="AD19" s="152"/>
      <c r="AE19" s="77">
        <v>28</v>
      </c>
      <c r="AF19" s="138" t="str">
        <f>VLOOKUP(AE19,市町村データ!A2:I106,MATCH(手順書_人口密度!$G$54, 市町村データ!A1:I1, 0),FALSE)</f>
        <v>野火止2</v>
      </c>
      <c r="AG19" s="147"/>
      <c r="AH19" s="152"/>
      <c r="AI19" s="77">
        <v>29</v>
      </c>
      <c r="AJ19" s="138" t="str">
        <f>VLOOKUP(AI19,市町村データ!A2:I106,MATCH(手順書_人口密度!$G$54, 市町村データ!A1:I1, 0),FALSE)</f>
        <v>野火止1</v>
      </c>
      <c r="AK19" s="147"/>
      <c r="AL19" s="152"/>
      <c r="AM19" s="77">
        <v>30</v>
      </c>
      <c r="AN19" s="138" t="str">
        <f>VLOOKUP(AM19,市町村データ!A2:I106,MATCH(手順書_人口密度!$G$54, 市町村データ!A1:I1, 0),FALSE)</f>
        <v>畑中1</v>
      </c>
      <c r="AO19" s="147"/>
      <c r="AP19" s="152"/>
      <c r="AQ19" s="77">
        <v>31</v>
      </c>
      <c r="AR19" s="138" t="str">
        <f>VLOOKUP(AQ19,市町村データ!A2:I106,MATCH(手順書_人口密度!$G$54, 市町村データ!A1:I1, 0),FALSE)</f>
        <v>畑中2</v>
      </c>
      <c r="AS19" s="147"/>
      <c r="AT19" s="152"/>
      <c r="AU19" s="86"/>
      <c r="AV19" s="75"/>
      <c r="AW19" s="75"/>
      <c r="AX19" s="75"/>
      <c r="AY19" s="80"/>
      <c r="AZ19" s="75"/>
      <c r="BA19" s="75"/>
      <c r="BB19" s="75"/>
      <c r="BC19" s="80"/>
      <c r="BD19" s="75"/>
      <c r="BE19" s="75"/>
      <c r="BF19" s="75"/>
      <c r="BG19" s="80"/>
      <c r="BH19" s="75"/>
      <c r="BI19" s="75"/>
      <c r="BJ19" s="75"/>
      <c r="BK19" s="80"/>
      <c r="BL19" s="75"/>
      <c r="BM19" s="75"/>
      <c r="BN19" s="75"/>
      <c r="BO19" s="75"/>
      <c r="BP19" s="75"/>
      <c r="BQ19" s="75"/>
      <c r="BR19" s="75"/>
      <c r="BS19" s="75"/>
      <c r="BT19" s="74"/>
    </row>
    <row r="20" spans="1:72" ht="21.15" customHeight="1" x14ac:dyDescent="0.55000000000000004">
      <c r="A20" s="74"/>
      <c r="B20" s="75"/>
      <c r="C20" s="75"/>
      <c r="D20" s="75"/>
      <c r="E20" s="75"/>
      <c r="F20" s="75"/>
      <c r="G20" s="82"/>
      <c r="H20" s="82"/>
      <c r="I20" s="82"/>
      <c r="J20" s="82"/>
      <c r="K20" s="82"/>
      <c r="L20" s="82"/>
      <c r="M20" s="82"/>
      <c r="N20" s="82"/>
      <c r="O20" s="246">
        <f>VLOOKUP(O19,市町村データ!A2:I106,MATCH(手順書_人口密度!$F$55, 市町村データ!A1:I1, 0),FALSE)</f>
        <v>23.4</v>
      </c>
      <c r="P20" s="137"/>
      <c r="Q20" s="137"/>
      <c r="R20" s="151"/>
      <c r="S20" s="244">
        <f>VLOOKUP(S19,市町村データ!A2:I106,MATCH(手順書_人口密度!$F$55, 市町村データ!A1:I1, 0),FALSE)</f>
        <v>11.6</v>
      </c>
      <c r="T20" s="137"/>
      <c r="U20" s="137"/>
      <c r="V20" s="151"/>
      <c r="W20" s="236">
        <f>VLOOKUP(W19,市町村データ!A2:I106,MATCH(手順書_人口密度!$F$55, 市町村データ!A1:I1, 0),FALSE)</f>
        <v>79.8</v>
      </c>
      <c r="X20" s="137"/>
      <c r="Y20" s="137"/>
      <c r="Z20" s="151"/>
      <c r="AA20" s="246">
        <f>VLOOKUP(AA19,市町村データ!A2:I106,MATCH(手順書_人口密度!$F$55, 市町村データ!A1:I1, 0),FALSE)</f>
        <v>22.9</v>
      </c>
      <c r="AB20" s="137"/>
      <c r="AC20" s="137"/>
      <c r="AD20" s="151"/>
      <c r="AE20" s="244">
        <f>VLOOKUP(AE19,市町村データ!A2:I106,MATCH(手順書_人口密度!$F$55, 市町村データ!A1:I1, 0),FALSE)</f>
        <v>9.9</v>
      </c>
      <c r="AF20" s="137"/>
      <c r="AG20" s="137"/>
      <c r="AH20" s="151"/>
      <c r="AI20" s="245">
        <f>VLOOKUP(AI19,市町村データ!A2:I106,MATCH(手順書_人口密度!$F$55, 市町村データ!A1:I1, 0),FALSE)</f>
        <v>59.6</v>
      </c>
      <c r="AJ20" s="137"/>
      <c r="AK20" s="137"/>
      <c r="AL20" s="151"/>
      <c r="AM20" s="230">
        <f>VLOOKUP(AM19,市町村データ!A2:I106,MATCH(手順書_人口密度!$F$55, 市町村データ!A1:I1, 0),FALSE)</f>
        <v>87.3</v>
      </c>
      <c r="AN20" s="137"/>
      <c r="AO20" s="137"/>
      <c r="AP20" s="151"/>
      <c r="AQ20" s="236">
        <f>VLOOKUP(AQ19,市町村データ!A2:I106,MATCH(手順書_人口密度!$F$55, 市町村データ!A1:I1, 0),FALSE)</f>
        <v>72.3</v>
      </c>
      <c r="AR20" s="137"/>
      <c r="AS20" s="137"/>
      <c r="AT20" s="151"/>
      <c r="AU20" s="87"/>
      <c r="AV20" s="82"/>
      <c r="AW20" s="82"/>
      <c r="AX20" s="82"/>
      <c r="AY20" s="82"/>
      <c r="AZ20" s="82"/>
      <c r="BA20" s="82"/>
      <c r="BB20" s="82"/>
      <c r="BC20" s="82"/>
      <c r="BD20" s="82"/>
      <c r="BE20" s="82"/>
      <c r="BF20" s="82"/>
      <c r="BG20" s="82"/>
      <c r="BH20" s="82"/>
      <c r="BI20" s="82"/>
      <c r="BJ20" s="82"/>
      <c r="BK20" s="82"/>
      <c r="BL20" s="82"/>
      <c r="BM20" s="82"/>
      <c r="BN20" s="82"/>
      <c r="BO20" s="75"/>
      <c r="BP20" s="75"/>
      <c r="BQ20" s="75"/>
      <c r="BR20" s="75"/>
      <c r="BS20" s="75"/>
      <c r="BT20" s="74"/>
    </row>
    <row r="21" spans="1:72" ht="21.15" customHeight="1" x14ac:dyDescent="0.55000000000000004">
      <c r="A21" s="74"/>
      <c r="B21" s="75"/>
      <c r="C21" s="75"/>
      <c r="D21" s="75"/>
      <c r="E21" s="75"/>
      <c r="F21" s="75"/>
      <c r="G21" s="84"/>
      <c r="H21" s="84"/>
      <c r="I21" s="84"/>
      <c r="J21" s="84"/>
      <c r="K21" s="84"/>
      <c r="L21" s="84"/>
      <c r="M21" s="84"/>
      <c r="N21" s="84"/>
      <c r="O21" s="241">
        <f>VLOOKUP(O19,市町村データ!A2:I106,MATCH(手順書_人口密度!$F$56, 市町村データ!A1:I1, 0),FALSE)</f>
        <v>993</v>
      </c>
      <c r="P21" s="137"/>
      <c r="Q21" s="137"/>
      <c r="R21" s="151"/>
      <c r="S21" s="242">
        <f>VLOOKUP(S19,市町村データ!A2:I106,MATCH(手順書_人口密度!$F$56, 市町村データ!A1:I1, 0),FALSE)</f>
        <v>460</v>
      </c>
      <c r="T21" s="137"/>
      <c r="U21" s="137"/>
      <c r="V21" s="151"/>
      <c r="W21" s="237">
        <f>VLOOKUP(W19,市町村データ!A2:I106,MATCH(手順書_人口密度!$F$56, 市町村データ!A1:I1, 0),FALSE)</f>
        <v>5240</v>
      </c>
      <c r="X21" s="137"/>
      <c r="Y21" s="137"/>
      <c r="Z21" s="151"/>
      <c r="AA21" s="241">
        <f>VLOOKUP(AA19,市町村データ!A2:I106,MATCH(手順書_人口密度!$F$56, 市町村データ!A1:I1, 0),FALSE)</f>
        <v>2316</v>
      </c>
      <c r="AB21" s="137"/>
      <c r="AC21" s="137"/>
      <c r="AD21" s="151"/>
      <c r="AE21" s="242">
        <f>VLOOKUP(AE19,市町村データ!A2:I106,MATCH(手順書_人口密度!$F$56, 市町村データ!A1:I1, 0),FALSE)</f>
        <v>450</v>
      </c>
      <c r="AF21" s="137"/>
      <c r="AG21" s="137"/>
      <c r="AH21" s="151"/>
      <c r="AI21" s="243">
        <f>VLOOKUP(AI19,市町村データ!A2:I106,MATCH(手順書_人口密度!$F$56, 市町村データ!A1:I1, 0),FALSE)</f>
        <v>3149</v>
      </c>
      <c r="AJ21" s="137"/>
      <c r="AK21" s="137"/>
      <c r="AL21" s="151"/>
      <c r="AM21" s="226">
        <f>VLOOKUP(AM19,市町村データ!A2:I106,MATCH(手順書_人口密度!$F$56, 市町村データ!A1:I1, 0),FALSE)</f>
        <v>5131</v>
      </c>
      <c r="AN21" s="137"/>
      <c r="AO21" s="137"/>
      <c r="AP21" s="151"/>
      <c r="AQ21" s="237">
        <f>VLOOKUP(AQ19,市町村データ!A2:I106,MATCH(手順書_人口密度!$F$56, 市町村データ!A1:I1, 0),FALSE)</f>
        <v>3037</v>
      </c>
      <c r="AR21" s="137"/>
      <c r="AS21" s="137"/>
      <c r="AT21" s="151"/>
      <c r="AU21" s="88"/>
      <c r="AV21" s="84"/>
      <c r="AW21" s="84"/>
      <c r="AX21" s="84"/>
      <c r="AY21" s="84"/>
      <c r="AZ21" s="84"/>
      <c r="BA21" s="84"/>
      <c r="BB21" s="84"/>
      <c r="BC21" s="84"/>
      <c r="BD21" s="84"/>
      <c r="BE21" s="84"/>
      <c r="BF21" s="84"/>
      <c r="BG21" s="84"/>
      <c r="BH21" s="84"/>
      <c r="BI21" s="84"/>
      <c r="BJ21" s="84"/>
      <c r="BK21" s="84"/>
      <c r="BL21" s="84"/>
      <c r="BM21" s="84"/>
      <c r="BN21" s="84"/>
      <c r="BO21" s="75"/>
      <c r="BP21" s="75"/>
      <c r="BQ21" s="75"/>
      <c r="BR21" s="75"/>
      <c r="BS21" s="75"/>
      <c r="BT21" s="74"/>
    </row>
    <row r="22" spans="1:72" ht="21.15" customHeight="1" thickBot="1" x14ac:dyDescent="0.6">
      <c r="A22" s="74"/>
      <c r="B22" s="75"/>
      <c r="C22" s="75"/>
      <c r="D22" s="75"/>
      <c r="E22" s="75"/>
      <c r="F22" s="75"/>
      <c r="G22" s="75"/>
      <c r="H22" s="75"/>
      <c r="I22" s="75"/>
      <c r="J22" s="75"/>
      <c r="K22" s="75"/>
      <c r="L22" s="75"/>
      <c r="M22" s="75"/>
      <c r="N22" s="75"/>
      <c r="O22" s="240">
        <f>VLOOKUP(O19,市町村データ!A2:I106,MATCH(手順書_人口密度!$F$57, 市町村データ!A1:I1, 0),FALSE)</f>
        <v>42.5</v>
      </c>
      <c r="P22" s="149"/>
      <c r="Q22" s="149"/>
      <c r="R22" s="222"/>
      <c r="S22" s="238">
        <f>VLOOKUP(S19,市町村データ!A2:I106,MATCH(手順書_人口密度!$F$57, 市町村データ!A1:I1, 0),FALSE)</f>
        <v>39.6</v>
      </c>
      <c r="T22" s="149"/>
      <c r="U22" s="149"/>
      <c r="V22" s="222"/>
      <c r="W22" s="235">
        <f>VLOOKUP(W19,市町村データ!A2:I106,MATCH(手順書_人口密度!$F$57, 市町村データ!A1:I1, 0),FALSE)</f>
        <v>65.7</v>
      </c>
      <c r="X22" s="149"/>
      <c r="Y22" s="149"/>
      <c r="Z22" s="222"/>
      <c r="AA22" s="240">
        <f>VLOOKUP(AA19,市町村データ!A2:I106,MATCH(手順書_人口密度!$F$57, 市町村データ!A1:I1, 0),FALSE)</f>
        <v>101.1</v>
      </c>
      <c r="AB22" s="149"/>
      <c r="AC22" s="149"/>
      <c r="AD22" s="222"/>
      <c r="AE22" s="238">
        <f>VLOOKUP(AE19,市町村データ!A2:I106,MATCH(手順書_人口密度!$F$57, 市町村データ!A1:I1, 0),FALSE)</f>
        <v>45.6</v>
      </c>
      <c r="AF22" s="149"/>
      <c r="AG22" s="149"/>
      <c r="AH22" s="222"/>
      <c r="AI22" s="239">
        <f>VLOOKUP(AI19,市町村データ!A2:I106,MATCH(手順書_人口密度!$F$57, 市町村データ!A1:I1, 0),FALSE)</f>
        <v>52.8</v>
      </c>
      <c r="AJ22" s="149"/>
      <c r="AK22" s="149"/>
      <c r="AL22" s="222"/>
      <c r="AM22" s="228">
        <f>VLOOKUP(AM19,市町村データ!A2:I106,MATCH(手順書_人口密度!$F$57, 市町村データ!A1:I1, 0),FALSE)</f>
        <v>58.8</v>
      </c>
      <c r="AN22" s="149"/>
      <c r="AO22" s="149"/>
      <c r="AP22" s="222"/>
      <c r="AQ22" s="235">
        <f>VLOOKUP(AQ19,市町村データ!A2:I106,MATCH(手順書_人口密度!$F$57, 市町村データ!A1:I1, 0),FALSE)</f>
        <v>42</v>
      </c>
      <c r="AR22" s="149"/>
      <c r="AS22" s="149"/>
      <c r="AT22" s="222"/>
      <c r="AU22" s="79"/>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4"/>
    </row>
    <row r="23" spans="1:72" ht="21.15" customHeight="1" x14ac:dyDescent="0.55000000000000004">
      <c r="A23" s="74"/>
      <c r="B23" s="75"/>
      <c r="C23" s="76" t="s">
        <v>69</v>
      </c>
      <c r="D23" s="75"/>
      <c r="E23" s="75"/>
      <c r="F23" s="75"/>
      <c r="G23" s="75"/>
      <c r="H23" s="75"/>
      <c r="I23" s="75"/>
      <c r="J23" s="75"/>
      <c r="K23" s="75"/>
      <c r="L23" s="75"/>
      <c r="M23" s="75"/>
      <c r="N23" s="75"/>
      <c r="O23" s="77">
        <v>32</v>
      </c>
      <c r="P23" s="138" t="str">
        <f>VLOOKUP(O23,市町村データ!A2:I106,MATCH(手順書_人口密度!$G$54, 市町村データ!A1:I1, 0),FALSE)</f>
        <v>あたご3</v>
      </c>
      <c r="Q23" s="147"/>
      <c r="R23" s="152"/>
      <c r="S23" s="77">
        <v>33</v>
      </c>
      <c r="T23" s="138" t="str">
        <f>VLOOKUP(S23,市町村データ!A2:I106,MATCH(手順書_人口密度!$G$54, 市町村データ!A1:I1, 0),FALSE)</f>
        <v>あたご2</v>
      </c>
      <c r="U23" s="147"/>
      <c r="V23" s="152"/>
      <c r="W23" s="77">
        <v>34</v>
      </c>
      <c r="X23" s="138" t="str">
        <f>VLOOKUP(W23,市町村データ!A2:I106,MATCH(手順書_人口密度!$G$54, 市町村データ!A1:I1, 0),FALSE)</f>
        <v>あたご1</v>
      </c>
      <c r="Y23" s="147"/>
      <c r="Z23" s="152"/>
      <c r="AA23" s="77">
        <v>35</v>
      </c>
      <c r="AB23" s="138" t="str">
        <f>VLOOKUP(AA23,市町村データ!A2:I106,MATCH(手順書_人口密度!$G$54, 市町村データ!A1:I1, 0),FALSE)</f>
        <v>本多2</v>
      </c>
      <c r="AC23" s="147"/>
      <c r="AD23" s="152"/>
      <c r="AE23" s="77">
        <v>36</v>
      </c>
      <c r="AF23" s="138" t="str">
        <f>VLOOKUP(AE23,市町村データ!A2:I106,MATCH(手順書_人口密度!$G$54, 市町村データ!A1:I1, 0),FALSE)</f>
        <v>本多1</v>
      </c>
      <c r="AG23" s="147"/>
      <c r="AH23" s="152"/>
      <c r="AI23" s="77">
        <v>37</v>
      </c>
      <c r="AJ23" s="138" t="str">
        <f>VLOOKUP(AI23,市町村データ!A2:I106,MATCH(手順書_人口密度!$G$54, 市町村データ!A1:I1, 0),FALSE)</f>
        <v>堀ノ内1</v>
      </c>
      <c r="AK23" s="147"/>
      <c r="AL23" s="152"/>
      <c r="AM23" s="77">
        <v>38</v>
      </c>
      <c r="AN23" s="138" t="str">
        <f>VLOOKUP(AM23,市町村データ!A2:I106,MATCH(手順書_人口密度!$G$54, 市町村データ!A1:I1, 0),FALSE)</f>
        <v>馬場1</v>
      </c>
      <c r="AO23" s="147"/>
      <c r="AP23" s="152"/>
      <c r="AQ23" s="77">
        <v>39</v>
      </c>
      <c r="AR23" s="138" t="str">
        <f>VLOOKUP(AQ23,市町村データ!A2:I106,MATCH(手順書_人口密度!$G$54, 市町村データ!A1:I1, 0),FALSE)</f>
        <v>馬場2</v>
      </c>
      <c r="AS23" s="147"/>
      <c r="AT23" s="152"/>
      <c r="AU23" s="77">
        <v>40</v>
      </c>
      <c r="AV23" s="138" t="str">
        <f>VLOOKUP(AU23,市町村データ!A2:I106,MATCH(手順書_人口密度!$G$54, 市町村データ!A1:I1, 0),FALSE)</f>
        <v>新塚1</v>
      </c>
      <c r="AW23" s="147"/>
      <c r="AX23" s="152"/>
      <c r="AY23" s="77">
        <v>41</v>
      </c>
      <c r="AZ23" s="138" t="str">
        <f>VLOOKUP(AY23,市町村データ!A2:I106,MATCH(手順書_人口密度!$G$54, 市町村データ!A1:I1, 0),FALSE)</f>
        <v>新塚他の地域</v>
      </c>
      <c r="BA23" s="147"/>
      <c r="BB23" s="152"/>
      <c r="BC23" s="86"/>
      <c r="BD23" s="75"/>
      <c r="BE23" s="75"/>
      <c r="BF23" s="75"/>
      <c r="BG23" s="80"/>
      <c r="BH23" s="75"/>
      <c r="BI23" s="75"/>
      <c r="BJ23" s="75"/>
      <c r="BK23" s="75"/>
      <c r="BL23" s="75"/>
      <c r="BM23" s="75"/>
      <c r="BN23" s="75"/>
      <c r="BO23" s="80"/>
      <c r="BP23" s="75"/>
      <c r="BQ23" s="75"/>
      <c r="BR23" s="75"/>
      <c r="BS23" s="75"/>
      <c r="BT23" s="74"/>
    </row>
    <row r="24" spans="1:72" ht="21.15" customHeight="1" x14ac:dyDescent="0.55000000000000004">
      <c r="A24" s="74"/>
      <c r="B24" s="75"/>
      <c r="C24" s="75"/>
      <c r="D24" s="75"/>
      <c r="E24" s="75"/>
      <c r="F24" s="75"/>
      <c r="G24" s="75"/>
      <c r="H24" s="75"/>
      <c r="I24" s="75"/>
      <c r="J24" s="75"/>
      <c r="K24" s="75"/>
      <c r="L24" s="75"/>
      <c r="M24" s="75"/>
      <c r="N24" s="75"/>
      <c r="O24" s="245">
        <f>VLOOKUP(O23,市町村データ!A2:I106,MATCH(手順書_人口密度!$F$55, 市町村データ!A1:I1, 0),FALSE)</f>
        <v>51</v>
      </c>
      <c r="P24" s="137"/>
      <c r="Q24" s="137"/>
      <c r="R24" s="151"/>
      <c r="S24" s="244">
        <f>VLOOKUP(S23,市町村データ!A2:I106,MATCH(手順書_人口密度!$F$55, 市町村データ!A1:I1, 0),FALSE)</f>
        <v>8.6</v>
      </c>
      <c r="T24" s="137"/>
      <c r="U24" s="137"/>
      <c r="V24" s="151"/>
      <c r="W24" s="244">
        <f>VLOOKUP(W23,市町村データ!A2:I106,MATCH(手順書_人口密度!$F$55, 市町村データ!A1:I1, 0),FALSE)</f>
        <v>7.9</v>
      </c>
      <c r="X24" s="137"/>
      <c r="Y24" s="137"/>
      <c r="Z24" s="151"/>
      <c r="AA24" s="244">
        <f>VLOOKUP(AA23,市町村データ!A2:I106,MATCH(手順書_人口密度!$F$55, 市町村データ!A1:I1, 0),FALSE)</f>
        <v>1.4</v>
      </c>
      <c r="AB24" s="137"/>
      <c r="AC24" s="137"/>
      <c r="AD24" s="151"/>
      <c r="AE24" s="246">
        <f>VLOOKUP(AE23,市町村データ!A2:I106,MATCH(手順書_人口密度!$F$55, 市町村データ!A1:I1, 0),FALSE)</f>
        <v>22.8</v>
      </c>
      <c r="AF24" s="137"/>
      <c r="AG24" s="137"/>
      <c r="AH24" s="151"/>
      <c r="AI24" s="244">
        <f>VLOOKUP(AI23,市町村データ!A2:I106,MATCH(手順書_人口密度!$F$55, 市町村データ!A1:I1, 0),FALSE)</f>
        <v>17.3</v>
      </c>
      <c r="AJ24" s="137"/>
      <c r="AK24" s="137"/>
      <c r="AL24" s="151"/>
      <c r="AM24" s="246">
        <f>VLOOKUP(AM23,市町村データ!A2:I106,MATCH(手順書_人口密度!$F$55, 市町村データ!A1:I1, 0),FALSE)</f>
        <v>33.799999999999997</v>
      </c>
      <c r="AN24" s="137"/>
      <c r="AO24" s="137"/>
      <c r="AP24" s="151"/>
      <c r="AQ24" s="230">
        <f>VLOOKUP(AQ23,市町村データ!A2:I106,MATCH(手順書_人口密度!$F$55, 市町村データ!A1:I1, 0),FALSE)</f>
        <v>84.4</v>
      </c>
      <c r="AR24" s="137"/>
      <c r="AS24" s="137"/>
      <c r="AT24" s="151"/>
      <c r="AU24" s="236">
        <f>VLOOKUP(AU23,市町村データ!A2:I106,MATCH(手順書_人口密度!$F$55, 市町村データ!A1:I1, 0),FALSE)</f>
        <v>68.8</v>
      </c>
      <c r="AV24" s="137"/>
      <c r="AW24" s="137"/>
      <c r="AX24" s="151"/>
      <c r="AY24" s="251">
        <f>VLOOKUP(AY23,市町村データ!A2:I106,MATCH(手順書_人口密度!$F$55, 市町村データ!A1:I1, 0),FALSE)</f>
        <v>0</v>
      </c>
      <c r="AZ24" s="137"/>
      <c r="BA24" s="137"/>
      <c r="BB24" s="151"/>
      <c r="BC24" s="87"/>
      <c r="BD24" s="82"/>
      <c r="BE24" s="82"/>
      <c r="BF24" s="82"/>
      <c r="BG24" s="82"/>
      <c r="BH24" s="82"/>
      <c r="BI24" s="82"/>
      <c r="BJ24" s="82"/>
      <c r="BK24" s="75"/>
      <c r="BL24" s="75"/>
      <c r="BM24" s="75"/>
      <c r="BN24" s="75"/>
      <c r="BO24" s="82"/>
      <c r="BP24" s="51"/>
      <c r="BQ24" s="51"/>
      <c r="BR24" s="51"/>
      <c r="BS24" s="75"/>
      <c r="BT24" s="74"/>
    </row>
    <row r="25" spans="1:72" ht="21.15" customHeight="1" x14ac:dyDescent="0.55000000000000004">
      <c r="A25" s="74"/>
      <c r="B25" s="75"/>
      <c r="C25" s="75"/>
      <c r="D25" s="75"/>
      <c r="E25" s="75"/>
      <c r="F25" s="75"/>
      <c r="G25" s="75"/>
      <c r="H25" s="75"/>
      <c r="I25" s="75"/>
      <c r="J25" s="75"/>
      <c r="K25" s="75"/>
      <c r="L25" s="75"/>
      <c r="M25" s="75"/>
      <c r="N25" s="75"/>
      <c r="O25" s="243">
        <f>VLOOKUP(O23,市町村データ!A2:I106,MATCH(手順書_人口密度!$F$56, 市町村データ!A1:I1, 0),FALSE)</f>
        <v>1214</v>
      </c>
      <c r="P25" s="137"/>
      <c r="Q25" s="137"/>
      <c r="R25" s="151"/>
      <c r="S25" s="242">
        <f>VLOOKUP(S23,市町村データ!A2:I106,MATCH(手順書_人口密度!$F$56, 市町村データ!A1:I1, 0),FALSE)</f>
        <v>137</v>
      </c>
      <c r="T25" s="137"/>
      <c r="U25" s="137"/>
      <c r="V25" s="151"/>
      <c r="W25" s="242">
        <f>VLOOKUP(W23,市町村データ!A2:I106,MATCH(手順書_人口密度!$F$56, 市町村データ!A1:I1, 0),FALSE)</f>
        <v>125</v>
      </c>
      <c r="X25" s="137"/>
      <c r="Y25" s="137"/>
      <c r="Z25" s="151"/>
      <c r="AA25" s="242">
        <f>VLOOKUP(AA23,市町村データ!A2:I106,MATCH(手順書_人口密度!$F$56, 市町村データ!A1:I1, 0),FALSE)</f>
        <v>58</v>
      </c>
      <c r="AB25" s="137"/>
      <c r="AC25" s="137"/>
      <c r="AD25" s="151"/>
      <c r="AE25" s="241">
        <f>VLOOKUP(AE23,市町村データ!A2:I106,MATCH(手順書_人口密度!$F$56, 市町村データ!A1:I1, 0),FALSE)</f>
        <v>1175</v>
      </c>
      <c r="AF25" s="137"/>
      <c r="AG25" s="137"/>
      <c r="AH25" s="151"/>
      <c r="AI25" s="242">
        <f>VLOOKUP(AI23,市町村データ!A2:I106,MATCH(手順書_人口密度!$F$56, 市町村データ!A1:I1, 0),FALSE)</f>
        <v>480</v>
      </c>
      <c r="AJ25" s="137"/>
      <c r="AK25" s="137"/>
      <c r="AL25" s="151"/>
      <c r="AM25" s="241">
        <f>VLOOKUP(AM23,市町村データ!A2:I106,MATCH(手順書_人口密度!$F$56, 市町村データ!A1:I1, 0),FALSE)</f>
        <v>1342</v>
      </c>
      <c r="AN25" s="137"/>
      <c r="AO25" s="137"/>
      <c r="AP25" s="151"/>
      <c r="AQ25" s="226">
        <f>VLOOKUP(AQ23,市町村データ!A2:I106,MATCH(手順書_人口密度!$F$56, 市町村データ!A1:I1, 0),FALSE)</f>
        <v>1603</v>
      </c>
      <c r="AR25" s="137"/>
      <c r="AS25" s="137"/>
      <c r="AT25" s="151"/>
      <c r="AU25" s="237">
        <f>VLOOKUP(AU23,市町村データ!A2:I106,MATCH(手順書_人口密度!$F$56, 市町村データ!A1:I1, 0),FALSE)</f>
        <v>1451</v>
      </c>
      <c r="AV25" s="137"/>
      <c r="AW25" s="137"/>
      <c r="AX25" s="151"/>
      <c r="AY25" s="250">
        <f>VLOOKUP(AY23,市町村データ!A2:I106,MATCH(手順書_人口密度!$F$56, 市町村データ!A1:I1, 0),FALSE)</f>
        <v>0</v>
      </c>
      <c r="AZ25" s="137"/>
      <c r="BA25" s="137"/>
      <c r="BB25" s="151"/>
      <c r="BC25" s="88"/>
      <c r="BD25" s="84"/>
      <c r="BE25" s="84"/>
      <c r="BF25" s="84"/>
      <c r="BG25" s="84"/>
      <c r="BH25" s="84"/>
      <c r="BI25" s="84"/>
      <c r="BJ25" s="84"/>
      <c r="BK25" s="75"/>
      <c r="BL25" s="75"/>
      <c r="BM25" s="75"/>
      <c r="BN25" s="75"/>
      <c r="BO25" s="84"/>
      <c r="BP25" s="52"/>
      <c r="BQ25" s="52"/>
      <c r="BR25" s="52"/>
      <c r="BS25" s="75"/>
      <c r="BT25" s="74"/>
    </row>
    <row r="26" spans="1:72" ht="21.15" customHeight="1" thickBot="1" x14ac:dyDescent="0.6">
      <c r="A26" s="74"/>
      <c r="B26" s="75"/>
      <c r="C26" s="75"/>
      <c r="D26" s="75"/>
      <c r="E26" s="75"/>
      <c r="F26" s="75"/>
      <c r="G26" s="75"/>
      <c r="H26" s="75"/>
      <c r="I26" s="75"/>
      <c r="J26" s="75"/>
      <c r="K26" s="75"/>
      <c r="L26" s="75"/>
      <c r="M26" s="75"/>
      <c r="N26" s="75"/>
      <c r="O26" s="239">
        <f>VLOOKUP(O23,市町村データ!A2:I106,MATCH(手順書_人口密度!$F$57, 市町村データ!A1:I1, 0),FALSE)</f>
        <v>23.8</v>
      </c>
      <c r="P26" s="149"/>
      <c r="Q26" s="149"/>
      <c r="R26" s="222"/>
      <c r="S26" s="238">
        <f>VLOOKUP(S23,市町村データ!A2:I106,MATCH(手順書_人口密度!$F$57, 市町村データ!A1:I1, 0),FALSE)</f>
        <v>15.9</v>
      </c>
      <c r="T26" s="149"/>
      <c r="U26" s="149"/>
      <c r="V26" s="222"/>
      <c r="W26" s="238">
        <f>VLOOKUP(W23,市町村データ!A2:I106,MATCH(手順書_人口密度!$F$57, 市町村データ!A1:I1, 0),FALSE)</f>
        <v>15.9</v>
      </c>
      <c r="X26" s="149"/>
      <c r="Y26" s="149"/>
      <c r="Z26" s="222"/>
      <c r="AA26" s="238">
        <f>VLOOKUP(AA23,市町村データ!A2:I106,MATCH(手順書_人口密度!$F$57, 市町村データ!A1:I1, 0),FALSE)</f>
        <v>41.6</v>
      </c>
      <c r="AB26" s="149"/>
      <c r="AC26" s="149"/>
      <c r="AD26" s="222"/>
      <c r="AE26" s="240">
        <f>VLOOKUP(AE23,市町村データ!A2:I106,MATCH(手順書_人口密度!$F$57, 市町村データ!A1:I1, 0),FALSE)</f>
        <v>51.5</v>
      </c>
      <c r="AF26" s="149"/>
      <c r="AG26" s="149"/>
      <c r="AH26" s="222"/>
      <c r="AI26" s="238">
        <f>VLOOKUP(AI23,市町村データ!A2:I106,MATCH(手順書_人口密度!$F$57, 市町村データ!A1:I1, 0),FALSE)</f>
        <v>27.7</v>
      </c>
      <c r="AJ26" s="149"/>
      <c r="AK26" s="149"/>
      <c r="AL26" s="222"/>
      <c r="AM26" s="240">
        <f>VLOOKUP(AM23,市町村データ!A2:I106,MATCH(手順書_人口密度!$F$57, 市町村データ!A1:I1, 0),FALSE)</f>
        <v>39.700000000000003</v>
      </c>
      <c r="AN26" s="149"/>
      <c r="AO26" s="149"/>
      <c r="AP26" s="222"/>
      <c r="AQ26" s="228">
        <f>VLOOKUP(AQ23,市町村データ!A2:I106,MATCH(手順書_人口密度!$F$57, 市町村データ!A1:I1, 0),FALSE)</f>
        <v>19</v>
      </c>
      <c r="AR26" s="149"/>
      <c r="AS26" s="149"/>
      <c r="AT26" s="222"/>
      <c r="AU26" s="235">
        <f>VLOOKUP(AU23,市町村データ!A2:I106,MATCH(手順書_人口密度!$F$57, 市町村データ!A1:I1, 0),FALSE)</f>
        <v>21.1</v>
      </c>
      <c r="AV26" s="149"/>
      <c r="AW26" s="149"/>
      <c r="AX26" s="222"/>
      <c r="AY26" s="148">
        <f>VLOOKUP(AY23,市町村データ!A2:I106,MATCH(手順書_人口密度!$F$57, 市町村データ!A1:I1, 0),FALSE)</f>
        <v>41.8</v>
      </c>
      <c r="AZ26" s="149"/>
      <c r="BA26" s="149"/>
      <c r="BB26" s="222"/>
      <c r="BC26" s="79"/>
      <c r="BD26" s="75"/>
      <c r="BE26" s="75"/>
      <c r="BF26" s="75"/>
      <c r="BG26" s="75"/>
      <c r="BH26" s="75"/>
      <c r="BI26" s="75"/>
      <c r="BJ26" s="75"/>
      <c r="BK26" s="75"/>
      <c r="BL26" s="75"/>
      <c r="BM26" s="75"/>
      <c r="BN26" s="75"/>
      <c r="BO26" s="75"/>
      <c r="BP26" s="53"/>
      <c r="BQ26" s="53"/>
      <c r="BR26" s="53"/>
      <c r="BS26" s="75"/>
      <c r="BT26" s="74"/>
    </row>
    <row r="27" spans="1:72" ht="21.15" customHeight="1" x14ac:dyDescent="0.55000000000000004">
      <c r="A27" s="74"/>
      <c r="B27" s="75"/>
      <c r="C27" s="76" t="s">
        <v>70</v>
      </c>
      <c r="D27" s="75"/>
      <c r="E27" s="75"/>
      <c r="F27" s="75"/>
      <c r="G27" s="75"/>
      <c r="H27" s="75"/>
      <c r="I27" s="75"/>
      <c r="J27" s="75"/>
      <c r="K27" s="75"/>
      <c r="L27" s="75"/>
      <c r="M27" s="75"/>
      <c r="N27" s="75"/>
      <c r="O27" s="85"/>
      <c r="P27" s="85"/>
      <c r="Q27" s="85"/>
      <c r="R27" s="85"/>
      <c r="S27" s="77">
        <v>42</v>
      </c>
      <c r="T27" s="138" t="str">
        <f>VLOOKUP(S27,市町村データ!A2:I106,MATCH(手順書_人口密度!$G$54, 市町村データ!A1:I1, 0),FALSE)</f>
        <v>西堀2</v>
      </c>
      <c r="U27" s="147"/>
      <c r="V27" s="152"/>
      <c r="W27" s="77">
        <v>43</v>
      </c>
      <c r="X27" s="138" t="str">
        <f>VLOOKUP(W27,市町村データ!A2:I106,MATCH(手順書_人口密度!$G$54, 市町村データ!A1:I1, 0),FALSE)</f>
        <v>西堀1</v>
      </c>
      <c r="Y27" s="147"/>
      <c r="Z27" s="152"/>
      <c r="AA27" s="77">
        <v>44</v>
      </c>
      <c r="AB27" s="138" t="str">
        <f>VLOOKUP(AA27,市町村データ!A2:I106,MATCH(手順書_人口密度!$G$54, 市町村データ!A1:I1, 0),FALSE)</f>
        <v>石神5</v>
      </c>
      <c r="AC27" s="147"/>
      <c r="AD27" s="152"/>
      <c r="AE27" s="77">
        <v>45</v>
      </c>
      <c r="AF27" s="138" t="str">
        <f>VLOOKUP(AE27,市町村データ!A2:I106,MATCH(手順書_人口密度!$G$54, 市町村データ!A1:I1, 0),FALSE)</f>
        <v>堀ノ内3</v>
      </c>
      <c r="AG27" s="147"/>
      <c r="AH27" s="152"/>
      <c r="AI27" s="77">
        <v>46</v>
      </c>
      <c r="AJ27" s="138" t="str">
        <f>VLOOKUP(AI27,市町村データ!A2:I106,MATCH(手順書_人口密度!$G$54, 市町村データ!A1:I1, 0),FALSE)</f>
        <v>堀ノ内2</v>
      </c>
      <c r="AK27" s="147"/>
      <c r="AL27" s="152"/>
      <c r="AM27" s="77">
        <v>47</v>
      </c>
      <c r="AN27" s="138" t="str">
        <f>VLOOKUP(AM27,市町村データ!A2:I106,MATCH(手順書_人口密度!$G$54, 市町村データ!A1:I1, 0),FALSE)</f>
        <v>馬場4</v>
      </c>
      <c r="AO27" s="147"/>
      <c r="AP27" s="152"/>
      <c r="AQ27" s="77">
        <v>48</v>
      </c>
      <c r="AR27" s="138" t="str">
        <f>VLOOKUP(AQ27,市町村データ!A2:I106,MATCH(手順書_人口密度!$G$54, 市町村データ!A1:I1, 0),FALSE)</f>
        <v>馬場3</v>
      </c>
      <c r="AS27" s="147"/>
      <c r="AT27" s="152"/>
      <c r="AU27" s="77">
        <v>49</v>
      </c>
      <c r="AV27" s="138" t="str">
        <f>VLOOKUP(AU27,市町村データ!A2:I106,MATCH(手順書_人口密度!$G$54, 市町村データ!A1:I1, 0),FALSE)</f>
        <v>栄1</v>
      </c>
      <c r="AW27" s="147"/>
      <c r="AX27" s="152"/>
      <c r="AY27" s="77">
        <v>50</v>
      </c>
      <c r="AZ27" s="138" t="str">
        <f>VLOOKUP(AY27,市町村データ!A2:I106,MATCH(手順書_人口密度!$G$54, 市町村データ!A1:I1, 0),FALSE)</f>
        <v>栄2</v>
      </c>
      <c r="BA27" s="147"/>
      <c r="BB27" s="152"/>
      <c r="BC27" s="77">
        <v>51</v>
      </c>
      <c r="BD27" s="138" t="str">
        <f>VLOOKUP(BC27,市町村データ!A2:I106,MATCH(手順書_人口密度!$G$54, 市町村データ!A1:I1, 0),FALSE)</f>
        <v>栄3</v>
      </c>
      <c r="BE27" s="147"/>
      <c r="BF27" s="152"/>
      <c r="BG27" s="77">
        <v>52</v>
      </c>
      <c r="BH27" s="138" t="str">
        <f>VLOOKUP(BG27,市町村データ!A2:I106,MATCH(手順書_人口密度!$G$54, 市町村データ!A1:I1, 0),FALSE)</f>
        <v>栄4</v>
      </c>
      <c r="BI27" s="147"/>
      <c r="BJ27" s="152"/>
      <c r="BK27" s="77">
        <v>53</v>
      </c>
      <c r="BL27" s="138" t="str">
        <f>VLOOKUP(BK27,市町村データ!A2:I106,MATCH(手順書_人口密度!$G$54, 市町村データ!A1:I1, 0),FALSE)</f>
        <v>栄5</v>
      </c>
      <c r="BM27" s="147"/>
      <c r="BN27" s="152"/>
      <c r="BO27" s="86"/>
      <c r="BP27" s="75"/>
      <c r="BQ27" s="75"/>
      <c r="BR27" s="75"/>
      <c r="BS27" s="75"/>
      <c r="BT27" s="74"/>
    </row>
    <row r="28" spans="1:72" ht="21.15" customHeight="1" x14ac:dyDescent="0.55000000000000004">
      <c r="A28" s="74"/>
      <c r="B28" s="75"/>
      <c r="C28" s="75"/>
      <c r="D28" s="75"/>
      <c r="E28" s="75"/>
      <c r="F28" s="75"/>
      <c r="G28" s="75"/>
      <c r="H28" s="75"/>
      <c r="I28" s="75"/>
      <c r="J28" s="75"/>
      <c r="K28" s="75"/>
      <c r="L28" s="75"/>
      <c r="M28" s="75"/>
      <c r="N28" s="75"/>
      <c r="O28" s="75"/>
      <c r="P28" s="75"/>
      <c r="Q28" s="75"/>
      <c r="R28" s="75"/>
      <c r="S28" s="234">
        <f>VLOOKUP(S27,市町村データ!A2:I106,MATCH(手順書_人口密度!$F$55, 市町村データ!A1:I1, 0),FALSE)</f>
        <v>109.8</v>
      </c>
      <c r="T28" s="137"/>
      <c r="U28" s="137"/>
      <c r="V28" s="151"/>
      <c r="W28" s="230">
        <f>VLOOKUP(W27,市町村データ!A2:I106,MATCH(手順書_人口密度!$F$55, 市町村データ!A1:I1, 0),FALSE)</f>
        <v>88.8</v>
      </c>
      <c r="X28" s="137"/>
      <c r="Y28" s="137"/>
      <c r="Z28" s="151"/>
      <c r="AA28" s="249">
        <f>VLOOKUP(AA27,市町村データ!A2:I106,MATCH(手順書_人口密度!$F$55, 市町村データ!A1:I1, 0),FALSE)</f>
        <v>169.4</v>
      </c>
      <c r="AB28" s="137"/>
      <c r="AC28" s="137"/>
      <c r="AD28" s="151"/>
      <c r="AE28" s="244">
        <f>VLOOKUP(AE27,市町村データ!A2:I106,MATCH(手順書_人口密度!$F$55, 市町村データ!A1:I1, 0),FALSE)</f>
        <v>9.1999999999999993</v>
      </c>
      <c r="AF28" s="137"/>
      <c r="AG28" s="137"/>
      <c r="AH28" s="151"/>
      <c r="AI28" s="245">
        <f>VLOOKUP(AI27,市町村データ!A2:I106,MATCH(手順書_人口密度!$F$55, 市町村データ!A1:I1, 0),FALSE)</f>
        <v>40.9</v>
      </c>
      <c r="AJ28" s="137"/>
      <c r="AK28" s="137"/>
      <c r="AL28" s="151"/>
      <c r="AM28" s="246">
        <f>VLOOKUP(AM27,市町村データ!A2:I106,MATCH(手順書_人口密度!$F$55, 市町村データ!A1:I1, 0),FALSE)</f>
        <v>35.200000000000003</v>
      </c>
      <c r="AN28" s="137"/>
      <c r="AO28" s="137"/>
      <c r="AP28" s="151"/>
      <c r="AQ28" s="245">
        <f>VLOOKUP(AQ27,市町村データ!A2:I106,MATCH(手順書_人口密度!$F$55, 市町村データ!A1:I1, 0),FALSE)</f>
        <v>53.3</v>
      </c>
      <c r="AR28" s="137"/>
      <c r="AS28" s="137"/>
      <c r="AT28" s="151"/>
      <c r="AU28" s="230">
        <f>VLOOKUP(AU27,市町村データ!A2:I106,MATCH(手順書_人口密度!$F$55, 市町村データ!A1:I1, 0),FALSE)</f>
        <v>84.9</v>
      </c>
      <c r="AV28" s="137"/>
      <c r="AW28" s="137"/>
      <c r="AX28" s="151"/>
      <c r="AY28" s="225">
        <f>VLOOKUP(AY27,市町村データ!A2:I106,MATCH(手順書_人口密度!$F$55, 市町村データ!A1:I1, 0),FALSE)</f>
        <v>148.6</v>
      </c>
      <c r="AZ28" s="137"/>
      <c r="BA28" s="137"/>
      <c r="BB28" s="151"/>
      <c r="BC28" s="225">
        <f>VLOOKUP(BC27,市町村データ!A2:I106,MATCH(手順書_人口密度!$F$55, 市町村データ!A1:I1, 0),FALSE)</f>
        <v>141.5</v>
      </c>
      <c r="BD28" s="137"/>
      <c r="BE28" s="137"/>
      <c r="BF28" s="151"/>
      <c r="BG28" s="231">
        <f>VLOOKUP(BG27,市町村データ!A2:I106,MATCH(手順書_人口密度!$F$55, 市町村データ!A1:I1, 0),FALSE)</f>
        <v>135.9</v>
      </c>
      <c r="BH28" s="137"/>
      <c r="BI28" s="137"/>
      <c r="BJ28" s="151"/>
      <c r="BK28" s="249">
        <f>VLOOKUP(BK27,市町村データ!A2:I106,MATCH(手順書_人口密度!$F$55, 市町村データ!A1:I1, 0),FALSE)</f>
        <v>160.69999999999999</v>
      </c>
      <c r="BL28" s="137"/>
      <c r="BM28" s="137"/>
      <c r="BN28" s="151"/>
      <c r="BO28" s="87"/>
      <c r="BP28" s="51"/>
      <c r="BQ28" s="51"/>
      <c r="BR28" s="51"/>
      <c r="BS28" s="75"/>
      <c r="BT28" s="74"/>
    </row>
    <row r="29" spans="1:72" ht="21.15" customHeight="1" x14ac:dyDescent="0.55000000000000004">
      <c r="A29" s="74"/>
      <c r="B29" s="75"/>
      <c r="C29" s="75"/>
      <c r="D29" s="75"/>
      <c r="E29" s="75"/>
      <c r="F29" s="75"/>
      <c r="G29" s="75"/>
      <c r="H29" s="75"/>
      <c r="I29" s="75"/>
      <c r="J29" s="75"/>
      <c r="K29" s="75"/>
      <c r="L29" s="75"/>
      <c r="M29" s="75"/>
      <c r="N29" s="75"/>
      <c r="O29" s="75"/>
      <c r="P29" s="75"/>
      <c r="Q29" s="75"/>
      <c r="R29" s="75"/>
      <c r="S29" s="232">
        <f>VLOOKUP(S27,市町村データ!A2:I106,MATCH(手順書_人口密度!$F$56, 市町村データ!A1:I1, 0),FALSE)</f>
        <v>4393</v>
      </c>
      <c r="T29" s="137"/>
      <c r="U29" s="137"/>
      <c r="V29" s="151"/>
      <c r="W29" s="226">
        <f>VLOOKUP(W27,市町村データ!A2:I106,MATCH(手順書_人口密度!$F$56, 市町村データ!A1:I1, 0),FALSE)</f>
        <v>1864</v>
      </c>
      <c r="X29" s="137"/>
      <c r="Y29" s="137"/>
      <c r="Z29" s="151"/>
      <c r="AA29" s="248">
        <f>VLOOKUP(AA27,市町村データ!A2:I106,MATCH(手順書_人口密度!$F$56, 市町村データ!A1:I1, 0),FALSE)</f>
        <v>2033</v>
      </c>
      <c r="AB29" s="137"/>
      <c r="AC29" s="137"/>
      <c r="AD29" s="151"/>
      <c r="AE29" s="242">
        <f>VLOOKUP(AE27,市町村データ!A2:I106,MATCH(手順書_人口密度!$F$56, 市町村データ!A1:I1, 0),FALSE)</f>
        <v>291</v>
      </c>
      <c r="AF29" s="137"/>
      <c r="AG29" s="137"/>
      <c r="AH29" s="151"/>
      <c r="AI29" s="243">
        <f>VLOOKUP(AI27,市町村データ!A2:I106,MATCH(手順書_人口密度!$F$56, 市町村データ!A1:I1, 0),FALSE)</f>
        <v>768</v>
      </c>
      <c r="AJ29" s="137"/>
      <c r="AK29" s="137"/>
      <c r="AL29" s="151"/>
      <c r="AM29" s="241">
        <f>VLOOKUP(AM27,市町村データ!A2:I106,MATCH(手順書_人口密度!$F$56, 市町村データ!A1:I1, 0),FALSE)</f>
        <v>1446</v>
      </c>
      <c r="AN29" s="137"/>
      <c r="AO29" s="137"/>
      <c r="AP29" s="151"/>
      <c r="AQ29" s="243">
        <f>VLOOKUP(AQ27,市町村データ!A2:I106,MATCH(手順書_人口密度!$F$56, 市町村データ!A1:I1, 0),FALSE)</f>
        <v>1390</v>
      </c>
      <c r="AR29" s="137"/>
      <c r="AS29" s="137"/>
      <c r="AT29" s="151"/>
      <c r="AU29" s="226">
        <f>VLOOKUP(AU27,市町村データ!A2:I106,MATCH(手順書_人口密度!$F$56, 市町村データ!A1:I1, 0),FALSE)</f>
        <v>849</v>
      </c>
      <c r="AV29" s="137"/>
      <c r="AW29" s="137"/>
      <c r="AX29" s="151"/>
      <c r="AY29" s="220">
        <f>VLOOKUP(AY27,市町村データ!A2:I106,MATCH(手順書_人口密度!$F$56, 市町村データ!A1:I1, 0),FALSE)</f>
        <v>2229</v>
      </c>
      <c r="AZ29" s="137"/>
      <c r="BA29" s="137"/>
      <c r="BB29" s="151"/>
      <c r="BC29" s="220">
        <f>VLOOKUP(BC27,市町村データ!A2:I106,MATCH(手順書_人口密度!$F$56, 市町村データ!A1:I1, 0),FALSE)</f>
        <v>1839</v>
      </c>
      <c r="BD29" s="137"/>
      <c r="BE29" s="137"/>
      <c r="BF29" s="151"/>
      <c r="BG29" s="227">
        <f>VLOOKUP(BG27,市町村データ!A2:I106,MATCH(手順書_人口密度!$F$56, 市町村データ!A1:I1, 0),FALSE)</f>
        <v>1835</v>
      </c>
      <c r="BH29" s="137"/>
      <c r="BI29" s="137"/>
      <c r="BJ29" s="151"/>
      <c r="BK29" s="248">
        <f>VLOOKUP(BK27,市町村データ!A2:I106,MATCH(手順書_人口密度!$F$56, 市町村データ!A1:I1, 0),FALSE)</f>
        <v>2651</v>
      </c>
      <c r="BL29" s="137"/>
      <c r="BM29" s="137"/>
      <c r="BN29" s="151"/>
      <c r="BO29" s="88"/>
      <c r="BP29" s="52"/>
      <c r="BQ29" s="52"/>
      <c r="BR29" s="52"/>
      <c r="BS29" s="75"/>
      <c r="BT29" s="74"/>
    </row>
    <row r="30" spans="1:72" ht="21.15" customHeight="1" thickBot="1" x14ac:dyDescent="0.6">
      <c r="A30" s="74"/>
      <c r="B30" s="75"/>
      <c r="C30" s="75"/>
      <c r="D30" s="75"/>
      <c r="E30" s="75"/>
      <c r="F30" s="75"/>
      <c r="G30" s="75"/>
      <c r="H30" s="75"/>
      <c r="I30" s="75"/>
      <c r="J30" s="75"/>
      <c r="K30" s="75"/>
      <c r="L30" s="75"/>
      <c r="M30" s="75"/>
      <c r="N30" s="75"/>
      <c r="O30" s="75"/>
      <c r="P30" s="75"/>
      <c r="Q30" s="75"/>
      <c r="R30" s="75"/>
      <c r="S30" s="233">
        <f>VLOOKUP(S27,市町村データ!A2:I106,MATCH(手順書_人口密度!$F$57, 市町村データ!A1:I1, 0),FALSE)</f>
        <v>40</v>
      </c>
      <c r="T30" s="149"/>
      <c r="U30" s="149"/>
      <c r="V30" s="222"/>
      <c r="W30" s="228">
        <f>VLOOKUP(W27,市町村データ!A2:I106,MATCH(手順書_人口密度!$F$57, 市町村データ!A1:I1, 0),FALSE)</f>
        <v>21</v>
      </c>
      <c r="X30" s="149"/>
      <c r="Y30" s="149"/>
      <c r="Z30" s="222"/>
      <c r="AA30" s="247">
        <f>VLOOKUP(AA27,市町村データ!A2:I106,MATCH(手順書_人口密度!$F$57, 市町村データ!A1:I1, 0),FALSE)</f>
        <v>12</v>
      </c>
      <c r="AB30" s="149"/>
      <c r="AC30" s="149"/>
      <c r="AD30" s="222"/>
      <c r="AE30" s="238">
        <f>VLOOKUP(AE27,市町村データ!A2:I106,MATCH(手順書_人口密度!$F$57, 市町村データ!A1:I1, 0),FALSE)</f>
        <v>31.7</v>
      </c>
      <c r="AF30" s="149"/>
      <c r="AG30" s="149"/>
      <c r="AH30" s="222"/>
      <c r="AI30" s="239">
        <f>VLOOKUP(AI27,市町村データ!A2:I106,MATCH(手順書_人口密度!$F$57, 市町村データ!A1:I1, 0),FALSE)</f>
        <v>18.8</v>
      </c>
      <c r="AJ30" s="149"/>
      <c r="AK30" s="149"/>
      <c r="AL30" s="222"/>
      <c r="AM30" s="240">
        <f>VLOOKUP(AM27,市町村データ!A2:I106,MATCH(手順書_人口密度!$F$57, 市町村データ!A1:I1, 0),FALSE)</f>
        <v>41.1</v>
      </c>
      <c r="AN30" s="149"/>
      <c r="AO30" s="149"/>
      <c r="AP30" s="222"/>
      <c r="AQ30" s="239">
        <f>VLOOKUP(AQ27,市町村データ!A2:I106,MATCH(手順書_人口密度!$F$57, 市町村データ!A1:I1, 0),FALSE)</f>
        <v>26.1</v>
      </c>
      <c r="AR30" s="149"/>
      <c r="AS30" s="149"/>
      <c r="AT30" s="222"/>
      <c r="AU30" s="228">
        <f>VLOOKUP(AU27,市町村データ!A2:I106,MATCH(手順書_人口密度!$F$57, 市町村データ!A1:I1, 0),FALSE)</f>
        <v>10</v>
      </c>
      <c r="AV30" s="149"/>
      <c r="AW30" s="149"/>
      <c r="AX30" s="222"/>
      <c r="AY30" s="223">
        <f>VLOOKUP(AY27,市町村データ!A2:I106,MATCH(手順書_人口密度!$F$57, 市町村データ!A1:I1, 0),FALSE)</f>
        <v>15</v>
      </c>
      <c r="AZ30" s="149"/>
      <c r="BA30" s="149"/>
      <c r="BB30" s="222"/>
      <c r="BC30" s="223">
        <f>VLOOKUP(BC27,市町村データ!A2:I106,MATCH(手順書_人口密度!$F$57, 市町村データ!A1:I1, 0),FALSE)</f>
        <v>13</v>
      </c>
      <c r="BD30" s="149"/>
      <c r="BE30" s="149"/>
      <c r="BF30" s="222"/>
      <c r="BG30" s="229">
        <f>VLOOKUP(BG27,市町村データ!A2:I106,MATCH(手順書_人口密度!$F$57, 市町村データ!A1:I1, 0),FALSE)</f>
        <v>13.5</v>
      </c>
      <c r="BH30" s="149"/>
      <c r="BI30" s="149"/>
      <c r="BJ30" s="222"/>
      <c r="BK30" s="247">
        <f>VLOOKUP(BK27,市町村データ!A2:I106,MATCH(手順書_人口密度!$F$57, 市町村データ!A1:I1, 0),FALSE)</f>
        <v>16.5</v>
      </c>
      <c r="BL30" s="149"/>
      <c r="BM30" s="149"/>
      <c r="BN30" s="222"/>
      <c r="BO30" s="79"/>
      <c r="BP30" s="53"/>
      <c r="BQ30" s="53"/>
      <c r="BR30" s="53"/>
      <c r="BS30" s="75"/>
      <c r="BT30" s="74"/>
    </row>
    <row r="31" spans="1:72" ht="21.15" customHeight="1" x14ac:dyDescent="0.55000000000000004">
      <c r="A31" s="74"/>
      <c r="B31" s="75"/>
      <c r="C31" s="76" t="s">
        <v>71</v>
      </c>
      <c r="D31" s="75"/>
      <c r="E31" s="75"/>
      <c r="F31" s="75"/>
      <c r="G31" s="77">
        <v>54</v>
      </c>
      <c r="H31" s="138" t="str">
        <f>VLOOKUP(G31,市町村データ!A2:I106,MATCH(手順書_人口密度!$G$54, 市町村データ!A1:I1, 0),FALSE)</f>
        <v>新堀3</v>
      </c>
      <c r="I31" s="147"/>
      <c r="J31" s="152"/>
      <c r="K31" s="77">
        <v>55</v>
      </c>
      <c r="L31" s="138" t="str">
        <f>VLOOKUP(K31,市町村データ!A2:I106,MATCH(手順書_人口密度!$G$54, 市町村データ!A1:I1, 0),FALSE)</f>
        <v>新堀2</v>
      </c>
      <c r="M31" s="147"/>
      <c r="N31" s="152"/>
      <c r="O31" s="77">
        <v>56</v>
      </c>
      <c r="P31" s="138" t="str">
        <f>VLOOKUP(O31,市町村データ!A2:I106,MATCH(手順書_人口密度!$G$54, 市町村データ!A1:I1, 0),FALSE)</f>
        <v>新堀1</v>
      </c>
      <c r="Q31" s="147"/>
      <c r="R31" s="152"/>
      <c r="S31" s="77">
        <v>57</v>
      </c>
      <c r="T31" s="138" t="str">
        <f>VLOOKUP(S31,市町村データ!A2:I106,MATCH(手順書_人口密度!$G$54, 市町村データ!A1:I1, 0),FALSE)</f>
        <v>西堀3</v>
      </c>
      <c r="U31" s="147"/>
      <c r="V31" s="152"/>
      <c r="W31" s="90"/>
      <c r="X31" s="85"/>
      <c r="Y31" s="85"/>
      <c r="Z31" s="85"/>
      <c r="AA31" s="77">
        <v>58</v>
      </c>
      <c r="AB31" s="138" t="str">
        <f>VLOOKUP(AA31,市町村データ!A2:I106,MATCH(手順書_人口密度!$G$54, 市町村データ!A1:I1, 0),FALSE)</f>
        <v>石神4</v>
      </c>
      <c r="AC31" s="147"/>
      <c r="AD31" s="152"/>
      <c r="AE31" s="77">
        <v>59</v>
      </c>
      <c r="AF31" s="138" t="str">
        <f>VLOOKUP(AE31,市町村データ!A2:I106,MATCH(手順書_人口密度!$G$54, 市町村データ!A1:I1, 0),FALSE)</f>
        <v>石神1</v>
      </c>
      <c r="AG31" s="147"/>
      <c r="AH31" s="152"/>
      <c r="AI31" s="77">
        <v>60</v>
      </c>
      <c r="AJ31" s="138" t="str">
        <f>VLOOKUP(AI31,市町村データ!A2:I106,MATCH(手順書_人口密度!$G$54, 市町村データ!A1:I1, 0),FALSE)</f>
        <v>道場2</v>
      </c>
      <c r="AK31" s="147"/>
      <c r="AL31" s="152"/>
      <c r="AM31" s="77">
        <v>61</v>
      </c>
      <c r="AN31" s="138" t="str">
        <f>VLOOKUP(AM31,市町村データ!A2:I106,MATCH(手順書_人口密度!$G$54, 市町村データ!A1:I1, 0),FALSE)</f>
        <v>道場1</v>
      </c>
      <c r="AO31" s="147"/>
      <c r="AP31" s="152"/>
      <c r="AQ31" s="91"/>
      <c r="AR31" s="85"/>
      <c r="AS31" s="85"/>
      <c r="AT31" s="85"/>
      <c r="AU31" s="77">
        <v>62</v>
      </c>
      <c r="AV31" s="138" t="str">
        <f>VLOOKUP(AU31,市町村データ!A2:I106,MATCH(手順書_人口密度!$G$54, 市町村データ!A1:I1, 0),FALSE)</f>
        <v>池田1</v>
      </c>
      <c r="AW31" s="147"/>
      <c r="AX31" s="152"/>
      <c r="AY31" s="77">
        <v>63</v>
      </c>
      <c r="AZ31" s="138" t="str">
        <f>VLOOKUP(AY31,市町村データ!A2:I106,MATCH(手順書_人口密度!$G$54, 市町村データ!A1:I1, 0),FALSE)</f>
        <v>池田2</v>
      </c>
      <c r="BA31" s="147"/>
      <c r="BB31" s="152"/>
      <c r="BC31" s="77">
        <v>64</v>
      </c>
      <c r="BD31" s="138" t="str">
        <f>VLOOKUP(BC31,市町村データ!A2:I106,MATCH(手順書_人口密度!$G$54, 市町村データ!A1:I1, 0),FALSE)</f>
        <v>池田3</v>
      </c>
      <c r="BE31" s="147"/>
      <c r="BF31" s="152"/>
      <c r="BG31" s="77">
        <v>65</v>
      </c>
      <c r="BH31" s="138" t="str">
        <f>VLOOKUP(BG31,市町村データ!A2:I106,MATCH(手順書_人口密度!$G$54, 市町村データ!A1:I1, 0),FALSE)</f>
        <v>池田4</v>
      </c>
      <c r="BI31" s="147"/>
      <c r="BJ31" s="152"/>
      <c r="BK31" s="77">
        <v>66</v>
      </c>
      <c r="BL31" s="138" t="str">
        <f>VLOOKUP(BK31,市町村データ!A2:I106,MATCH(手順書_人口密度!$G$54, 市町村データ!A1:I1, 0),FALSE)</f>
        <v>池田5</v>
      </c>
      <c r="BM31" s="147"/>
      <c r="BN31" s="152"/>
      <c r="BO31" s="86"/>
      <c r="BP31" s="75"/>
      <c r="BQ31" s="75"/>
      <c r="BR31" s="75"/>
      <c r="BS31" s="75"/>
      <c r="BT31" s="74"/>
    </row>
    <row r="32" spans="1:72" ht="21.15" customHeight="1" x14ac:dyDescent="0.55000000000000004">
      <c r="A32" s="74"/>
      <c r="B32" s="75"/>
      <c r="C32" s="75"/>
      <c r="D32" s="75"/>
      <c r="E32" s="75"/>
      <c r="F32" s="75"/>
      <c r="G32" s="225">
        <f>VLOOKUP(G31,市町村データ!A2:I106,MATCH(手順書_人口密度!$F$55, 市町村データ!A1:I1, 0),FALSE)</f>
        <v>158.69999999999999</v>
      </c>
      <c r="H32" s="137"/>
      <c r="I32" s="137"/>
      <c r="J32" s="151"/>
      <c r="K32" s="231">
        <f>VLOOKUP(K31,市町村データ!A2:I106,MATCH(手順書_人口密度!$F$55, 市町村データ!A1:I1, 0),FALSE)</f>
        <v>133</v>
      </c>
      <c r="L32" s="137"/>
      <c r="M32" s="137"/>
      <c r="N32" s="151"/>
      <c r="O32" s="234">
        <f>VLOOKUP(O31,市町村データ!A2:I106,MATCH(手順書_人口密度!$F$55, 市町村データ!A1:I1, 0),FALSE)</f>
        <v>118.2</v>
      </c>
      <c r="P32" s="137"/>
      <c r="Q32" s="137"/>
      <c r="R32" s="151"/>
      <c r="S32" s="244">
        <f>VLOOKUP(S31,市町村データ!A2:I106,MATCH(手順書_人口密度!$F$55, 市町村データ!A1:I1, 0),FALSE)</f>
        <v>2.7</v>
      </c>
      <c r="T32" s="137"/>
      <c r="U32" s="137"/>
      <c r="V32" s="151"/>
      <c r="W32" s="79"/>
      <c r="X32" s="75"/>
      <c r="Y32" s="75"/>
      <c r="Z32" s="75"/>
      <c r="AA32" s="230">
        <f>VLOOKUP(AA31,市町村データ!A2:I106,MATCH(手順書_人口密度!$F$55, 市町村データ!A1:I1, 0),FALSE)</f>
        <v>93.7</v>
      </c>
      <c r="AB32" s="137"/>
      <c r="AC32" s="137"/>
      <c r="AD32" s="151"/>
      <c r="AE32" s="230">
        <f>VLOOKUP(AE31,市町村データ!A2:I106,MATCH(手順書_人口密度!$F$55, 市町村データ!A1:I1, 0),FALSE)</f>
        <v>81.8</v>
      </c>
      <c r="AF32" s="137"/>
      <c r="AG32" s="137"/>
      <c r="AH32" s="151"/>
      <c r="AI32" s="246">
        <f>VLOOKUP(AI31,市町村データ!A2:I106,MATCH(手順書_人口密度!$F$55, 市町村データ!A1:I1, 0),FALSE)</f>
        <v>22.9</v>
      </c>
      <c r="AJ32" s="137"/>
      <c r="AK32" s="137"/>
      <c r="AL32" s="151"/>
      <c r="AM32" s="236">
        <f>VLOOKUP(AM31,市町村データ!A2:I106,MATCH(手順書_人口密度!$F$55, 市町村データ!A1:I1, 0),FALSE)</f>
        <v>61</v>
      </c>
      <c r="AN32" s="137"/>
      <c r="AO32" s="137"/>
      <c r="AP32" s="151"/>
      <c r="AQ32" s="87"/>
      <c r="AR32" s="82"/>
      <c r="AS32" s="82"/>
      <c r="AT32" s="82"/>
      <c r="AU32" s="244">
        <f>VLOOKUP(AU31,市町村データ!A2:I106,MATCH(手順書_人口密度!$F$55, 市町村データ!A1:I1, 0),FALSE)</f>
        <v>1.2</v>
      </c>
      <c r="AV32" s="137"/>
      <c r="AW32" s="137"/>
      <c r="AX32" s="151"/>
      <c r="AY32" s="244">
        <f>VLOOKUP(AY31,市町村データ!A2:I106,MATCH(手順書_人口密度!$F$55, 市町村データ!A1:I1, 0),FALSE)</f>
        <v>19</v>
      </c>
      <c r="AZ32" s="137"/>
      <c r="BA32" s="137"/>
      <c r="BB32" s="151"/>
      <c r="BC32" s="245">
        <f>VLOOKUP(BC31,市町村データ!A2:I106,MATCH(手順書_人口密度!$F$55, 市町村データ!A1:I1, 0),FALSE)</f>
        <v>49.9</v>
      </c>
      <c r="BD32" s="137"/>
      <c r="BE32" s="137"/>
      <c r="BF32" s="151"/>
      <c r="BG32" s="230">
        <f>VLOOKUP(BG31,市町村データ!A2:I106,MATCH(手順書_人口密度!$F$55, 市町村データ!A1:I1, 0),FALSE)</f>
        <v>83.2</v>
      </c>
      <c r="BH32" s="137"/>
      <c r="BI32" s="137"/>
      <c r="BJ32" s="151"/>
      <c r="BK32" s="225">
        <f>VLOOKUP(BK31,市町村データ!A2:I106,MATCH(手順書_人口密度!$F$55, 市町村データ!A1:I1, 0),FALSE)</f>
        <v>147.30000000000001</v>
      </c>
      <c r="BL32" s="137"/>
      <c r="BM32" s="137"/>
      <c r="BN32" s="151"/>
      <c r="BO32" s="87"/>
      <c r="BP32" s="51"/>
      <c r="BQ32" s="51"/>
      <c r="BR32" s="51"/>
      <c r="BS32" s="75"/>
      <c r="BT32" s="74"/>
    </row>
    <row r="33" spans="1:72" ht="21.15" customHeight="1" x14ac:dyDescent="0.55000000000000004">
      <c r="A33" s="74"/>
      <c r="B33" s="75"/>
      <c r="C33" s="75"/>
      <c r="D33" s="75"/>
      <c r="E33" s="75"/>
      <c r="F33" s="75"/>
      <c r="G33" s="220">
        <f>VLOOKUP(G31,市町村データ!A2:I106,MATCH(手順書_人口密度!$F$56, 市町村データ!A1:I1, 0),FALSE)</f>
        <v>3173</v>
      </c>
      <c r="H33" s="137"/>
      <c r="I33" s="137"/>
      <c r="J33" s="151"/>
      <c r="K33" s="227">
        <f>VLOOKUP(K31,市町村データ!A2:I106,MATCH(手順書_人口密度!$F$56, 市町村データ!A1:I1, 0),FALSE)</f>
        <v>3856</v>
      </c>
      <c r="L33" s="137"/>
      <c r="M33" s="137"/>
      <c r="N33" s="151"/>
      <c r="O33" s="232">
        <f>VLOOKUP(O31,市町村データ!A2:I106,MATCH(手順書_人口密度!$F$56, 市町村データ!A1:I1, 0),FALSE)</f>
        <v>3429</v>
      </c>
      <c r="P33" s="137"/>
      <c r="Q33" s="137"/>
      <c r="R33" s="151"/>
      <c r="S33" s="242">
        <f>VLOOKUP(S31,市町村データ!A2:I106,MATCH(手順書_人口密度!$F$56, 市町村データ!A1:I1, 0),FALSE)</f>
        <v>119</v>
      </c>
      <c r="T33" s="137"/>
      <c r="U33" s="137"/>
      <c r="V33" s="151"/>
      <c r="W33" s="79"/>
      <c r="X33" s="75"/>
      <c r="Y33" s="75"/>
      <c r="Z33" s="75"/>
      <c r="AA33" s="226">
        <f>VLOOKUP(AA31,市町村データ!A2:I106,MATCH(手順書_人口密度!$F$56, 市町村データ!A1:I1, 0),FALSE)</f>
        <v>1686</v>
      </c>
      <c r="AB33" s="137"/>
      <c r="AC33" s="137"/>
      <c r="AD33" s="151"/>
      <c r="AE33" s="226">
        <f>VLOOKUP(AE31,市町村データ!A2:I106,MATCH(手順書_人口密度!$F$56, 市町村データ!A1:I1, 0),FALSE)</f>
        <v>1529</v>
      </c>
      <c r="AF33" s="137"/>
      <c r="AG33" s="137"/>
      <c r="AH33" s="151"/>
      <c r="AI33" s="241">
        <f>VLOOKUP(AI31,市町村データ!A2:I106,MATCH(手順書_人口密度!$F$56, 市町村データ!A1:I1, 0),FALSE)</f>
        <v>591</v>
      </c>
      <c r="AJ33" s="137"/>
      <c r="AK33" s="137"/>
      <c r="AL33" s="151"/>
      <c r="AM33" s="237">
        <f>VLOOKUP(AM31,市町村データ!A2:I106,MATCH(手順書_人口密度!$F$56, 市町村データ!A1:I1, 0),FALSE)</f>
        <v>1024</v>
      </c>
      <c r="AN33" s="137"/>
      <c r="AO33" s="137"/>
      <c r="AP33" s="151"/>
      <c r="AQ33" s="88"/>
      <c r="AR33" s="84"/>
      <c r="AS33" s="84"/>
      <c r="AT33" s="84"/>
      <c r="AU33" s="242">
        <f>VLOOKUP(AU31,市町村データ!A2:I106,MATCH(手順書_人口密度!$F$56, 市町村データ!A1:I1, 0),FALSE)</f>
        <v>12</v>
      </c>
      <c r="AV33" s="137"/>
      <c r="AW33" s="137"/>
      <c r="AX33" s="151"/>
      <c r="AY33" s="242">
        <f>VLOOKUP(AY31,市町村データ!A2:I106,MATCH(手順書_人口密度!$F$56, 市町村データ!A1:I1, 0),FALSE)</f>
        <v>226</v>
      </c>
      <c r="AZ33" s="137"/>
      <c r="BA33" s="137"/>
      <c r="BB33" s="151"/>
      <c r="BC33" s="243">
        <f>VLOOKUP(BC31,市町村データ!A2:I106,MATCH(手順書_人口密度!$F$56, 市町村データ!A1:I1, 0),FALSE)</f>
        <v>599</v>
      </c>
      <c r="BD33" s="137"/>
      <c r="BE33" s="137"/>
      <c r="BF33" s="151"/>
      <c r="BG33" s="226">
        <f>VLOOKUP(BG31,市町村データ!A2:I106,MATCH(手順書_人口密度!$F$56, 市町村データ!A1:I1, 0),FALSE)</f>
        <v>1123</v>
      </c>
      <c r="BH33" s="137"/>
      <c r="BI33" s="137"/>
      <c r="BJ33" s="151"/>
      <c r="BK33" s="220">
        <f>VLOOKUP(BK31,市町村データ!A2:I106,MATCH(手順書_人口密度!$F$56, 市町村データ!A1:I1, 0),FALSE)</f>
        <v>1178</v>
      </c>
      <c r="BL33" s="137"/>
      <c r="BM33" s="137"/>
      <c r="BN33" s="151"/>
      <c r="BO33" s="88"/>
      <c r="BP33" s="52"/>
      <c r="BQ33" s="52"/>
      <c r="BR33" s="52"/>
      <c r="BS33" s="75"/>
      <c r="BT33" s="74"/>
    </row>
    <row r="34" spans="1:72" ht="21.15" customHeight="1" thickBot="1" x14ac:dyDescent="0.6">
      <c r="A34" s="74"/>
      <c r="B34" s="75"/>
      <c r="C34" s="75"/>
      <c r="D34" s="75"/>
      <c r="E34" s="75"/>
      <c r="F34" s="75"/>
      <c r="G34" s="223">
        <f>VLOOKUP(G31,市町村データ!A2:I106,MATCH(手順書_人口密度!$F$57, 市町村データ!A1:I1, 0),FALSE)</f>
        <v>20</v>
      </c>
      <c r="H34" s="149"/>
      <c r="I34" s="149"/>
      <c r="J34" s="222"/>
      <c r="K34" s="229">
        <f>VLOOKUP(K31,市町村データ!A2:I106,MATCH(手順書_人口密度!$F$57, 市町村データ!A1:I1, 0),FALSE)</f>
        <v>29</v>
      </c>
      <c r="L34" s="149"/>
      <c r="M34" s="149"/>
      <c r="N34" s="222"/>
      <c r="O34" s="233">
        <f>VLOOKUP(O31,市町村データ!A2:I106,MATCH(手順書_人口密度!$F$57, 市町村データ!A1:I1, 0),FALSE)</f>
        <v>29</v>
      </c>
      <c r="P34" s="149"/>
      <c r="Q34" s="149"/>
      <c r="R34" s="222"/>
      <c r="S34" s="238">
        <f>VLOOKUP(S31,市町村データ!A2:I106,MATCH(手順書_人口密度!$F$57, 市町村データ!A1:I1, 0),FALSE)</f>
        <v>43.6</v>
      </c>
      <c r="T34" s="149"/>
      <c r="U34" s="149"/>
      <c r="V34" s="222"/>
      <c r="W34" s="79"/>
      <c r="X34" s="75"/>
      <c r="Y34" s="75"/>
      <c r="Z34" s="75"/>
      <c r="AA34" s="228">
        <f>VLOOKUP(AA31,市町村データ!A2:I106,MATCH(手順書_人口密度!$F$57, 市町村データ!A1:I1, 0),FALSE)</f>
        <v>18</v>
      </c>
      <c r="AB34" s="149"/>
      <c r="AC34" s="149"/>
      <c r="AD34" s="222"/>
      <c r="AE34" s="228">
        <f>VLOOKUP(AE31,市町村データ!A2:I106,MATCH(手順書_人口密度!$F$57, 市町村データ!A1:I1, 0),FALSE)</f>
        <v>18.7</v>
      </c>
      <c r="AF34" s="149"/>
      <c r="AG34" s="149"/>
      <c r="AH34" s="222"/>
      <c r="AI34" s="240">
        <f>VLOOKUP(AI31,市町村データ!A2:I106,MATCH(手順書_人口密度!$F$57, 市町村データ!A1:I1, 0),FALSE)</f>
        <v>25.8</v>
      </c>
      <c r="AJ34" s="149"/>
      <c r="AK34" s="149"/>
      <c r="AL34" s="222"/>
      <c r="AM34" s="235">
        <f>VLOOKUP(AM31,市町村データ!A2:I106,MATCH(手順書_人口密度!$F$57, 市町村データ!A1:I1, 0),FALSE)</f>
        <v>16.8</v>
      </c>
      <c r="AN34" s="149"/>
      <c r="AO34" s="149"/>
      <c r="AP34" s="222"/>
      <c r="AQ34" s="79"/>
      <c r="AR34" s="75"/>
      <c r="AS34" s="75"/>
      <c r="AT34" s="75"/>
      <c r="AU34" s="238">
        <f>VLOOKUP(AU31,市町村データ!A2:I106,MATCH(手順書_人口密度!$F$57, 市町村データ!A1:I1, 0),FALSE)</f>
        <v>9.9</v>
      </c>
      <c r="AV34" s="149"/>
      <c r="AW34" s="149"/>
      <c r="AX34" s="222"/>
      <c r="AY34" s="238">
        <f>VLOOKUP(AY31,市町村データ!A2:I106,MATCH(手順書_人口密度!$F$57, 市町村データ!A1:I1, 0),FALSE)</f>
        <v>11.9</v>
      </c>
      <c r="AZ34" s="149"/>
      <c r="BA34" s="149"/>
      <c r="BB34" s="222"/>
      <c r="BC34" s="239">
        <f>VLOOKUP(BC31,市町村データ!A2:I106,MATCH(手順書_人口密度!$F$57, 市町村データ!A1:I1, 0),FALSE)</f>
        <v>12</v>
      </c>
      <c r="BD34" s="149"/>
      <c r="BE34" s="149"/>
      <c r="BF34" s="222"/>
      <c r="BG34" s="228">
        <f>VLOOKUP(BG31,市町村データ!A2:I106,MATCH(手順書_人口密度!$F$57, 市町村データ!A1:I1, 0),FALSE)</f>
        <v>13.5</v>
      </c>
      <c r="BH34" s="149"/>
      <c r="BI34" s="149"/>
      <c r="BJ34" s="222"/>
      <c r="BK34" s="223">
        <f>VLOOKUP(BK31,市町村データ!A2:I106,MATCH(手順書_人口密度!$F$57, 市町村データ!A1:I1, 0),FALSE)</f>
        <v>8</v>
      </c>
      <c r="BL34" s="149"/>
      <c r="BM34" s="149"/>
      <c r="BN34" s="222"/>
      <c r="BO34" s="79"/>
      <c r="BP34" s="53"/>
      <c r="BQ34" s="53"/>
      <c r="BR34" s="53"/>
      <c r="BS34" s="75"/>
      <c r="BT34" s="74"/>
    </row>
    <row r="35" spans="1:72" ht="21.15" customHeight="1" x14ac:dyDescent="0.55000000000000004">
      <c r="A35" s="74"/>
      <c r="B35" s="75"/>
      <c r="C35" s="76" t="s">
        <v>72</v>
      </c>
      <c r="D35" s="75"/>
      <c r="E35" s="75"/>
      <c r="F35" s="75"/>
      <c r="G35" s="85"/>
      <c r="H35" s="85"/>
      <c r="I35" s="85"/>
      <c r="J35" s="85"/>
      <c r="K35" s="85"/>
      <c r="L35" s="85"/>
      <c r="M35" s="85"/>
      <c r="N35" s="85"/>
      <c r="O35" s="85"/>
      <c r="P35" s="85"/>
      <c r="Q35" s="85"/>
      <c r="R35" s="85"/>
      <c r="S35" s="85"/>
      <c r="T35" s="85"/>
      <c r="U35" s="85"/>
      <c r="V35" s="85"/>
      <c r="W35" s="75"/>
      <c r="X35" s="75"/>
      <c r="Y35" s="75"/>
      <c r="Z35" s="75"/>
      <c r="AA35" s="77">
        <v>67</v>
      </c>
      <c r="AB35" s="138" t="str">
        <f>VLOOKUP(AA35,市町村データ!A2:I106,MATCH(手順書_人口密度!$G$54, 市町村データ!A1:I1, 0),FALSE)</f>
        <v>石神3</v>
      </c>
      <c r="AC35" s="147"/>
      <c r="AD35" s="152"/>
      <c r="AE35" s="77">
        <v>68</v>
      </c>
      <c r="AF35" s="138" t="str">
        <f>VLOOKUP(AE35,市町村データ!A2:I106,MATCH(手順書_人口密度!$G$54, 市町村データ!A1:I1, 0),FALSE)</f>
        <v>石神2</v>
      </c>
      <c r="AG35" s="147"/>
      <c r="AH35" s="152"/>
      <c r="AI35" s="91"/>
      <c r="AJ35" s="85"/>
      <c r="AK35" s="85"/>
      <c r="AL35" s="85"/>
      <c r="AM35" s="89"/>
      <c r="AN35" s="85"/>
      <c r="AO35" s="85"/>
      <c r="AP35" s="85"/>
      <c r="AQ35" s="80"/>
      <c r="AR35" s="75"/>
      <c r="AS35" s="75"/>
      <c r="AT35" s="75"/>
      <c r="AU35" s="89"/>
      <c r="AV35" s="85"/>
      <c r="AW35" s="85"/>
      <c r="AX35" s="85"/>
      <c r="AY35" s="89"/>
      <c r="AZ35" s="85"/>
      <c r="BA35" s="85"/>
      <c r="BB35" s="85"/>
      <c r="BC35" s="77">
        <v>69</v>
      </c>
      <c r="BD35" s="138" t="str">
        <f>VLOOKUP(BC35,市町村データ!A2:I106,MATCH(手順書_人口密度!$G$54, 市町村データ!A1:I1, 0),FALSE)</f>
        <v>片山1</v>
      </c>
      <c r="BE35" s="147"/>
      <c r="BF35" s="152"/>
      <c r="BG35" s="77">
        <v>70</v>
      </c>
      <c r="BH35" s="138" t="str">
        <f>VLOOKUP(BG35,市町村データ!A2:I106,MATCH(手順書_人口密度!$G$54, 市町村データ!A1:I1, 0),FALSE)</f>
        <v>片山2</v>
      </c>
      <c r="BI35" s="147"/>
      <c r="BJ35" s="152"/>
      <c r="BK35" s="77">
        <v>71</v>
      </c>
      <c r="BL35" s="138" t="str">
        <f>VLOOKUP(BK35,市町村データ!A2:I106,MATCH(手順書_人口密度!$G$54, 市町村データ!A1:I1, 0),FALSE)</f>
        <v>片山3</v>
      </c>
      <c r="BM35" s="147"/>
      <c r="BN35" s="152"/>
      <c r="BO35" s="86"/>
      <c r="BP35" s="75"/>
      <c r="BQ35" s="75"/>
      <c r="BR35" s="75"/>
      <c r="BS35" s="75"/>
      <c r="BT35" s="74"/>
    </row>
    <row r="36" spans="1:72" ht="21.15" customHeight="1" x14ac:dyDescent="0.55000000000000004">
      <c r="A36" s="74"/>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225">
        <f>VLOOKUP(AA35,市町村データ!A2:I106,MATCH(手順書_人口密度!$F$55, 市町村データ!A1:I1, 0),FALSE)</f>
        <v>158.30000000000001</v>
      </c>
      <c r="AB36" s="137"/>
      <c r="AC36" s="137"/>
      <c r="AD36" s="151"/>
      <c r="AE36" s="231">
        <f>VLOOKUP(AE35,市町村データ!A2:I106,MATCH(手順書_人口密度!$F$55, 市町村データ!A1:I1, 0),FALSE)</f>
        <v>122.2</v>
      </c>
      <c r="AF36" s="137"/>
      <c r="AG36" s="137"/>
      <c r="AH36" s="151"/>
      <c r="AI36" s="92"/>
      <c r="AJ36" s="51"/>
      <c r="AK36" s="51"/>
      <c r="AL36" s="51"/>
      <c r="AM36" s="51"/>
      <c r="AN36" s="51"/>
      <c r="AO36" s="51"/>
      <c r="AP36" s="51"/>
      <c r="AQ36" s="51"/>
      <c r="AR36" s="51"/>
      <c r="AS36" s="51"/>
      <c r="AT36" s="51"/>
      <c r="AU36" s="51"/>
      <c r="AV36" s="51"/>
      <c r="AW36" s="51"/>
      <c r="AX36" s="51"/>
      <c r="AY36" s="51"/>
      <c r="AZ36" s="51"/>
      <c r="BA36" s="51"/>
      <c r="BB36" s="51"/>
      <c r="BC36" s="234">
        <f>VLOOKUP(BC35,市町村データ!A2:I106,MATCH(手順書_人口密度!$F$55, 市町村データ!A1:I1, 0),FALSE)</f>
        <v>102.8</v>
      </c>
      <c r="BD36" s="137"/>
      <c r="BE36" s="137"/>
      <c r="BF36" s="151"/>
      <c r="BG36" s="236">
        <f>VLOOKUP(BG35,市町村データ!A2:I106,MATCH(手順書_人口密度!$F$55, 市町村データ!A1:I1, 0),FALSE)</f>
        <v>73.7</v>
      </c>
      <c r="BH36" s="137"/>
      <c r="BI36" s="137"/>
      <c r="BJ36" s="151"/>
      <c r="BK36" s="234">
        <f>VLOOKUP(BK35,市町村データ!A2:I106,MATCH(手順書_人口密度!$F$55, 市町村データ!A1:I1, 0),FALSE)</f>
        <v>119.3</v>
      </c>
      <c r="BL36" s="137"/>
      <c r="BM36" s="137"/>
      <c r="BN36" s="151"/>
      <c r="BO36" s="92"/>
      <c r="BP36" s="51"/>
      <c r="BQ36" s="51"/>
      <c r="BR36" s="51"/>
      <c r="BS36" s="75"/>
      <c r="BT36" s="74"/>
    </row>
    <row r="37" spans="1:72" ht="21.15" customHeight="1" x14ac:dyDescent="0.55000000000000004">
      <c r="A37" s="74"/>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220">
        <f>VLOOKUP(AA35,市町村データ!A2:I106,MATCH(手順書_人口密度!$F$56, 市町村データ!A1:I1, 0),FALSE)</f>
        <v>2169</v>
      </c>
      <c r="AB37" s="137"/>
      <c r="AC37" s="137"/>
      <c r="AD37" s="151"/>
      <c r="AE37" s="227">
        <f>VLOOKUP(AE35,市町村データ!A2:I106,MATCH(手順書_人口密度!$F$56, 市町村データ!A1:I1, 0),FALSE)</f>
        <v>1894</v>
      </c>
      <c r="AF37" s="137"/>
      <c r="AG37" s="137"/>
      <c r="AH37" s="151"/>
      <c r="AI37" s="93"/>
      <c r="AJ37" s="52"/>
      <c r="AK37" s="52"/>
      <c r="AL37" s="52"/>
      <c r="AM37" s="52"/>
      <c r="AN37" s="52"/>
      <c r="AO37" s="52"/>
      <c r="AP37" s="52"/>
      <c r="AQ37" s="52"/>
      <c r="AR37" s="52"/>
      <c r="AS37" s="52"/>
      <c r="AT37" s="52"/>
      <c r="AU37" s="52"/>
      <c r="AV37" s="52"/>
      <c r="AW37" s="52"/>
      <c r="AX37" s="52"/>
      <c r="AY37" s="52"/>
      <c r="AZ37" s="52"/>
      <c r="BA37" s="52"/>
      <c r="BB37" s="52"/>
      <c r="BC37" s="232">
        <f>VLOOKUP(BC35,市町村データ!A2:I106,MATCH(手順書_人口密度!$F$56, 市町村データ!A1:I1, 0),FALSE)</f>
        <v>2365</v>
      </c>
      <c r="BD37" s="137"/>
      <c r="BE37" s="137"/>
      <c r="BF37" s="151"/>
      <c r="BG37" s="237">
        <f>VLOOKUP(BG35,市町村データ!A2:I106,MATCH(手順書_人口密度!$F$56, 市町村データ!A1:I1, 0),FALSE)</f>
        <v>1327</v>
      </c>
      <c r="BH37" s="137"/>
      <c r="BI37" s="137"/>
      <c r="BJ37" s="151"/>
      <c r="BK37" s="232">
        <f>VLOOKUP(BK35,市町村データ!A2:I106,MATCH(手順書_人口密度!$F$56, 市町村データ!A1:I1, 0),FALSE)</f>
        <v>3818</v>
      </c>
      <c r="BL37" s="137"/>
      <c r="BM37" s="137"/>
      <c r="BN37" s="151"/>
      <c r="BO37" s="93"/>
      <c r="BP37" s="52"/>
      <c r="BQ37" s="52"/>
      <c r="BR37" s="52"/>
      <c r="BS37" s="75"/>
      <c r="BT37" s="74"/>
    </row>
    <row r="38" spans="1:72" ht="21.15" customHeight="1" thickBot="1" x14ac:dyDescent="0.6">
      <c r="A38" s="74"/>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223">
        <f>VLOOKUP(AA35,市町村データ!A2:I106,MATCH(手順書_人口密度!$F$57, 市町村データ!A1:I1, 0),FALSE)</f>
        <v>13.7</v>
      </c>
      <c r="AB38" s="149"/>
      <c r="AC38" s="149"/>
      <c r="AD38" s="222"/>
      <c r="AE38" s="229">
        <f>VLOOKUP(AE35,市町村データ!A2:I106,MATCH(手順書_人口密度!$F$57, 市町村データ!A1:I1, 0),FALSE)</f>
        <v>15.5</v>
      </c>
      <c r="AF38" s="149"/>
      <c r="AG38" s="149"/>
      <c r="AH38" s="222"/>
      <c r="AI38" s="93"/>
      <c r="AJ38" s="52"/>
      <c r="AK38" s="52"/>
      <c r="AL38" s="52"/>
      <c r="AM38" s="52"/>
      <c r="AN38" s="52"/>
      <c r="AO38" s="52"/>
      <c r="AP38" s="52"/>
      <c r="AQ38" s="52"/>
      <c r="AR38" s="52"/>
      <c r="AS38" s="52"/>
      <c r="AT38" s="52"/>
      <c r="AU38" s="52"/>
      <c r="AV38" s="52"/>
      <c r="AW38" s="52"/>
      <c r="AX38" s="52"/>
      <c r="AY38" s="52"/>
      <c r="AZ38" s="52"/>
      <c r="BA38" s="52"/>
      <c r="BB38" s="52"/>
      <c r="BC38" s="233">
        <f>VLOOKUP(BC35,市町村データ!A2:I106,MATCH(手順書_人口密度!$F$57, 市町村データ!A1:I1, 0),FALSE)</f>
        <v>23</v>
      </c>
      <c r="BD38" s="149"/>
      <c r="BE38" s="149"/>
      <c r="BF38" s="222"/>
      <c r="BG38" s="235">
        <f>VLOOKUP(BG35,市町村データ!A2:I106,MATCH(手順書_人口密度!$F$57, 市町村データ!A1:I1, 0),FALSE)</f>
        <v>18</v>
      </c>
      <c r="BH38" s="149"/>
      <c r="BI38" s="149"/>
      <c r="BJ38" s="222"/>
      <c r="BK38" s="233">
        <f>VLOOKUP(BK35,市町村データ!A2:I106,MATCH(手順書_人口密度!$F$57, 市町村データ!A1:I1, 0),FALSE)</f>
        <v>32</v>
      </c>
      <c r="BL38" s="149"/>
      <c r="BM38" s="149"/>
      <c r="BN38" s="222"/>
      <c r="BO38" s="93"/>
      <c r="BP38" s="52"/>
      <c r="BQ38" s="52"/>
      <c r="BR38" s="52"/>
      <c r="BS38" s="75"/>
      <c r="BT38" s="74"/>
    </row>
    <row r="39" spans="1:72" ht="21.15" customHeight="1" x14ac:dyDescent="0.55000000000000004">
      <c r="A39" s="74"/>
      <c r="B39" s="75"/>
      <c r="C39" s="76" t="s">
        <v>528</v>
      </c>
      <c r="D39" s="75"/>
      <c r="E39" s="75"/>
      <c r="F39" s="75"/>
      <c r="G39" s="75"/>
      <c r="H39" s="75"/>
      <c r="I39" s="75"/>
      <c r="J39" s="75"/>
      <c r="K39" s="75"/>
      <c r="L39" s="75"/>
      <c r="M39" s="75"/>
      <c r="N39" s="75"/>
      <c r="O39" s="75"/>
      <c r="P39" s="75"/>
      <c r="Q39" s="75"/>
      <c r="R39" s="75"/>
      <c r="S39" s="75"/>
      <c r="T39" s="75"/>
      <c r="U39" s="75"/>
      <c r="V39" s="75"/>
      <c r="W39" s="75"/>
      <c r="X39" s="75"/>
      <c r="Y39" s="75"/>
      <c r="Z39" s="75"/>
      <c r="AA39" s="85"/>
      <c r="AB39" s="85"/>
      <c r="AC39" s="85"/>
      <c r="AD39" s="85"/>
      <c r="AE39" s="85"/>
      <c r="AF39" s="85"/>
      <c r="AG39" s="85"/>
      <c r="AH39" s="85"/>
      <c r="AI39" s="52"/>
      <c r="AJ39" s="52"/>
      <c r="AK39" s="52"/>
      <c r="AL39" s="52"/>
      <c r="AM39" s="52"/>
      <c r="AN39" s="52"/>
      <c r="AO39" s="52"/>
      <c r="AP39" s="52"/>
      <c r="AQ39" s="52"/>
      <c r="AR39" s="52"/>
      <c r="AS39" s="52"/>
      <c r="AT39" s="52"/>
      <c r="AU39" s="52"/>
      <c r="AV39" s="52"/>
      <c r="AW39" s="52"/>
      <c r="AX39" s="52"/>
      <c r="AY39" s="77">
        <v>72</v>
      </c>
      <c r="AZ39" s="138" t="str">
        <f>VLOOKUP(AY39,市町村データ!A2:I106,MATCH(手順書_人口密度!$G$54, 市町村データ!A1:I1, 0),FALSE)</f>
        <v>野寺1</v>
      </c>
      <c r="BA39" s="147"/>
      <c r="BB39" s="152"/>
      <c r="BC39" s="77">
        <v>73</v>
      </c>
      <c r="BD39" s="138" t="str">
        <f>VLOOKUP(BC39,市町村データ!A2:I106,MATCH(手順書_人口密度!$G$54, 市町村データ!A1:I1, 0),FALSE)</f>
        <v>野寺2</v>
      </c>
      <c r="BE39" s="147"/>
      <c r="BF39" s="152"/>
      <c r="BG39" s="77">
        <v>74</v>
      </c>
      <c r="BH39" s="138" t="str">
        <f>VLOOKUP(BG39,市町村データ!A2:I106,MATCH(手順書_人口密度!$G$54, 市町村データ!A1:I1, 0),FALSE)</f>
        <v>野寺3</v>
      </c>
      <c r="BI39" s="147"/>
      <c r="BJ39" s="152"/>
      <c r="BK39" s="77">
        <v>75</v>
      </c>
      <c r="BL39" s="138" t="str">
        <f>VLOOKUP(BK39,市町村データ!A2:I106,MATCH(手順書_人口密度!$G$54, 市町村データ!A1:I1, 0),FALSE)</f>
        <v>野寺4</v>
      </c>
      <c r="BM39" s="147"/>
      <c r="BN39" s="152"/>
      <c r="BO39" s="77">
        <v>76</v>
      </c>
      <c r="BP39" s="138" t="str">
        <f>VLOOKUP(BO39,市町村データ!A2:I106,MATCH(手順書_人口密度!$G$54, 市町村データ!A1:I1, 0),FALSE)</f>
        <v>野寺5</v>
      </c>
      <c r="BQ39" s="147"/>
      <c r="BR39" s="152"/>
      <c r="BS39" s="79"/>
      <c r="BT39" s="74"/>
    </row>
    <row r="40" spans="1:72" ht="21.15" customHeight="1" x14ac:dyDescent="0.55000000000000004">
      <c r="A40" s="74"/>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52"/>
      <c r="AJ40" s="52"/>
      <c r="AK40" s="52"/>
      <c r="AL40" s="52"/>
      <c r="AM40" s="52"/>
      <c r="AN40" s="52"/>
      <c r="AO40" s="52"/>
      <c r="AP40" s="52"/>
      <c r="AQ40" s="52"/>
      <c r="AR40" s="52"/>
      <c r="AS40" s="52"/>
      <c r="AT40" s="52"/>
      <c r="AU40" s="52"/>
      <c r="AV40" s="52"/>
      <c r="AW40" s="52"/>
      <c r="AX40" s="52"/>
      <c r="AY40" s="234">
        <f>VLOOKUP(AY39,市町村データ!A2:I106,MATCH(手順書_人口密度!$F$55, 市町村データ!A1:I1, 0),FALSE)</f>
        <v>120.2</v>
      </c>
      <c r="AZ40" s="137"/>
      <c r="BA40" s="137"/>
      <c r="BB40" s="151"/>
      <c r="BC40" s="230">
        <f>VLOOKUP(BC39,市町村データ!A2:I106,MATCH(手順書_人口密度!$F$55, 市町村データ!A1:I1, 0),FALSE)</f>
        <v>91</v>
      </c>
      <c r="BD40" s="137"/>
      <c r="BE40" s="137"/>
      <c r="BF40" s="151"/>
      <c r="BG40" s="234">
        <f>VLOOKUP(BG39,市町村データ!A2:I106,MATCH(手順書_人口密度!$F$55, 市町村データ!A1:I1, 0),FALSE)</f>
        <v>105.9</v>
      </c>
      <c r="BH40" s="137"/>
      <c r="BI40" s="137"/>
      <c r="BJ40" s="151"/>
      <c r="BK40" s="231">
        <f>VLOOKUP(BK39,市町村データ!A2:I106,MATCH(手順書_人口密度!$F$55, 市町村データ!A1:I1, 0),FALSE)</f>
        <v>128.5</v>
      </c>
      <c r="BL40" s="137"/>
      <c r="BM40" s="137"/>
      <c r="BN40" s="151"/>
      <c r="BO40" s="231">
        <f>VLOOKUP(BO39,市町村データ!A2:I106,MATCH(手順書_人口密度!$F$55, 市町村データ!A1:I1, 0),FALSE)</f>
        <v>124.1</v>
      </c>
      <c r="BP40" s="137"/>
      <c r="BQ40" s="137"/>
      <c r="BR40" s="151"/>
      <c r="BS40" s="79"/>
      <c r="BT40" s="74"/>
    </row>
    <row r="41" spans="1:72" ht="21.15" customHeight="1" x14ac:dyDescent="0.55000000000000004">
      <c r="A41" s="74"/>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52"/>
      <c r="AJ41" s="52"/>
      <c r="AK41" s="52"/>
      <c r="AL41" s="52"/>
      <c r="AM41" s="52"/>
      <c r="AN41" s="52"/>
      <c r="AO41" s="52"/>
      <c r="AP41" s="52"/>
      <c r="AQ41" s="52"/>
      <c r="AR41" s="52"/>
      <c r="AS41" s="52"/>
      <c r="AT41" s="52"/>
      <c r="AU41" s="52"/>
      <c r="AV41" s="52"/>
      <c r="AW41" s="52"/>
      <c r="AX41" s="52"/>
      <c r="AY41" s="232">
        <f>VLOOKUP(AY39,市町村データ!A2:I106,MATCH(手順書_人口密度!$F$56, 市町村データ!A1:I1, 0),FALSE)</f>
        <v>1322</v>
      </c>
      <c r="AZ41" s="137"/>
      <c r="BA41" s="137"/>
      <c r="BB41" s="151"/>
      <c r="BC41" s="226">
        <f>VLOOKUP(BC39,市町村データ!A2:I106,MATCH(手順書_人口密度!$F$56, 市町村データ!A1:I1, 0),FALSE)</f>
        <v>2411</v>
      </c>
      <c r="BD41" s="137"/>
      <c r="BE41" s="137"/>
      <c r="BF41" s="151"/>
      <c r="BG41" s="232">
        <f>VLOOKUP(BG39,市町村データ!A2:I106,MATCH(手順書_人口密度!$F$56, 市町村データ!A1:I1, 0),FALSE)</f>
        <v>2246</v>
      </c>
      <c r="BH41" s="137"/>
      <c r="BI41" s="137"/>
      <c r="BJ41" s="151"/>
      <c r="BK41" s="227">
        <f>VLOOKUP(BK39,市町村データ!A2:I106,MATCH(手順書_人口密度!$F$56, 市町村データ!A1:I1, 0),FALSE)</f>
        <v>2570</v>
      </c>
      <c r="BL41" s="137"/>
      <c r="BM41" s="137"/>
      <c r="BN41" s="151"/>
      <c r="BO41" s="227">
        <f>VLOOKUP(BO39,市町村データ!A2:I106,MATCH(手順書_人口密度!$F$56, 市町村データ!A1:I1, 0),FALSE)</f>
        <v>1303</v>
      </c>
      <c r="BP41" s="137"/>
      <c r="BQ41" s="137"/>
      <c r="BR41" s="151"/>
      <c r="BS41" s="79"/>
      <c r="BT41" s="74"/>
    </row>
    <row r="42" spans="1:72" ht="21.15" customHeight="1" thickBot="1" x14ac:dyDescent="0.6">
      <c r="A42" s="74"/>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52"/>
      <c r="AJ42" s="52"/>
      <c r="AK42" s="52"/>
      <c r="AL42" s="52"/>
      <c r="AM42" s="52"/>
      <c r="AN42" s="52"/>
      <c r="AO42" s="52"/>
      <c r="AP42" s="52"/>
      <c r="AQ42" s="52"/>
      <c r="AR42" s="52"/>
      <c r="AS42" s="52"/>
      <c r="AT42" s="52"/>
      <c r="AU42" s="52"/>
      <c r="AV42" s="52"/>
      <c r="AW42" s="52"/>
      <c r="AX42" s="52"/>
      <c r="AY42" s="233">
        <f>VLOOKUP(AY39,市町村データ!A2:I106,MATCH(手順書_人口密度!$F$57, 市町村データ!A1:I1, 0),FALSE)</f>
        <v>11</v>
      </c>
      <c r="AZ42" s="149"/>
      <c r="BA42" s="149"/>
      <c r="BB42" s="222"/>
      <c r="BC42" s="228">
        <f>VLOOKUP(BC39,市町村データ!A2:I106,MATCH(手順書_人口密度!$F$57, 市町村データ!A1:I1, 0),FALSE)</f>
        <v>26.5</v>
      </c>
      <c r="BD42" s="149"/>
      <c r="BE42" s="149"/>
      <c r="BF42" s="222"/>
      <c r="BG42" s="233">
        <f>VLOOKUP(BG39,市町村データ!A2:I106,MATCH(手順書_人口密度!$F$57, 市町村データ!A1:I1, 0),FALSE)</f>
        <v>21.2</v>
      </c>
      <c r="BH42" s="149"/>
      <c r="BI42" s="149"/>
      <c r="BJ42" s="222"/>
      <c r="BK42" s="229">
        <f>VLOOKUP(BK39,市町村データ!A2:I106,MATCH(手順書_人口密度!$F$57, 市町村データ!A1:I1, 0),FALSE)</f>
        <v>20</v>
      </c>
      <c r="BL42" s="149"/>
      <c r="BM42" s="149"/>
      <c r="BN42" s="222"/>
      <c r="BO42" s="229">
        <f>VLOOKUP(BO39,市町村データ!A2:I106,MATCH(手順書_人口密度!$F$57, 市町村データ!A1:I1, 0),FALSE)</f>
        <v>10.5</v>
      </c>
      <c r="BP42" s="149"/>
      <c r="BQ42" s="149"/>
      <c r="BR42" s="222"/>
      <c r="BS42" s="79"/>
      <c r="BT42" s="74"/>
    </row>
    <row r="43" spans="1:72" ht="21.15" customHeight="1" x14ac:dyDescent="0.55000000000000004">
      <c r="A43" s="74"/>
      <c r="B43" s="75"/>
      <c r="C43" s="76" t="s">
        <v>530</v>
      </c>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52"/>
      <c r="AJ43" s="52"/>
      <c r="AK43" s="52"/>
      <c r="AL43" s="52"/>
      <c r="AM43" s="52"/>
      <c r="AN43" s="52"/>
      <c r="AO43" s="52"/>
      <c r="AP43" s="52"/>
      <c r="AQ43" s="52"/>
      <c r="AR43" s="52"/>
      <c r="AS43" s="52"/>
      <c r="AT43" s="52"/>
      <c r="AU43" s="52"/>
      <c r="AV43" s="52"/>
      <c r="AW43" s="52"/>
      <c r="AX43" s="52"/>
      <c r="AY43" s="77">
        <v>77</v>
      </c>
      <c r="AZ43" s="138" t="str">
        <f>VLOOKUP(AY43,市町村データ!A2:I106,MATCH(手順書_人口密度!$G$54, 市町村データ!A1:I1, 0),FALSE)</f>
        <v>栗原1</v>
      </c>
      <c r="BA43" s="147"/>
      <c r="BB43" s="152"/>
      <c r="BC43" s="77">
        <v>78</v>
      </c>
      <c r="BD43" s="138" t="str">
        <f>VLOOKUP(BC43,市町村データ!A2:I106,MATCH(手順書_人口密度!$G$54, 市町村データ!A1:I1, 0),FALSE)</f>
        <v>栗原2</v>
      </c>
      <c r="BE43" s="147"/>
      <c r="BF43" s="152"/>
      <c r="BG43" s="77">
        <v>79</v>
      </c>
      <c r="BH43" s="138" t="str">
        <f>VLOOKUP(BG43,市町村データ!A2:I106,MATCH(手順書_人口密度!$G$54, 市町村データ!A1:I1, 0),FALSE)</f>
        <v>栗原3</v>
      </c>
      <c r="BI43" s="147"/>
      <c r="BJ43" s="152"/>
      <c r="BK43" s="94"/>
      <c r="BL43" s="95"/>
      <c r="BM43" s="95"/>
      <c r="BN43" s="95"/>
      <c r="BO43" s="95"/>
      <c r="BP43" s="95"/>
      <c r="BQ43" s="95"/>
      <c r="BR43" s="95"/>
      <c r="BS43" s="75"/>
      <c r="BT43" s="74"/>
    </row>
    <row r="44" spans="1:72" ht="21.15" customHeight="1" x14ac:dyDescent="0.55000000000000004">
      <c r="A44" s="74"/>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52"/>
      <c r="AJ44" s="52"/>
      <c r="AK44" s="52"/>
      <c r="AL44" s="52"/>
      <c r="AM44" s="52"/>
      <c r="AN44" s="52"/>
      <c r="AO44" s="52"/>
      <c r="AP44" s="52"/>
      <c r="AQ44" s="52"/>
      <c r="AR44" s="52"/>
      <c r="AS44" s="52"/>
      <c r="AT44" s="52"/>
      <c r="AU44" s="52"/>
      <c r="AV44" s="52"/>
      <c r="AW44" s="52"/>
      <c r="AX44" s="52"/>
      <c r="AY44" s="225">
        <f>VLOOKUP(AY43,市町村データ!A2:I106,MATCH(手順書_人口密度!$F$55, 市町村データ!A1:I1, 0),FALSE)</f>
        <v>153</v>
      </c>
      <c r="AZ44" s="137"/>
      <c r="BA44" s="137"/>
      <c r="BB44" s="151"/>
      <c r="BC44" s="230">
        <f>VLOOKUP(BC43,市町村データ!A2:I106,MATCH(手順書_人口密度!$F$55, 市町村データ!A1:I1, 0),FALSE)</f>
        <v>92</v>
      </c>
      <c r="BD44" s="137"/>
      <c r="BE44" s="137"/>
      <c r="BF44" s="151"/>
      <c r="BG44" s="231">
        <f>VLOOKUP(BG43,市町村データ!A2:I106,MATCH(手順書_人口密度!$F$55, 市町村データ!A1:I1, 0),FALSE)</f>
        <v>137.4</v>
      </c>
      <c r="BH44" s="137"/>
      <c r="BI44" s="137"/>
      <c r="BJ44" s="151"/>
      <c r="BK44" s="93"/>
      <c r="BL44" s="52"/>
      <c r="BM44" s="52"/>
      <c r="BN44" s="52"/>
      <c r="BO44" s="52"/>
      <c r="BP44" s="52"/>
      <c r="BQ44" s="52"/>
      <c r="BR44" s="52"/>
      <c r="BS44" s="75"/>
      <c r="BT44" s="74"/>
    </row>
    <row r="45" spans="1:72" ht="21.15" customHeight="1" x14ac:dyDescent="0.55000000000000004">
      <c r="A45" s="74"/>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52"/>
      <c r="AJ45" s="52"/>
      <c r="AK45" s="52"/>
      <c r="AL45" s="52"/>
      <c r="AM45" s="52"/>
      <c r="AN45" s="52"/>
      <c r="AO45" s="52"/>
      <c r="AP45" s="52"/>
      <c r="AQ45" s="52"/>
      <c r="AR45" s="52"/>
      <c r="AS45" s="52"/>
      <c r="AT45" s="52"/>
      <c r="AU45" s="52"/>
      <c r="AV45" s="52"/>
      <c r="AW45" s="52"/>
      <c r="AX45" s="52"/>
      <c r="AY45" s="220">
        <f>VLOOKUP(AY43,市町村データ!A2:I106,MATCH(手順書_人口密度!$F$56, 市町村データ!A1:I1, 0),FALSE)</f>
        <v>3350</v>
      </c>
      <c r="AZ45" s="137"/>
      <c r="BA45" s="137"/>
      <c r="BB45" s="151"/>
      <c r="BC45" s="226">
        <f>VLOOKUP(BC43,市町村データ!A2:I106,MATCH(手順書_人口密度!$F$56, 市町村データ!A1:I1, 0),FALSE)</f>
        <v>920</v>
      </c>
      <c r="BD45" s="137"/>
      <c r="BE45" s="137"/>
      <c r="BF45" s="151"/>
      <c r="BG45" s="227">
        <f>VLOOKUP(BG43,市町村データ!A2:I106,MATCH(手順書_人口密度!$F$56, 市町村データ!A1:I1, 0),FALSE)</f>
        <v>2061</v>
      </c>
      <c r="BH45" s="137"/>
      <c r="BI45" s="137"/>
      <c r="BJ45" s="151"/>
      <c r="BK45" s="93"/>
      <c r="BL45" s="52"/>
      <c r="BM45" s="52"/>
      <c r="BN45" s="52"/>
      <c r="BO45" s="52"/>
      <c r="BP45" s="52"/>
      <c r="BQ45" s="52"/>
      <c r="BR45" s="52"/>
      <c r="BS45" s="75"/>
      <c r="BT45" s="74"/>
    </row>
    <row r="46" spans="1:72" ht="21.15" customHeight="1" thickBot="1" x14ac:dyDescent="0.6">
      <c r="A46" s="74"/>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52"/>
      <c r="AJ46" s="52"/>
      <c r="AK46" s="52"/>
      <c r="AL46" s="52"/>
      <c r="AM46" s="52"/>
      <c r="AN46" s="52"/>
      <c r="AO46" s="52"/>
      <c r="AP46" s="52"/>
      <c r="AQ46" s="52"/>
      <c r="AR46" s="52"/>
      <c r="AS46" s="52"/>
      <c r="AT46" s="52"/>
      <c r="AU46" s="52"/>
      <c r="AV46" s="52"/>
      <c r="AW46" s="52"/>
      <c r="AX46" s="52"/>
      <c r="AY46" s="223">
        <f>VLOOKUP(AY43,市町村データ!A2:I106,MATCH(手順書_人口密度!$F$57, 市町村データ!A1:I1, 0),FALSE)</f>
        <v>21.9</v>
      </c>
      <c r="AZ46" s="149"/>
      <c r="BA46" s="149"/>
      <c r="BB46" s="222"/>
      <c r="BC46" s="228">
        <f>VLOOKUP(BC43,市町村データ!A2:I106,MATCH(手順書_人口密度!$F$57, 市町村データ!A1:I1, 0),FALSE)</f>
        <v>10</v>
      </c>
      <c r="BD46" s="149"/>
      <c r="BE46" s="149"/>
      <c r="BF46" s="222"/>
      <c r="BG46" s="229">
        <f>VLOOKUP(BG43,市町村データ!A2:I106,MATCH(手順書_人口密度!$F$57, 市町村データ!A1:I1, 0),FALSE)</f>
        <v>15</v>
      </c>
      <c r="BH46" s="149"/>
      <c r="BI46" s="149"/>
      <c r="BJ46" s="222"/>
      <c r="BK46" s="93"/>
      <c r="BL46" s="52"/>
      <c r="BM46" s="52"/>
      <c r="BN46" s="52"/>
      <c r="BO46" s="52"/>
      <c r="BP46" s="52"/>
      <c r="BQ46" s="52"/>
      <c r="BR46" s="52"/>
      <c r="BS46" s="75"/>
      <c r="BT46" s="74"/>
    </row>
    <row r="47" spans="1:72" ht="21.15" customHeight="1" x14ac:dyDescent="0.55000000000000004">
      <c r="A47" s="74"/>
      <c r="B47" s="75"/>
      <c r="C47" s="76" t="s">
        <v>532</v>
      </c>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52"/>
      <c r="AJ47" s="52"/>
      <c r="AK47" s="52"/>
      <c r="AL47" s="52"/>
      <c r="AM47" s="52"/>
      <c r="AN47" s="52"/>
      <c r="AO47" s="52"/>
      <c r="AP47" s="52"/>
      <c r="AQ47" s="52"/>
      <c r="AR47" s="52"/>
      <c r="AS47" s="52"/>
      <c r="AT47" s="52"/>
      <c r="AU47" s="52"/>
      <c r="AV47" s="52"/>
      <c r="AW47" s="52"/>
      <c r="AX47" s="52"/>
      <c r="AY47" s="77">
        <v>80</v>
      </c>
      <c r="AZ47" s="138" t="str">
        <f>VLOOKUP(AY47,市町村データ!A2:I106,MATCH(手順書_人口密度!$G$54, 市町村データ!A1:I1, 0),FALSE)</f>
        <v>栗原6</v>
      </c>
      <c r="BA47" s="147"/>
      <c r="BB47" s="152"/>
      <c r="BC47" s="77">
        <v>81</v>
      </c>
      <c r="BD47" s="138" t="str">
        <f>VLOOKUP(BC47,市町村データ!A2:I106,MATCH(手順書_人口密度!$G$54, 市町村データ!A1:I1, 0),FALSE)</f>
        <v>栗原5</v>
      </c>
      <c r="BE47" s="147"/>
      <c r="BF47" s="152"/>
      <c r="BG47" s="77">
        <v>82</v>
      </c>
      <c r="BH47" s="138" t="str">
        <f>VLOOKUP(BG47,市町村データ!A2:I106,MATCH(手順書_人口密度!$G$54, 市町村データ!A1:I1, 0),FALSE)</f>
        <v>栗原4</v>
      </c>
      <c r="BI47" s="147"/>
      <c r="BJ47" s="152"/>
      <c r="BK47" s="93"/>
      <c r="BL47" s="52"/>
      <c r="BM47" s="52"/>
      <c r="BN47" s="52"/>
      <c r="BO47" s="52"/>
      <c r="BP47" s="52"/>
      <c r="BQ47" s="52"/>
      <c r="BR47" s="52"/>
      <c r="BS47" s="75"/>
      <c r="BT47" s="74"/>
    </row>
    <row r="48" spans="1:72" ht="21.15" customHeight="1" x14ac:dyDescent="0.55000000000000004">
      <c r="A48" s="74"/>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52"/>
      <c r="AJ48" s="52"/>
      <c r="AK48" s="52"/>
      <c r="AL48" s="52"/>
      <c r="AM48" s="52"/>
      <c r="AN48" s="52"/>
      <c r="AO48" s="52"/>
      <c r="AP48" s="52"/>
      <c r="AQ48" s="52"/>
      <c r="AR48" s="52"/>
      <c r="AS48" s="52"/>
      <c r="AT48" s="52"/>
      <c r="AU48" s="52"/>
      <c r="AV48" s="52"/>
      <c r="AW48" s="52"/>
      <c r="AX48" s="52"/>
      <c r="AY48" s="224">
        <f>VLOOKUP(AY47,市町村データ!A2:I106,MATCH(手順書_人口密度!$F$55, 市町村データ!A1:I1, 0),FALSE)</f>
        <v>185.2</v>
      </c>
      <c r="AZ48" s="137"/>
      <c r="BA48" s="137"/>
      <c r="BB48" s="151"/>
      <c r="BC48" s="224">
        <f>VLOOKUP(BC47,市町村データ!A2:I106,MATCH(手順書_人口密度!$F$55, 市町村データ!A1:I1, 0),FALSE)</f>
        <v>183.5</v>
      </c>
      <c r="BD48" s="137"/>
      <c r="BE48" s="137"/>
      <c r="BF48" s="151"/>
      <c r="BG48" s="225">
        <f>VLOOKUP(BG47,市町村データ!A2:I106,MATCH(手順書_人口密度!$F$55, 市町村データ!A1:I1, 0),FALSE)</f>
        <v>156.6</v>
      </c>
      <c r="BH48" s="137"/>
      <c r="BI48" s="137"/>
      <c r="BJ48" s="151"/>
      <c r="BK48" s="93"/>
      <c r="BL48" s="52"/>
      <c r="BM48" s="52"/>
      <c r="BN48" s="52"/>
      <c r="BO48" s="52"/>
      <c r="BP48" s="52"/>
      <c r="BQ48" s="52"/>
      <c r="BR48" s="52"/>
      <c r="BS48" s="75"/>
      <c r="BT48" s="74"/>
    </row>
    <row r="49" spans="1:72" ht="21.15" customHeight="1" x14ac:dyDescent="0.55000000000000004">
      <c r="A49" s="74"/>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52"/>
      <c r="AJ49" s="52"/>
      <c r="AK49" s="52"/>
      <c r="AL49" s="52"/>
      <c r="AM49" s="52"/>
      <c r="AN49" s="52"/>
      <c r="AO49" s="52"/>
      <c r="AP49" s="52"/>
      <c r="AQ49" s="52"/>
      <c r="AR49" s="52"/>
      <c r="AS49" s="52"/>
      <c r="AT49" s="52"/>
      <c r="AU49" s="52"/>
      <c r="AV49" s="52"/>
      <c r="AW49" s="52"/>
      <c r="AX49" s="52"/>
      <c r="AY49" s="219">
        <f>VLOOKUP(AY47,市町村データ!A2:I106,MATCH(手順書_人口密度!$F$56, 市町村データ!A1:I1, 0),FALSE)</f>
        <v>2593</v>
      </c>
      <c r="AZ49" s="137"/>
      <c r="BA49" s="137"/>
      <c r="BB49" s="151"/>
      <c r="BC49" s="219">
        <f>VLOOKUP(BC47,市町村データ!A2:I106,MATCH(手順書_人口密度!$F$56, 市町村データ!A1:I1, 0),FALSE)</f>
        <v>2661</v>
      </c>
      <c r="BD49" s="137"/>
      <c r="BE49" s="137"/>
      <c r="BF49" s="151"/>
      <c r="BG49" s="220">
        <f>VLOOKUP(BG47,市町村データ!A2:I106,MATCH(手順書_人口密度!$F$56, 市町村データ!A1:I1, 0),FALSE)</f>
        <v>2036</v>
      </c>
      <c r="BH49" s="137"/>
      <c r="BI49" s="137"/>
      <c r="BJ49" s="151"/>
      <c r="BK49" s="93"/>
      <c r="BL49" s="52"/>
      <c r="BM49" s="52"/>
      <c r="BN49" s="52"/>
      <c r="BO49" s="52"/>
      <c r="BP49" s="52"/>
      <c r="BQ49" s="52"/>
      <c r="BR49" s="52"/>
      <c r="BS49" s="75"/>
      <c r="BT49" s="74"/>
    </row>
    <row r="50" spans="1:72" ht="21.15" customHeight="1" thickBot="1" x14ac:dyDescent="0.6">
      <c r="A50" s="74"/>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52"/>
      <c r="AW50" s="52"/>
      <c r="AX50" s="52"/>
      <c r="AY50" s="221">
        <f>VLOOKUP(AY47,市町村データ!A2:I106,MATCH(手順書_人口密度!$F$57, 市町村データ!A1:I1, 0),FALSE)</f>
        <v>14</v>
      </c>
      <c r="AZ50" s="149"/>
      <c r="BA50" s="149"/>
      <c r="BB50" s="222"/>
      <c r="BC50" s="221">
        <f>VLOOKUP(BC47,市町村データ!A2:I106,MATCH(手順書_人口密度!$F$57, 市町村データ!A1:I1, 0),FALSE)</f>
        <v>14.5</v>
      </c>
      <c r="BD50" s="149"/>
      <c r="BE50" s="149"/>
      <c r="BF50" s="222"/>
      <c r="BG50" s="223">
        <f>VLOOKUP(BG47,市町村データ!A2:I106,MATCH(手順書_人口密度!$F$57, 市町村データ!A1:I1, 0),FALSE)</f>
        <v>13</v>
      </c>
      <c r="BH50" s="149"/>
      <c r="BI50" s="149"/>
      <c r="BJ50" s="222"/>
      <c r="BK50" s="79"/>
      <c r="BL50" s="75"/>
      <c r="BM50" s="75"/>
      <c r="BN50" s="75"/>
      <c r="BO50" s="52"/>
      <c r="BP50" s="52"/>
      <c r="BQ50" s="52"/>
      <c r="BR50" s="52"/>
      <c r="BS50" s="52"/>
      <c r="BT50" s="74"/>
    </row>
    <row r="51" spans="1:72" ht="21.15" customHeight="1" x14ac:dyDescent="0.55000000000000004">
      <c r="A51" s="74"/>
      <c r="B51" s="75" t="s">
        <v>173</v>
      </c>
      <c r="C51" s="75"/>
      <c r="D51" s="75"/>
      <c r="E51" s="75"/>
      <c r="F51" s="75"/>
      <c r="G51" s="96"/>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53"/>
      <c r="AN51" s="53"/>
      <c r="AO51" s="53"/>
      <c r="AP51" s="53"/>
      <c r="AQ51" s="53"/>
      <c r="AR51" s="53"/>
      <c r="AS51" s="53"/>
      <c r="AT51" s="53"/>
      <c r="AU51" s="53"/>
      <c r="AV51" s="53"/>
      <c r="AW51" s="53"/>
      <c r="AX51" s="53"/>
      <c r="AY51" s="97"/>
      <c r="AZ51" s="97"/>
      <c r="BA51" s="97"/>
      <c r="BB51" s="97"/>
      <c r="BC51" s="97"/>
      <c r="BD51" s="97"/>
      <c r="BE51" s="97"/>
      <c r="BF51" s="97"/>
      <c r="BG51" s="97"/>
      <c r="BH51" s="97"/>
      <c r="BI51" s="97"/>
      <c r="BJ51" s="97"/>
      <c r="BK51" s="53"/>
      <c r="BL51" s="53"/>
      <c r="BM51" s="53"/>
      <c r="BN51" s="53"/>
      <c r="BO51" s="53"/>
      <c r="BP51" s="53"/>
      <c r="BQ51" s="53"/>
      <c r="BR51" s="53"/>
      <c r="BS51" s="53"/>
      <c r="BT51" s="74"/>
    </row>
    <row r="52" spans="1:72" ht="21.15" customHeight="1" x14ac:dyDescent="0.55000000000000004">
      <c r="A52" s="74"/>
      <c r="B52" s="75" t="s">
        <v>172</v>
      </c>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4"/>
    </row>
    <row r="53" spans="1:72" ht="21.15" customHeight="1" x14ac:dyDescent="0.55000000000000004">
      <c r="A53" s="74"/>
      <c r="B53" s="74"/>
      <c r="C53" s="74"/>
      <c r="D53" s="74"/>
      <c r="E53" s="74"/>
      <c r="F53" s="74"/>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row>
  </sheetData>
  <mergeCells count="354">
    <mergeCell ref="K8:N8"/>
    <mergeCell ref="O8:R8"/>
    <mergeCell ref="S8:V8"/>
    <mergeCell ref="W8:Z8"/>
    <mergeCell ref="AA8:AD8"/>
    <mergeCell ref="AE8:AH8"/>
    <mergeCell ref="L7:N7"/>
    <mergeCell ref="P7:R7"/>
    <mergeCell ref="T7:V7"/>
    <mergeCell ref="X7:Z7"/>
    <mergeCell ref="AB7:AD7"/>
    <mergeCell ref="AF7:AH7"/>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G34:J34"/>
    <mergeCell ref="K34:N34"/>
    <mergeCell ref="O34:R34"/>
    <mergeCell ref="S34:V34"/>
    <mergeCell ref="AA34:AD34"/>
    <mergeCell ref="AE34:AH34"/>
    <mergeCell ref="AI34:AL34"/>
    <mergeCell ref="AM34:AP34"/>
    <mergeCell ref="AU34:AX34"/>
    <mergeCell ref="AI33:AL33"/>
    <mergeCell ref="AM33:AP33"/>
    <mergeCell ref="AU33:AX33"/>
    <mergeCell ref="AY33:BB33"/>
    <mergeCell ref="BC33:BF33"/>
    <mergeCell ref="BG33:BJ33"/>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BP39:BR39"/>
    <mergeCell ref="AY40:BB40"/>
    <mergeCell ref="BC40:BF40"/>
    <mergeCell ref="BG40:BJ40"/>
    <mergeCell ref="BK40:BN40"/>
    <mergeCell ref="BO40:BR40"/>
    <mergeCell ref="AA38:AD38"/>
    <mergeCell ref="AE38:AH38"/>
    <mergeCell ref="BC38:BF38"/>
    <mergeCell ref="BG38:BJ38"/>
    <mergeCell ref="BK38:BN38"/>
    <mergeCell ref="AZ39:BB39"/>
    <mergeCell ref="BD39:BF39"/>
    <mergeCell ref="BH39:BJ39"/>
    <mergeCell ref="BL39:BN39"/>
    <mergeCell ref="AY41:BB41"/>
    <mergeCell ref="BC41:BF41"/>
    <mergeCell ref="BG41:BJ41"/>
    <mergeCell ref="BK41:BN41"/>
    <mergeCell ref="BO41:BR41"/>
    <mergeCell ref="AY42:BB42"/>
    <mergeCell ref="BC42:BF42"/>
    <mergeCell ref="BG42:BJ42"/>
    <mergeCell ref="BK42:BN42"/>
    <mergeCell ref="BO42:BR42"/>
    <mergeCell ref="AY45:BB45"/>
    <mergeCell ref="BC45:BF45"/>
    <mergeCell ref="BG45:BJ45"/>
    <mergeCell ref="AY46:BB46"/>
    <mergeCell ref="BC46:BF46"/>
    <mergeCell ref="BG46:BJ46"/>
    <mergeCell ref="AZ43:BB43"/>
    <mergeCell ref="BD43:BF43"/>
    <mergeCell ref="BH43:BJ43"/>
    <mergeCell ref="AY44:BB44"/>
    <mergeCell ref="BC44:BF44"/>
    <mergeCell ref="BG44:BJ44"/>
    <mergeCell ref="AY49:BB49"/>
    <mergeCell ref="BC49:BF49"/>
    <mergeCell ref="BG49:BJ49"/>
    <mergeCell ref="AY50:BB50"/>
    <mergeCell ref="BC50:BF50"/>
    <mergeCell ref="BG50:BJ50"/>
    <mergeCell ref="AZ47:BB47"/>
    <mergeCell ref="BD47:BF47"/>
    <mergeCell ref="BH47:BJ47"/>
    <mergeCell ref="AY48:BB48"/>
    <mergeCell ref="BC48:BF48"/>
    <mergeCell ref="BG48:BJ48"/>
    <mergeCell ref="BK8:BM8"/>
    <mergeCell ref="BN8:BO8"/>
    <mergeCell ref="BK9:BM9"/>
    <mergeCell ref="BN9:BO9"/>
    <mergeCell ref="BK10:BM10"/>
    <mergeCell ref="BN10:BO10"/>
    <mergeCell ref="D3:F3"/>
    <mergeCell ref="C4:F4"/>
    <mergeCell ref="C5:F5"/>
    <mergeCell ref="C6:F6"/>
    <mergeCell ref="BK7:BM7"/>
    <mergeCell ref="BN7:BO7"/>
    <mergeCell ref="K10:N10"/>
    <mergeCell ref="O10:R10"/>
    <mergeCell ref="S10:V10"/>
    <mergeCell ref="W10:Z10"/>
    <mergeCell ref="AA10:AD10"/>
    <mergeCell ref="AE10:AH10"/>
    <mergeCell ref="K9:N9"/>
    <mergeCell ref="O9:R9"/>
    <mergeCell ref="S9:V9"/>
    <mergeCell ref="W9:Z9"/>
    <mergeCell ref="AA9:AD9"/>
    <mergeCell ref="AE9:AH9"/>
    <mergeCell ref="BK17:BM17"/>
    <mergeCell ref="BN17:BO17"/>
    <mergeCell ref="BK14:BM14"/>
    <mergeCell ref="BN14:BO14"/>
    <mergeCell ref="BK15:BM15"/>
    <mergeCell ref="BN15:BO15"/>
    <mergeCell ref="BK16:BM16"/>
    <mergeCell ref="BN16:BO16"/>
    <mergeCell ref="BK11:BM11"/>
    <mergeCell ref="BN11:BO11"/>
    <mergeCell ref="BK12:BM12"/>
    <mergeCell ref="BN12:BO12"/>
    <mergeCell ref="BK13:BM13"/>
    <mergeCell ref="BN13:BO13"/>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44"/>
  <sheetViews>
    <sheetView topLeftCell="A91" zoomScaleNormal="100" workbookViewId="0">
      <selection activeCell="L97" sqref="L97:M97"/>
    </sheetView>
  </sheetViews>
  <sheetFormatPr defaultColWidth="3.5" defaultRowHeight="21" customHeight="1" x14ac:dyDescent="0.55000000000000004"/>
  <cols>
    <col min="1" max="16384" width="3.5" style="11"/>
  </cols>
  <sheetData>
    <row r="1" spans="1:33" ht="21" customHeight="1" x14ac:dyDescent="0.55000000000000004">
      <c r="A1" s="38"/>
      <c r="F1" s="38" t="s">
        <v>182</v>
      </c>
      <c r="G1" s="38"/>
      <c r="I1" s="38"/>
      <c r="M1" s="38"/>
      <c r="Q1" s="38" t="s">
        <v>183</v>
      </c>
      <c r="V1" s="38"/>
      <c r="AF1" s="38" t="s">
        <v>181</v>
      </c>
    </row>
    <row r="2" spans="1:33" ht="21" customHeight="1" x14ac:dyDescent="0.55000000000000004">
      <c r="B2" s="14" t="s">
        <v>34</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32</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152</v>
      </c>
    </row>
    <row r="13" spans="1:33" ht="21" customHeight="1" x14ac:dyDescent="0.55000000000000004">
      <c r="F13" s="15" t="s">
        <v>30</v>
      </c>
      <c r="G13" s="11" t="s">
        <v>151</v>
      </c>
    </row>
    <row r="14" spans="1:33" ht="21" customHeight="1" x14ac:dyDescent="0.55000000000000004">
      <c r="F14" s="15"/>
    </row>
    <row r="15" spans="1:33" ht="21" customHeight="1" thickBot="1" x14ac:dyDescent="0.45">
      <c r="F15" s="27" t="s">
        <v>44</v>
      </c>
      <c r="Q15" s="27" t="s">
        <v>45</v>
      </c>
    </row>
    <row r="16" spans="1:33" ht="21" customHeight="1" thickTop="1" thickBot="1" x14ac:dyDescent="0.6">
      <c r="A16" s="38" t="s">
        <v>158</v>
      </c>
      <c r="F16" s="103" t="s">
        <v>84</v>
      </c>
      <c r="G16" s="104"/>
      <c r="H16" s="104"/>
      <c r="I16" s="104"/>
      <c r="J16" s="104"/>
      <c r="K16" s="104"/>
      <c r="L16" s="104"/>
      <c r="M16" s="104"/>
      <c r="N16" s="104"/>
      <c r="O16" s="105"/>
      <c r="Q16" s="103" t="s">
        <v>595</v>
      </c>
      <c r="R16" s="104"/>
      <c r="S16" s="104"/>
      <c r="T16" s="105"/>
    </row>
    <row r="17" spans="1:33" ht="21" customHeight="1" thickTop="1" x14ac:dyDescent="0.55000000000000004"/>
    <row r="19" spans="1:33" ht="21" customHeight="1" x14ac:dyDescent="0.55000000000000004">
      <c r="D19" s="14" t="s">
        <v>33</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153</v>
      </c>
    </row>
    <row r="27" spans="1:33" ht="21" customHeight="1" x14ac:dyDescent="0.55000000000000004">
      <c r="F27" s="15"/>
      <c r="G27" s="15" t="s">
        <v>30</v>
      </c>
      <c r="H27" s="11" t="s">
        <v>154</v>
      </c>
    </row>
    <row r="28" spans="1:33" ht="21" customHeight="1" x14ac:dyDescent="0.55000000000000004">
      <c r="F28" s="15"/>
    </row>
    <row r="29" spans="1:33" ht="21" customHeight="1" x14ac:dyDescent="0.55000000000000004">
      <c r="F29" s="15"/>
      <c r="G29" s="11" t="s">
        <v>86</v>
      </c>
    </row>
    <row r="30" spans="1:33" ht="21" customHeight="1" thickBot="1" x14ac:dyDescent="0.45">
      <c r="F30" s="27" t="s">
        <v>44</v>
      </c>
      <c r="Q30" s="27" t="s">
        <v>46</v>
      </c>
    </row>
    <row r="31" spans="1:33" ht="21" customHeight="1" thickTop="1" thickBot="1" x14ac:dyDescent="0.6">
      <c r="A31" s="38" t="s">
        <v>170</v>
      </c>
      <c r="F31" s="103" t="s">
        <v>37</v>
      </c>
      <c r="G31" s="104"/>
      <c r="H31" s="104"/>
      <c r="I31" s="104"/>
      <c r="J31" s="104"/>
      <c r="K31" s="104"/>
      <c r="L31" s="104"/>
      <c r="M31" s="104"/>
      <c r="N31" s="104"/>
      <c r="O31" s="105"/>
      <c r="Q31" s="103" t="s">
        <v>142</v>
      </c>
      <c r="R31" s="105"/>
    </row>
    <row r="32" spans="1:33" ht="21" customHeight="1" thickTop="1" x14ac:dyDescent="0.55000000000000004"/>
    <row r="34" spans="4:33" ht="21" customHeight="1" x14ac:dyDescent="0.55000000000000004">
      <c r="D34" s="14" t="s">
        <v>35</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30</v>
      </c>
      <c r="G46" s="11" t="s">
        <v>38</v>
      </c>
    </row>
    <row r="47" spans="4:33" ht="21" customHeight="1" x14ac:dyDescent="0.55000000000000004">
      <c r="P47" s="30" t="s">
        <v>94</v>
      </c>
      <c r="Q47" s="30"/>
      <c r="R47" s="30"/>
      <c r="S47" s="30"/>
      <c r="T47" s="11" t="s">
        <v>156</v>
      </c>
    </row>
    <row r="48" spans="4:33" ht="21" customHeight="1" x14ac:dyDescent="0.55000000000000004">
      <c r="F48" s="15"/>
      <c r="P48" s="15" t="s">
        <v>30</v>
      </c>
      <c r="Q48" s="11" t="s">
        <v>155</v>
      </c>
    </row>
    <row r="49" spans="1:20" ht="21" customHeight="1" x14ac:dyDescent="0.55000000000000004">
      <c r="F49" s="15"/>
    </row>
    <row r="50" spans="1:20" ht="21" customHeight="1" thickBot="1" x14ac:dyDescent="0.45">
      <c r="F50" s="15"/>
      <c r="Q50" s="27" t="s">
        <v>47</v>
      </c>
    </row>
    <row r="51" spans="1:20" ht="21" customHeight="1" thickTop="1" thickBot="1" x14ac:dyDescent="0.6">
      <c r="A51" s="38" t="s">
        <v>205</v>
      </c>
      <c r="F51" s="15"/>
      <c r="Q51" s="103" t="s">
        <v>145</v>
      </c>
      <c r="R51" s="105"/>
    </row>
    <row r="52" spans="1:20" ht="21" customHeight="1" thickTop="1" x14ac:dyDescent="0.55000000000000004">
      <c r="E52" s="11" t="s">
        <v>208</v>
      </c>
    </row>
    <row r="53" spans="1:20" ht="21" customHeight="1" thickBot="1" x14ac:dyDescent="0.6">
      <c r="E53" s="25"/>
      <c r="F53" s="40" t="s">
        <v>16</v>
      </c>
      <c r="G53" s="41" t="s">
        <v>17</v>
      </c>
      <c r="H53" s="41" t="s">
        <v>18</v>
      </c>
      <c r="I53" s="41" t="s">
        <v>19</v>
      </c>
      <c r="J53" s="25"/>
    </row>
    <row r="54" spans="1:20" ht="21" customHeight="1" x14ac:dyDescent="0.55000000000000004">
      <c r="A54" s="38" t="s">
        <v>169</v>
      </c>
      <c r="E54" s="39">
        <v>1</v>
      </c>
      <c r="F54" s="8"/>
      <c r="G54" s="106" t="s">
        <v>24</v>
      </c>
      <c r="H54" s="106"/>
      <c r="I54" s="107"/>
      <c r="J54" s="25"/>
    </row>
    <row r="55" spans="1:20" ht="21" customHeight="1" x14ac:dyDescent="0.55000000000000004">
      <c r="E55" s="39">
        <v>2</v>
      </c>
      <c r="F55" s="187" t="s">
        <v>642</v>
      </c>
      <c r="G55" s="188"/>
      <c r="H55" s="188"/>
      <c r="I55" s="189"/>
      <c r="J55" s="25"/>
    </row>
    <row r="56" spans="1:20" ht="21" customHeight="1" x14ac:dyDescent="0.55000000000000004">
      <c r="E56" s="39">
        <v>3</v>
      </c>
      <c r="F56" s="184" t="s">
        <v>26</v>
      </c>
      <c r="G56" s="185"/>
      <c r="H56" s="185"/>
      <c r="I56" s="186"/>
      <c r="J56" s="25"/>
    </row>
    <row r="57" spans="1:20" ht="21" customHeight="1" thickBot="1" x14ac:dyDescent="0.6">
      <c r="A57" s="38"/>
      <c r="E57" s="39">
        <v>4</v>
      </c>
      <c r="F57" s="122" t="s">
        <v>644</v>
      </c>
      <c r="G57" s="123"/>
      <c r="H57" s="123"/>
      <c r="I57" s="124"/>
      <c r="J57" s="25"/>
    </row>
    <row r="58" spans="1:20" ht="21" customHeight="1" x14ac:dyDescent="0.55000000000000004">
      <c r="E58" s="25"/>
      <c r="F58" s="25"/>
      <c r="G58" s="25"/>
      <c r="H58" s="25"/>
      <c r="I58" s="25"/>
      <c r="J58" s="25"/>
    </row>
    <row r="59" spans="1:20" ht="21" customHeight="1" thickBot="1" x14ac:dyDescent="0.45">
      <c r="Q59" s="27" t="s">
        <v>202</v>
      </c>
    </row>
    <row r="60" spans="1:20" ht="21" customHeight="1" thickTop="1" thickBot="1" x14ac:dyDescent="0.6">
      <c r="A60" s="38" t="s">
        <v>207</v>
      </c>
      <c r="Q60" s="103" t="s">
        <v>206</v>
      </c>
      <c r="R60" s="104"/>
      <c r="S60" s="104"/>
      <c r="T60" s="105"/>
    </row>
    <row r="61" spans="1:20" ht="21" customHeight="1" thickTop="1" x14ac:dyDescent="0.55000000000000004">
      <c r="Q61" s="46" t="s">
        <v>198</v>
      </c>
    </row>
    <row r="63" spans="1:20" ht="21" customHeight="1" x14ac:dyDescent="0.55000000000000004">
      <c r="G63" s="11" t="s">
        <v>39</v>
      </c>
    </row>
    <row r="66" spans="4:33" ht="21" customHeight="1" x14ac:dyDescent="0.55000000000000004">
      <c r="D66" s="14" t="s">
        <v>36</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row>
    <row r="86" spans="1:18" ht="21" customHeight="1" x14ac:dyDescent="0.55000000000000004">
      <c r="H86" s="11" t="s">
        <v>157</v>
      </c>
    </row>
    <row r="88" spans="1:18" ht="21" customHeight="1" thickBot="1" x14ac:dyDescent="0.45">
      <c r="Q88" s="27" t="s">
        <v>171</v>
      </c>
    </row>
    <row r="89" spans="1:18" ht="21" customHeight="1" thickTop="1" thickBot="1" x14ac:dyDescent="0.6">
      <c r="A89" s="38" t="s">
        <v>196</v>
      </c>
      <c r="Q89" s="103" t="s">
        <v>637</v>
      </c>
      <c r="R89" s="105"/>
    </row>
    <row r="90" spans="1:18" ht="21" customHeight="1" thickTop="1" x14ac:dyDescent="0.55000000000000004"/>
    <row r="91" spans="1:18" ht="21" customHeight="1" x14ac:dyDescent="0.55000000000000004">
      <c r="G91" s="15" t="s">
        <v>30</v>
      </c>
      <c r="H91" s="11" t="s">
        <v>195</v>
      </c>
    </row>
    <row r="93" spans="1:18" ht="21" customHeight="1" thickBot="1" x14ac:dyDescent="0.6">
      <c r="E93" s="39"/>
      <c r="F93" s="40" t="s">
        <v>16</v>
      </c>
      <c r="G93" s="41" t="s">
        <v>17</v>
      </c>
      <c r="H93" s="41" t="s">
        <v>18</v>
      </c>
      <c r="I93" s="41" t="s">
        <v>19</v>
      </c>
      <c r="J93" s="41" t="s">
        <v>20</v>
      </c>
      <c r="K93" s="41" t="s">
        <v>21</v>
      </c>
      <c r="L93" s="41" t="s">
        <v>22</v>
      </c>
      <c r="M93" s="41" t="s">
        <v>23</v>
      </c>
      <c r="N93" s="42"/>
    </row>
    <row r="94" spans="1:18" ht="21" customHeight="1" x14ac:dyDescent="0.55000000000000004">
      <c r="A94" s="38" t="s">
        <v>168</v>
      </c>
      <c r="E94" s="39">
        <v>1</v>
      </c>
      <c r="F94" s="11" t="s">
        <v>41</v>
      </c>
      <c r="G94" s="178" t="s">
        <v>28</v>
      </c>
      <c r="H94" s="179"/>
      <c r="I94" s="179"/>
      <c r="J94" s="180" t="s">
        <v>27</v>
      </c>
      <c r="K94" s="181"/>
      <c r="L94" s="130" t="s">
        <v>29</v>
      </c>
      <c r="M94" s="130"/>
      <c r="N94" s="26"/>
    </row>
    <row r="95" spans="1:18" ht="21" customHeight="1" x14ac:dyDescent="0.55000000000000004">
      <c r="E95" s="39">
        <v>2</v>
      </c>
      <c r="F95" s="11">
        <v>1</v>
      </c>
      <c r="G95" s="156">
        <v>7500</v>
      </c>
      <c r="H95" s="131"/>
      <c r="I95" s="131"/>
      <c r="J95" s="182"/>
      <c r="K95" s="183"/>
      <c r="L95" s="175"/>
      <c r="M95" s="175"/>
      <c r="N95" s="26"/>
    </row>
    <row r="96" spans="1:18" ht="21" customHeight="1" x14ac:dyDescent="0.55000000000000004">
      <c r="E96" s="39">
        <v>3</v>
      </c>
      <c r="F96" s="11">
        <v>2</v>
      </c>
      <c r="G96" s="156">
        <v>5000</v>
      </c>
      <c r="H96" s="131"/>
      <c r="I96" s="131"/>
      <c r="J96" s="173"/>
      <c r="K96" s="174"/>
      <c r="L96" s="175"/>
      <c r="M96" s="175"/>
      <c r="N96" s="26"/>
    </row>
    <row r="97" spans="1:20" ht="21" customHeight="1" x14ac:dyDescent="0.55000000000000004">
      <c r="E97" s="39">
        <v>4</v>
      </c>
      <c r="F97" s="11">
        <v>3</v>
      </c>
      <c r="G97" s="156">
        <v>2500</v>
      </c>
      <c r="H97" s="131"/>
      <c r="I97" s="131"/>
      <c r="J97" s="252"/>
      <c r="K97" s="253"/>
      <c r="L97" s="155"/>
      <c r="M97" s="155"/>
      <c r="N97" s="26"/>
    </row>
    <row r="98" spans="1:20" ht="21" customHeight="1" x14ac:dyDescent="0.55000000000000004">
      <c r="E98" s="39">
        <v>5</v>
      </c>
      <c r="F98" s="11">
        <v>4</v>
      </c>
      <c r="G98" s="156">
        <v>1250</v>
      </c>
      <c r="H98" s="131"/>
      <c r="I98" s="131"/>
      <c r="J98" s="176"/>
      <c r="K98" s="177"/>
      <c r="L98" s="155"/>
      <c r="M98" s="155"/>
      <c r="N98" s="26"/>
    </row>
    <row r="99" spans="1:20" ht="21" customHeight="1" x14ac:dyDescent="0.55000000000000004">
      <c r="E99" s="39">
        <v>6</v>
      </c>
      <c r="F99" s="11">
        <v>5</v>
      </c>
      <c r="G99" s="156">
        <v>1000</v>
      </c>
      <c r="H99" s="131"/>
      <c r="I99" s="131"/>
      <c r="J99" s="171"/>
      <c r="K99" s="172"/>
      <c r="L99" s="155"/>
      <c r="M99" s="155"/>
      <c r="N99" s="26"/>
    </row>
    <row r="100" spans="1:20" ht="21" customHeight="1" x14ac:dyDescent="0.55000000000000004">
      <c r="E100" s="39">
        <v>7</v>
      </c>
      <c r="F100" s="11">
        <v>6</v>
      </c>
      <c r="G100" s="156">
        <v>750</v>
      </c>
      <c r="H100" s="131"/>
      <c r="I100" s="131"/>
      <c r="J100" s="256"/>
      <c r="K100" s="257"/>
      <c r="L100" s="155"/>
      <c r="M100" s="155"/>
      <c r="N100" s="26"/>
    </row>
    <row r="101" spans="1:20" ht="21" customHeight="1" x14ac:dyDescent="0.55000000000000004">
      <c r="E101" s="39">
        <v>8</v>
      </c>
      <c r="F101" s="11">
        <v>7</v>
      </c>
      <c r="G101" s="156">
        <v>500</v>
      </c>
      <c r="H101" s="131"/>
      <c r="I101" s="131"/>
      <c r="J101" s="254"/>
      <c r="K101" s="255"/>
      <c r="L101" s="155"/>
      <c r="M101" s="155"/>
      <c r="N101" s="26"/>
    </row>
    <row r="102" spans="1:20" ht="21" customHeight="1" x14ac:dyDescent="0.55000000000000004">
      <c r="E102" s="39">
        <v>9</v>
      </c>
      <c r="F102" s="11">
        <v>8</v>
      </c>
      <c r="G102" s="156">
        <v>250</v>
      </c>
      <c r="H102" s="131"/>
      <c r="I102" s="131"/>
      <c r="J102" s="161"/>
      <c r="K102" s="162"/>
      <c r="L102" s="155"/>
      <c r="M102" s="155"/>
      <c r="N102" s="26"/>
    </row>
    <row r="103" spans="1:20" ht="21" customHeight="1" x14ac:dyDescent="0.55000000000000004">
      <c r="E103" s="39">
        <v>10</v>
      </c>
      <c r="F103" s="11">
        <v>9</v>
      </c>
      <c r="G103" s="156">
        <v>125</v>
      </c>
      <c r="H103" s="131"/>
      <c r="I103" s="131"/>
      <c r="J103" s="169"/>
      <c r="K103" s="170"/>
      <c r="L103" s="155"/>
      <c r="M103" s="155"/>
      <c r="N103" s="26"/>
    </row>
    <row r="104" spans="1:20" ht="21" customHeight="1" x14ac:dyDescent="0.55000000000000004">
      <c r="E104" s="39">
        <v>11</v>
      </c>
      <c r="F104" s="11">
        <v>10</v>
      </c>
      <c r="G104" s="156">
        <v>100</v>
      </c>
      <c r="H104" s="131"/>
      <c r="I104" s="131"/>
      <c r="J104" s="157"/>
      <c r="K104" s="158"/>
      <c r="L104" s="155"/>
      <c r="M104" s="155"/>
      <c r="N104" s="26"/>
    </row>
    <row r="105" spans="1:20" ht="21" customHeight="1" thickBot="1" x14ac:dyDescent="0.6">
      <c r="E105" s="39">
        <v>12</v>
      </c>
      <c r="F105" s="11">
        <v>11</v>
      </c>
      <c r="G105" s="153">
        <v>0</v>
      </c>
      <c r="H105" s="154"/>
      <c r="I105" s="154"/>
      <c r="J105" s="258"/>
      <c r="K105" s="259"/>
      <c r="L105" s="155"/>
      <c r="M105" s="155"/>
      <c r="N105" s="26"/>
    </row>
    <row r="106" spans="1:20" ht="21" customHeight="1" x14ac:dyDescent="0.55000000000000004">
      <c r="E106" s="39"/>
      <c r="F106" s="26"/>
      <c r="G106" s="26"/>
      <c r="H106" s="26"/>
      <c r="I106" s="26"/>
      <c r="J106" s="26"/>
      <c r="K106" s="26"/>
      <c r="L106" s="26"/>
      <c r="M106" s="26"/>
      <c r="N106" s="26"/>
    </row>
    <row r="108" spans="1:20" ht="21" customHeight="1" thickBot="1" x14ac:dyDescent="0.45">
      <c r="Q108" s="27" t="s">
        <v>202</v>
      </c>
    </row>
    <row r="109" spans="1:20" ht="21" customHeight="1" thickTop="1" thickBot="1" x14ac:dyDescent="0.6">
      <c r="A109" s="38" t="s">
        <v>201</v>
      </c>
      <c r="Q109" s="103" t="s">
        <v>203</v>
      </c>
      <c r="R109" s="104"/>
      <c r="S109" s="104"/>
      <c r="T109" s="105"/>
    </row>
    <row r="110" spans="1:20" ht="21" customHeight="1" thickTop="1" x14ac:dyDescent="0.55000000000000004">
      <c r="Q110" s="46" t="s">
        <v>198</v>
      </c>
    </row>
    <row r="111" spans="1:20" ht="21" customHeight="1" thickBot="1" x14ac:dyDescent="0.45">
      <c r="F111" s="27" t="s">
        <v>48</v>
      </c>
    </row>
    <row r="112" spans="1:20" ht="21" customHeight="1" thickTop="1" thickBot="1" x14ac:dyDescent="0.6">
      <c r="A112" s="38" t="s">
        <v>199</v>
      </c>
      <c r="F112" s="103" t="s">
        <v>184</v>
      </c>
      <c r="G112" s="104"/>
      <c r="H112" s="104"/>
      <c r="I112" s="105"/>
    </row>
    <row r="113" spans="4:33" ht="21" customHeight="1" thickTop="1" x14ac:dyDescent="0.55000000000000004">
      <c r="F113" s="46" t="s">
        <v>198</v>
      </c>
    </row>
    <row r="116" spans="4:33" ht="21" customHeight="1" x14ac:dyDescent="0.55000000000000004">
      <c r="D116" s="14" t="s">
        <v>36</v>
      </c>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row>
    <row r="118" spans="4:33" ht="21" customHeight="1" thickBot="1" x14ac:dyDescent="0.6">
      <c r="F118" s="15" t="s">
        <v>30</v>
      </c>
      <c r="G118" s="11" t="s">
        <v>31</v>
      </c>
    </row>
    <row r="119" spans="4:33" ht="21" customHeight="1" x14ac:dyDescent="0.55000000000000004">
      <c r="F119" s="16"/>
      <c r="G119" s="17"/>
      <c r="H119" s="17"/>
      <c r="I119" s="17"/>
      <c r="J119" s="17"/>
      <c r="K119" s="17"/>
      <c r="L119" s="17"/>
      <c r="M119" s="17"/>
      <c r="N119" s="18"/>
    </row>
    <row r="120" spans="4:33" ht="21" customHeight="1" x14ac:dyDescent="0.55000000000000004">
      <c r="F120" s="19"/>
      <c r="N120" s="20"/>
    </row>
    <row r="121" spans="4:33" ht="21" customHeight="1" x14ac:dyDescent="0.55000000000000004">
      <c r="F121" s="19"/>
      <c r="N121" s="20"/>
    </row>
    <row r="122" spans="4:33" ht="21" customHeight="1" thickBot="1" x14ac:dyDescent="0.6">
      <c r="F122" s="21"/>
      <c r="G122" s="22"/>
      <c r="H122" s="22"/>
      <c r="I122" s="22"/>
      <c r="J122" s="22"/>
      <c r="K122" s="22"/>
      <c r="L122" s="22"/>
      <c r="M122" s="22"/>
      <c r="N122" s="23"/>
    </row>
    <row r="141" spans="1:8" ht="21" customHeight="1" x14ac:dyDescent="0.55000000000000004">
      <c r="H141" s="11" t="s">
        <v>88</v>
      </c>
    </row>
    <row r="143" spans="1:8" ht="21" customHeight="1" x14ac:dyDescent="0.55000000000000004">
      <c r="B143" s="11" t="s">
        <v>28</v>
      </c>
    </row>
    <row r="144" spans="1:8" ht="21" customHeight="1" x14ac:dyDescent="0.55000000000000004">
      <c r="A144" s="38" t="s">
        <v>143</v>
      </c>
    </row>
  </sheetData>
  <mergeCells count="49">
    <mergeCell ref="Q31:R31"/>
    <mergeCell ref="G95:I95"/>
    <mergeCell ref="F16:O16"/>
    <mergeCell ref="G54:I54"/>
    <mergeCell ref="F55:I55"/>
    <mergeCell ref="F56:I56"/>
    <mergeCell ref="F57:I57"/>
    <mergeCell ref="F31:O31"/>
    <mergeCell ref="L95:M95"/>
    <mergeCell ref="L94:M94"/>
    <mergeCell ref="J94:K94"/>
    <mergeCell ref="J95:K95"/>
    <mergeCell ref="Q16:T16"/>
    <mergeCell ref="Q89:R89"/>
    <mergeCell ref="F112:I112"/>
    <mergeCell ref="L98:M98"/>
    <mergeCell ref="L99:M99"/>
    <mergeCell ref="J103:K103"/>
    <mergeCell ref="J102:K102"/>
    <mergeCell ref="J105:K105"/>
    <mergeCell ref="L100:M100"/>
    <mergeCell ref="L103:M103"/>
    <mergeCell ref="L104:M104"/>
    <mergeCell ref="L105:M105"/>
    <mergeCell ref="J96:K96"/>
    <mergeCell ref="J97:K97"/>
    <mergeCell ref="J98:K98"/>
    <mergeCell ref="J101:K101"/>
    <mergeCell ref="J104:K104"/>
    <mergeCell ref="J100:K100"/>
    <mergeCell ref="J99:K99"/>
    <mergeCell ref="L97:M97"/>
    <mergeCell ref="L96:M96"/>
    <mergeCell ref="Q109:T109"/>
    <mergeCell ref="Q51:R51"/>
    <mergeCell ref="Q60:T60"/>
    <mergeCell ref="G94:I94"/>
    <mergeCell ref="G96:I96"/>
    <mergeCell ref="G97:I97"/>
    <mergeCell ref="G98:I98"/>
    <mergeCell ref="G99:I99"/>
    <mergeCell ref="G100:I100"/>
    <mergeCell ref="G101:I101"/>
    <mergeCell ref="G102:I102"/>
    <mergeCell ref="G103:I103"/>
    <mergeCell ref="G104:I104"/>
    <mergeCell ref="G105:I105"/>
    <mergeCell ref="L101:M101"/>
    <mergeCell ref="L102:M102"/>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118</xdr:row>
                    <xdr:rowOff>184150</xdr:rowOff>
                  </from>
                  <to>
                    <xdr:col>12</xdr:col>
                    <xdr:colOff>139700</xdr:colOff>
                    <xdr:row>121</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68CC1-EAE8-49DB-A42B-E59F7C3149DC}">
  <sheetPr codeName="Sheet15"/>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4"/>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row>
    <row r="2" spans="1:72" ht="21.15" customHeight="1" thickBot="1" x14ac:dyDescent="0.6">
      <c r="A2" s="74"/>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4"/>
    </row>
    <row r="3" spans="1:72" ht="21.15" customHeight="1" x14ac:dyDescent="0.55000000000000004">
      <c r="A3" s="74"/>
      <c r="B3" s="75"/>
      <c r="C3" s="98"/>
      <c r="D3" s="138" t="s">
        <v>73</v>
      </c>
      <c r="E3" s="139"/>
      <c r="F3" s="140"/>
      <c r="G3" s="76" t="s">
        <v>66</v>
      </c>
      <c r="H3" s="75"/>
      <c r="I3" s="75"/>
      <c r="J3" s="75"/>
      <c r="K3" s="76" t="s">
        <v>65</v>
      </c>
      <c r="L3" s="75"/>
      <c r="M3" s="75"/>
      <c r="N3" s="75"/>
      <c r="O3" s="76" t="s">
        <v>64</v>
      </c>
      <c r="P3" s="75"/>
      <c r="Q3" s="75"/>
      <c r="R3" s="75"/>
      <c r="S3" s="76" t="s">
        <v>63</v>
      </c>
      <c r="T3" s="75"/>
      <c r="U3" s="75"/>
      <c r="V3" s="75"/>
      <c r="W3" s="76" t="s">
        <v>62</v>
      </c>
      <c r="X3" s="75"/>
      <c r="Y3" s="75"/>
      <c r="Z3" s="75"/>
      <c r="AA3" s="76" t="s">
        <v>61</v>
      </c>
      <c r="AB3" s="75"/>
      <c r="AC3" s="75"/>
      <c r="AD3" s="75"/>
      <c r="AE3" s="76" t="s">
        <v>60</v>
      </c>
      <c r="AF3" s="75"/>
      <c r="AG3" s="75"/>
      <c r="AH3" s="75"/>
      <c r="AI3" s="76" t="s">
        <v>59</v>
      </c>
      <c r="AJ3" s="75"/>
      <c r="AK3" s="75"/>
      <c r="AL3" s="75"/>
      <c r="AM3" s="76" t="s">
        <v>58</v>
      </c>
      <c r="AN3" s="75"/>
      <c r="AO3" s="75"/>
      <c r="AP3" s="75"/>
      <c r="AQ3" s="76" t="s">
        <v>57</v>
      </c>
      <c r="AR3" s="75"/>
      <c r="AS3" s="75"/>
      <c r="AT3" s="75"/>
      <c r="AU3" s="76" t="s">
        <v>56</v>
      </c>
      <c r="AV3" s="75"/>
      <c r="AW3" s="75"/>
      <c r="AX3" s="75"/>
      <c r="AY3" s="76" t="s">
        <v>55</v>
      </c>
      <c r="AZ3" s="75"/>
      <c r="BA3" s="75"/>
      <c r="BB3" s="75"/>
      <c r="BC3" s="76" t="s">
        <v>54</v>
      </c>
      <c r="BD3" s="75"/>
      <c r="BE3" s="75"/>
      <c r="BF3" s="75"/>
      <c r="BG3" s="76" t="s">
        <v>53</v>
      </c>
      <c r="BH3" s="75"/>
      <c r="BI3" s="75"/>
      <c r="BJ3" s="75"/>
      <c r="BK3" s="76" t="s">
        <v>52</v>
      </c>
      <c r="BL3" s="75"/>
      <c r="BM3" s="75"/>
      <c r="BN3" s="75"/>
      <c r="BO3" s="76" t="s">
        <v>51</v>
      </c>
      <c r="BP3" s="75"/>
      <c r="BQ3" s="75"/>
      <c r="BR3" s="75"/>
      <c r="BS3" s="75"/>
      <c r="BT3" s="74"/>
    </row>
    <row r="4" spans="1:72" ht="21.15" customHeight="1" x14ac:dyDescent="0.55000000000000004">
      <c r="A4" s="74"/>
      <c r="B4" s="75"/>
      <c r="C4" s="214" t="s">
        <v>640</v>
      </c>
      <c r="D4" s="212"/>
      <c r="E4" s="212"/>
      <c r="F4" s="213"/>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c r="BK4" s="75"/>
      <c r="BL4" s="75"/>
      <c r="BM4" s="75"/>
      <c r="BN4" s="75"/>
      <c r="BO4" s="75"/>
      <c r="BP4" s="75"/>
      <c r="BQ4" s="75"/>
      <c r="BR4" s="75"/>
      <c r="BS4" s="75"/>
      <c r="BT4" s="74"/>
    </row>
    <row r="5" spans="1:72" ht="21.15" customHeight="1" x14ac:dyDescent="0.55000000000000004">
      <c r="A5" s="74"/>
      <c r="B5" s="75"/>
      <c r="C5" s="211" t="s">
        <v>74</v>
      </c>
      <c r="D5" s="212"/>
      <c r="E5" s="212"/>
      <c r="F5" s="213"/>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4"/>
    </row>
    <row r="6" spans="1:72" ht="21.15" customHeight="1" thickBot="1" x14ac:dyDescent="0.6">
      <c r="A6" s="74"/>
      <c r="B6" s="75"/>
      <c r="C6" s="144" t="s">
        <v>638</v>
      </c>
      <c r="D6" s="145"/>
      <c r="E6" s="145"/>
      <c r="F6" s="146"/>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4"/>
    </row>
    <row r="7" spans="1:72" ht="21.15" customHeight="1" x14ac:dyDescent="0.55000000000000004">
      <c r="A7" s="74"/>
      <c r="B7" s="75"/>
      <c r="C7" s="76" t="s">
        <v>50</v>
      </c>
      <c r="D7" s="75"/>
      <c r="E7" s="75"/>
      <c r="F7" s="75"/>
      <c r="G7" s="75"/>
      <c r="H7" s="75"/>
      <c r="I7" s="75"/>
      <c r="J7" s="75"/>
      <c r="K7" s="77">
        <v>1</v>
      </c>
      <c r="L7" s="138" t="str">
        <f>VLOOKUP(K7,市町村データ!A2:I106,MATCH(手順書_人口!$G$54, 市町村データ!A1:I1, 0),FALSE)</f>
        <v>新座3</v>
      </c>
      <c r="M7" s="147"/>
      <c r="N7" s="152"/>
      <c r="O7" s="77">
        <v>2</v>
      </c>
      <c r="P7" s="138" t="str">
        <f>VLOOKUP(O7,市町村データ!A2:I106,MATCH(手順書_人口!$G$54, 市町村データ!A1:I1, 0),FALSE)</f>
        <v>新座2</v>
      </c>
      <c r="Q7" s="147"/>
      <c r="R7" s="152"/>
      <c r="S7" s="77">
        <v>3</v>
      </c>
      <c r="T7" s="138" t="str">
        <f>VLOOKUP(S7,市町村データ!A2:I106,MATCH(手順書_人口!$G$54, 市町村データ!A1:I1, 0),FALSE)</f>
        <v>新座1</v>
      </c>
      <c r="U7" s="147"/>
      <c r="V7" s="152"/>
      <c r="W7" s="77">
        <v>4</v>
      </c>
      <c r="X7" s="138" t="str">
        <f>VLOOKUP(W7,市町村データ!A2:I106,MATCH(手順書_人口!$G$54, 市町村データ!A1:I1, 0),FALSE)</f>
        <v>北野3</v>
      </c>
      <c r="Y7" s="147"/>
      <c r="Z7" s="152"/>
      <c r="AA7" s="77">
        <v>5</v>
      </c>
      <c r="AB7" s="138" t="str">
        <f>VLOOKUP(AA7,市町村データ!A2:I106,MATCH(手順書_人口!$G$54, 市町村データ!A1:I1, 0),FALSE)</f>
        <v>東北1</v>
      </c>
      <c r="AC7" s="147"/>
      <c r="AD7" s="152"/>
      <c r="AE7" s="77">
        <v>6</v>
      </c>
      <c r="AF7" s="138" t="str">
        <f>VLOOKUP(AE7,市町村データ!A2:I106,MATCH(手順書_人口!$G$54, 市町村データ!A1:I1, 0),FALSE)</f>
        <v>東北2</v>
      </c>
      <c r="AG7" s="147"/>
      <c r="AH7" s="152"/>
      <c r="AI7" s="79"/>
      <c r="AJ7" s="75"/>
      <c r="AK7" s="75"/>
      <c r="AL7" s="75"/>
      <c r="AM7" s="80"/>
      <c r="AN7" s="75"/>
      <c r="AO7" s="75"/>
      <c r="AP7" s="75"/>
      <c r="AQ7" s="80"/>
      <c r="AR7" s="75"/>
      <c r="AS7" s="75"/>
      <c r="AT7" s="75"/>
      <c r="AU7" s="75"/>
      <c r="AV7" s="75"/>
      <c r="AW7" s="75"/>
      <c r="AX7" s="75"/>
      <c r="AY7" s="75"/>
      <c r="AZ7" s="75"/>
      <c r="BA7" s="75"/>
      <c r="BB7" s="75"/>
      <c r="BC7" s="75"/>
      <c r="BD7" s="75"/>
      <c r="BE7" s="75"/>
      <c r="BF7" s="75"/>
      <c r="BG7" s="75"/>
      <c r="BH7" s="75"/>
      <c r="BI7" s="75"/>
      <c r="BJ7" s="75"/>
      <c r="BK7" s="215" t="s">
        <v>76</v>
      </c>
      <c r="BL7" s="216"/>
      <c r="BM7" s="216"/>
      <c r="BN7" s="217" t="s">
        <v>75</v>
      </c>
      <c r="BO7" s="218"/>
      <c r="BP7" s="75"/>
      <c r="BQ7" s="75"/>
      <c r="BR7" s="75"/>
      <c r="BS7" s="75"/>
      <c r="BT7" s="74"/>
    </row>
    <row r="8" spans="1:72" ht="21.15" customHeight="1" x14ac:dyDescent="0.55000000000000004">
      <c r="A8" s="74"/>
      <c r="B8" s="75"/>
      <c r="C8" s="75"/>
      <c r="D8" s="75"/>
      <c r="E8" s="75"/>
      <c r="F8" s="75"/>
      <c r="G8" s="75"/>
      <c r="H8" s="75"/>
      <c r="I8" s="75"/>
      <c r="J8" s="75"/>
      <c r="K8" s="269">
        <f>VLOOKUP(K7,市町村データ!A2:I106,MATCH(手順書_人口!$F$55, 市町村データ!A1:I1, 0),FALSE)</f>
        <v>160.1</v>
      </c>
      <c r="L8" s="137"/>
      <c r="M8" s="137"/>
      <c r="N8" s="151"/>
      <c r="O8" s="220">
        <f>VLOOKUP(O7,市町村データ!A2:I106,MATCH(手順書_人口!$F$55, 市町村データ!A1:I1, 0),FALSE)</f>
        <v>174.2</v>
      </c>
      <c r="P8" s="137"/>
      <c r="Q8" s="137"/>
      <c r="R8" s="151"/>
      <c r="S8" s="220">
        <f>VLOOKUP(S7,市町村データ!A2:I106,MATCH(手順書_人口!$F$55, 市町村データ!A1:I1, 0),FALSE)</f>
        <v>168.8</v>
      </c>
      <c r="T8" s="137"/>
      <c r="U8" s="137"/>
      <c r="V8" s="151"/>
      <c r="W8" s="269">
        <f>VLOOKUP(W7,市町村データ!A2:I106,MATCH(手順書_人口!$F$55, 市町村データ!A1:I1, 0),FALSE)</f>
        <v>181.9</v>
      </c>
      <c r="X8" s="137"/>
      <c r="Y8" s="137"/>
      <c r="Z8" s="151"/>
      <c r="AA8" s="220">
        <f>VLOOKUP(AA7,市町村データ!A2:I106,MATCH(手順書_人口!$F$55, 市町村データ!A1:I1, 0),FALSE)</f>
        <v>177.5</v>
      </c>
      <c r="AB8" s="137"/>
      <c r="AC8" s="137"/>
      <c r="AD8" s="151"/>
      <c r="AE8" s="248">
        <f>VLOOKUP(AE7,市町村データ!A2:I106,MATCH(手順書_人口!$F$55, 市町村データ!A1:I1, 0),FALSE)</f>
        <v>154.6</v>
      </c>
      <c r="AF8" s="137"/>
      <c r="AG8" s="137"/>
      <c r="AH8" s="151"/>
      <c r="AI8" s="79"/>
      <c r="AJ8" s="75"/>
      <c r="AK8" s="75"/>
      <c r="AL8" s="75"/>
      <c r="AM8" s="82"/>
      <c r="AN8" s="82"/>
      <c r="AO8" s="82"/>
      <c r="AP8" s="82"/>
      <c r="AQ8" s="82"/>
      <c r="AR8" s="82"/>
      <c r="AS8" s="82"/>
      <c r="AT8" s="82"/>
      <c r="AU8" s="75"/>
      <c r="AV8" s="75"/>
      <c r="AW8" s="75"/>
      <c r="AX8" s="75"/>
      <c r="AY8" s="75"/>
      <c r="AZ8" s="75"/>
      <c r="BA8" s="75"/>
      <c r="BB8" s="75"/>
      <c r="BC8" s="75"/>
      <c r="BD8" s="75"/>
      <c r="BE8" s="75"/>
      <c r="BF8" s="75"/>
      <c r="BG8" s="75"/>
      <c r="BH8" s="75"/>
      <c r="BI8" s="75"/>
      <c r="BJ8" s="75"/>
      <c r="BK8" s="194">
        <v>7500</v>
      </c>
      <c r="BL8" s="195"/>
      <c r="BM8" s="195"/>
      <c r="BN8" s="208"/>
      <c r="BO8" s="197"/>
      <c r="BP8" s="75"/>
      <c r="BQ8" s="75"/>
      <c r="BR8" s="75"/>
      <c r="BS8" s="83"/>
      <c r="BT8" s="74"/>
    </row>
    <row r="9" spans="1:72" ht="21.15" customHeight="1" x14ac:dyDescent="0.55000000000000004">
      <c r="A9" s="74"/>
      <c r="B9" s="75"/>
      <c r="C9" s="75"/>
      <c r="D9" s="75"/>
      <c r="E9" s="75"/>
      <c r="F9" s="75"/>
      <c r="G9" s="75"/>
      <c r="H9" s="75"/>
      <c r="I9" s="75"/>
      <c r="J9" s="75"/>
      <c r="K9" s="267">
        <f>VLOOKUP(K7,市町村データ!A2:I106,MATCH(手順書_人口!$F$56, 市町村データ!A1:I1, 0),FALSE)</f>
        <v>4002</v>
      </c>
      <c r="L9" s="137"/>
      <c r="M9" s="137"/>
      <c r="N9" s="151"/>
      <c r="O9" s="225">
        <f>VLOOKUP(O7,市町村データ!A2:I106,MATCH(手順書_人口!$F$56, 市町村データ!A1:I1, 0),FALSE)</f>
        <v>2439</v>
      </c>
      <c r="P9" s="137"/>
      <c r="Q9" s="137"/>
      <c r="R9" s="151"/>
      <c r="S9" s="225">
        <f>VLOOKUP(S7,市町村データ!A2:I106,MATCH(手順書_人口!$F$56, 市町村データ!A1:I1, 0),FALSE)</f>
        <v>1350</v>
      </c>
      <c r="T9" s="137"/>
      <c r="U9" s="137"/>
      <c r="V9" s="151"/>
      <c r="W9" s="267">
        <f>VLOOKUP(W7,市町村データ!A2:I106,MATCH(手順書_人口!$F$56, 市町村データ!A1:I1, 0),FALSE)</f>
        <v>3457</v>
      </c>
      <c r="X9" s="137"/>
      <c r="Y9" s="137"/>
      <c r="Z9" s="151"/>
      <c r="AA9" s="225">
        <f>VLOOKUP(AA7,市町村データ!A2:I106,MATCH(手順書_人口!$F$56, 市町村データ!A1:I1, 0),FALSE)</f>
        <v>1952</v>
      </c>
      <c r="AB9" s="137"/>
      <c r="AC9" s="137"/>
      <c r="AD9" s="151"/>
      <c r="AE9" s="249">
        <f>VLOOKUP(AE7,市町村データ!A2:I106,MATCH(手順書_人口!$F$56, 市町村データ!A1:I1, 0),FALSE)</f>
        <v>6183</v>
      </c>
      <c r="AF9" s="137"/>
      <c r="AG9" s="137"/>
      <c r="AH9" s="151"/>
      <c r="AI9" s="79"/>
      <c r="AJ9" s="75"/>
      <c r="AK9" s="75"/>
      <c r="AL9" s="75"/>
      <c r="AM9" s="84"/>
      <c r="AN9" s="84"/>
      <c r="AO9" s="84"/>
      <c r="AP9" s="84"/>
      <c r="AQ9" s="84"/>
      <c r="AR9" s="84"/>
      <c r="AS9" s="84"/>
      <c r="AT9" s="84"/>
      <c r="AU9" s="75"/>
      <c r="AV9" s="75"/>
      <c r="AW9" s="75"/>
      <c r="AX9" s="75"/>
      <c r="AY9" s="75"/>
      <c r="AZ9" s="75"/>
      <c r="BA9" s="75"/>
      <c r="BB9" s="75"/>
      <c r="BC9" s="75"/>
      <c r="BD9" s="75"/>
      <c r="BE9" s="75"/>
      <c r="BF9" s="75"/>
      <c r="BG9" s="75"/>
      <c r="BH9" s="75"/>
      <c r="BI9" s="75"/>
      <c r="BJ9" s="75"/>
      <c r="BK9" s="194">
        <v>5000</v>
      </c>
      <c r="BL9" s="195"/>
      <c r="BM9" s="195"/>
      <c r="BN9" s="209"/>
      <c r="BO9" s="197"/>
      <c r="BP9" s="75"/>
      <c r="BQ9" s="75"/>
      <c r="BR9" s="75"/>
      <c r="BS9" s="83"/>
      <c r="BT9" s="74"/>
    </row>
    <row r="10" spans="1:72" ht="21.15" customHeight="1" thickBot="1" x14ac:dyDescent="0.6">
      <c r="A10" s="74"/>
      <c r="B10" s="75"/>
      <c r="C10" s="75"/>
      <c r="D10" s="75"/>
      <c r="E10" s="75"/>
      <c r="F10" s="75"/>
      <c r="G10" s="75"/>
      <c r="H10" s="75"/>
      <c r="I10" s="75"/>
      <c r="J10" s="75"/>
      <c r="K10" s="268">
        <f>VLOOKUP(K7,市町村データ!A2:I106,MATCH(手順書_人口!$F$57, 市町村データ!A1:I1, 0),FALSE)</f>
        <v>25</v>
      </c>
      <c r="L10" s="149"/>
      <c r="M10" s="149"/>
      <c r="N10" s="222"/>
      <c r="O10" s="223">
        <f>VLOOKUP(O7,市町村データ!A2:I106,MATCH(手順書_人口!$F$57, 市町村データ!A1:I1, 0),FALSE)</f>
        <v>14</v>
      </c>
      <c r="P10" s="149"/>
      <c r="Q10" s="149"/>
      <c r="R10" s="222"/>
      <c r="S10" s="223">
        <f>VLOOKUP(S7,市町村データ!A2:I106,MATCH(手順書_人口!$F$57, 市町村データ!A1:I1, 0),FALSE)</f>
        <v>8</v>
      </c>
      <c r="T10" s="149"/>
      <c r="U10" s="149"/>
      <c r="V10" s="222"/>
      <c r="W10" s="268">
        <f>VLOOKUP(W7,市町村データ!A2:I106,MATCH(手順書_人口!$F$57, 市町村データ!A1:I1, 0),FALSE)</f>
        <v>19</v>
      </c>
      <c r="X10" s="149"/>
      <c r="Y10" s="149"/>
      <c r="Z10" s="222"/>
      <c r="AA10" s="223">
        <f>VLOOKUP(AA7,市町村データ!A2:I106,MATCH(手順書_人口!$F$57, 市町村データ!A1:I1, 0),FALSE)</f>
        <v>11</v>
      </c>
      <c r="AB10" s="149"/>
      <c r="AC10" s="149"/>
      <c r="AD10" s="222"/>
      <c r="AE10" s="247">
        <f>VLOOKUP(AE7,市町村データ!A2:I106,MATCH(手順書_人口!$F$57, 市町村データ!A1:I1, 0),FALSE)</f>
        <v>40</v>
      </c>
      <c r="AF10" s="149"/>
      <c r="AG10" s="149"/>
      <c r="AH10" s="222"/>
      <c r="AI10" s="79"/>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194">
        <v>2500</v>
      </c>
      <c r="BL10" s="195"/>
      <c r="BM10" s="195"/>
      <c r="BN10" s="266"/>
      <c r="BO10" s="197"/>
      <c r="BP10" s="75"/>
      <c r="BQ10" s="75"/>
      <c r="BR10" s="75"/>
      <c r="BS10" s="83"/>
      <c r="BT10" s="74"/>
    </row>
    <row r="11" spans="1:72" ht="21.15" customHeight="1" x14ac:dyDescent="0.55000000000000004">
      <c r="A11" s="74"/>
      <c r="B11" s="75"/>
      <c r="C11" s="76" t="s">
        <v>67</v>
      </c>
      <c r="D11" s="75"/>
      <c r="E11" s="75"/>
      <c r="F11" s="75"/>
      <c r="G11" s="77">
        <v>7</v>
      </c>
      <c r="H11" s="138" t="str">
        <f>VLOOKUP(G11,市町村データ!A2:I106,MATCH(手順書_人口!$G$54, 市町村データ!A1:I1, 0),FALSE)</f>
        <v>中野2</v>
      </c>
      <c r="I11" s="147"/>
      <c r="J11" s="152"/>
      <c r="K11" s="77">
        <v>8</v>
      </c>
      <c r="L11" s="138" t="str">
        <f>VLOOKUP(K11,市町村データ!A2:I106,MATCH(手順書_人口!$G$54, 市町村データ!A1:I1, 0),FALSE)</f>
        <v>大和田4</v>
      </c>
      <c r="M11" s="147"/>
      <c r="N11" s="147"/>
      <c r="O11" s="85"/>
      <c r="P11" s="85"/>
      <c r="Q11" s="85"/>
      <c r="R11" s="85"/>
      <c r="S11" s="77">
        <v>9</v>
      </c>
      <c r="T11" s="138" t="str">
        <f>VLOOKUP(S11,市町村データ!A2:I106,MATCH(手順書_人口!$G$54, 市町村データ!A1:I1, 0),FALSE)</f>
        <v>大和田5</v>
      </c>
      <c r="U11" s="147"/>
      <c r="V11" s="152"/>
      <c r="W11" s="77">
        <v>10</v>
      </c>
      <c r="X11" s="138" t="str">
        <f>VLOOKUP(W11,市町村データ!A2:I106,MATCH(手順書_人口!$G$54, 市町村データ!A1:I1, 0),FALSE)</f>
        <v>北野2</v>
      </c>
      <c r="Y11" s="147"/>
      <c r="Z11" s="152"/>
      <c r="AA11" s="77">
        <v>11</v>
      </c>
      <c r="AB11" s="138" t="str">
        <f>VLOOKUP(AA11,市町村データ!A2:I106,MATCH(手順書_人口!$G$54, 市町村データ!A1:I1, 0),FALSE)</f>
        <v>北野1</v>
      </c>
      <c r="AC11" s="147"/>
      <c r="AD11" s="152"/>
      <c r="AE11" s="77">
        <v>12</v>
      </c>
      <c r="AF11" s="138" t="str">
        <f>VLOOKUP(AE11,市町村データ!A2:I106,MATCH(手順書_人口!$G$54, 市町村データ!A1:I1, 0),FALSE)</f>
        <v>東3</v>
      </c>
      <c r="AG11" s="147"/>
      <c r="AH11" s="152"/>
      <c r="AI11" s="77">
        <v>13</v>
      </c>
      <c r="AJ11" s="138" t="str">
        <f>VLOOKUP(AI11,市町村データ!A2:I106,MATCH(手順書_人口!$G$54, 市町村データ!A1:I1, 0),FALSE)</f>
        <v>東2</v>
      </c>
      <c r="AK11" s="147"/>
      <c r="AL11" s="152"/>
      <c r="AM11" s="77">
        <v>14</v>
      </c>
      <c r="AN11" s="138" t="str">
        <f>VLOOKUP(AM11,市町村データ!A2:I106,MATCH(手順書_人口!$G$54, 市町村データ!A1:I1, 0),FALSE)</f>
        <v>東1</v>
      </c>
      <c r="AO11" s="147"/>
      <c r="AP11" s="152"/>
      <c r="AQ11" s="86"/>
      <c r="AR11" s="75"/>
      <c r="AS11" s="75"/>
      <c r="AT11" s="75"/>
      <c r="AU11" s="75"/>
      <c r="AV11" s="75"/>
      <c r="AW11" s="75"/>
      <c r="AX11" s="75"/>
      <c r="AY11" s="75"/>
      <c r="AZ11" s="75"/>
      <c r="BA11" s="75"/>
      <c r="BB11" s="75"/>
      <c r="BC11" s="75"/>
      <c r="BD11" s="75"/>
      <c r="BE11" s="75"/>
      <c r="BF11" s="75"/>
      <c r="BG11" s="75"/>
      <c r="BH11" s="75"/>
      <c r="BI11" s="75"/>
      <c r="BJ11" s="75"/>
      <c r="BK11" s="194">
        <v>1250</v>
      </c>
      <c r="BL11" s="195"/>
      <c r="BM11" s="195"/>
      <c r="BN11" s="210"/>
      <c r="BO11" s="197"/>
      <c r="BP11" s="75"/>
      <c r="BQ11" s="75"/>
      <c r="BR11" s="75"/>
      <c r="BS11" s="83"/>
      <c r="BT11" s="74"/>
    </row>
    <row r="12" spans="1:72" ht="21.15" customHeight="1" x14ac:dyDescent="0.55000000000000004">
      <c r="A12" s="74"/>
      <c r="B12" s="75"/>
      <c r="C12" s="75"/>
      <c r="D12" s="75"/>
      <c r="E12" s="75"/>
      <c r="F12" s="75"/>
      <c r="G12" s="243">
        <f>VLOOKUP(G11,市町村データ!A2:I106,MATCH(手順書_人口!$F$55, 市町村データ!A1:I1, 0),FALSE)</f>
        <v>4.9000000000000004</v>
      </c>
      <c r="H12" s="137"/>
      <c r="I12" s="137"/>
      <c r="J12" s="151"/>
      <c r="K12" s="220">
        <f>VLOOKUP(K11,市町村データ!A2:I106,MATCH(手順書_人口!$F$55, 市町村データ!A1:I1, 0),FALSE)</f>
        <v>36.700000000000003</v>
      </c>
      <c r="L12" s="137"/>
      <c r="M12" s="137"/>
      <c r="N12" s="137"/>
      <c r="O12" s="75"/>
      <c r="P12" s="75"/>
      <c r="Q12" s="75"/>
      <c r="R12" s="75"/>
      <c r="S12" s="269">
        <f>VLOOKUP(S11,市町村データ!A2:I106,MATCH(手順書_人口!$F$55, 市町村データ!A1:I1, 0),FALSE)</f>
        <v>144.69999999999999</v>
      </c>
      <c r="T12" s="137"/>
      <c r="U12" s="137"/>
      <c r="V12" s="151"/>
      <c r="W12" s="269">
        <f>VLOOKUP(W11,市町村データ!A2:I106,MATCH(手順書_人口!$F$55, 市町村データ!A1:I1, 0),FALSE)</f>
        <v>132.9</v>
      </c>
      <c r="X12" s="137"/>
      <c r="Y12" s="137"/>
      <c r="Z12" s="151"/>
      <c r="AA12" s="272">
        <f>VLOOKUP(AA11,市町村データ!A2:I106,MATCH(手順書_人口!$F$55, 市町村データ!A1:I1, 0),FALSE)</f>
        <v>34</v>
      </c>
      <c r="AB12" s="137"/>
      <c r="AC12" s="137"/>
      <c r="AD12" s="151"/>
      <c r="AE12" s="220">
        <f>VLOOKUP(AE11,市町村データ!A2:I106,MATCH(手順書_人口!$F$55, 市町村データ!A1:I1, 0),FALSE)</f>
        <v>164</v>
      </c>
      <c r="AF12" s="137"/>
      <c r="AG12" s="137"/>
      <c r="AH12" s="151"/>
      <c r="AI12" s="220">
        <f>VLOOKUP(AI11,市町村データ!A2:I106,MATCH(手順書_人口!$F$55, 市町村データ!A1:I1, 0),FALSE)</f>
        <v>108.1</v>
      </c>
      <c r="AJ12" s="137"/>
      <c r="AK12" s="137"/>
      <c r="AL12" s="151"/>
      <c r="AM12" s="269">
        <f>VLOOKUP(AM11,市町村データ!A2:I106,MATCH(手順書_人口!$F$55, 市町村データ!A1:I1, 0),FALSE)</f>
        <v>169.1</v>
      </c>
      <c r="AN12" s="137"/>
      <c r="AO12" s="137"/>
      <c r="AP12" s="151"/>
      <c r="AQ12" s="87"/>
      <c r="AR12" s="82"/>
      <c r="AS12" s="82"/>
      <c r="AT12" s="82"/>
      <c r="AU12" s="75"/>
      <c r="AV12" s="75"/>
      <c r="AW12" s="75"/>
      <c r="AX12" s="75"/>
      <c r="AY12" s="75"/>
      <c r="AZ12" s="75"/>
      <c r="BA12" s="75"/>
      <c r="BB12" s="75"/>
      <c r="BC12" s="75"/>
      <c r="BD12" s="75"/>
      <c r="BE12" s="75"/>
      <c r="BF12" s="75"/>
      <c r="BG12" s="75"/>
      <c r="BH12" s="75"/>
      <c r="BI12" s="75"/>
      <c r="BJ12" s="75"/>
      <c r="BK12" s="194">
        <v>1000</v>
      </c>
      <c r="BL12" s="195"/>
      <c r="BM12" s="195"/>
      <c r="BN12" s="205"/>
      <c r="BO12" s="197"/>
      <c r="BP12" s="75"/>
      <c r="BQ12" s="75"/>
      <c r="BR12" s="75"/>
      <c r="BS12" s="83"/>
      <c r="BT12" s="74"/>
    </row>
    <row r="13" spans="1:72" ht="21.15" customHeight="1" x14ac:dyDescent="0.55000000000000004">
      <c r="A13" s="74"/>
      <c r="B13" s="75"/>
      <c r="C13" s="75"/>
      <c r="D13" s="75"/>
      <c r="E13" s="75"/>
      <c r="F13" s="75"/>
      <c r="G13" s="245">
        <f>VLOOKUP(G11,市町村データ!A2:I106,MATCH(手順書_人口!$F$56, 市町村データ!A1:I1, 0),FALSE)</f>
        <v>195</v>
      </c>
      <c r="H13" s="137"/>
      <c r="I13" s="137"/>
      <c r="J13" s="151"/>
      <c r="K13" s="225">
        <f>VLOOKUP(K11,市町村データ!A2:I106,MATCH(手順書_人口!$F$56, 市町村データ!A1:I1, 0),FALSE)</f>
        <v>1352</v>
      </c>
      <c r="L13" s="137"/>
      <c r="M13" s="137"/>
      <c r="N13" s="137"/>
      <c r="O13" s="75"/>
      <c r="P13" s="75"/>
      <c r="Q13" s="75"/>
      <c r="R13" s="75"/>
      <c r="S13" s="267">
        <f>VLOOKUP(S11,市町村データ!A2:I106,MATCH(手順書_人口!$F$56, 市町村データ!A1:I1, 0),FALSE)</f>
        <v>3908</v>
      </c>
      <c r="T13" s="137"/>
      <c r="U13" s="137"/>
      <c r="V13" s="151"/>
      <c r="W13" s="267">
        <f>VLOOKUP(W11,市町村データ!A2:I106,MATCH(手順書_人口!$F$56, 市町村データ!A1:I1, 0),FALSE)</f>
        <v>2791</v>
      </c>
      <c r="X13" s="137"/>
      <c r="Y13" s="137"/>
      <c r="Z13" s="151"/>
      <c r="AA13" s="270">
        <f>VLOOKUP(AA11,市町村データ!A2:I106,MATCH(手順書_人口!$F$56, 市町村データ!A1:I1, 0),FALSE)</f>
        <v>816</v>
      </c>
      <c r="AB13" s="137"/>
      <c r="AC13" s="137"/>
      <c r="AD13" s="151"/>
      <c r="AE13" s="225">
        <f>VLOOKUP(AE11,市町村データ!A2:I106,MATCH(手順書_人口!$F$56, 市町村データ!A1:I1, 0),FALSE)</f>
        <v>2460</v>
      </c>
      <c r="AF13" s="137"/>
      <c r="AG13" s="137"/>
      <c r="AH13" s="151"/>
      <c r="AI13" s="225">
        <f>VLOOKUP(AI11,市町村データ!A2:I106,MATCH(手順書_人口!$F$56, 市町村データ!A1:I1, 0),FALSE)</f>
        <v>1405</v>
      </c>
      <c r="AJ13" s="137"/>
      <c r="AK13" s="137"/>
      <c r="AL13" s="151"/>
      <c r="AM13" s="267">
        <f>VLOOKUP(AM11,市町村データ!A2:I106,MATCH(手順書_人口!$F$56, 市町村データ!A1:I1, 0),FALSE)</f>
        <v>3213</v>
      </c>
      <c r="AN13" s="137"/>
      <c r="AO13" s="137"/>
      <c r="AP13" s="151"/>
      <c r="AQ13" s="88"/>
      <c r="AR13" s="84"/>
      <c r="AS13" s="84"/>
      <c r="AT13" s="84"/>
      <c r="AU13" s="75"/>
      <c r="AV13" s="75"/>
      <c r="AW13" s="75"/>
      <c r="AX13" s="75"/>
      <c r="AY13" s="75"/>
      <c r="AZ13" s="75"/>
      <c r="BA13" s="75"/>
      <c r="BB13" s="75"/>
      <c r="BC13" s="75"/>
      <c r="BD13" s="75"/>
      <c r="BE13" s="75"/>
      <c r="BF13" s="75"/>
      <c r="BG13" s="75"/>
      <c r="BH13" s="75"/>
      <c r="BI13" s="75"/>
      <c r="BJ13" s="75"/>
      <c r="BK13" s="194">
        <v>750</v>
      </c>
      <c r="BL13" s="195"/>
      <c r="BM13" s="195"/>
      <c r="BN13" s="265"/>
      <c r="BO13" s="197"/>
      <c r="BP13" s="75"/>
      <c r="BQ13" s="75"/>
      <c r="BR13" s="75"/>
      <c r="BS13" s="83"/>
      <c r="BT13" s="74"/>
    </row>
    <row r="14" spans="1:72" ht="21.15" customHeight="1" thickBot="1" x14ac:dyDescent="0.6">
      <c r="A14" s="74"/>
      <c r="B14" s="75"/>
      <c r="C14" s="75"/>
      <c r="D14" s="75"/>
      <c r="E14" s="75"/>
      <c r="F14" s="75"/>
      <c r="G14" s="239">
        <f>VLOOKUP(G11,市町村データ!A2:I106,MATCH(手順書_人口!$F$57, 市町村データ!A1:I1, 0),FALSE)</f>
        <v>40</v>
      </c>
      <c r="H14" s="149"/>
      <c r="I14" s="149"/>
      <c r="J14" s="222"/>
      <c r="K14" s="223">
        <f>VLOOKUP(K11,市町村データ!A2:I106,MATCH(手順書_人口!$F$57, 市町村データ!A1:I1, 0),FALSE)</f>
        <v>36.799999999999997</v>
      </c>
      <c r="L14" s="149"/>
      <c r="M14" s="149"/>
      <c r="N14" s="149"/>
      <c r="O14" s="75"/>
      <c r="P14" s="75"/>
      <c r="Q14" s="75"/>
      <c r="R14" s="75"/>
      <c r="S14" s="268">
        <f>VLOOKUP(S11,市町村データ!A2:I106,MATCH(手順書_人口!$F$57, 市町村データ!A1:I1, 0),FALSE)</f>
        <v>27</v>
      </c>
      <c r="T14" s="149"/>
      <c r="U14" s="149"/>
      <c r="V14" s="222"/>
      <c r="W14" s="268">
        <f>VLOOKUP(W11,市町村データ!A2:I106,MATCH(手順書_人口!$F$57, 市町村データ!A1:I1, 0),FALSE)</f>
        <v>21</v>
      </c>
      <c r="X14" s="149"/>
      <c r="Y14" s="149"/>
      <c r="Z14" s="222"/>
      <c r="AA14" s="271">
        <f>VLOOKUP(AA11,市町村データ!A2:I106,MATCH(手順書_人口!$F$57, 市町村データ!A1:I1, 0),FALSE)</f>
        <v>24</v>
      </c>
      <c r="AB14" s="149"/>
      <c r="AC14" s="149"/>
      <c r="AD14" s="222"/>
      <c r="AE14" s="223">
        <f>VLOOKUP(AE11,市町村データ!A2:I106,MATCH(手順書_人口!$F$57, 市町村データ!A1:I1, 0),FALSE)</f>
        <v>15</v>
      </c>
      <c r="AF14" s="149"/>
      <c r="AG14" s="149"/>
      <c r="AH14" s="222"/>
      <c r="AI14" s="223">
        <f>VLOOKUP(AI11,市町村データ!A2:I106,MATCH(手順書_人口!$F$57, 市町村データ!A1:I1, 0),FALSE)</f>
        <v>13</v>
      </c>
      <c r="AJ14" s="149"/>
      <c r="AK14" s="149"/>
      <c r="AL14" s="222"/>
      <c r="AM14" s="268">
        <f>VLOOKUP(AM11,市町村データ!A2:I106,MATCH(手順書_人口!$F$57, 市町村データ!A1:I1, 0),FALSE)</f>
        <v>19</v>
      </c>
      <c r="AN14" s="149"/>
      <c r="AO14" s="149"/>
      <c r="AP14" s="222"/>
      <c r="AQ14" s="79"/>
      <c r="AR14" s="75"/>
      <c r="AS14" s="75"/>
      <c r="AT14" s="75"/>
      <c r="AU14" s="75"/>
      <c r="AV14" s="75"/>
      <c r="AW14" s="75"/>
      <c r="AX14" s="75"/>
      <c r="AY14" s="75"/>
      <c r="AZ14" s="75"/>
      <c r="BA14" s="75"/>
      <c r="BB14" s="75"/>
      <c r="BC14" s="75"/>
      <c r="BD14" s="75"/>
      <c r="BE14" s="75"/>
      <c r="BF14" s="75"/>
      <c r="BG14" s="75"/>
      <c r="BH14" s="75"/>
      <c r="BI14" s="75"/>
      <c r="BJ14" s="75"/>
      <c r="BK14" s="194">
        <v>500</v>
      </c>
      <c r="BL14" s="195"/>
      <c r="BM14" s="195"/>
      <c r="BN14" s="264"/>
      <c r="BO14" s="197"/>
      <c r="BP14" s="75"/>
      <c r="BQ14" s="75"/>
      <c r="BR14" s="75"/>
      <c r="BS14" s="83"/>
      <c r="BT14" s="74"/>
    </row>
    <row r="15" spans="1:72" ht="21.15" customHeight="1" x14ac:dyDescent="0.55000000000000004">
      <c r="A15" s="74"/>
      <c r="B15" s="75"/>
      <c r="C15" s="76" t="s">
        <v>144</v>
      </c>
      <c r="D15" s="75"/>
      <c r="E15" s="75"/>
      <c r="F15" s="75"/>
      <c r="G15" s="77">
        <v>15</v>
      </c>
      <c r="H15" s="138" t="str">
        <f>VLOOKUP(G15,市町村データ!A2:I106,MATCH(手順書_人口!$G$54, 市町村データ!A1:I1, 0),FALSE)</f>
        <v>中野1</v>
      </c>
      <c r="I15" s="147"/>
      <c r="J15" s="152"/>
      <c r="K15" s="77">
        <v>16</v>
      </c>
      <c r="L15" s="138" t="str">
        <f>VLOOKUP(K15,市町村データ!A2:I106,MATCH(手順書_人口!$G$54, 市町村データ!A1:I1, 0),FALSE)</f>
        <v>大和田3</v>
      </c>
      <c r="M15" s="147"/>
      <c r="N15" s="152"/>
      <c r="O15" s="77">
        <v>17</v>
      </c>
      <c r="P15" s="138" t="str">
        <f>VLOOKUP(O15,市町村データ!A2:I106,MATCH(手順書_人口!$G$54, 市町村データ!A1:I1, 0),FALSE)</f>
        <v>大和田2</v>
      </c>
      <c r="Q15" s="147"/>
      <c r="R15" s="152"/>
      <c r="S15" s="77">
        <v>18</v>
      </c>
      <c r="T15" s="138" t="str">
        <f>VLOOKUP(S15,市町村データ!A2:I106,MATCH(手順書_人口!$G$54, 市町村データ!A1:I1, 0),FALSE)</f>
        <v>大和田1</v>
      </c>
      <c r="U15" s="147"/>
      <c r="V15" s="152"/>
      <c r="W15" s="77">
        <v>19</v>
      </c>
      <c r="X15" s="138" t="str">
        <f>VLOOKUP(W15,市町村データ!A2:I106,MATCH(手順書_人口!$G$54, 市町村データ!A1:I1, 0),FALSE)</f>
        <v>野火止5</v>
      </c>
      <c r="Y15" s="147"/>
      <c r="Z15" s="152"/>
      <c r="AA15" s="77">
        <v>20</v>
      </c>
      <c r="AB15" s="138" t="str">
        <f>VLOOKUP(AA15,市町村データ!A2:I106,MATCH(手順書_人口!$G$54, 市町村データ!A1:I1, 0),FALSE)</f>
        <v>野火止6</v>
      </c>
      <c r="AC15" s="147"/>
      <c r="AD15" s="152"/>
      <c r="AE15" s="77">
        <v>21</v>
      </c>
      <c r="AF15" s="138" t="str">
        <f>VLOOKUP(AE15,市町村データ!A2:I106,MATCH(手順書_人口!$G$54, 市町村データ!A1:I1, 0),FALSE)</f>
        <v>野火止7</v>
      </c>
      <c r="AG15" s="147"/>
      <c r="AH15" s="152"/>
      <c r="AI15" s="77">
        <v>22</v>
      </c>
      <c r="AJ15" s="138" t="str">
        <f>VLOOKUP(AI15,市町村データ!A2:I106,MATCH(手順書_人口!$G$54, 市町村データ!A1:I1, 0),FALSE)</f>
        <v>野火止8</v>
      </c>
      <c r="AK15" s="147"/>
      <c r="AL15" s="152"/>
      <c r="AM15" s="77">
        <v>23</v>
      </c>
      <c r="AN15" s="138" t="str">
        <f>VLOOKUP(AM15,市町村データ!A2:I106,MATCH(手順書_人口!$G$54, 市町村データ!A1:I1, 0),FALSE)</f>
        <v>畑中3</v>
      </c>
      <c r="AO15" s="147"/>
      <c r="AP15" s="152"/>
      <c r="AQ15" s="86"/>
      <c r="AR15" s="75"/>
      <c r="AS15" s="75"/>
      <c r="AT15" s="75"/>
      <c r="AU15" s="75"/>
      <c r="AV15" s="75"/>
      <c r="AW15" s="75"/>
      <c r="AX15" s="75"/>
      <c r="AY15" s="75"/>
      <c r="AZ15" s="75"/>
      <c r="BA15" s="75"/>
      <c r="BB15" s="75"/>
      <c r="BC15" s="75"/>
      <c r="BD15" s="75"/>
      <c r="BE15" s="75"/>
      <c r="BF15" s="75"/>
      <c r="BG15" s="75"/>
      <c r="BH15" s="75"/>
      <c r="BI15" s="75"/>
      <c r="BJ15" s="75"/>
      <c r="BK15" s="194">
        <v>250</v>
      </c>
      <c r="BL15" s="198"/>
      <c r="BM15" s="198"/>
      <c r="BN15" s="196"/>
      <c r="BO15" s="197"/>
      <c r="BP15" s="75"/>
      <c r="BQ15" s="75"/>
      <c r="BR15" s="75"/>
      <c r="BS15" s="83"/>
      <c r="BT15" s="74"/>
    </row>
    <row r="16" spans="1:72" ht="21.15" customHeight="1" x14ac:dyDescent="0.55000000000000004">
      <c r="A16" s="74"/>
      <c r="B16" s="75"/>
      <c r="C16" s="75"/>
      <c r="D16" s="75"/>
      <c r="E16" s="75"/>
      <c r="F16" s="75"/>
      <c r="G16" s="237">
        <f>VLOOKUP(G15,市町村データ!A2:I106,MATCH(手順書_人口!$F$55, 市町村データ!A1:I1, 0),FALSE)</f>
        <v>11.5</v>
      </c>
      <c r="H16" s="137"/>
      <c r="I16" s="137"/>
      <c r="J16" s="151"/>
      <c r="K16" s="242">
        <f>VLOOKUP(K15,市町村データ!A2:I106,MATCH(手順書_人口!$F$55, 市町村データ!A1:I1, 0),FALSE)</f>
        <v>0.8</v>
      </c>
      <c r="L16" s="137"/>
      <c r="M16" s="137"/>
      <c r="N16" s="151"/>
      <c r="O16" s="243">
        <f>VLOOKUP(O15,市町村データ!A2:I106,MATCH(手順書_人口!$F$55, 市町村データ!A1:I1, 0),FALSE)</f>
        <v>5.3</v>
      </c>
      <c r="P16" s="137"/>
      <c r="Q16" s="137"/>
      <c r="R16" s="151"/>
      <c r="S16" s="269">
        <f>VLOOKUP(S15,市町村データ!A2:I106,MATCH(手順書_人口!$F$55, 市町村データ!A1:I1, 0),FALSE)</f>
        <v>71</v>
      </c>
      <c r="T16" s="137"/>
      <c r="U16" s="137"/>
      <c r="V16" s="151"/>
      <c r="W16" s="219">
        <f>VLOOKUP(W15,市町村データ!A2:I106,MATCH(手順書_人口!$F$55, 市町村データ!A1:I1, 0),FALSE)</f>
        <v>133.4</v>
      </c>
      <c r="X16" s="137"/>
      <c r="Y16" s="137"/>
      <c r="Z16" s="151"/>
      <c r="AA16" s="269">
        <f>VLOOKUP(AA15,市町村データ!A2:I106,MATCH(手順書_人口!$F$55, 市町村データ!A1:I1, 0),FALSE)</f>
        <v>105.2</v>
      </c>
      <c r="AB16" s="137"/>
      <c r="AC16" s="137"/>
      <c r="AD16" s="151"/>
      <c r="AE16" s="269">
        <f>VLOOKUP(AE15,市町村データ!A2:I106,MATCH(手順書_人口!$F$55, 市町村データ!A1:I1, 0),FALSE)</f>
        <v>64.3</v>
      </c>
      <c r="AF16" s="137"/>
      <c r="AG16" s="137"/>
      <c r="AH16" s="151"/>
      <c r="AI16" s="269">
        <f>VLOOKUP(AI15,市町村データ!A2:I106,MATCH(手順書_人口!$F$55, 市町村データ!A1:I1, 0),FALSE)</f>
        <v>81</v>
      </c>
      <c r="AJ16" s="137"/>
      <c r="AK16" s="137"/>
      <c r="AL16" s="151"/>
      <c r="AM16" s="220">
        <f>VLOOKUP(AM15,市町村データ!A2:I106,MATCH(手順書_人口!$F$55, 市町村データ!A1:I1, 0),FALSE)</f>
        <v>106.6</v>
      </c>
      <c r="AN16" s="137"/>
      <c r="AO16" s="137"/>
      <c r="AP16" s="151"/>
      <c r="AQ16" s="87"/>
      <c r="AR16" s="82"/>
      <c r="AS16" s="82"/>
      <c r="AT16" s="82"/>
      <c r="AU16" s="75"/>
      <c r="AV16" s="75"/>
      <c r="AW16" s="75"/>
      <c r="AX16" s="75"/>
      <c r="AY16" s="75"/>
      <c r="AZ16" s="75"/>
      <c r="BA16" s="75"/>
      <c r="BB16" s="75"/>
      <c r="BC16" s="75"/>
      <c r="BD16" s="75"/>
      <c r="BE16" s="75"/>
      <c r="BF16" s="75"/>
      <c r="BG16" s="75"/>
      <c r="BH16" s="75"/>
      <c r="BI16" s="75"/>
      <c r="BJ16" s="75"/>
      <c r="BK16" s="194">
        <v>125</v>
      </c>
      <c r="BL16" s="200"/>
      <c r="BM16" s="200"/>
      <c r="BN16" s="199"/>
      <c r="BO16" s="202"/>
      <c r="BP16" s="75"/>
      <c r="BQ16" s="75"/>
      <c r="BR16" s="75"/>
      <c r="BS16" s="83"/>
      <c r="BT16" s="74"/>
    </row>
    <row r="17" spans="1:72" ht="21.15" customHeight="1" x14ac:dyDescent="0.55000000000000004">
      <c r="A17" s="74"/>
      <c r="B17" s="75"/>
      <c r="C17" s="75"/>
      <c r="D17" s="75"/>
      <c r="E17" s="75"/>
      <c r="F17" s="75"/>
      <c r="G17" s="236">
        <f>VLOOKUP(G15,市町村データ!A2:I106,MATCH(手順書_人口!$F$56, 市町村データ!A1:I1, 0),FALSE)</f>
        <v>388</v>
      </c>
      <c r="H17" s="137"/>
      <c r="I17" s="137"/>
      <c r="J17" s="151"/>
      <c r="K17" s="244">
        <f>VLOOKUP(K15,市町村データ!A2:I106,MATCH(手順書_人口!$F$56, 市町村データ!A1:I1, 0),FALSE)</f>
        <v>26</v>
      </c>
      <c r="L17" s="137"/>
      <c r="M17" s="137"/>
      <c r="N17" s="151"/>
      <c r="O17" s="245">
        <f>VLOOKUP(O15,市町村データ!A2:I106,MATCH(手順書_人口!$F$56, 市町村データ!A1:I1, 0),FALSE)</f>
        <v>156</v>
      </c>
      <c r="P17" s="137"/>
      <c r="Q17" s="137"/>
      <c r="R17" s="151"/>
      <c r="S17" s="267">
        <f>VLOOKUP(S15,市町村データ!A2:I106,MATCH(手順書_人口!$F$56, 市町村データ!A1:I1, 0),FALSE)</f>
        <v>3836</v>
      </c>
      <c r="T17" s="137"/>
      <c r="U17" s="137"/>
      <c r="V17" s="151"/>
      <c r="W17" s="224">
        <f>VLOOKUP(W15,市町村データ!A2:I106,MATCH(手順書_人口!$F$56, 市町村データ!A1:I1, 0),FALSE)</f>
        <v>8004</v>
      </c>
      <c r="X17" s="137"/>
      <c r="Y17" s="137"/>
      <c r="Z17" s="151"/>
      <c r="AA17" s="267">
        <f>VLOOKUP(AA15,市町村データ!A2:I106,MATCH(手順書_人口!$F$56, 市町村データ!A1:I1, 0),FALSE)</f>
        <v>4944</v>
      </c>
      <c r="AB17" s="137"/>
      <c r="AC17" s="137"/>
      <c r="AD17" s="151"/>
      <c r="AE17" s="267">
        <f>VLOOKUP(AE15,市町村データ!A2:I106,MATCH(手順書_人口!$F$56, 市町村データ!A1:I1, 0),FALSE)</f>
        <v>3539</v>
      </c>
      <c r="AF17" s="137"/>
      <c r="AG17" s="137"/>
      <c r="AH17" s="151"/>
      <c r="AI17" s="267">
        <f>VLOOKUP(AI15,市町村データ!A2:I106,MATCH(手順書_人口!$F$56, 市町村データ!A1:I1, 0),FALSE)</f>
        <v>4857</v>
      </c>
      <c r="AJ17" s="137"/>
      <c r="AK17" s="137"/>
      <c r="AL17" s="151"/>
      <c r="AM17" s="225">
        <f>VLOOKUP(AM15,市町村データ!A2:I106,MATCH(手順書_人口!$F$56, 市町村データ!A1:I1, 0),FALSE)</f>
        <v>1599</v>
      </c>
      <c r="AN17" s="137"/>
      <c r="AO17" s="137"/>
      <c r="AP17" s="151"/>
      <c r="AQ17" s="88"/>
      <c r="AR17" s="84"/>
      <c r="AS17" s="84"/>
      <c r="AT17" s="84"/>
      <c r="AU17" s="75"/>
      <c r="AV17" s="75"/>
      <c r="AW17" s="75"/>
      <c r="AX17" s="75"/>
      <c r="AY17" s="75"/>
      <c r="AZ17" s="75"/>
      <c r="BA17" s="75"/>
      <c r="BB17" s="75"/>
      <c r="BC17" s="75"/>
      <c r="BD17" s="75"/>
      <c r="BE17" s="75"/>
      <c r="BF17" s="75"/>
      <c r="BG17" s="75"/>
      <c r="BH17" s="75"/>
      <c r="BI17" s="75"/>
      <c r="BJ17" s="75"/>
      <c r="BK17" s="194">
        <v>100</v>
      </c>
      <c r="BL17" s="260"/>
      <c r="BM17" s="260"/>
      <c r="BN17" s="201"/>
      <c r="BO17" s="261"/>
      <c r="BP17" s="75"/>
      <c r="BQ17" s="75"/>
      <c r="BR17" s="75"/>
      <c r="BS17" s="75"/>
      <c r="BT17" s="74"/>
    </row>
    <row r="18" spans="1:72" ht="21.15" customHeight="1" thickBot="1" x14ac:dyDescent="0.6">
      <c r="A18" s="74"/>
      <c r="B18" s="75"/>
      <c r="C18" s="75"/>
      <c r="D18" s="75"/>
      <c r="E18" s="75"/>
      <c r="F18" s="75"/>
      <c r="G18" s="235">
        <f>VLOOKUP(G15,市町村データ!A2:I106,MATCH(手順書_人口!$F$57, 市町村データ!A1:I1, 0),FALSE)</f>
        <v>33.700000000000003</v>
      </c>
      <c r="H18" s="149"/>
      <c r="I18" s="149"/>
      <c r="J18" s="222"/>
      <c r="K18" s="238">
        <f>VLOOKUP(K15,市町村データ!A2:I106,MATCH(手順書_人口!$F$57, 市町村データ!A1:I1, 0),FALSE)</f>
        <v>30.7</v>
      </c>
      <c r="L18" s="149"/>
      <c r="M18" s="149"/>
      <c r="N18" s="222"/>
      <c r="O18" s="239">
        <f>VLOOKUP(O15,市町村データ!A2:I106,MATCH(手順書_人口!$F$57, 市町村データ!A1:I1, 0),FALSE)</f>
        <v>29.7</v>
      </c>
      <c r="P18" s="149"/>
      <c r="Q18" s="149"/>
      <c r="R18" s="222"/>
      <c r="S18" s="268">
        <f>VLOOKUP(S15,市町村データ!A2:I106,MATCH(手順書_人口!$F$57, 市町村データ!A1:I1, 0),FALSE)</f>
        <v>54</v>
      </c>
      <c r="T18" s="149"/>
      <c r="U18" s="149"/>
      <c r="V18" s="222"/>
      <c r="W18" s="221">
        <f>VLOOKUP(W15,市町村データ!A2:I106,MATCH(手順書_人口!$F$57, 市町村データ!A1:I1, 0),FALSE)</f>
        <v>60</v>
      </c>
      <c r="X18" s="149"/>
      <c r="Y18" s="149"/>
      <c r="Z18" s="222"/>
      <c r="AA18" s="268">
        <f>VLOOKUP(AA15,市町村データ!A2:I106,MATCH(手順書_人口!$F$57, 市町村データ!A1:I1, 0),FALSE)</f>
        <v>47</v>
      </c>
      <c r="AB18" s="149"/>
      <c r="AC18" s="149"/>
      <c r="AD18" s="222"/>
      <c r="AE18" s="268">
        <f>VLOOKUP(AE15,市町村データ!A2:I106,MATCH(手順書_人口!$F$57, 市町村データ!A1:I1, 0),FALSE)</f>
        <v>55</v>
      </c>
      <c r="AF18" s="149"/>
      <c r="AG18" s="149"/>
      <c r="AH18" s="222"/>
      <c r="AI18" s="268">
        <f>VLOOKUP(AI15,市町村データ!A2:I106,MATCH(手順書_人口!$F$57, 市町村データ!A1:I1, 0),FALSE)</f>
        <v>60</v>
      </c>
      <c r="AJ18" s="149"/>
      <c r="AK18" s="149"/>
      <c r="AL18" s="222"/>
      <c r="AM18" s="223">
        <f>VLOOKUP(AM15,市町村データ!A2:I106,MATCH(手順書_人口!$F$57, 市町村データ!A1:I1, 0),FALSE)</f>
        <v>15</v>
      </c>
      <c r="AN18" s="149"/>
      <c r="AO18" s="149"/>
      <c r="AP18" s="222"/>
      <c r="AQ18" s="79"/>
      <c r="AR18" s="75"/>
      <c r="AS18" s="75"/>
      <c r="AT18" s="75"/>
      <c r="AU18" s="75"/>
      <c r="AV18" s="75"/>
      <c r="AW18" s="75"/>
      <c r="AX18" s="75"/>
      <c r="AY18" s="75"/>
      <c r="AZ18" s="75"/>
      <c r="BA18" s="75"/>
      <c r="BB18" s="75"/>
      <c r="BC18" s="75"/>
      <c r="BD18" s="75"/>
      <c r="BE18" s="75"/>
      <c r="BF18" s="75"/>
      <c r="BG18" s="75"/>
      <c r="BH18" s="75"/>
      <c r="BI18" s="75"/>
      <c r="BJ18" s="75"/>
      <c r="BK18" s="190">
        <v>0</v>
      </c>
      <c r="BL18" s="262"/>
      <c r="BM18" s="262"/>
      <c r="BN18" s="192"/>
      <c r="BO18" s="263"/>
      <c r="BP18" s="75"/>
      <c r="BQ18" s="75"/>
      <c r="BR18" s="75"/>
      <c r="BS18" s="75"/>
      <c r="BT18" s="74"/>
    </row>
    <row r="19" spans="1:72" ht="21.15" customHeight="1" x14ac:dyDescent="0.55000000000000004">
      <c r="A19" s="74"/>
      <c r="B19" s="75"/>
      <c r="C19" s="76" t="s">
        <v>68</v>
      </c>
      <c r="D19" s="75"/>
      <c r="E19" s="75"/>
      <c r="F19" s="75"/>
      <c r="G19" s="89"/>
      <c r="H19" s="85"/>
      <c r="I19" s="85"/>
      <c r="J19" s="85"/>
      <c r="K19" s="89"/>
      <c r="L19" s="85"/>
      <c r="M19" s="85"/>
      <c r="N19" s="85"/>
      <c r="O19" s="77">
        <v>24</v>
      </c>
      <c r="P19" s="138" t="str">
        <f>VLOOKUP(O19,市町村データ!A2:I106,MATCH(手順書_人口!$G$54, 市町村データ!A1:I1, 0),FALSE)</f>
        <v>菅沢2</v>
      </c>
      <c r="Q19" s="147"/>
      <c r="R19" s="152"/>
      <c r="S19" s="77">
        <v>25</v>
      </c>
      <c r="T19" s="138" t="str">
        <f>VLOOKUP(S19,市町村データ!A2:I106,MATCH(手順書_人口!$G$54, 市町村データ!A1:I1, 0),FALSE)</f>
        <v>菅沢1</v>
      </c>
      <c r="U19" s="147"/>
      <c r="V19" s="152"/>
      <c r="W19" s="77">
        <v>26</v>
      </c>
      <c r="X19" s="138" t="str">
        <f>VLOOKUP(W19,市町村データ!A2:I106,MATCH(手順書_人口!$G$54, 市町村データ!A1:I1, 0),FALSE)</f>
        <v>野火止4</v>
      </c>
      <c r="Y19" s="147"/>
      <c r="Z19" s="152"/>
      <c r="AA19" s="77">
        <v>27</v>
      </c>
      <c r="AB19" s="138" t="str">
        <f>VLOOKUP(AA19,市町村データ!A2:I106,MATCH(手順書_人口!$G$54, 市町村データ!A1:I1, 0),FALSE)</f>
        <v>野火止3</v>
      </c>
      <c r="AC19" s="147"/>
      <c r="AD19" s="152"/>
      <c r="AE19" s="77">
        <v>28</v>
      </c>
      <c r="AF19" s="138" t="str">
        <f>VLOOKUP(AE19,市町村データ!A2:I106,MATCH(手順書_人口!$G$54, 市町村データ!A1:I1, 0),FALSE)</f>
        <v>野火止2</v>
      </c>
      <c r="AG19" s="147"/>
      <c r="AH19" s="152"/>
      <c r="AI19" s="77">
        <v>29</v>
      </c>
      <c r="AJ19" s="138" t="str">
        <f>VLOOKUP(AI19,市町村データ!A2:I106,MATCH(手順書_人口!$G$54, 市町村データ!A1:I1, 0),FALSE)</f>
        <v>野火止1</v>
      </c>
      <c r="AK19" s="147"/>
      <c r="AL19" s="152"/>
      <c r="AM19" s="77">
        <v>30</v>
      </c>
      <c r="AN19" s="138" t="str">
        <f>VLOOKUP(AM19,市町村データ!A2:I106,MATCH(手順書_人口!$G$54, 市町村データ!A1:I1, 0),FALSE)</f>
        <v>畑中1</v>
      </c>
      <c r="AO19" s="147"/>
      <c r="AP19" s="152"/>
      <c r="AQ19" s="77">
        <v>31</v>
      </c>
      <c r="AR19" s="138" t="str">
        <f>VLOOKUP(AQ19,市町村データ!A2:I106,MATCH(手順書_人口!$G$54, 市町村データ!A1:I1, 0),FALSE)</f>
        <v>畑中2</v>
      </c>
      <c r="AS19" s="147"/>
      <c r="AT19" s="152"/>
      <c r="AU19" s="86"/>
      <c r="AV19" s="75"/>
      <c r="AW19" s="75"/>
      <c r="AX19" s="75"/>
      <c r="AY19" s="80"/>
      <c r="AZ19" s="75"/>
      <c r="BA19" s="75"/>
      <c r="BB19" s="75"/>
      <c r="BC19" s="80"/>
      <c r="BD19" s="75"/>
      <c r="BE19" s="75"/>
      <c r="BF19" s="75"/>
      <c r="BG19" s="80"/>
      <c r="BH19" s="75"/>
      <c r="BI19" s="75"/>
      <c r="BJ19" s="75"/>
      <c r="BK19" s="80"/>
      <c r="BL19" s="75"/>
      <c r="BM19" s="75"/>
      <c r="BN19" s="75"/>
      <c r="BO19" s="75"/>
      <c r="BP19" s="75"/>
      <c r="BQ19" s="75"/>
      <c r="BR19" s="75"/>
      <c r="BS19" s="75"/>
      <c r="BT19" s="74"/>
    </row>
    <row r="20" spans="1:72" ht="21.15" customHeight="1" x14ac:dyDescent="0.55000000000000004">
      <c r="A20" s="74"/>
      <c r="B20" s="75"/>
      <c r="C20" s="75"/>
      <c r="D20" s="75"/>
      <c r="E20" s="75"/>
      <c r="F20" s="75"/>
      <c r="G20" s="82"/>
      <c r="H20" s="82"/>
      <c r="I20" s="82"/>
      <c r="J20" s="82"/>
      <c r="K20" s="82"/>
      <c r="L20" s="82"/>
      <c r="M20" s="82"/>
      <c r="N20" s="82"/>
      <c r="O20" s="272">
        <f>VLOOKUP(O19,市町村データ!A2:I106,MATCH(手順書_人口!$F$55, 市町村データ!A1:I1, 0),FALSE)</f>
        <v>23.4</v>
      </c>
      <c r="P20" s="137"/>
      <c r="Q20" s="137"/>
      <c r="R20" s="151"/>
      <c r="S20" s="237">
        <f>VLOOKUP(S19,市町村データ!A2:I106,MATCH(手順書_人口!$F$55, 市町村データ!A1:I1, 0),FALSE)</f>
        <v>11.6</v>
      </c>
      <c r="T20" s="137"/>
      <c r="U20" s="137"/>
      <c r="V20" s="151"/>
      <c r="W20" s="248">
        <f>VLOOKUP(W19,市町村データ!A2:I106,MATCH(手順書_人口!$F$55, 市町村データ!A1:I1, 0),FALSE)</f>
        <v>79.8</v>
      </c>
      <c r="X20" s="137"/>
      <c r="Y20" s="137"/>
      <c r="Z20" s="151"/>
      <c r="AA20" s="220">
        <f>VLOOKUP(AA19,市町村データ!A2:I106,MATCH(手順書_人口!$F$55, 市町村データ!A1:I1, 0),FALSE)</f>
        <v>22.9</v>
      </c>
      <c r="AB20" s="137"/>
      <c r="AC20" s="137"/>
      <c r="AD20" s="151"/>
      <c r="AE20" s="237">
        <f>VLOOKUP(AE19,市町村データ!A2:I106,MATCH(手順書_人口!$F$55, 市町村データ!A1:I1, 0),FALSE)</f>
        <v>9.9</v>
      </c>
      <c r="AF20" s="137"/>
      <c r="AG20" s="137"/>
      <c r="AH20" s="151"/>
      <c r="AI20" s="269">
        <f>VLOOKUP(AI19,市町村データ!A2:I106,MATCH(手順書_人口!$F$55, 市町村データ!A1:I1, 0),FALSE)</f>
        <v>59.6</v>
      </c>
      <c r="AJ20" s="137"/>
      <c r="AK20" s="137"/>
      <c r="AL20" s="151"/>
      <c r="AM20" s="248">
        <f>VLOOKUP(AM19,市町村データ!A2:I106,MATCH(手順書_人口!$F$55, 市町村データ!A1:I1, 0),FALSE)</f>
        <v>87.3</v>
      </c>
      <c r="AN20" s="137"/>
      <c r="AO20" s="137"/>
      <c r="AP20" s="151"/>
      <c r="AQ20" s="269">
        <f>VLOOKUP(AQ19,市町村データ!A2:I106,MATCH(手順書_人口!$F$55, 市町村データ!A1:I1, 0),FALSE)</f>
        <v>72.3</v>
      </c>
      <c r="AR20" s="137"/>
      <c r="AS20" s="137"/>
      <c r="AT20" s="151"/>
      <c r="AU20" s="87"/>
      <c r="AV20" s="82"/>
      <c r="AW20" s="82"/>
      <c r="AX20" s="82"/>
      <c r="AY20" s="82"/>
      <c r="AZ20" s="82"/>
      <c r="BA20" s="82"/>
      <c r="BB20" s="82"/>
      <c r="BC20" s="82"/>
      <c r="BD20" s="82"/>
      <c r="BE20" s="82"/>
      <c r="BF20" s="82"/>
      <c r="BG20" s="82"/>
      <c r="BH20" s="82"/>
      <c r="BI20" s="82"/>
      <c r="BJ20" s="82"/>
      <c r="BK20" s="82"/>
      <c r="BL20" s="82"/>
      <c r="BM20" s="82"/>
      <c r="BN20" s="82"/>
      <c r="BO20" s="75"/>
      <c r="BP20" s="75"/>
      <c r="BQ20" s="75"/>
      <c r="BR20" s="75"/>
      <c r="BS20" s="75"/>
      <c r="BT20" s="74"/>
    </row>
    <row r="21" spans="1:72" ht="21.15" customHeight="1" x14ac:dyDescent="0.55000000000000004">
      <c r="A21" s="74"/>
      <c r="B21" s="75"/>
      <c r="C21" s="75"/>
      <c r="D21" s="75"/>
      <c r="E21" s="75"/>
      <c r="F21" s="75"/>
      <c r="G21" s="84"/>
      <c r="H21" s="84"/>
      <c r="I21" s="84"/>
      <c r="J21" s="84"/>
      <c r="K21" s="84"/>
      <c r="L21" s="84"/>
      <c r="M21" s="84"/>
      <c r="N21" s="84"/>
      <c r="O21" s="270">
        <f>VLOOKUP(O19,市町村データ!A2:I106,MATCH(手順書_人口!$F$56, 市町村データ!A1:I1, 0),FALSE)</f>
        <v>993</v>
      </c>
      <c r="P21" s="137"/>
      <c r="Q21" s="137"/>
      <c r="R21" s="151"/>
      <c r="S21" s="236">
        <f>VLOOKUP(S19,市町村データ!A2:I106,MATCH(手順書_人口!$F$56, 市町村データ!A1:I1, 0),FALSE)</f>
        <v>460</v>
      </c>
      <c r="T21" s="137"/>
      <c r="U21" s="137"/>
      <c r="V21" s="151"/>
      <c r="W21" s="249">
        <f>VLOOKUP(W19,市町村データ!A2:I106,MATCH(手順書_人口!$F$56, 市町村データ!A1:I1, 0),FALSE)</f>
        <v>5240</v>
      </c>
      <c r="X21" s="137"/>
      <c r="Y21" s="137"/>
      <c r="Z21" s="151"/>
      <c r="AA21" s="225">
        <f>VLOOKUP(AA19,市町村データ!A2:I106,MATCH(手順書_人口!$F$56, 市町村データ!A1:I1, 0),FALSE)</f>
        <v>2316</v>
      </c>
      <c r="AB21" s="137"/>
      <c r="AC21" s="137"/>
      <c r="AD21" s="151"/>
      <c r="AE21" s="236">
        <f>VLOOKUP(AE19,市町村データ!A2:I106,MATCH(手順書_人口!$F$56, 市町村データ!A1:I1, 0),FALSE)</f>
        <v>450</v>
      </c>
      <c r="AF21" s="137"/>
      <c r="AG21" s="137"/>
      <c r="AH21" s="151"/>
      <c r="AI21" s="267">
        <f>VLOOKUP(AI19,市町村データ!A2:I106,MATCH(手順書_人口!$F$56, 市町村データ!A1:I1, 0),FALSE)</f>
        <v>3149</v>
      </c>
      <c r="AJ21" s="137"/>
      <c r="AK21" s="137"/>
      <c r="AL21" s="151"/>
      <c r="AM21" s="249">
        <f>VLOOKUP(AM19,市町村データ!A2:I106,MATCH(手順書_人口!$F$56, 市町村データ!A1:I1, 0),FALSE)</f>
        <v>5131</v>
      </c>
      <c r="AN21" s="137"/>
      <c r="AO21" s="137"/>
      <c r="AP21" s="151"/>
      <c r="AQ21" s="267">
        <f>VLOOKUP(AQ19,市町村データ!A2:I106,MATCH(手順書_人口!$F$56, 市町村データ!A1:I1, 0),FALSE)</f>
        <v>3037</v>
      </c>
      <c r="AR21" s="137"/>
      <c r="AS21" s="137"/>
      <c r="AT21" s="151"/>
      <c r="AU21" s="88"/>
      <c r="AV21" s="84"/>
      <c r="AW21" s="84"/>
      <c r="AX21" s="84"/>
      <c r="AY21" s="84"/>
      <c r="AZ21" s="84"/>
      <c r="BA21" s="84"/>
      <c r="BB21" s="84"/>
      <c r="BC21" s="84"/>
      <c r="BD21" s="84"/>
      <c r="BE21" s="84"/>
      <c r="BF21" s="84"/>
      <c r="BG21" s="84"/>
      <c r="BH21" s="84"/>
      <c r="BI21" s="84"/>
      <c r="BJ21" s="84"/>
      <c r="BK21" s="84"/>
      <c r="BL21" s="84"/>
      <c r="BM21" s="84"/>
      <c r="BN21" s="84"/>
      <c r="BO21" s="75"/>
      <c r="BP21" s="75"/>
      <c r="BQ21" s="75"/>
      <c r="BR21" s="75"/>
      <c r="BS21" s="75"/>
      <c r="BT21" s="74"/>
    </row>
    <row r="22" spans="1:72" ht="21.15" customHeight="1" thickBot="1" x14ac:dyDescent="0.6">
      <c r="A22" s="74"/>
      <c r="B22" s="75"/>
      <c r="C22" s="75"/>
      <c r="D22" s="75"/>
      <c r="E22" s="75"/>
      <c r="F22" s="75"/>
      <c r="G22" s="75"/>
      <c r="H22" s="75"/>
      <c r="I22" s="75"/>
      <c r="J22" s="75"/>
      <c r="K22" s="75"/>
      <c r="L22" s="75"/>
      <c r="M22" s="75"/>
      <c r="N22" s="75"/>
      <c r="O22" s="271">
        <f>VLOOKUP(O19,市町村データ!A2:I106,MATCH(手順書_人口!$F$57, 市町村データ!A1:I1, 0),FALSE)</f>
        <v>42.5</v>
      </c>
      <c r="P22" s="149"/>
      <c r="Q22" s="149"/>
      <c r="R22" s="222"/>
      <c r="S22" s="235">
        <f>VLOOKUP(S19,市町村データ!A2:I106,MATCH(手順書_人口!$F$57, 市町村データ!A1:I1, 0),FALSE)</f>
        <v>39.6</v>
      </c>
      <c r="T22" s="149"/>
      <c r="U22" s="149"/>
      <c r="V22" s="222"/>
      <c r="W22" s="247">
        <f>VLOOKUP(W19,市町村データ!A2:I106,MATCH(手順書_人口!$F$57, 市町村データ!A1:I1, 0),FALSE)</f>
        <v>65.7</v>
      </c>
      <c r="X22" s="149"/>
      <c r="Y22" s="149"/>
      <c r="Z22" s="222"/>
      <c r="AA22" s="223">
        <f>VLOOKUP(AA19,市町村データ!A2:I106,MATCH(手順書_人口!$F$57, 市町村データ!A1:I1, 0),FALSE)</f>
        <v>101.1</v>
      </c>
      <c r="AB22" s="149"/>
      <c r="AC22" s="149"/>
      <c r="AD22" s="222"/>
      <c r="AE22" s="235">
        <f>VLOOKUP(AE19,市町村データ!A2:I106,MATCH(手順書_人口!$F$57, 市町村データ!A1:I1, 0),FALSE)</f>
        <v>45.6</v>
      </c>
      <c r="AF22" s="149"/>
      <c r="AG22" s="149"/>
      <c r="AH22" s="222"/>
      <c r="AI22" s="268">
        <f>VLOOKUP(AI19,市町村データ!A2:I106,MATCH(手順書_人口!$F$57, 市町村データ!A1:I1, 0),FALSE)</f>
        <v>52.8</v>
      </c>
      <c r="AJ22" s="149"/>
      <c r="AK22" s="149"/>
      <c r="AL22" s="222"/>
      <c r="AM22" s="247">
        <f>VLOOKUP(AM19,市町村データ!A2:I106,MATCH(手順書_人口!$F$57, 市町村データ!A1:I1, 0),FALSE)</f>
        <v>58.8</v>
      </c>
      <c r="AN22" s="149"/>
      <c r="AO22" s="149"/>
      <c r="AP22" s="222"/>
      <c r="AQ22" s="268">
        <f>VLOOKUP(AQ19,市町村データ!A2:I106,MATCH(手順書_人口!$F$57, 市町村データ!A1:I1, 0),FALSE)</f>
        <v>42</v>
      </c>
      <c r="AR22" s="149"/>
      <c r="AS22" s="149"/>
      <c r="AT22" s="222"/>
      <c r="AU22" s="79"/>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4"/>
    </row>
    <row r="23" spans="1:72" ht="21.15" customHeight="1" x14ac:dyDescent="0.55000000000000004">
      <c r="A23" s="74"/>
      <c r="B23" s="75"/>
      <c r="C23" s="76" t="s">
        <v>69</v>
      </c>
      <c r="D23" s="75"/>
      <c r="E23" s="75"/>
      <c r="F23" s="75"/>
      <c r="G23" s="75"/>
      <c r="H23" s="75"/>
      <c r="I23" s="75"/>
      <c r="J23" s="75"/>
      <c r="K23" s="75"/>
      <c r="L23" s="75"/>
      <c r="M23" s="75"/>
      <c r="N23" s="75"/>
      <c r="O23" s="77">
        <v>32</v>
      </c>
      <c r="P23" s="138" t="str">
        <f>VLOOKUP(O23,市町村データ!A2:I106,MATCH(手順書_人口!$G$54, 市町村データ!A1:I1, 0),FALSE)</f>
        <v>あたご3</v>
      </c>
      <c r="Q23" s="147"/>
      <c r="R23" s="152"/>
      <c r="S23" s="77">
        <v>33</v>
      </c>
      <c r="T23" s="138" t="str">
        <f>VLOOKUP(S23,市町村データ!A2:I106,MATCH(手順書_人口!$G$54, 市町村データ!A1:I1, 0),FALSE)</f>
        <v>あたご2</v>
      </c>
      <c r="U23" s="147"/>
      <c r="V23" s="152"/>
      <c r="W23" s="77">
        <v>34</v>
      </c>
      <c r="X23" s="138" t="str">
        <f>VLOOKUP(W23,市町村データ!A2:I106,MATCH(手順書_人口!$G$54, 市町村データ!A1:I1, 0),FALSE)</f>
        <v>あたご1</v>
      </c>
      <c r="Y23" s="147"/>
      <c r="Z23" s="152"/>
      <c r="AA23" s="77">
        <v>35</v>
      </c>
      <c r="AB23" s="138" t="str">
        <f>VLOOKUP(AA23,市町村データ!A2:I106,MATCH(手順書_人口!$G$54, 市町村データ!A1:I1, 0),FALSE)</f>
        <v>本多2</v>
      </c>
      <c r="AC23" s="147"/>
      <c r="AD23" s="152"/>
      <c r="AE23" s="77">
        <v>36</v>
      </c>
      <c r="AF23" s="138" t="str">
        <f>VLOOKUP(AE23,市町村データ!A2:I106,MATCH(手順書_人口!$G$54, 市町村データ!A1:I1, 0),FALSE)</f>
        <v>本多1</v>
      </c>
      <c r="AG23" s="147"/>
      <c r="AH23" s="152"/>
      <c r="AI23" s="77">
        <v>37</v>
      </c>
      <c r="AJ23" s="138" t="str">
        <f>VLOOKUP(AI23,市町村データ!A2:I106,MATCH(手順書_人口!$G$54, 市町村データ!A1:I1, 0),FALSE)</f>
        <v>堀ノ内1</v>
      </c>
      <c r="AK23" s="147"/>
      <c r="AL23" s="152"/>
      <c r="AM23" s="77">
        <v>38</v>
      </c>
      <c r="AN23" s="138" t="str">
        <f>VLOOKUP(AM23,市町村データ!A2:I106,MATCH(手順書_人口!$G$54, 市町村データ!A1:I1, 0),FALSE)</f>
        <v>馬場1</v>
      </c>
      <c r="AO23" s="147"/>
      <c r="AP23" s="152"/>
      <c r="AQ23" s="77">
        <v>39</v>
      </c>
      <c r="AR23" s="138" t="str">
        <f>VLOOKUP(AQ23,市町村データ!A2:I106,MATCH(手順書_人口!$G$54, 市町村データ!A1:I1, 0),FALSE)</f>
        <v>馬場2</v>
      </c>
      <c r="AS23" s="147"/>
      <c r="AT23" s="152"/>
      <c r="AU23" s="77">
        <v>40</v>
      </c>
      <c r="AV23" s="138" t="str">
        <f>VLOOKUP(AU23,市町村データ!A2:I106,MATCH(手順書_人口!$G$54, 市町村データ!A1:I1, 0),FALSE)</f>
        <v>新塚1</v>
      </c>
      <c r="AW23" s="147"/>
      <c r="AX23" s="152"/>
      <c r="AY23" s="77">
        <v>41</v>
      </c>
      <c r="AZ23" s="138" t="str">
        <f>VLOOKUP(AY23,市町村データ!A2:I106,MATCH(手順書_人口!$G$54, 市町村データ!A1:I1, 0),FALSE)</f>
        <v>新塚他の地域</v>
      </c>
      <c r="BA23" s="147"/>
      <c r="BB23" s="152"/>
      <c r="BC23" s="86"/>
      <c r="BD23" s="75"/>
      <c r="BE23" s="75"/>
      <c r="BF23" s="75"/>
      <c r="BG23" s="80"/>
      <c r="BH23" s="75"/>
      <c r="BI23" s="75"/>
      <c r="BJ23" s="75"/>
      <c r="BK23" s="75"/>
      <c r="BL23" s="75"/>
      <c r="BM23" s="75"/>
      <c r="BN23" s="75"/>
      <c r="BO23" s="80"/>
      <c r="BP23" s="75"/>
      <c r="BQ23" s="75"/>
      <c r="BR23" s="75"/>
      <c r="BS23" s="75"/>
      <c r="BT23" s="74"/>
    </row>
    <row r="24" spans="1:72" ht="21.15" customHeight="1" x14ac:dyDescent="0.55000000000000004">
      <c r="A24" s="74"/>
      <c r="B24" s="75"/>
      <c r="C24" s="75"/>
      <c r="D24" s="75"/>
      <c r="E24" s="75"/>
      <c r="F24" s="75"/>
      <c r="G24" s="75"/>
      <c r="H24" s="75"/>
      <c r="I24" s="75"/>
      <c r="J24" s="75"/>
      <c r="K24" s="75"/>
      <c r="L24" s="75"/>
      <c r="M24" s="75"/>
      <c r="N24" s="75"/>
      <c r="O24" s="227">
        <f>VLOOKUP(O23,市町村データ!A2:I106,MATCH(手順書_人口!$F$55, 市町村データ!A1:I1, 0),FALSE)</f>
        <v>51</v>
      </c>
      <c r="P24" s="137"/>
      <c r="Q24" s="137"/>
      <c r="R24" s="151"/>
      <c r="S24" s="243">
        <f>VLOOKUP(S23,市町村データ!A2:I106,MATCH(手順書_人口!$F$55, 市町村データ!A1:I1, 0),FALSE)</f>
        <v>8.6</v>
      </c>
      <c r="T24" s="137"/>
      <c r="U24" s="137"/>
      <c r="V24" s="151"/>
      <c r="W24" s="241">
        <f>VLOOKUP(W23,市町村データ!A2:I106,MATCH(手順書_人口!$F$55, 市町村データ!A1:I1, 0),FALSE)</f>
        <v>7.9</v>
      </c>
      <c r="X24" s="137"/>
      <c r="Y24" s="137"/>
      <c r="Z24" s="151"/>
      <c r="AA24" s="242">
        <f>VLOOKUP(AA23,市町村データ!A2:I106,MATCH(手順書_人口!$F$55, 市町村データ!A1:I1, 0),FALSE)</f>
        <v>1.4</v>
      </c>
      <c r="AB24" s="137"/>
      <c r="AC24" s="137"/>
      <c r="AD24" s="151"/>
      <c r="AE24" s="227">
        <f>VLOOKUP(AE23,市町村データ!A2:I106,MATCH(手順書_人口!$F$55, 市町村データ!A1:I1, 0),FALSE)</f>
        <v>22.8</v>
      </c>
      <c r="AF24" s="137"/>
      <c r="AG24" s="137"/>
      <c r="AH24" s="151"/>
      <c r="AI24" s="237">
        <f>VLOOKUP(AI23,市町村データ!A2:I106,MATCH(手順書_人口!$F$55, 市町村データ!A1:I1, 0),FALSE)</f>
        <v>17.3</v>
      </c>
      <c r="AJ24" s="137"/>
      <c r="AK24" s="137"/>
      <c r="AL24" s="151"/>
      <c r="AM24" s="220">
        <f>VLOOKUP(AM23,市町村データ!A2:I106,MATCH(手順書_人口!$F$55, 市町村データ!A1:I1, 0),FALSE)</f>
        <v>33.799999999999997</v>
      </c>
      <c r="AN24" s="137"/>
      <c r="AO24" s="137"/>
      <c r="AP24" s="151"/>
      <c r="AQ24" s="220">
        <f>VLOOKUP(AQ23,市町村データ!A2:I106,MATCH(手順書_人口!$F$55, 市町村データ!A1:I1, 0),FALSE)</f>
        <v>84.4</v>
      </c>
      <c r="AR24" s="137"/>
      <c r="AS24" s="137"/>
      <c r="AT24" s="151"/>
      <c r="AU24" s="220">
        <f>VLOOKUP(AU23,市町村データ!A2:I106,MATCH(手順書_人口!$F$55, 市町村データ!A1:I1, 0),FALSE)</f>
        <v>68.8</v>
      </c>
      <c r="AV24" s="137"/>
      <c r="AW24" s="137"/>
      <c r="AX24" s="151"/>
      <c r="AY24" s="250">
        <f>VLOOKUP(AY23,市町村データ!A2:I106,MATCH(手順書_人口!$F$55, 市町村データ!A1:I1, 0),FALSE)</f>
        <v>0</v>
      </c>
      <c r="AZ24" s="137"/>
      <c r="BA24" s="137"/>
      <c r="BB24" s="151"/>
      <c r="BC24" s="87"/>
      <c r="BD24" s="82"/>
      <c r="BE24" s="82"/>
      <c r="BF24" s="82"/>
      <c r="BG24" s="82"/>
      <c r="BH24" s="82"/>
      <c r="BI24" s="82"/>
      <c r="BJ24" s="82"/>
      <c r="BK24" s="75"/>
      <c r="BL24" s="75"/>
      <c r="BM24" s="75"/>
      <c r="BN24" s="75"/>
      <c r="BO24" s="82"/>
      <c r="BP24" s="51"/>
      <c r="BQ24" s="51"/>
      <c r="BR24" s="51"/>
      <c r="BS24" s="75"/>
      <c r="BT24" s="74"/>
    </row>
    <row r="25" spans="1:72" ht="21.15" customHeight="1" x14ac:dyDescent="0.55000000000000004">
      <c r="A25" s="74"/>
      <c r="B25" s="75"/>
      <c r="C25" s="75"/>
      <c r="D25" s="75"/>
      <c r="E25" s="75"/>
      <c r="F25" s="75"/>
      <c r="G25" s="75"/>
      <c r="H25" s="75"/>
      <c r="I25" s="75"/>
      <c r="J25" s="75"/>
      <c r="K25" s="75"/>
      <c r="L25" s="75"/>
      <c r="M25" s="75"/>
      <c r="N25" s="75"/>
      <c r="O25" s="231">
        <f>VLOOKUP(O23,市町村データ!A2:I106,MATCH(手順書_人口!$F$56, 市町村データ!A1:I1, 0),FALSE)</f>
        <v>1214</v>
      </c>
      <c r="P25" s="137"/>
      <c r="Q25" s="137"/>
      <c r="R25" s="151"/>
      <c r="S25" s="245">
        <f>VLOOKUP(S23,市町村データ!A2:I106,MATCH(手順書_人口!$F$56, 市町村データ!A1:I1, 0),FALSE)</f>
        <v>137</v>
      </c>
      <c r="T25" s="137"/>
      <c r="U25" s="137"/>
      <c r="V25" s="151"/>
      <c r="W25" s="246">
        <f>VLOOKUP(W23,市町村データ!A2:I106,MATCH(手順書_人口!$F$56, 市町村データ!A1:I1, 0),FALSE)</f>
        <v>125</v>
      </c>
      <c r="X25" s="137"/>
      <c r="Y25" s="137"/>
      <c r="Z25" s="151"/>
      <c r="AA25" s="244">
        <f>VLOOKUP(AA23,市町村データ!A2:I106,MATCH(手順書_人口!$F$56, 市町村データ!A1:I1, 0),FALSE)</f>
        <v>58</v>
      </c>
      <c r="AB25" s="137"/>
      <c r="AC25" s="137"/>
      <c r="AD25" s="151"/>
      <c r="AE25" s="231">
        <f>VLOOKUP(AE23,市町村データ!A2:I106,MATCH(手順書_人口!$F$56, 市町村データ!A1:I1, 0),FALSE)</f>
        <v>1175</v>
      </c>
      <c r="AF25" s="137"/>
      <c r="AG25" s="137"/>
      <c r="AH25" s="151"/>
      <c r="AI25" s="236">
        <f>VLOOKUP(AI23,市町村データ!A2:I106,MATCH(手順書_人口!$F$56, 市町村データ!A1:I1, 0),FALSE)</f>
        <v>480</v>
      </c>
      <c r="AJ25" s="137"/>
      <c r="AK25" s="137"/>
      <c r="AL25" s="151"/>
      <c r="AM25" s="225">
        <f>VLOOKUP(AM23,市町村データ!A2:I106,MATCH(手順書_人口!$F$56, 市町村データ!A1:I1, 0),FALSE)</f>
        <v>1342</v>
      </c>
      <c r="AN25" s="137"/>
      <c r="AO25" s="137"/>
      <c r="AP25" s="151"/>
      <c r="AQ25" s="225">
        <f>VLOOKUP(AQ23,市町村データ!A2:I106,MATCH(手順書_人口!$F$56, 市町村データ!A1:I1, 0),FALSE)</f>
        <v>1603</v>
      </c>
      <c r="AR25" s="137"/>
      <c r="AS25" s="137"/>
      <c r="AT25" s="151"/>
      <c r="AU25" s="225">
        <f>VLOOKUP(AU23,市町村データ!A2:I106,MATCH(手順書_人口!$F$56, 市町村データ!A1:I1, 0),FALSE)</f>
        <v>1451</v>
      </c>
      <c r="AV25" s="137"/>
      <c r="AW25" s="137"/>
      <c r="AX25" s="151"/>
      <c r="AY25" s="251">
        <f>VLOOKUP(AY23,市町村データ!A2:I106,MATCH(手順書_人口!$F$56, 市町村データ!A1:I1, 0),FALSE)</f>
        <v>0</v>
      </c>
      <c r="AZ25" s="137"/>
      <c r="BA25" s="137"/>
      <c r="BB25" s="151"/>
      <c r="BC25" s="88"/>
      <c r="BD25" s="84"/>
      <c r="BE25" s="84"/>
      <c r="BF25" s="84"/>
      <c r="BG25" s="84"/>
      <c r="BH25" s="84"/>
      <c r="BI25" s="84"/>
      <c r="BJ25" s="84"/>
      <c r="BK25" s="75"/>
      <c r="BL25" s="75"/>
      <c r="BM25" s="75"/>
      <c r="BN25" s="75"/>
      <c r="BO25" s="84"/>
      <c r="BP25" s="52"/>
      <c r="BQ25" s="52"/>
      <c r="BR25" s="52"/>
      <c r="BS25" s="75"/>
      <c r="BT25" s="74"/>
    </row>
    <row r="26" spans="1:72" ht="21.15" customHeight="1" thickBot="1" x14ac:dyDescent="0.6">
      <c r="A26" s="74"/>
      <c r="B26" s="75"/>
      <c r="C26" s="75"/>
      <c r="D26" s="75"/>
      <c r="E26" s="75"/>
      <c r="F26" s="75"/>
      <c r="G26" s="75"/>
      <c r="H26" s="75"/>
      <c r="I26" s="75"/>
      <c r="J26" s="75"/>
      <c r="K26" s="75"/>
      <c r="L26" s="75"/>
      <c r="M26" s="75"/>
      <c r="N26" s="75"/>
      <c r="O26" s="229">
        <f>VLOOKUP(O23,市町村データ!A2:I106,MATCH(手順書_人口!$F$57, 市町村データ!A1:I1, 0),FALSE)</f>
        <v>23.8</v>
      </c>
      <c r="P26" s="149"/>
      <c r="Q26" s="149"/>
      <c r="R26" s="222"/>
      <c r="S26" s="239">
        <f>VLOOKUP(S23,市町村データ!A2:I106,MATCH(手順書_人口!$F$57, 市町村データ!A1:I1, 0),FALSE)</f>
        <v>15.9</v>
      </c>
      <c r="T26" s="149"/>
      <c r="U26" s="149"/>
      <c r="V26" s="222"/>
      <c r="W26" s="240">
        <f>VLOOKUP(W23,市町村データ!A2:I106,MATCH(手順書_人口!$F$57, 市町村データ!A1:I1, 0),FALSE)</f>
        <v>15.9</v>
      </c>
      <c r="X26" s="149"/>
      <c r="Y26" s="149"/>
      <c r="Z26" s="222"/>
      <c r="AA26" s="238">
        <f>VLOOKUP(AA23,市町村データ!A2:I106,MATCH(手順書_人口!$F$57, 市町村データ!A1:I1, 0),FALSE)</f>
        <v>41.6</v>
      </c>
      <c r="AB26" s="149"/>
      <c r="AC26" s="149"/>
      <c r="AD26" s="222"/>
      <c r="AE26" s="229">
        <f>VLOOKUP(AE23,市町村データ!A2:I106,MATCH(手順書_人口!$F$57, 市町村データ!A1:I1, 0),FALSE)</f>
        <v>51.5</v>
      </c>
      <c r="AF26" s="149"/>
      <c r="AG26" s="149"/>
      <c r="AH26" s="222"/>
      <c r="AI26" s="235">
        <f>VLOOKUP(AI23,市町村データ!A2:I106,MATCH(手順書_人口!$F$57, 市町村データ!A1:I1, 0),FALSE)</f>
        <v>27.7</v>
      </c>
      <c r="AJ26" s="149"/>
      <c r="AK26" s="149"/>
      <c r="AL26" s="222"/>
      <c r="AM26" s="223">
        <f>VLOOKUP(AM23,市町村データ!A2:I106,MATCH(手順書_人口!$F$57, 市町村データ!A1:I1, 0),FALSE)</f>
        <v>39.700000000000003</v>
      </c>
      <c r="AN26" s="149"/>
      <c r="AO26" s="149"/>
      <c r="AP26" s="222"/>
      <c r="AQ26" s="223">
        <f>VLOOKUP(AQ23,市町村データ!A2:I106,MATCH(手順書_人口!$F$57, 市町村データ!A1:I1, 0),FALSE)</f>
        <v>19</v>
      </c>
      <c r="AR26" s="149"/>
      <c r="AS26" s="149"/>
      <c r="AT26" s="222"/>
      <c r="AU26" s="223">
        <f>VLOOKUP(AU23,市町村データ!A2:I106,MATCH(手順書_人口!$F$57, 市町村データ!A1:I1, 0),FALSE)</f>
        <v>21.1</v>
      </c>
      <c r="AV26" s="149"/>
      <c r="AW26" s="149"/>
      <c r="AX26" s="222"/>
      <c r="AY26" s="148">
        <f>VLOOKUP(AY23,市町村データ!A2:I106,MATCH(手順書_人口!$F$57, 市町村データ!A1:I1, 0),FALSE)</f>
        <v>41.8</v>
      </c>
      <c r="AZ26" s="149"/>
      <c r="BA26" s="149"/>
      <c r="BB26" s="222"/>
      <c r="BC26" s="79"/>
      <c r="BD26" s="75"/>
      <c r="BE26" s="75"/>
      <c r="BF26" s="75"/>
      <c r="BG26" s="75"/>
      <c r="BH26" s="75"/>
      <c r="BI26" s="75"/>
      <c r="BJ26" s="75"/>
      <c r="BK26" s="75"/>
      <c r="BL26" s="75"/>
      <c r="BM26" s="75"/>
      <c r="BN26" s="75"/>
      <c r="BO26" s="75"/>
      <c r="BP26" s="53"/>
      <c r="BQ26" s="53"/>
      <c r="BR26" s="53"/>
      <c r="BS26" s="75"/>
      <c r="BT26" s="74"/>
    </row>
    <row r="27" spans="1:72" ht="21.15" customHeight="1" x14ac:dyDescent="0.55000000000000004">
      <c r="A27" s="74"/>
      <c r="B27" s="75"/>
      <c r="C27" s="76" t="s">
        <v>70</v>
      </c>
      <c r="D27" s="75"/>
      <c r="E27" s="75"/>
      <c r="F27" s="75"/>
      <c r="G27" s="75"/>
      <c r="H27" s="75"/>
      <c r="I27" s="75"/>
      <c r="J27" s="75"/>
      <c r="K27" s="75"/>
      <c r="L27" s="75"/>
      <c r="M27" s="75"/>
      <c r="N27" s="75"/>
      <c r="O27" s="85"/>
      <c r="P27" s="85"/>
      <c r="Q27" s="85"/>
      <c r="R27" s="85"/>
      <c r="S27" s="77">
        <v>42</v>
      </c>
      <c r="T27" s="138" t="str">
        <f>VLOOKUP(S27,市町村データ!A2:I106,MATCH(手順書_人口!$G$54, 市町村データ!A1:I1, 0),FALSE)</f>
        <v>西堀2</v>
      </c>
      <c r="U27" s="147"/>
      <c r="V27" s="152"/>
      <c r="W27" s="77">
        <v>43</v>
      </c>
      <c r="X27" s="138" t="str">
        <f>VLOOKUP(W27,市町村データ!A2:I106,MATCH(手順書_人口!$G$54, 市町村データ!A1:I1, 0),FALSE)</f>
        <v>西堀1</v>
      </c>
      <c r="Y27" s="147"/>
      <c r="Z27" s="152"/>
      <c r="AA27" s="77">
        <v>44</v>
      </c>
      <c r="AB27" s="138" t="str">
        <f>VLOOKUP(AA27,市町村データ!A2:I106,MATCH(手順書_人口!$G$54, 市町村データ!A1:I1, 0),FALSE)</f>
        <v>石神5</v>
      </c>
      <c r="AC27" s="147"/>
      <c r="AD27" s="152"/>
      <c r="AE27" s="77">
        <v>45</v>
      </c>
      <c r="AF27" s="138" t="str">
        <f>VLOOKUP(AE27,市町村データ!A2:I106,MATCH(手順書_人口!$G$54, 市町村データ!A1:I1, 0),FALSE)</f>
        <v>堀ノ内3</v>
      </c>
      <c r="AG27" s="147"/>
      <c r="AH27" s="152"/>
      <c r="AI27" s="77">
        <v>46</v>
      </c>
      <c r="AJ27" s="138" t="str">
        <f>VLOOKUP(AI27,市町村データ!A2:I106,MATCH(手順書_人口!$G$54, 市町村データ!A1:I1, 0),FALSE)</f>
        <v>堀ノ内2</v>
      </c>
      <c r="AK27" s="147"/>
      <c r="AL27" s="152"/>
      <c r="AM27" s="77">
        <v>47</v>
      </c>
      <c r="AN27" s="138" t="str">
        <f>VLOOKUP(AM27,市町村データ!A2:I106,MATCH(手順書_人口!$G$54, 市町村データ!A1:I1, 0),FALSE)</f>
        <v>馬場4</v>
      </c>
      <c r="AO27" s="147"/>
      <c r="AP27" s="152"/>
      <c r="AQ27" s="77">
        <v>48</v>
      </c>
      <c r="AR27" s="138" t="str">
        <f>VLOOKUP(AQ27,市町村データ!A2:I106,MATCH(手順書_人口!$G$54, 市町村データ!A1:I1, 0),FALSE)</f>
        <v>馬場3</v>
      </c>
      <c r="AS27" s="147"/>
      <c r="AT27" s="152"/>
      <c r="AU27" s="77">
        <v>49</v>
      </c>
      <c r="AV27" s="138" t="str">
        <f>VLOOKUP(AU27,市町村データ!A2:I106,MATCH(手順書_人口!$G$54, 市町村データ!A1:I1, 0),FALSE)</f>
        <v>栄1</v>
      </c>
      <c r="AW27" s="147"/>
      <c r="AX27" s="152"/>
      <c r="AY27" s="77">
        <v>50</v>
      </c>
      <c r="AZ27" s="138" t="str">
        <f>VLOOKUP(AY27,市町村データ!A2:I106,MATCH(手順書_人口!$G$54, 市町村データ!A1:I1, 0),FALSE)</f>
        <v>栄2</v>
      </c>
      <c r="BA27" s="147"/>
      <c r="BB27" s="152"/>
      <c r="BC27" s="77">
        <v>51</v>
      </c>
      <c r="BD27" s="138" t="str">
        <f>VLOOKUP(BC27,市町村データ!A2:I106,MATCH(手順書_人口!$G$54, 市町村データ!A1:I1, 0),FALSE)</f>
        <v>栄3</v>
      </c>
      <c r="BE27" s="147"/>
      <c r="BF27" s="152"/>
      <c r="BG27" s="77">
        <v>52</v>
      </c>
      <c r="BH27" s="138" t="str">
        <f>VLOOKUP(BG27,市町村データ!A2:I106,MATCH(手順書_人口!$G$54, 市町村データ!A1:I1, 0),FALSE)</f>
        <v>栄4</v>
      </c>
      <c r="BI27" s="147"/>
      <c r="BJ27" s="152"/>
      <c r="BK27" s="77">
        <v>53</v>
      </c>
      <c r="BL27" s="138" t="str">
        <f>VLOOKUP(BK27,市町村データ!A2:I106,MATCH(手順書_人口!$G$54, 市町村データ!A1:I1, 0),FALSE)</f>
        <v>栄5</v>
      </c>
      <c r="BM27" s="147"/>
      <c r="BN27" s="152"/>
      <c r="BO27" s="86"/>
      <c r="BP27" s="75"/>
      <c r="BQ27" s="75"/>
      <c r="BR27" s="75"/>
      <c r="BS27" s="75"/>
      <c r="BT27" s="74"/>
    </row>
    <row r="28" spans="1:72" ht="21.15" customHeight="1" x14ac:dyDescent="0.55000000000000004">
      <c r="A28" s="74"/>
      <c r="B28" s="75"/>
      <c r="C28" s="75"/>
      <c r="D28" s="75"/>
      <c r="E28" s="75"/>
      <c r="F28" s="75"/>
      <c r="G28" s="75"/>
      <c r="H28" s="75"/>
      <c r="I28" s="75"/>
      <c r="J28" s="75"/>
      <c r="K28" s="75"/>
      <c r="L28" s="75"/>
      <c r="M28" s="75"/>
      <c r="N28" s="75"/>
      <c r="O28" s="75"/>
      <c r="P28" s="75"/>
      <c r="Q28" s="75"/>
      <c r="R28" s="75"/>
      <c r="S28" s="269">
        <f>VLOOKUP(S27,市町村データ!A2:I106,MATCH(手順書_人口!$F$55, 市町村データ!A1:I1, 0),FALSE)</f>
        <v>109.8</v>
      </c>
      <c r="T28" s="137"/>
      <c r="U28" s="137"/>
      <c r="V28" s="151"/>
      <c r="W28" s="220">
        <f>VLOOKUP(W27,市町村データ!A2:I106,MATCH(手順書_人口!$F$55, 市町村データ!A1:I1, 0),FALSE)</f>
        <v>88.8</v>
      </c>
      <c r="X28" s="137"/>
      <c r="Y28" s="137"/>
      <c r="Z28" s="151"/>
      <c r="AA28" s="220">
        <f>VLOOKUP(AA27,市町村データ!A2:I106,MATCH(手順書_人口!$F$55, 市町村データ!A1:I1, 0),FALSE)</f>
        <v>169.4</v>
      </c>
      <c r="AB28" s="137"/>
      <c r="AC28" s="137"/>
      <c r="AD28" s="151"/>
      <c r="AE28" s="237">
        <f>VLOOKUP(AE27,市町村データ!A2:I106,MATCH(手順書_人口!$F$55, 市町村データ!A1:I1, 0),FALSE)</f>
        <v>9.1999999999999993</v>
      </c>
      <c r="AF28" s="137"/>
      <c r="AG28" s="137"/>
      <c r="AH28" s="151"/>
      <c r="AI28" s="272">
        <f>VLOOKUP(AI27,市町村データ!A2:I106,MATCH(手順書_人口!$F$55, 市町村データ!A1:I1, 0),FALSE)</f>
        <v>40.9</v>
      </c>
      <c r="AJ28" s="137"/>
      <c r="AK28" s="137"/>
      <c r="AL28" s="151"/>
      <c r="AM28" s="220">
        <f>VLOOKUP(AM27,市町村データ!A2:I106,MATCH(手順書_人口!$F$55, 市町村データ!A1:I1, 0),FALSE)</f>
        <v>35.200000000000003</v>
      </c>
      <c r="AN28" s="137"/>
      <c r="AO28" s="137"/>
      <c r="AP28" s="151"/>
      <c r="AQ28" s="220">
        <f>VLOOKUP(AQ27,市町村データ!A2:I106,MATCH(手順書_人口!$F$55, 市町村データ!A1:I1, 0),FALSE)</f>
        <v>53.3</v>
      </c>
      <c r="AR28" s="137"/>
      <c r="AS28" s="137"/>
      <c r="AT28" s="151"/>
      <c r="AU28" s="272">
        <f>VLOOKUP(AU27,市町村データ!A2:I106,MATCH(手順書_人口!$F$55, 市町村データ!A1:I1, 0),FALSE)</f>
        <v>84.9</v>
      </c>
      <c r="AV28" s="137"/>
      <c r="AW28" s="137"/>
      <c r="AX28" s="151"/>
      <c r="AY28" s="220">
        <f>VLOOKUP(AY27,市町村データ!A2:I106,MATCH(手順書_人口!$F$55, 市町村データ!A1:I1, 0),FALSE)</f>
        <v>148.6</v>
      </c>
      <c r="AZ28" s="137"/>
      <c r="BA28" s="137"/>
      <c r="BB28" s="151"/>
      <c r="BC28" s="220">
        <f>VLOOKUP(BC27,市町村データ!A2:I106,MATCH(手順書_人口!$F$55, 市町村データ!A1:I1, 0),FALSE)</f>
        <v>141.5</v>
      </c>
      <c r="BD28" s="137"/>
      <c r="BE28" s="137"/>
      <c r="BF28" s="151"/>
      <c r="BG28" s="220">
        <f>VLOOKUP(BG27,市町村データ!A2:I106,MATCH(手順書_人口!$F$55, 市町村データ!A1:I1, 0),FALSE)</f>
        <v>135.9</v>
      </c>
      <c r="BH28" s="137"/>
      <c r="BI28" s="137"/>
      <c r="BJ28" s="151"/>
      <c r="BK28" s="269">
        <f>VLOOKUP(BK27,市町村データ!A2:I106,MATCH(手順書_人口!$F$55, 市町村データ!A1:I1, 0),FALSE)</f>
        <v>160.69999999999999</v>
      </c>
      <c r="BL28" s="137"/>
      <c r="BM28" s="137"/>
      <c r="BN28" s="151"/>
      <c r="BO28" s="87"/>
      <c r="BP28" s="51"/>
      <c r="BQ28" s="51"/>
      <c r="BR28" s="51"/>
      <c r="BS28" s="75"/>
      <c r="BT28" s="74"/>
    </row>
    <row r="29" spans="1:72" ht="21.15" customHeight="1" x14ac:dyDescent="0.55000000000000004">
      <c r="A29" s="74"/>
      <c r="B29" s="75"/>
      <c r="C29" s="75"/>
      <c r="D29" s="75"/>
      <c r="E29" s="75"/>
      <c r="F29" s="75"/>
      <c r="G29" s="75"/>
      <c r="H29" s="75"/>
      <c r="I29" s="75"/>
      <c r="J29" s="75"/>
      <c r="K29" s="75"/>
      <c r="L29" s="75"/>
      <c r="M29" s="75"/>
      <c r="N29" s="75"/>
      <c r="O29" s="75"/>
      <c r="P29" s="75"/>
      <c r="Q29" s="75"/>
      <c r="R29" s="75"/>
      <c r="S29" s="267">
        <f>VLOOKUP(S27,市町村データ!A2:I106,MATCH(手順書_人口!$F$56, 市町村データ!A1:I1, 0),FALSE)</f>
        <v>4393</v>
      </c>
      <c r="T29" s="137"/>
      <c r="U29" s="137"/>
      <c r="V29" s="151"/>
      <c r="W29" s="225">
        <f>VLOOKUP(W27,市町村データ!A2:I106,MATCH(手順書_人口!$F$56, 市町村データ!A1:I1, 0),FALSE)</f>
        <v>1864</v>
      </c>
      <c r="X29" s="137"/>
      <c r="Y29" s="137"/>
      <c r="Z29" s="151"/>
      <c r="AA29" s="225">
        <f>VLOOKUP(AA27,市町村データ!A2:I106,MATCH(手順書_人口!$F$56, 市町村データ!A1:I1, 0),FALSE)</f>
        <v>2033</v>
      </c>
      <c r="AB29" s="137"/>
      <c r="AC29" s="137"/>
      <c r="AD29" s="151"/>
      <c r="AE29" s="236">
        <f>VLOOKUP(AE27,市町村データ!A2:I106,MATCH(手順書_人口!$F$56, 市町村データ!A1:I1, 0),FALSE)</f>
        <v>291</v>
      </c>
      <c r="AF29" s="137"/>
      <c r="AG29" s="137"/>
      <c r="AH29" s="151"/>
      <c r="AI29" s="270">
        <f>VLOOKUP(AI27,市町村データ!A2:I106,MATCH(手順書_人口!$F$56, 市町村データ!A1:I1, 0),FALSE)</f>
        <v>768</v>
      </c>
      <c r="AJ29" s="137"/>
      <c r="AK29" s="137"/>
      <c r="AL29" s="151"/>
      <c r="AM29" s="225">
        <f>VLOOKUP(AM27,市町村データ!A2:I106,MATCH(手順書_人口!$F$56, 市町村データ!A1:I1, 0),FALSE)</f>
        <v>1446</v>
      </c>
      <c r="AN29" s="137"/>
      <c r="AO29" s="137"/>
      <c r="AP29" s="151"/>
      <c r="AQ29" s="225">
        <f>VLOOKUP(AQ27,市町村データ!A2:I106,MATCH(手順書_人口!$F$56, 市町村データ!A1:I1, 0),FALSE)</f>
        <v>1390</v>
      </c>
      <c r="AR29" s="137"/>
      <c r="AS29" s="137"/>
      <c r="AT29" s="151"/>
      <c r="AU29" s="270">
        <f>VLOOKUP(AU27,市町村データ!A2:I106,MATCH(手順書_人口!$F$56, 市町村データ!A1:I1, 0),FALSE)</f>
        <v>849</v>
      </c>
      <c r="AV29" s="137"/>
      <c r="AW29" s="137"/>
      <c r="AX29" s="151"/>
      <c r="AY29" s="225">
        <f>VLOOKUP(AY27,市町村データ!A2:I106,MATCH(手順書_人口!$F$56, 市町村データ!A1:I1, 0),FALSE)</f>
        <v>2229</v>
      </c>
      <c r="AZ29" s="137"/>
      <c r="BA29" s="137"/>
      <c r="BB29" s="151"/>
      <c r="BC29" s="225">
        <f>VLOOKUP(BC27,市町村データ!A2:I106,MATCH(手順書_人口!$F$56, 市町村データ!A1:I1, 0),FALSE)</f>
        <v>1839</v>
      </c>
      <c r="BD29" s="137"/>
      <c r="BE29" s="137"/>
      <c r="BF29" s="151"/>
      <c r="BG29" s="225">
        <f>VLOOKUP(BG27,市町村データ!A2:I106,MATCH(手順書_人口!$F$56, 市町村データ!A1:I1, 0),FALSE)</f>
        <v>1835</v>
      </c>
      <c r="BH29" s="137"/>
      <c r="BI29" s="137"/>
      <c r="BJ29" s="151"/>
      <c r="BK29" s="267">
        <f>VLOOKUP(BK27,市町村データ!A2:I106,MATCH(手順書_人口!$F$56, 市町村データ!A1:I1, 0),FALSE)</f>
        <v>2651</v>
      </c>
      <c r="BL29" s="137"/>
      <c r="BM29" s="137"/>
      <c r="BN29" s="151"/>
      <c r="BO29" s="88"/>
      <c r="BP29" s="52"/>
      <c r="BQ29" s="52"/>
      <c r="BR29" s="52"/>
      <c r="BS29" s="75"/>
      <c r="BT29" s="74"/>
    </row>
    <row r="30" spans="1:72" ht="21.15" customHeight="1" thickBot="1" x14ac:dyDescent="0.6">
      <c r="A30" s="74"/>
      <c r="B30" s="75"/>
      <c r="C30" s="75"/>
      <c r="D30" s="75"/>
      <c r="E30" s="75"/>
      <c r="F30" s="75"/>
      <c r="G30" s="75"/>
      <c r="H30" s="75"/>
      <c r="I30" s="75"/>
      <c r="J30" s="75"/>
      <c r="K30" s="75"/>
      <c r="L30" s="75"/>
      <c r="M30" s="75"/>
      <c r="N30" s="75"/>
      <c r="O30" s="75"/>
      <c r="P30" s="75"/>
      <c r="Q30" s="75"/>
      <c r="R30" s="75"/>
      <c r="S30" s="268">
        <f>VLOOKUP(S27,市町村データ!A2:I106,MATCH(手順書_人口!$F$57, 市町村データ!A1:I1, 0),FALSE)</f>
        <v>40</v>
      </c>
      <c r="T30" s="149"/>
      <c r="U30" s="149"/>
      <c r="V30" s="222"/>
      <c r="W30" s="223">
        <f>VLOOKUP(W27,市町村データ!A2:I106,MATCH(手順書_人口!$F$57, 市町村データ!A1:I1, 0),FALSE)</f>
        <v>21</v>
      </c>
      <c r="X30" s="149"/>
      <c r="Y30" s="149"/>
      <c r="Z30" s="222"/>
      <c r="AA30" s="223">
        <f>VLOOKUP(AA27,市町村データ!A2:I106,MATCH(手順書_人口!$F$57, 市町村データ!A1:I1, 0),FALSE)</f>
        <v>12</v>
      </c>
      <c r="AB30" s="149"/>
      <c r="AC30" s="149"/>
      <c r="AD30" s="222"/>
      <c r="AE30" s="235">
        <f>VLOOKUP(AE27,市町村データ!A2:I106,MATCH(手順書_人口!$F$57, 市町村データ!A1:I1, 0),FALSE)</f>
        <v>31.7</v>
      </c>
      <c r="AF30" s="149"/>
      <c r="AG30" s="149"/>
      <c r="AH30" s="222"/>
      <c r="AI30" s="271">
        <f>VLOOKUP(AI27,市町村データ!A2:I106,MATCH(手順書_人口!$F$57, 市町村データ!A1:I1, 0),FALSE)</f>
        <v>18.8</v>
      </c>
      <c r="AJ30" s="149"/>
      <c r="AK30" s="149"/>
      <c r="AL30" s="222"/>
      <c r="AM30" s="223">
        <f>VLOOKUP(AM27,市町村データ!A2:I106,MATCH(手順書_人口!$F$57, 市町村データ!A1:I1, 0),FALSE)</f>
        <v>41.1</v>
      </c>
      <c r="AN30" s="149"/>
      <c r="AO30" s="149"/>
      <c r="AP30" s="222"/>
      <c r="AQ30" s="223">
        <f>VLOOKUP(AQ27,市町村データ!A2:I106,MATCH(手順書_人口!$F$57, 市町村データ!A1:I1, 0),FALSE)</f>
        <v>26.1</v>
      </c>
      <c r="AR30" s="149"/>
      <c r="AS30" s="149"/>
      <c r="AT30" s="222"/>
      <c r="AU30" s="271">
        <f>VLOOKUP(AU27,市町村データ!A2:I106,MATCH(手順書_人口!$F$57, 市町村データ!A1:I1, 0),FALSE)</f>
        <v>10</v>
      </c>
      <c r="AV30" s="149"/>
      <c r="AW30" s="149"/>
      <c r="AX30" s="222"/>
      <c r="AY30" s="223">
        <f>VLOOKUP(AY27,市町村データ!A2:I106,MATCH(手順書_人口!$F$57, 市町村データ!A1:I1, 0),FALSE)</f>
        <v>15</v>
      </c>
      <c r="AZ30" s="149"/>
      <c r="BA30" s="149"/>
      <c r="BB30" s="222"/>
      <c r="BC30" s="223">
        <f>VLOOKUP(BC27,市町村データ!A2:I106,MATCH(手順書_人口!$F$57, 市町村データ!A1:I1, 0),FALSE)</f>
        <v>13</v>
      </c>
      <c r="BD30" s="149"/>
      <c r="BE30" s="149"/>
      <c r="BF30" s="222"/>
      <c r="BG30" s="223">
        <f>VLOOKUP(BG27,市町村データ!A2:I106,MATCH(手順書_人口!$F$57, 市町村データ!A1:I1, 0),FALSE)</f>
        <v>13.5</v>
      </c>
      <c r="BH30" s="149"/>
      <c r="BI30" s="149"/>
      <c r="BJ30" s="222"/>
      <c r="BK30" s="268">
        <f>VLOOKUP(BK27,市町村データ!A2:I106,MATCH(手順書_人口!$F$57, 市町村データ!A1:I1, 0),FALSE)</f>
        <v>16.5</v>
      </c>
      <c r="BL30" s="149"/>
      <c r="BM30" s="149"/>
      <c r="BN30" s="222"/>
      <c r="BO30" s="79"/>
      <c r="BP30" s="53"/>
      <c r="BQ30" s="53"/>
      <c r="BR30" s="53"/>
      <c r="BS30" s="75"/>
      <c r="BT30" s="74"/>
    </row>
    <row r="31" spans="1:72" ht="21.15" customHeight="1" x14ac:dyDescent="0.55000000000000004">
      <c r="A31" s="74"/>
      <c r="B31" s="75"/>
      <c r="C31" s="76" t="s">
        <v>71</v>
      </c>
      <c r="D31" s="75"/>
      <c r="E31" s="75"/>
      <c r="F31" s="75"/>
      <c r="G31" s="77">
        <v>54</v>
      </c>
      <c r="H31" s="138" t="str">
        <f>VLOOKUP(G31,市町村データ!A2:I106,MATCH(手順書_人口!$G$54, 市町村データ!A1:I1, 0),FALSE)</f>
        <v>新堀3</v>
      </c>
      <c r="I31" s="147"/>
      <c r="J31" s="152"/>
      <c r="K31" s="77">
        <v>55</v>
      </c>
      <c r="L31" s="138" t="str">
        <f>VLOOKUP(K31,市町村データ!A2:I106,MATCH(手順書_人口!$G$54, 市町村データ!A1:I1, 0),FALSE)</f>
        <v>新堀2</v>
      </c>
      <c r="M31" s="147"/>
      <c r="N31" s="152"/>
      <c r="O31" s="77">
        <v>56</v>
      </c>
      <c r="P31" s="138" t="str">
        <f>VLOOKUP(O31,市町村データ!A2:I106,MATCH(手順書_人口!$G$54, 市町村データ!A1:I1, 0),FALSE)</f>
        <v>新堀1</v>
      </c>
      <c r="Q31" s="147"/>
      <c r="R31" s="152"/>
      <c r="S31" s="77">
        <v>57</v>
      </c>
      <c r="T31" s="138" t="str">
        <f>VLOOKUP(S31,市町村データ!A2:I106,MATCH(手順書_人口!$G$54, 市町村データ!A1:I1, 0),FALSE)</f>
        <v>西堀3</v>
      </c>
      <c r="U31" s="147"/>
      <c r="V31" s="152"/>
      <c r="W31" s="90"/>
      <c r="X31" s="85"/>
      <c r="Y31" s="85"/>
      <c r="Z31" s="85"/>
      <c r="AA31" s="77">
        <v>58</v>
      </c>
      <c r="AB31" s="138" t="str">
        <f>VLOOKUP(AA31,市町村データ!A2:I106,MATCH(手順書_人口!$G$54, 市町村データ!A1:I1, 0),FALSE)</f>
        <v>石神4</v>
      </c>
      <c r="AC31" s="147"/>
      <c r="AD31" s="152"/>
      <c r="AE31" s="77">
        <v>59</v>
      </c>
      <c r="AF31" s="138" t="str">
        <f>VLOOKUP(AE31,市町村データ!A2:I106,MATCH(手順書_人口!$G$54, 市町村データ!A1:I1, 0),FALSE)</f>
        <v>石神1</v>
      </c>
      <c r="AG31" s="147"/>
      <c r="AH31" s="152"/>
      <c r="AI31" s="77">
        <v>60</v>
      </c>
      <c r="AJ31" s="138" t="str">
        <f>VLOOKUP(AI31,市町村データ!A2:I106,MATCH(手順書_人口!$G$54, 市町村データ!A1:I1, 0),FALSE)</f>
        <v>道場2</v>
      </c>
      <c r="AK31" s="147"/>
      <c r="AL31" s="152"/>
      <c r="AM31" s="77">
        <v>61</v>
      </c>
      <c r="AN31" s="138" t="str">
        <f>VLOOKUP(AM31,市町村データ!A2:I106,MATCH(手順書_人口!$G$54, 市町村データ!A1:I1, 0),FALSE)</f>
        <v>道場1</v>
      </c>
      <c r="AO31" s="147"/>
      <c r="AP31" s="152"/>
      <c r="AQ31" s="91"/>
      <c r="AR31" s="85"/>
      <c r="AS31" s="85"/>
      <c r="AT31" s="85"/>
      <c r="AU31" s="77">
        <v>62</v>
      </c>
      <c r="AV31" s="138" t="str">
        <f>VLOOKUP(AU31,市町村データ!A2:I106,MATCH(手順書_人口!$G$54, 市町村データ!A1:I1, 0),FALSE)</f>
        <v>池田1</v>
      </c>
      <c r="AW31" s="147"/>
      <c r="AX31" s="152"/>
      <c r="AY31" s="77">
        <v>63</v>
      </c>
      <c r="AZ31" s="138" t="str">
        <f>VLOOKUP(AY31,市町村データ!A2:I106,MATCH(手順書_人口!$G$54, 市町村データ!A1:I1, 0),FALSE)</f>
        <v>池田2</v>
      </c>
      <c r="BA31" s="147"/>
      <c r="BB31" s="152"/>
      <c r="BC31" s="77">
        <v>64</v>
      </c>
      <c r="BD31" s="138" t="str">
        <f>VLOOKUP(BC31,市町村データ!A2:I106,MATCH(手順書_人口!$G$54, 市町村データ!A1:I1, 0),FALSE)</f>
        <v>池田3</v>
      </c>
      <c r="BE31" s="147"/>
      <c r="BF31" s="152"/>
      <c r="BG31" s="77">
        <v>65</v>
      </c>
      <c r="BH31" s="138" t="str">
        <f>VLOOKUP(BG31,市町村データ!A2:I106,MATCH(手順書_人口!$G$54, 市町村データ!A1:I1, 0),FALSE)</f>
        <v>池田4</v>
      </c>
      <c r="BI31" s="147"/>
      <c r="BJ31" s="152"/>
      <c r="BK31" s="77">
        <v>66</v>
      </c>
      <c r="BL31" s="138" t="str">
        <f>VLOOKUP(BK31,市町村データ!A2:I106,MATCH(手順書_人口!$G$54, 市町村データ!A1:I1, 0),FALSE)</f>
        <v>池田5</v>
      </c>
      <c r="BM31" s="147"/>
      <c r="BN31" s="152"/>
      <c r="BO31" s="86"/>
      <c r="BP31" s="75"/>
      <c r="BQ31" s="75"/>
      <c r="BR31" s="75"/>
      <c r="BS31" s="75"/>
      <c r="BT31" s="74"/>
    </row>
    <row r="32" spans="1:72" ht="21.15" customHeight="1" x14ac:dyDescent="0.55000000000000004">
      <c r="A32" s="74"/>
      <c r="B32" s="75"/>
      <c r="C32" s="75"/>
      <c r="D32" s="75"/>
      <c r="E32" s="75"/>
      <c r="F32" s="75"/>
      <c r="G32" s="269">
        <f>VLOOKUP(G31,市町村データ!A2:I106,MATCH(手順書_人口!$F$55, 市町村データ!A1:I1, 0),FALSE)</f>
        <v>158.69999999999999</v>
      </c>
      <c r="H32" s="137"/>
      <c r="I32" s="137"/>
      <c r="J32" s="151"/>
      <c r="K32" s="269">
        <f>VLOOKUP(K31,市町村データ!A2:I106,MATCH(手順書_人口!$F$55, 市町村データ!A1:I1, 0),FALSE)</f>
        <v>133</v>
      </c>
      <c r="L32" s="137"/>
      <c r="M32" s="137"/>
      <c r="N32" s="151"/>
      <c r="O32" s="269">
        <f>VLOOKUP(O31,市町村データ!A2:I106,MATCH(手順書_人口!$F$55, 市町村データ!A1:I1, 0),FALSE)</f>
        <v>118.2</v>
      </c>
      <c r="P32" s="137"/>
      <c r="Q32" s="137"/>
      <c r="R32" s="151"/>
      <c r="S32" s="241">
        <f>VLOOKUP(S31,市町村データ!A2:I106,MATCH(手順書_人口!$F$55, 市町村データ!A1:I1, 0),FALSE)</f>
        <v>2.7</v>
      </c>
      <c r="T32" s="137"/>
      <c r="U32" s="137"/>
      <c r="V32" s="151"/>
      <c r="W32" s="79"/>
      <c r="X32" s="75"/>
      <c r="Y32" s="75"/>
      <c r="Z32" s="75"/>
      <c r="AA32" s="220">
        <f>VLOOKUP(AA31,市町村データ!A2:I106,MATCH(手順書_人口!$F$55, 市町村データ!A1:I1, 0),FALSE)</f>
        <v>93.7</v>
      </c>
      <c r="AB32" s="137"/>
      <c r="AC32" s="137"/>
      <c r="AD32" s="151"/>
      <c r="AE32" s="220">
        <f>VLOOKUP(AE31,市町村データ!A2:I106,MATCH(手順書_人口!$F$55, 市町村データ!A1:I1, 0),FALSE)</f>
        <v>81.8</v>
      </c>
      <c r="AF32" s="137"/>
      <c r="AG32" s="137"/>
      <c r="AH32" s="151"/>
      <c r="AI32" s="275">
        <f>VLOOKUP(AI31,市町村データ!A2:I106,MATCH(手順書_人口!$F$55, 市町村データ!A1:I1, 0),FALSE)</f>
        <v>22.9</v>
      </c>
      <c r="AJ32" s="137"/>
      <c r="AK32" s="137"/>
      <c r="AL32" s="151"/>
      <c r="AM32" s="227">
        <f>VLOOKUP(AM31,市町村データ!A2:I106,MATCH(手順書_人口!$F$55, 市町村データ!A1:I1, 0),FALSE)</f>
        <v>61</v>
      </c>
      <c r="AN32" s="137"/>
      <c r="AO32" s="137"/>
      <c r="AP32" s="151"/>
      <c r="AQ32" s="87"/>
      <c r="AR32" s="82"/>
      <c r="AS32" s="82"/>
      <c r="AT32" s="82"/>
      <c r="AU32" s="242">
        <f>VLOOKUP(AU31,市町村データ!A2:I106,MATCH(手順書_人口!$F$55, 市町村データ!A1:I1, 0),FALSE)</f>
        <v>1.2</v>
      </c>
      <c r="AV32" s="137"/>
      <c r="AW32" s="137"/>
      <c r="AX32" s="151"/>
      <c r="AY32" s="243">
        <f>VLOOKUP(AY31,市町村データ!A2:I106,MATCH(手順書_人口!$F$55, 市町村データ!A1:I1, 0),FALSE)</f>
        <v>19</v>
      </c>
      <c r="AZ32" s="137"/>
      <c r="BA32" s="137"/>
      <c r="BB32" s="151"/>
      <c r="BC32" s="275">
        <f>VLOOKUP(BC31,市町村データ!A2:I106,MATCH(手順書_人口!$F$55, 市町村データ!A1:I1, 0),FALSE)</f>
        <v>49.9</v>
      </c>
      <c r="BD32" s="137"/>
      <c r="BE32" s="137"/>
      <c r="BF32" s="151"/>
      <c r="BG32" s="227">
        <f>VLOOKUP(BG31,市町村データ!A2:I106,MATCH(手順書_人口!$F$55, 市町村データ!A1:I1, 0),FALSE)</f>
        <v>83.2</v>
      </c>
      <c r="BH32" s="137"/>
      <c r="BI32" s="137"/>
      <c r="BJ32" s="151"/>
      <c r="BK32" s="227">
        <f>VLOOKUP(BK31,市町村データ!A2:I106,MATCH(手順書_人口!$F$55, 市町村データ!A1:I1, 0),FALSE)</f>
        <v>147.30000000000001</v>
      </c>
      <c r="BL32" s="137"/>
      <c r="BM32" s="137"/>
      <c r="BN32" s="151"/>
      <c r="BO32" s="87"/>
      <c r="BP32" s="51"/>
      <c r="BQ32" s="51"/>
      <c r="BR32" s="51"/>
      <c r="BS32" s="75"/>
      <c r="BT32" s="74"/>
    </row>
    <row r="33" spans="1:72" ht="21.15" customHeight="1" x14ac:dyDescent="0.55000000000000004">
      <c r="A33" s="74"/>
      <c r="B33" s="75"/>
      <c r="C33" s="75"/>
      <c r="D33" s="75"/>
      <c r="E33" s="75"/>
      <c r="F33" s="75"/>
      <c r="G33" s="267">
        <f>VLOOKUP(G31,市町村データ!A2:I106,MATCH(手順書_人口!$F$56, 市町村データ!A1:I1, 0),FALSE)</f>
        <v>3173</v>
      </c>
      <c r="H33" s="137"/>
      <c r="I33" s="137"/>
      <c r="J33" s="151"/>
      <c r="K33" s="267">
        <f>VLOOKUP(K31,市町村データ!A2:I106,MATCH(手順書_人口!$F$56, 市町村データ!A1:I1, 0),FALSE)</f>
        <v>3856</v>
      </c>
      <c r="L33" s="137"/>
      <c r="M33" s="137"/>
      <c r="N33" s="151"/>
      <c r="O33" s="267">
        <f>VLOOKUP(O31,市町村データ!A2:I106,MATCH(手順書_人口!$F$56, 市町村データ!A1:I1, 0),FALSE)</f>
        <v>3429</v>
      </c>
      <c r="P33" s="137"/>
      <c r="Q33" s="137"/>
      <c r="R33" s="151"/>
      <c r="S33" s="246">
        <f>VLOOKUP(S31,市町村データ!A2:I106,MATCH(手順書_人口!$F$56, 市町村データ!A1:I1, 0),FALSE)</f>
        <v>119</v>
      </c>
      <c r="T33" s="137"/>
      <c r="U33" s="137"/>
      <c r="V33" s="151"/>
      <c r="W33" s="79"/>
      <c r="X33" s="75"/>
      <c r="Y33" s="75"/>
      <c r="Z33" s="75"/>
      <c r="AA33" s="225">
        <f>VLOOKUP(AA31,市町村データ!A2:I106,MATCH(手順書_人口!$F$56, 市町村データ!A1:I1, 0),FALSE)</f>
        <v>1686</v>
      </c>
      <c r="AB33" s="137"/>
      <c r="AC33" s="137"/>
      <c r="AD33" s="151"/>
      <c r="AE33" s="225">
        <f>VLOOKUP(AE31,市町村データ!A2:I106,MATCH(手順書_人口!$F$56, 市町村データ!A1:I1, 0),FALSE)</f>
        <v>1529</v>
      </c>
      <c r="AF33" s="137"/>
      <c r="AG33" s="137"/>
      <c r="AH33" s="151"/>
      <c r="AI33" s="274">
        <f>VLOOKUP(AI31,市町村データ!A2:I106,MATCH(手順書_人口!$F$56, 市町村データ!A1:I1, 0),FALSE)</f>
        <v>591</v>
      </c>
      <c r="AJ33" s="137"/>
      <c r="AK33" s="137"/>
      <c r="AL33" s="151"/>
      <c r="AM33" s="231">
        <f>VLOOKUP(AM31,市町村データ!A2:I106,MATCH(手順書_人口!$F$56, 市町村データ!A1:I1, 0),FALSE)</f>
        <v>1024</v>
      </c>
      <c r="AN33" s="137"/>
      <c r="AO33" s="137"/>
      <c r="AP33" s="151"/>
      <c r="AQ33" s="88"/>
      <c r="AR33" s="84"/>
      <c r="AS33" s="84"/>
      <c r="AT33" s="84"/>
      <c r="AU33" s="244">
        <f>VLOOKUP(AU31,市町村データ!A2:I106,MATCH(手順書_人口!$F$56, 市町村データ!A1:I1, 0),FALSE)</f>
        <v>12</v>
      </c>
      <c r="AV33" s="137"/>
      <c r="AW33" s="137"/>
      <c r="AX33" s="151"/>
      <c r="AY33" s="245">
        <f>VLOOKUP(AY31,市町村データ!A2:I106,MATCH(手順書_人口!$F$56, 市町村データ!A1:I1, 0),FALSE)</f>
        <v>226</v>
      </c>
      <c r="AZ33" s="137"/>
      <c r="BA33" s="137"/>
      <c r="BB33" s="151"/>
      <c r="BC33" s="274">
        <f>VLOOKUP(BC31,市町村データ!A2:I106,MATCH(手順書_人口!$F$56, 市町村データ!A1:I1, 0),FALSE)</f>
        <v>599</v>
      </c>
      <c r="BD33" s="137"/>
      <c r="BE33" s="137"/>
      <c r="BF33" s="151"/>
      <c r="BG33" s="231">
        <f>VLOOKUP(BG31,市町村データ!A2:I106,MATCH(手順書_人口!$F$56, 市町村データ!A1:I1, 0),FALSE)</f>
        <v>1123</v>
      </c>
      <c r="BH33" s="137"/>
      <c r="BI33" s="137"/>
      <c r="BJ33" s="151"/>
      <c r="BK33" s="231">
        <f>VLOOKUP(BK31,市町村データ!A2:I106,MATCH(手順書_人口!$F$56, 市町村データ!A1:I1, 0),FALSE)</f>
        <v>1178</v>
      </c>
      <c r="BL33" s="137"/>
      <c r="BM33" s="137"/>
      <c r="BN33" s="151"/>
      <c r="BO33" s="88"/>
      <c r="BP33" s="52"/>
      <c r="BQ33" s="52"/>
      <c r="BR33" s="52"/>
      <c r="BS33" s="75"/>
      <c r="BT33" s="74"/>
    </row>
    <row r="34" spans="1:72" ht="21.15" customHeight="1" thickBot="1" x14ac:dyDescent="0.6">
      <c r="A34" s="74"/>
      <c r="B34" s="75"/>
      <c r="C34" s="75"/>
      <c r="D34" s="75"/>
      <c r="E34" s="75"/>
      <c r="F34" s="75"/>
      <c r="G34" s="268">
        <f>VLOOKUP(G31,市町村データ!A2:I106,MATCH(手順書_人口!$F$57, 市町村データ!A1:I1, 0),FALSE)</f>
        <v>20</v>
      </c>
      <c r="H34" s="149"/>
      <c r="I34" s="149"/>
      <c r="J34" s="222"/>
      <c r="K34" s="268">
        <f>VLOOKUP(K31,市町村データ!A2:I106,MATCH(手順書_人口!$F$57, 市町村データ!A1:I1, 0),FALSE)</f>
        <v>29</v>
      </c>
      <c r="L34" s="149"/>
      <c r="M34" s="149"/>
      <c r="N34" s="222"/>
      <c r="O34" s="268">
        <f>VLOOKUP(O31,市町村データ!A2:I106,MATCH(手順書_人口!$F$57, 市町村データ!A1:I1, 0),FALSE)</f>
        <v>29</v>
      </c>
      <c r="P34" s="149"/>
      <c r="Q34" s="149"/>
      <c r="R34" s="222"/>
      <c r="S34" s="240">
        <f>VLOOKUP(S31,市町村データ!A2:I106,MATCH(手順書_人口!$F$57, 市町村データ!A1:I1, 0),FALSE)</f>
        <v>43.6</v>
      </c>
      <c r="T34" s="149"/>
      <c r="U34" s="149"/>
      <c r="V34" s="222"/>
      <c r="W34" s="79"/>
      <c r="X34" s="75"/>
      <c r="Y34" s="75"/>
      <c r="Z34" s="75"/>
      <c r="AA34" s="223">
        <f>VLOOKUP(AA31,市町村データ!A2:I106,MATCH(手順書_人口!$F$57, 市町村データ!A1:I1, 0),FALSE)</f>
        <v>18</v>
      </c>
      <c r="AB34" s="149"/>
      <c r="AC34" s="149"/>
      <c r="AD34" s="222"/>
      <c r="AE34" s="223">
        <f>VLOOKUP(AE31,市町村データ!A2:I106,MATCH(手順書_人口!$F$57, 市町村データ!A1:I1, 0),FALSE)</f>
        <v>18.7</v>
      </c>
      <c r="AF34" s="149"/>
      <c r="AG34" s="149"/>
      <c r="AH34" s="222"/>
      <c r="AI34" s="273">
        <f>VLOOKUP(AI31,市町村データ!A2:I106,MATCH(手順書_人口!$F$57, 市町村データ!A1:I1, 0),FALSE)</f>
        <v>25.8</v>
      </c>
      <c r="AJ34" s="149"/>
      <c r="AK34" s="149"/>
      <c r="AL34" s="222"/>
      <c r="AM34" s="229">
        <f>VLOOKUP(AM31,市町村データ!A2:I106,MATCH(手順書_人口!$F$57, 市町村データ!A1:I1, 0),FALSE)</f>
        <v>16.8</v>
      </c>
      <c r="AN34" s="149"/>
      <c r="AO34" s="149"/>
      <c r="AP34" s="222"/>
      <c r="AQ34" s="79"/>
      <c r="AR34" s="75"/>
      <c r="AS34" s="75"/>
      <c r="AT34" s="75"/>
      <c r="AU34" s="238">
        <f>VLOOKUP(AU31,市町村データ!A2:I106,MATCH(手順書_人口!$F$57, 市町村データ!A1:I1, 0),FALSE)</f>
        <v>9.9</v>
      </c>
      <c r="AV34" s="149"/>
      <c r="AW34" s="149"/>
      <c r="AX34" s="222"/>
      <c r="AY34" s="239">
        <f>VLOOKUP(AY31,市町村データ!A2:I106,MATCH(手順書_人口!$F$57, 市町村データ!A1:I1, 0),FALSE)</f>
        <v>11.9</v>
      </c>
      <c r="AZ34" s="149"/>
      <c r="BA34" s="149"/>
      <c r="BB34" s="222"/>
      <c r="BC34" s="273">
        <f>VLOOKUP(BC31,市町村データ!A2:I106,MATCH(手順書_人口!$F$57, 市町村データ!A1:I1, 0),FALSE)</f>
        <v>12</v>
      </c>
      <c r="BD34" s="149"/>
      <c r="BE34" s="149"/>
      <c r="BF34" s="222"/>
      <c r="BG34" s="229">
        <f>VLOOKUP(BG31,市町村データ!A2:I106,MATCH(手順書_人口!$F$57, 市町村データ!A1:I1, 0),FALSE)</f>
        <v>13.5</v>
      </c>
      <c r="BH34" s="149"/>
      <c r="BI34" s="149"/>
      <c r="BJ34" s="222"/>
      <c r="BK34" s="229">
        <f>VLOOKUP(BK31,市町村データ!A2:I106,MATCH(手順書_人口!$F$57, 市町村データ!A1:I1, 0),FALSE)</f>
        <v>8</v>
      </c>
      <c r="BL34" s="149"/>
      <c r="BM34" s="149"/>
      <c r="BN34" s="222"/>
      <c r="BO34" s="79"/>
      <c r="BP34" s="53"/>
      <c r="BQ34" s="53"/>
      <c r="BR34" s="53"/>
      <c r="BS34" s="75"/>
      <c r="BT34" s="74"/>
    </row>
    <row r="35" spans="1:72" ht="21.15" customHeight="1" x14ac:dyDescent="0.55000000000000004">
      <c r="A35" s="74"/>
      <c r="B35" s="75"/>
      <c r="C35" s="76" t="s">
        <v>72</v>
      </c>
      <c r="D35" s="75"/>
      <c r="E35" s="75"/>
      <c r="F35" s="75"/>
      <c r="G35" s="85"/>
      <c r="H35" s="85"/>
      <c r="I35" s="85"/>
      <c r="J35" s="85"/>
      <c r="K35" s="85"/>
      <c r="L35" s="85"/>
      <c r="M35" s="85"/>
      <c r="N35" s="85"/>
      <c r="O35" s="85"/>
      <c r="P35" s="85"/>
      <c r="Q35" s="85"/>
      <c r="R35" s="85"/>
      <c r="S35" s="85"/>
      <c r="T35" s="85"/>
      <c r="U35" s="85"/>
      <c r="V35" s="85"/>
      <c r="W35" s="75"/>
      <c r="X35" s="75"/>
      <c r="Y35" s="75"/>
      <c r="Z35" s="75"/>
      <c r="AA35" s="77">
        <v>67</v>
      </c>
      <c r="AB35" s="138" t="str">
        <f>VLOOKUP(AA35,市町村データ!A2:I106,MATCH(手順書_人口!$G$54, 市町村データ!A1:I1, 0),FALSE)</f>
        <v>石神3</v>
      </c>
      <c r="AC35" s="147"/>
      <c r="AD35" s="152"/>
      <c r="AE35" s="77">
        <v>68</v>
      </c>
      <c r="AF35" s="138" t="str">
        <f>VLOOKUP(AE35,市町村データ!A2:I106,MATCH(手順書_人口!$G$54, 市町村データ!A1:I1, 0),FALSE)</f>
        <v>石神2</v>
      </c>
      <c r="AG35" s="147"/>
      <c r="AH35" s="152"/>
      <c r="AI35" s="91"/>
      <c r="AJ35" s="85"/>
      <c r="AK35" s="85"/>
      <c r="AL35" s="85"/>
      <c r="AM35" s="89"/>
      <c r="AN35" s="85"/>
      <c r="AO35" s="85"/>
      <c r="AP35" s="85"/>
      <c r="AQ35" s="80"/>
      <c r="AR35" s="75"/>
      <c r="AS35" s="75"/>
      <c r="AT35" s="75"/>
      <c r="AU35" s="89"/>
      <c r="AV35" s="85"/>
      <c r="AW35" s="85"/>
      <c r="AX35" s="85"/>
      <c r="AY35" s="89"/>
      <c r="AZ35" s="85"/>
      <c r="BA35" s="85"/>
      <c r="BB35" s="85"/>
      <c r="BC35" s="77">
        <v>69</v>
      </c>
      <c r="BD35" s="138" t="str">
        <f>VLOOKUP(BC35,市町村データ!A2:I106,MATCH(手順書_人口!$G$54, 市町村データ!A1:I1, 0),FALSE)</f>
        <v>片山1</v>
      </c>
      <c r="BE35" s="147"/>
      <c r="BF35" s="152"/>
      <c r="BG35" s="77">
        <v>70</v>
      </c>
      <c r="BH35" s="138" t="str">
        <f>VLOOKUP(BG35,市町村データ!A2:I106,MATCH(手順書_人口!$G$54, 市町村データ!A1:I1, 0),FALSE)</f>
        <v>片山2</v>
      </c>
      <c r="BI35" s="147"/>
      <c r="BJ35" s="152"/>
      <c r="BK35" s="77">
        <v>71</v>
      </c>
      <c r="BL35" s="138" t="str">
        <f>VLOOKUP(BK35,市町村データ!A2:I106,MATCH(手順書_人口!$G$54, 市町村データ!A1:I1, 0),FALSE)</f>
        <v>片山3</v>
      </c>
      <c r="BM35" s="147"/>
      <c r="BN35" s="152"/>
      <c r="BO35" s="86"/>
      <c r="BP35" s="75"/>
      <c r="BQ35" s="75"/>
      <c r="BR35" s="75"/>
      <c r="BS35" s="75"/>
      <c r="BT35" s="74"/>
    </row>
    <row r="36" spans="1:72" ht="21.15" customHeight="1" x14ac:dyDescent="0.55000000000000004">
      <c r="A36" s="74"/>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220">
        <f>VLOOKUP(AA35,市町村データ!A2:I106,MATCH(手順書_人口!$F$55, 市町村データ!A1:I1, 0),FALSE)</f>
        <v>158.30000000000001</v>
      </c>
      <c r="AB36" s="137"/>
      <c r="AC36" s="137"/>
      <c r="AD36" s="151"/>
      <c r="AE36" s="220">
        <f>VLOOKUP(AE35,市町村データ!A2:I106,MATCH(手順書_人口!$F$55, 市町村データ!A1:I1, 0),FALSE)</f>
        <v>122.2</v>
      </c>
      <c r="AF36" s="137"/>
      <c r="AG36" s="137"/>
      <c r="AH36" s="151"/>
      <c r="AI36" s="92"/>
      <c r="AJ36" s="51"/>
      <c r="AK36" s="51"/>
      <c r="AL36" s="51"/>
      <c r="AM36" s="51"/>
      <c r="AN36" s="51"/>
      <c r="AO36" s="51"/>
      <c r="AP36" s="51"/>
      <c r="AQ36" s="51"/>
      <c r="AR36" s="51"/>
      <c r="AS36" s="51"/>
      <c r="AT36" s="51"/>
      <c r="AU36" s="51"/>
      <c r="AV36" s="51"/>
      <c r="AW36" s="51"/>
      <c r="AX36" s="51"/>
      <c r="AY36" s="51"/>
      <c r="AZ36" s="51"/>
      <c r="BA36" s="51"/>
      <c r="BB36" s="51"/>
      <c r="BC36" s="220">
        <f>VLOOKUP(BC35,市町村データ!A2:I106,MATCH(手順書_人口!$F$55, 市町村データ!A1:I1, 0),FALSE)</f>
        <v>102.8</v>
      </c>
      <c r="BD36" s="137"/>
      <c r="BE36" s="137"/>
      <c r="BF36" s="151"/>
      <c r="BG36" s="220">
        <f>VLOOKUP(BG35,市町村データ!A2:I106,MATCH(手順書_人口!$F$55, 市町村データ!A1:I1, 0),FALSE)</f>
        <v>73.7</v>
      </c>
      <c r="BH36" s="137"/>
      <c r="BI36" s="137"/>
      <c r="BJ36" s="151"/>
      <c r="BK36" s="269">
        <f>VLOOKUP(BK35,市町村データ!A2:I106,MATCH(手順書_人口!$F$55, 市町村データ!A1:I1, 0),FALSE)</f>
        <v>119.3</v>
      </c>
      <c r="BL36" s="137"/>
      <c r="BM36" s="137"/>
      <c r="BN36" s="151"/>
      <c r="BO36" s="92"/>
      <c r="BP36" s="51"/>
      <c r="BQ36" s="51"/>
      <c r="BR36" s="51"/>
      <c r="BS36" s="75"/>
      <c r="BT36" s="74"/>
    </row>
    <row r="37" spans="1:72" ht="21.15" customHeight="1" x14ac:dyDescent="0.55000000000000004">
      <c r="A37" s="74"/>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225">
        <f>VLOOKUP(AA35,市町村データ!A2:I106,MATCH(手順書_人口!$F$56, 市町村データ!A1:I1, 0),FALSE)</f>
        <v>2169</v>
      </c>
      <c r="AB37" s="137"/>
      <c r="AC37" s="137"/>
      <c r="AD37" s="151"/>
      <c r="AE37" s="225">
        <f>VLOOKUP(AE35,市町村データ!A2:I106,MATCH(手順書_人口!$F$56, 市町村データ!A1:I1, 0),FALSE)</f>
        <v>1894</v>
      </c>
      <c r="AF37" s="137"/>
      <c r="AG37" s="137"/>
      <c r="AH37" s="151"/>
      <c r="AI37" s="93"/>
      <c r="AJ37" s="52"/>
      <c r="AK37" s="52"/>
      <c r="AL37" s="52"/>
      <c r="AM37" s="52"/>
      <c r="AN37" s="52"/>
      <c r="AO37" s="52"/>
      <c r="AP37" s="52"/>
      <c r="AQ37" s="52"/>
      <c r="AR37" s="52"/>
      <c r="AS37" s="52"/>
      <c r="AT37" s="52"/>
      <c r="AU37" s="52"/>
      <c r="AV37" s="52"/>
      <c r="AW37" s="52"/>
      <c r="AX37" s="52"/>
      <c r="AY37" s="52"/>
      <c r="AZ37" s="52"/>
      <c r="BA37" s="52"/>
      <c r="BB37" s="52"/>
      <c r="BC37" s="225">
        <f>VLOOKUP(BC35,市町村データ!A2:I106,MATCH(手順書_人口!$F$56, 市町村データ!A1:I1, 0),FALSE)</f>
        <v>2365</v>
      </c>
      <c r="BD37" s="137"/>
      <c r="BE37" s="137"/>
      <c r="BF37" s="151"/>
      <c r="BG37" s="225">
        <f>VLOOKUP(BG35,市町村データ!A2:I106,MATCH(手順書_人口!$F$56, 市町村データ!A1:I1, 0),FALSE)</f>
        <v>1327</v>
      </c>
      <c r="BH37" s="137"/>
      <c r="BI37" s="137"/>
      <c r="BJ37" s="151"/>
      <c r="BK37" s="267">
        <f>VLOOKUP(BK35,市町村データ!A2:I106,MATCH(手順書_人口!$F$56, 市町村データ!A1:I1, 0),FALSE)</f>
        <v>3818</v>
      </c>
      <c r="BL37" s="137"/>
      <c r="BM37" s="137"/>
      <c r="BN37" s="151"/>
      <c r="BO37" s="93"/>
      <c r="BP37" s="52"/>
      <c r="BQ37" s="52"/>
      <c r="BR37" s="52"/>
      <c r="BS37" s="75"/>
      <c r="BT37" s="74"/>
    </row>
    <row r="38" spans="1:72" ht="21.15" customHeight="1" thickBot="1" x14ac:dyDescent="0.6">
      <c r="A38" s="74"/>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223">
        <f>VLOOKUP(AA35,市町村データ!A2:I106,MATCH(手順書_人口!$F$57, 市町村データ!A1:I1, 0),FALSE)</f>
        <v>13.7</v>
      </c>
      <c r="AB38" s="149"/>
      <c r="AC38" s="149"/>
      <c r="AD38" s="222"/>
      <c r="AE38" s="223">
        <f>VLOOKUP(AE35,市町村データ!A2:I106,MATCH(手順書_人口!$F$57, 市町村データ!A1:I1, 0),FALSE)</f>
        <v>15.5</v>
      </c>
      <c r="AF38" s="149"/>
      <c r="AG38" s="149"/>
      <c r="AH38" s="222"/>
      <c r="AI38" s="93"/>
      <c r="AJ38" s="52"/>
      <c r="AK38" s="52"/>
      <c r="AL38" s="52"/>
      <c r="AM38" s="52"/>
      <c r="AN38" s="52"/>
      <c r="AO38" s="52"/>
      <c r="AP38" s="52"/>
      <c r="AQ38" s="52"/>
      <c r="AR38" s="52"/>
      <c r="AS38" s="52"/>
      <c r="AT38" s="52"/>
      <c r="AU38" s="52"/>
      <c r="AV38" s="52"/>
      <c r="AW38" s="52"/>
      <c r="AX38" s="52"/>
      <c r="AY38" s="52"/>
      <c r="AZ38" s="52"/>
      <c r="BA38" s="52"/>
      <c r="BB38" s="52"/>
      <c r="BC38" s="223">
        <f>VLOOKUP(BC35,市町村データ!A2:I106,MATCH(手順書_人口!$F$57, 市町村データ!A1:I1, 0),FALSE)</f>
        <v>23</v>
      </c>
      <c r="BD38" s="149"/>
      <c r="BE38" s="149"/>
      <c r="BF38" s="222"/>
      <c r="BG38" s="223">
        <f>VLOOKUP(BG35,市町村データ!A2:I106,MATCH(手順書_人口!$F$57, 市町村データ!A1:I1, 0),FALSE)</f>
        <v>18</v>
      </c>
      <c r="BH38" s="149"/>
      <c r="BI38" s="149"/>
      <c r="BJ38" s="222"/>
      <c r="BK38" s="268">
        <f>VLOOKUP(BK35,市町村データ!A2:I106,MATCH(手順書_人口!$F$57, 市町村データ!A1:I1, 0),FALSE)</f>
        <v>32</v>
      </c>
      <c r="BL38" s="149"/>
      <c r="BM38" s="149"/>
      <c r="BN38" s="222"/>
      <c r="BO38" s="93"/>
      <c r="BP38" s="52"/>
      <c r="BQ38" s="52"/>
      <c r="BR38" s="52"/>
      <c r="BS38" s="75"/>
      <c r="BT38" s="74"/>
    </row>
    <row r="39" spans="1:72" ht="21.15" customHeight="1" x14ac:dyDescent="0.55000000000000004">
      <c r="A39" s="74"/>
      <c r="B39" s="75"/>
      <c r="C39" s="76" t="s">
        <v>528</v>
      </c>
      <c r="D39" s="75"/>
      <c r="E39" s="75"/>
      <c r="F39" s="75"/>
      <c r="G39" s="75"/>
      <c r="H39" s="75"/>
      <c r="I39" s="75"/>
      <c r="J39" s="75"/>
      <c r="K39" s="75"/>
      <c r="L39" s="75"/>
      <c r="M39" s="75"/>
      <c r="N39" s="75"/>
      <c r="O39" s="75"/>
      <c r="P39" s="75"/>
      <c r="Q39" s="75"/>
      <c r="R39" s="75"/>
      <c r="S39" s="75"/>
      <c r="T39" s="75"/>
      <c r="U39" s="75"/>
      <c r="V39" s="75"/>
      <c r="W39" s="75"/>
      <c r="X39" s="75"/>
      <c r="Y39" s="75"/>
      <c r="Z39" s="75"/>
      <c r="AA39" s="85"/>
      <c r="AB39" s="85"/>
      <c r="AC39" s="85"/>
      <c r="AD39" s="85"/>
      <c r="AE39" s="85"/>
      <c r="AF39" s="85"/>
      <c r="AG39" s="85"/>
      <c r="AH39" s="85"/>
      <c r="AI39" s="52"/>
      <c r="AJ39" s="52"/>
      <c r="AK39" s="52"/>
      <c r="AL39" s="52"/>
      <c r="AM39" s="52"/>
      <c r="AN39" s="52"/>
      <c r="AO39" s="52"/>
      <c r="AP39" s="52"/>
      <c r="AQ39" s="52"/>
      <c r="AR39" s="52"/>
      <c r="AS39" s="52"/>
      <c r="AT39" s="52"/>
      <c r="AU39" s="52"/>
      <c r="AV39" s="52"/>
      <c r="AW39" s="52"/>
      <c r="AX39" s="52"/>
      <c r="AY39" s="77">
        <v>72</v>
      </c>
      <c r="AZ39" s="138" t="str">
        <f>VLOOKUP(AY39,市町村データ!A2:I106,MATCH(手順書_人口!$G$54, 市町村データ!A1:I1, 0),FALSE)</f>
        <v>野寺1</v>
      </c>
      <c r="BA39" s="147"/>
      <c r="BB39" s="152"/>
      <c r="BC39" s="77">
        <v>73</v>
      </c>
      <c r="BD39" s="138" t="str">
        <f>VLOOKUP(BC39,市町村データ!A2:I106,MATCH(手順書_人口!$G$54, 市町村データ!A1:I1, 0),FALSE)</f>
        <v>野寺2</v>
      </c>
      <c r="BE39" s="147"/>
      <c r="BF39" s="152"/>
      <c r="BG39" s="77">
        <v>74</v>
      </c>
      <c r="BH39" s="138" t="str">
        <f>VLOOKUP(BG39,市町村データ!A2:I106,MATCH(手順書_人口!$G$54, 市町村データ!A1:I1, 0),FALSE)</f>
        <v>野寺3</v>
      </c>
      <c r="BI39" s="147"/>
      <c r="BJ39" s="152"/>
      <c r="BK39" s="77">
        <v>75</v>
      </c>
      <c r="BL39" s="138" t="str">
        <f>VLOOKUP(BK39,市町村データ!A2:I106,MATCH(手順書_人口!$G$54, 市町村データ!A1:I1, 0),FALSE)</f>
        <v>野寺4</v>
      </c>
      <c r="BM39" s="147"/>
      <c r="BN39" s="152"/>
      <c r="BO39" s="77">
        <v>76</v>
      </c>
      <c r="BP39" s="138" t="str">
        <f>VLOOKUP(BO39,市町村データ!A2:I106,MATCH(手順書_人口!$G$54, 市町村データ!A1:I1, 0),FALSE)</f>
        <v>野寺5</v>
      </c>
      <c r="BQ39" s="147"/>
      <c r="BR39" s="152"/>
      <c r="BS39" s="79"/>
      <c r="BT39" s="74"/>
    </row>
    <row r="40" spans="1:72" ht="21.15" customHeight="1" x14ac:dyDescent="0.55000000000000004">
      <c r="A40" s="74"/>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52"/>
      <c r="AJ40" s="52"/>
      <c r="AK40" s="52"/>
      <c r="AL40" s="52"/>
      <c r="AM40" s="52"/>
      <c r="AN40" s="52"/>
      <c r="AO40" s="52"/>
      <c r="AP40" s="52"/>
      <c r="AQ40" s="52"/>
      <c r="AR40" s="52"/>
      <c r="AS40" s="52"/>
      <c r="AT40" s="52"/>
      <c r="AU40" s="52"/>
      <c r="AV40" s="52"/>
      <c r="AW40" s="52"/>
      <c r="AX40" s="52"/>
      <c r="AY40" s="220">
        <f>VLOOKUP(AY39,市町村データ!A2:I106,MATCH(手順書_人口!$F$55, 市町村データ!A1:I1, 0),FALSE)</f>
        <v>120.2</v>
      </c>
      <c r="AZ40" s="137"/>
      <c r="BA40" s="137"/>
      <c r="BB40" s="151"/>
      <c r="BC40" s="220">
        <f>VLOOKUP(BC39,市町村データ!A2:I106,MATCH(手順書_人口!$F$55, 市町村データ!A1:I1, 0),FALSE)</f>
        <v>91</v>
      </c>
      <c r="BD40" s="137"/>
      <c r="BE40" s="137"/>
      <c r="BF40" s="151"/>
      <c r="BG40" s="220">
        <f>VLOOKUP(BG39,市町村データ!A2:I106,MATCH(手順書_人口!$F$55, 市町村データ!A1:I1, 0),FALSE)</f>
        <v>105.9</v>
      </c>
      <c r="BH40" s="137"/>
      <c r="BI40" s="137"/>
      <c r="BJ40" s="151"/>
      <c r="BK40" s="269">
        <f>VLOOKUP(BK39,市町村データ!A2:I106,MATCH(手順書_人口!$F$55, 市町村データ!A1:I1, 0),FALSE)</f>
        <v>128.5</v>
      </c>
      <c r="BL40" s="137"/>
      <c r="BM40" s="137"/>
      <c r="BN40" s="151"/>
      <c r="BO40" s="220">
        <f>VLOOKUP(BO39,市町村データ!A2:I106,MATCH(手順書_人口!$F$55, 市町村データ!A1:I1, 0),FALSE)</f>
        <v>124.1</v>
      </c>
      <c r="BP40" s="137"/>
      <c r="BQ40" s="137"/>
      <c r="BR40" s="151"/>
      <c r="BS40" s="79"/>
      <c r="BT40" s="74"/>
    </row>
    <row r="41" spans="1:72" ht="21.15" customHeight="1" x14ac:dyDescent="0.55000000000000004">
      <c r="A41" s="74"/>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52"/>
      <c r="AJ41" s="52"/>
      <c r="AK41" s="52"/>
      <c r="AL41" s="52"/>
      <c r="AM41" s="52"/>
      <c r="AN41" s="52"/>
      <c r="AO41" s="52"/>
      <c r="AP41" s="52"/>
      <c r="AQ41" s="52"/>
      <c r="AR41" s="52"/>
      <c r="AS41" s="52"/>
      <c r="AT41" s="52"/>
      <c r="AU41" s="52"/>
      <c r="AV41" s="52"/>
      <c r="AW41" s="52"/>
      <c r="AX41" s="52"/>
      <c r="AY41" s="225">
        <f>VLOOKUP(AY39,市町村データ!A2:I106,MATCH(手順書_人口!$F$56, 市町村データ!A1:I1, 0),FALSE)</f>
        <v>1322</v>
      </c>
      <c r="AZ41" s="137"/>
      <c r="BA41" s="137"/>
      <c r="BB41" s="151"/>
      <c r="BC41" s="225">
        <f>VLOOKUP(BC39,市町村データ!A2:I106,MATCH(手順書_人口!$F$56, 市町村データ!A1:I1, 0),FALSE)</f>
        <v>2411</v>
      </c>
      <c r="BD41" s="137"/>
      <c r="BE41" s="137"/>
      <c r="BF41" s="151"/>
      <c r="BG41" s="225">
        <f>VLOOKUP(BG39,市町村データ!A2:I106,MATCH(手順書_人口!$F$56, 市町村データ!A1:I1, 0),FALSE)</f>
        <v>2246</v>
      </c>
      <c r="BH41" s="137"/>
      <c r="BI41" s="137"/>
      <c r="BJ41" s="151"/>
      <c r="BK41" s="267">
        <f>VLOOKUP(BK39,市町村データ!A2:I106,MATCH(手順書_人口!$F$56, 市町村データ!A1:I1, 0),FALSE)</f>
        <v>2570</v>
      </c>
      <c r="BL41" s="137"/>
      <c r="BM41" s="137"/>
      <c r="BN41" s="151"/>
      <c r="BO41" s="225">
        <f>VLOOKUP(BO39,市町村データ!A2:I106,MATCH(手順書_人口!$F$56, 市町村データ!A1:I1, 0),FALSE)</f>
        <v>1303</v>
      </c>
      <c r="BP41" s="137"/>
      <c r="BQ41" s="137"/>
      <c r="BR41" s="151"/>
      <c r="BS41" s="79"/>
      <c r="BT41" s="74"/>
    </row>
    <row r="42" spans="1:72" ht="21.15" customHeight="1" thickBot="1" x14ac:dyDescent="0.6">
      <c r="A42" s="74"/>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52"/>
      <c r="AJ42" s="52"/>
      <c r="AK42" s="52"/>
      <c r="AL42" s="52"/>
      <c r="AM42" s="52"/>
      <c r="AN42" s="52"/>
      <c r="AO42" s="52"/>
      <c r="AP42" s="52"/>
      <c r="AQ42" s="52"/>
      <c r="AR42" s="52"/>
      <c r="AS42" s="52"/>
      <c r="AT42" s="52"/>
      <c r="AU42" s="52"/>
      <c r="AV42" s="52"/>
      <c r="AW42" s="52"/>
      <c r="AX42" s="52"/>
      <c r="AY42" s="223">
        <f>VLOOKUP(AY39,市町村データ!A2:I106,MATCH(手順書_人口!$F$57, 市町村データ!A1:I1, 0),FALSE)</f>
        <v>11</v>
      </c>
      <c r="AZ42" s="149"/>
      <c r="BA42" s="149"/>
      <c r="BB42" s="222"/>
      <c r="BC42" s="223">
        <f>VLOOKUP(BC39,市町村データ!A2:I106,MATCH(手順書_人口!$F$57, 市町村データ!A1:I1, 0),FALSE)</f>
        <v>26.5</v>
      </c>
      <c r="BD42" s="149"/>
      <c r="BE42" s="149"/>
      <c r="BF42" s="222"/>
      <c r="BG42" s="223">
        <f>VLOOKUP(BG39,市町村データ!A2:I106,MATCH(手順書_人口!$F$57, 市町村データ!A1:I1, 0),FALSE)</f>
        <v>21.2</v>
      </c>
      <c r="BH42" s="149"/>
      <c r="BI42" s="149"/>
      <c r="BJ42" s="222"/>
      <c r="BK42" s="268">
        <f>VLOOKUP(BK39,市町村データ!A2:I106,MATCH(手順書_人口!$F$57, 市町村データ!A1:I1, 0),FALSE)</f>
        <v>20</v>
      </c>
      <c r="BL42" s="149"/>
      <c r="BM42" s="149"/>
      <c r="BN42" s="222"/>
      <c r="BO42" s="223">
        <f>VLOOKUP(BO39,市町村データ!A2:I106,MATCH(手順書_人口!$F$57, 市町村データ!A1:I1, 0),FALSE)</f>
        <v>10.5</v>
      </c>
      <c r="BP42" s="149"/>
      <c r="BQ42" s="149"/>
      <c r="BR42" s="222"/>
      <c r="BS42" s="79"/>
      <c r="BT42" s="74"/>
    </row>
    <row r="43" spans="1:72" ht="21.15" customHeight="1" x14ac:dyDescent="0.55000000000000004">
      <c r="A43" s="74"/>
      <c r="B43" s="75"/>
      <c r="C43" s="76" t="s">
        <v>530</v>
      </c>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52"/>
      <c r="AJ43" s="52"/>
      <c r="AK43" s="52"/>
      <c r="AL43" s="52"/>
      <c r="AM43" s="52"/>
      <c r="AN43" s="52"/>
      <c r="AO43" s="52"/>
      <c r="AP43" s="52"/>
      <c r="AQ43" s="52"/>
      <c r="AR43" s="52"/>
      <c r="AS43" s="52"/>
      <c r="AT43" s="52"/>
      <c r="AU43" s="52"/>
      <c r="AV43" s="52"/>
      <c r="AW43" s="52"/>
      <c r="AX43" s="52"/>
      <c r="AY43" s="77">
        <v>77</v>
      </c>
      <c r="AZ43" s="138" t="str">
        <f>VLOOKUP(AY43,市町村データ!A2:I106,MATCH(手順書_人口!$G$54, 市町村データ!A1:I1, 0),FALSE)</f>
        <v>栗原1</v>
      </c>
      <c r="BA43" s="147"/>
      <c r="BB43" s="152"/>
      <c r="BC43" s="77">
        <v>78</v>
      </c>
      <c r="BD43" s="138" t="str">
        <f>VLOOKUP(BC43,市町村データ!A2:I106,MATCH(手順書_人口!$G$54, 市町村データ!A1:I1, 0),FALSE)</f>
        <v>栗原2</v>
      </c>
      <c r="BE43" s="147"/>
      <c r="BF43" s="152"/>
      <c r="BG43" s="77">
        <v>79</v>
      </c>
      <c r="BH43" s="138" t="str">
        <f>VLOOKUP(BG43,市町村データ!A2:I106,MATCH(手順書_人口!$G$54, 市町村データ!A1:I1, 0),FALSE)</f>
        <v>栗原3</v>
      </c>
      <c r="BI43" s="147"/>
      <c r="BJ43" s="152"/>
      <c r="BK43" s="94"/>
      <c r="BL43" s="95"/>
      <c r="BM43" s="95"/>
      <c r="BN43" s="95"/>
      <c r="BO43" s="95"/>
      <c r="BP43" s="95"/>
      <c r="BQ43" s="95"/>
      <c r="BR43" s="95"/>
      <c r="BS43" s="75"/>
      <c r="BT43" s="74"/>
    </row>
    <row r="44" spans="1:72" ht="21.15" customHeight="1" x14ac:dyDescent="0.55000000000000004">
      <c r="A44" s="74"/>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52"/>
      <c r="AJ44" s="52"/>
      <c r="AK44" s="52"/>
      <c r="AL44" s="52"/>
      <c r="AM44" s="52"/>
      <c r="AN44" s="52"/>
      <c r="AO44" s="52"/>
      <c r="AP44" s="52"/>
      <c r="AQ44" s="52"/>
      <c r="AR44" s="52"/>
      <c r="AS44" s="52"/>
      <c r="AT44" s="52"/>
      <c r="AU44" s="52"/>
      <c r="AV44" s="52"/>
      <c r="AW44" s="52"/>
      <c r="AX44" s="52"/>
      <c r="AY44" s="269">
        <f>VLOOKUP(AY43,市町村データ!A2:I106,MATCH(手順書_人口!$F$55, 市町村データ!A1:I1, 0),FALSE)</f>
        <v>153</v>
      </c>
      <c r="AZ44" s="137"/>
      <c r="BA44" s="137"/>
      <c r="BB44" s="151"/>
      <c r="BC44" s="272">
        <f>VLOOKUP(BC43,市町村データ!A2:I106,MATCH(手順書_人口!$F$55, 市町村データ!A1:I1, 0),FALSE)</f>
        <v>92</v>
      </c>
      <c r="BD44" s="137"/>
      <c r="BE44" s="137"/>
      <c r="BF44" s="151"/>
      <c r="BG44" s="220">
        <f>VLOOKUP(BG43,市町村データ!A2:I106,MATCH(手順書_人口!$F$55, 市町村データ!A1:I1, 0),FALSE)</f>
        <v>137.4</v>
      </c>
      <c r="BH44" s="137"/>
      <c r="BI44" s="137"/>
      <c r="BJ44" s="151"/>
      <c r="BK44" s="93"/>
      <c r="BL44" s="52"/>
      <c r="BM44" s="52"/>
      <c r="BN44" s="52"/>
      <c r="BO44" s="52"/>
      <c r="BP44" s="52"/>
      <c r="BQ44" s="52"/>
      <c r="BR44" s="52"/>
      <c r="BS44" s="75"/>
      <c r="BT44" s="74"/>
    </row>
    <row r="45" spans="1:72" ht="21.15" customHeight="1" x14ac:dyDescent="0.55000000000000004">
      <c r="A45" s="74"/>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52"/>
      <c r="AJ45" s="52"/>
      <c r="AK45" s="52"/>
      <c r="AL45" s="52"/>
      <c r="AM45" s="52"/>
      <c r="AN45" s="52"/>
      <c r="AO45" s="52"/>
      <c r="AP45" s="52"/>
      <c r="AQ45" s="52"/>
      <c r="AR45" s="52"/>
      <c r="AS45" s="52"/>
      <c r="AT45" s="52"/>
      <c r="AU45" s="52"/>
      <c r="AV45" s="52"/>
      <c r="AW45" s="52"/>
      <c r="AX45" s="52"/>
      <c r="AY45" s="267">
        <f>VLOOKUP(AY43,市町村データ!A2:I106,MATCH(手順書_人口!$F$56, 市町村データ!A1:I1, 0),FALSE)</f>
        <v>3350</v>
      </c>
      <c r="AZ45" s="137"/>
      <c r="BA45" s="137"/>
      <c r="BB45" s="151"/>
      <c r="BC45" s="270">
        <f>VLOOKUP(BC43,市町村データ!A2:I106,MATCH(手順書_人口!$F$56, 市町村データ!A1:I1, 0),FALSE)</f>
        <v>920</v>
      </c>
      <c r="BD45" s="137"/>
      <c r="BE45" s="137"/>
      <c r="BF45" s="151"/>
      <c r="BG45" s="225">
        <f>VLOOKUP(BG43,市町村データ!A2:I106,MATCH(手順書_人口!$F$56, 市町村データ!A1:I1, 0),FALSE)</f>
        <v>2061</v>
      </c>
      <c r="BH45" s="137"/>
      <c r="BI45" s="137"/>
      <c r="BJ45" s="151"/>
      <c r="BK45" s="93"/>
      <c r="BL45" s="52"/>
      <c r="BM45" s="52"/>
      <c r="BN45" s="52"/>
      <c r="BO45" s="52"/>
      <c r="BP45" s="52"/>
      <c r="BQ45" s="52"/>
      <c r="BR45" s="52"/>
      <c r="BS45" s="75"/>
      <c r="BT45" s="74"/>
    </row>
    <row r="46" spans="1:72" ht="21.15" customHeight="1" thickBot="1" x14ac:dyDescent="0.6">
      <c r="A46" s="74"/>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52"/>
      <c r="AJ46" s="52"/>
      <c r="AK46" s="52"/>
      <c r="AL46" s="52"/>
      <c r="AM46" s="52"/>
      <c r="AN46" s="52"/>
      <c r="AO46" s="52"/>
      <c r="AP46" s="52"/>
      <c r="AQ46" s="52"/>
      <c r="AR46" s="52"/>
      <c r="AS46" s="52"/>
      <c r="AT46" s="52"/>
      <c r="AU46" s="52"/>
      <c r="AV46" s="52"/>
      <c r="AW46" s="52"/>
      <c r="AX46" s="52"/>
      <c r="AY46" s="268">
        <f>VLOOKUP(AY43,市町村データ!A2:I106,MATCH(手順書_人口!$F$57, 市町村データ!A1:I1, 0),FALSE)</f>
        <v>21.9</v>
      </c>
      <c r="AZ46" s="149"/>
      <c r="BA46" s="149"/>
      <c r="BB46" s="222"/>
      <c r="BC46" s="271">
        <f>VLOOKUP(BC43,市町村データ!A2:I106,MATCH(手順書_人口!$F$57, 市町村データ!A1:I1, 0),FALSE)</f>
        <v>10</v>
      </c>
      <c r="BD46" s="149"/>
      <c r="BE46" s="149"/>
      <c r="BF46" s="222"/>
      <c r="BG46" s="223">
        <f>VLOOKUP(BG43,市町村データ!A2:I106,MATCH(手順書_人口!$F$57, 市町村データ!A1:I1, 0),FALSE)</f>
        <v>15</v>
      </c>
      <c r="BH46" s="149"/>
      <c r="BI46" s="149"/>
      <c r="BJ46" s="222"/>
      <c r="BK46" s="93"/>
      <c r="BL46" s="52"/>
      <c r="BM46" s="52"/>
      <c r="BN46" s="52"/>
      <c r="BO46" s="52"/>
      <c r="BP46" s="52"/>
      <c r="BQ46" s="52"/>
      <c r="BR46" s="52"/>
      <c r="BS46" s="75"/>
      <c r="BT46" s="74"/>
    </row>
    <row r="47" spans="1:72" ht="21.15" customHeight="1" x14ac:dyDescent="0.55000000000000004">
      <c r="A47" s="74"/>
      <c r="B47" s="75"/>
      <c r="C47" s="76" t="s">
        <v>532</v>
      </c>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52"/>
      <c r="AJ47" s="52"/>
      <c r="AK47" s="52"/>
      <c r="AL47" s="52"/>
      <c r="AM47" s="52"/>
      <c r="AN47" s="52"/>
      <c r="AO47" s="52"/>
      <c r="AP47" s="52"/>
      <c r="AQ47" s="52"/>
      <c r="AR47" s="52"/>
      <c r="AS47" s="52"/>
      <c r="AT47" s="52"/>
      <c r="AU47" s="52"/>
      <c r="AV47" s="52"/>
      <c r="AW47" s="52"/>
      <c r="AX47" s="52"/>
      <c r="AY47" s="77">
        <v>80</v>
      </c>
      <c r="AZ47" s="138" t="str">
        <f>VLOOKUP(AY47,市町村データ!A2:I106,MATCH(手順書_人口!$G$54, 市町村データ!A1:I1, 0),FALSE)</f>
        <v>栗原6</v>
      </c>
      <c r="BA47" s="147"/>
      <c r="BB47" s="152"/>
      <c r="BC47" s="77">
        <v>81</v>
      </c>
      <c r="BD47" s="138" t="str">
        <f>VLOOKUP(BC47,市町村データ!A2:I106,MATCH(手順書_人口!$G$54, 市町村データ!A1:I1, 0),FALSE)</f>
        <v>栗原5</v>
      </c>
      <c r="BE47" s="147"/>
      <c r="BF47" s="152"/>
      <c r="BG47" s="77">
        <v>82</v>
      </c>
      <c r="BH47" s="138" t="str">
        <f>VLOOKUP(BG47,市町村データ!A2:I106,MATCH(手順書_人口!$G$54, 市町村データ!A1:I1, 0),FALSE)</f>
        <v>栗原4</v>
      </c>
      <c r="BI47" s="147"/>
      <c r="BJ47" s="152"/>
      <c r="BK47" s="93"/>
      <c r="BL47" s="52"/>
      <c r="BM47" s="52"/>
      <c r="BN47" s="52"/>
      <c r="BO47" s="52"/>
      <c r="BP47" s="52"/>
      <c r="BQ47" s="52"/>
      <c r="BR47" s="52"/>
      <c r="BS47" s="75"/>
      <c r="BT47" s="74"/>
    </row>
    <row r="48" spans="1:72" ht="21.15" customHeight="1" x14ac:dyDescent="0.55000000000000004">
      <c r="A48" s="74"/>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52"/>
      <c r="AJ48" s="52"/>
      <c r="AK48" s="52"/>
      <c r="AL48" s="52"/>
      <c r="AM48" s="52"/>
      <c r="AN48" s="52"/>
      <c r="AO48" s="52"/>
      <c r="AP48" s="52"/>
      <c r="AQ48" s="52"/>
      <c r="AR48" s="52"/>
      <c r="AS48" s="52"/>
      <c r="AT48" s="52"/>
      <c r="AU48" s="52"/>
      <c r="AV48" s="52"/>
      <c r="AW48" s="52"/>
      <c r="AX48" s="52"/>
      <c r="AY48" s="269">
        <f>VLOOKUP(AY47,市町村データ!A2:I106,MATCH(手順書_人口!$F$55, 市町村データ!A1:I1, 0),FALSE)</f>
        <v>185.2</v>
      </c>
      <c r="AZ48" s="137"/>
      <c r="BA48" s="137"/>
      <c r="BB48" s="151"/>
      <c r="BC48" s="269">
        <f>VLOOKUP(BC47,市町村データ!A2:I106,MATCH(手順書_人口!$F$55, 市町村データ!A1:I1, 0),FALSE)</f>
        <v>183.5</v>
      </c>
      <c r="BD48" s="137"/>
      <c r="BE48" s="137"/>
      <c r="BF48" s="151"/>
      <c r="BG48" s="220">
        <f>VLOOKUP(BG47,市町村データ!A2:I106,MATCH(手順書_人口!$F$55, 市町村データ!A1:I1, 0),FALSE)</f>
        <v>156.6</v>
      </c>
      <c r="BH48" s="137"/>
      <c r="BI48" s="137"/>
      <c r="BJ48" s="151"/>
      <c r="BK48" s="93"/>
      <c r="BL48" s="52"/>
      <c r="BM48" s="52"/>
      <c r="BN48" s="52"/>
      <c r="BO48" s="52"/>
      <c r="BP48" s="52"/>
      <c r="BQ48" s="52"/>
      <c r="BR48" s="52"/>
      <c r="BS48" s="75"/>
      <c r="BT48" s="74"/>
    </row>
    <row r="49" spans="1:72" ht="21.15" customHeight="1" x14ac:dyDescent="0.55000000000000004">
      <c r="A49" s="74"/>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52"/>
      <c r="AJ49" s="52"/>
      <c r="AK49" s="52"/>
      <c r="AL49" s="52"/>
      <c r="AM49" s="52"/>
      <c r="AN49" s="52"/>
      <c r="AO49" s="52"/>
      <c r="AP49" s="52"/>
      <c r="AQ49" s="52"/>
      <c r="AR49" s="52"/>
      <c r="AS49" s="52"/>
      <c r="AT49" s="52"/>
      <c r="AU49" s="52"/>
      <c r="AV49" s="52"/>
      <c r="AW49" s="52"/>
      <c r="AX49" s="52"/>
      <c r="AY49" s="267">
        <f>VLOOKUP(AY47,市町村データ!A2:I106,MATCH(手順書_人口!$F$56, 市町村データ!A1:I1, 0),FALSE)</f>
        <v>2593</v>
      </c>
      <c r="AZ49" s="137"/>
      <c r="BA49" s="137"/>
      <c r="BB49" s="151"/>
      <c r="BC49" s="267">
        <f>VLOOKUP(BC47,市町村データ!A2:I106,MATCH(手順書_人口!$F$56, 市町村データ!A1:I1, 0),FALSE)</f>
        <v>2661</v>
      </c>
      <c r="BD49" s="137"/>
      <c r="BE49" s="137"/>
      <c r="BF49" s="151"/>
      <c r="BG49" s="225">
        <f>VLOOKUP(BG47,市町村データ!A2:I106,MATCH(手順書_人口!$F$56, 市町村データ!A1:I1, 0),FALSE)</f>
        <v>2036</v>
      </c>
      <c r="BH49" s="137"/>
      <c r="BI49" s="137"/>
      <c r="BJ49" s="151"/>
      <c r="BK49" s="93"/>
      <c r="BL49" s="52"/>
      <c r="BM49" s="52"/>
      <c r="BN49" s="52"/>
      <c r="BO49" s="52"/>
      <c r="BP49" s="52"/>
      <c r="BQ49" s="52"/>
      <c r="BR49" s="52"/>
      <c r="BS49" s="75"/>
      <c r="BT49" s="74"/>
    </row>
    <row r="50" spans="1:72" ht="21.15" customHeight="1" thickBot="1" x14ac:dyDescent="0.6">
      <c r="A50" s="74"/>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52"/>
      <c r="AW50" s="52"/>
      <c r="AX50" s="52"/>
      <c r="AY50" s="268">
        <f>VLOOKUP(AY47,市町村データ!A2:I106,MATCH(手順書_人口!$F$57, 市町村データ!A1:I1, 0),FALSE)</f>
        <v>14</v>
      </c>
      <c r="AZ50" s="149"/>
      <c r="BA50" s="149"/>
      <c r="BB50" s="222"/>
      <c r="BC50" s="268">
        <f>VLOOKUP(BC47,市町村データ!A2:I106,MATCH(手順書_人口!$F$57, 市町村データ!A1:I1, 0),FALSE)</f>
        <v>14.5</v>
      </c>
      <c r="BD50" s="149"/>
      <c r="BE50" s="149"/>
      <c r="BF50" s="222"/>
      <c r="BG50" s="223">
        <f>VLOOKUP(BG47,市町村データ!A2:I106,MATCH(手順書_人口!$F$57, 市町村データ!A1:I1, 0),FALSE)</f>
        <v>13</v>
      </c>
      <c r="BH50" s="149"/>
      <c r="BI50" s="149"/>
      <c r="BJ50" s="222"/>
      <c r="BK50" s="79"/>
      <c r="BL50" s="75"/>
      <c r="BM50" s="75"/>
      <c r="BN50" s="75"/>
      <c r="BO50" s="52"/>
      <c r="BP50" s="52"/>
      <c r="BQ50" s="52"/>
      <c r="BR50" s="52"/>
      <c r="BS50" s="52"/>
      <c r="BT50" s="74"/>
    </row>
    <row r="51" spans="1:72" ht="21.15" customHeight="1" x14ac:dyDescent="0.55000000000000004">
      <c r="A51" s="74"/>
      <c r="B51" s="75" t="s">
        <v>173</v>
      </c>
      <c r="C51" s="75"/>
      <c r="D51" s="75"/>
      <c r="E51" s="75"/>
      <c r="F51" s="75"/>
      <c r="G51" s="96"/>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53"/>
      <c r="AN51" s="53"/>
      <c r="AO51" s="53"/>
      <c r="AP51" s="53"/>
      <c r="AQ51" s="53"/>
      <c r="AR51" s="53"/>
      <c r="AS51" s="53"/>
      <c r="AT51" s="53"/>
      <c r="AU51" s="53"/>
      <c r="AV51" s="53"/>
      <c r="AW51" s="53"/>
      <c r="AX51" s="53"/>
      <c r="AY51" s="97"/>
      <c r="AZ51" s="97"/>
      <c r="BA51" s="97"/>
      <c r="BB51" s="97"/>
      <c r="BC51" s="97"/>
      <c r="BD51" s="97"/>
      <c r="BE51" s="97"/>
      <c r="BF51" s="97"/>
      <c r="BG51" s="97"/>
      <c r="BH51" s="97"/>
      <c r="BI51" s="97"/>
      <c r="BJ51" s="97"/>
      <c r="BK51" s="53"/>
      <c r="BL51" s="53"/>
      <c r="BM51" s="53"/>
      <c r="BN51" s="53"/>
      <c r="BO51" s="53"/>
      <c r="BP51" s="53"/>
      <c r="BQ51" s="53"/>
      <c r="BR51" s="53"/>
      <c r="BS51" s="53"/>
      <c r="BT51" s="74"/>
    </row>
    <row r="52" spans="1:72" ht="21.15" customHeight="1" x14ac:dyDescent="0.55000000000000004">
      <c r="A52" s="74"/>
      <c r="B52" s="75" t="s">
        <v>172</v>
      </c>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4"/>
    </row>
    <row r="53" spans="1:72" ht="21.15" customHeight="1" x14ac:dyDescent="0.55000000000000004">
      <c r="A53" s="74"/>
      <c r="B53" s="74"/>
      <c r="C53" s="74"/>
      <c r="D53" s="74"/>
      <c r="E53" s="74"/>
      <c r="F53" s="74"/>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row>
  </sheetData>
  <mergeCells count="356">
    <mergeCell ref="K8:N8"/>
    <mergeCell ref="O8:R8"/>
    <mergeCell ref="S8:V8"/>
    <mergeCell ref="W8:Z8"/>
    <mergeCell ref="AA8:AD8"/>
    <mergeCell ref="AE8:AH8"/>
    <mergeCell ref="L7:N7"/>
    <mergeCell ref="P7:R7"/>
    <mergeCell ref="T7:V7"/>
    <mergeCell ref="X7:Z7"/>
    <mergeCell ref="AB7:AD7"/>
    <mergeCell ref="AF7:AH7"/>
    <mergeCell ref="K10:N10"/>
    <mergeCell ref="O10:R10"/>
    <mergeCell ref="S10:V10"/>
    <mergeCell ref="W10:Z10"/>
    <mergeCell ref="AA10:AD10"/>
    <mergeCell ref="AE10:AH10"/>
    <mergeCell ref="K9:N9"/>
    <mergeCell ref="O9:R9"/>
    <mergeCell ref="S9:V9"/>
    <mergeCell ref="W9:Z9"/>
    <mergeCell ref="AA9:AD9"/>
    <mergeCell ref="AE9:AH9"/>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G34:J34"/>
    <mergeCell ref="K34:N34"/>
    <mergeCell ref="O34:R34"/>
    <mergeCell ref="S34:V34"/>
    <mergeCell ref="AA34:AD34"/>
    <mergeCell ref="AE34:AH34"/>
    <mergeCell ref="AI34:AL34"/>
    <mergeCell ref="AM34:AP34"/>
    <mergeCell ref="AU34:AX34"/>
    <mergeCell ref="AI33:AL33"/>
    <mergeCell ref="AM33:AP33"/>
    <mergeCell ref="AU33:AX33"/>
    <mergeCell ref="AY33:BB33"/>
    <mergeCell ref="BC33:BF33"/>
    <mergeCell ref="BG33:BJ33"/>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AA38:AD38"/>
    <mergeCell ref="AE38:AH38"/>
    <mergeCell ref="BC38:BF38"/>
    <mergeCell ref="BG38:BJ38"/>
    <mergeCell ref="BK38:BN38"/>
    <mergeCell ref="AZ39:BB39"/>
    <mergeCell ref="BD39:BF39"/>
    <mergeCell ref="BH39:BJ39"/>
    <mergeCell ref="BL39:BN39"/>
    <mergeCell ref="BK41:BN41"/>
    <mergeCell ref="BO41:BR41"/>
    <mergeCell ref="AY42:BB42"/>
    <mergeCell ref="BC42:BF42"/>
    <mergeCell ref="BG42:BJ42"/>
    <mergeCell ref="BK42:BN42"/>
    <mergeCell ref="BO42:BR42"/>
    <mergeCell ref="BP39:BR39"/>
    <mergeCell ref="AY40:BB40"/>
    <mergeCell ref="BC40:BF40"/>
    <mergeCell ref="BG40:BJ40"/>
    <mergeCell ref="BK40:BN40"/>
    <mergeCell ref="BO40:BR40"/>
    <mergeCell ref="AY50:BB50"/>
    <mergeCell ref="BC50:BF50"/>
    <mergeCell ref="BG50:BJ50"/>
    <mergeCell ref="AZ47:BB47"/>
    <mergeCell ref="BD47:BF47"/>
    <mergeCell ref="BH47:BJ47"/>
    <mergeCell ref="AY48:BB48"/>
    <mergeCell ref="BC48:BF48"/>
    <mergeCell ref="BG48:BJ48"/>
    <mergeCell ref="D3:F3"/>
    <mergeCell ref="C4:F4"/>
    <mergeCell ref="C5:F5"/>
    <mergeCell ref="C6:F6"/>
    <mergeCell ref="BK7:BM7"/>
    <mergeCell ref="BN7:BO7"/>
    <mergeCell ref="AY49:BB49"/>
    <mergeCell ref="BC49:BF49"/>
    <mergeCell ref="BG49:BJ49"/>
    <mergeCell ref="AY45:BB45"/>
    <mergeCell ref="BC45:BF45"/>
    <mergeCell ref="BG45:BJ45"/>
    <mergeCell ref="AY46:BB46"/>
    <mergeCell ref="BC46:BF46"/>
    <mergeCell ref="BG46:BJ46"/>
    <mergeCell ref="AZ43:BB43"/>
    <mergeCell ref="BD43:BF43"/>
    <mergeCell ref="BH43:BJ43"/>
    <mergeCell ref="AY44:BB44"/>
    <mergeCell ref="BC44:BF44"/>
    <mergeCell ref="BG44:BJ44"/>
    <mergeCell ref="AY41:BB41"/>
    <mergeCell ref="BC41:BF41"/>
    <mergeCell ref="BG41:BJ41"/>
    <mergeCell ref="BK11:BM11"/>
    <mergeCell ref="BN11:BO11"/>
    <mergeCell ref="BK12:BM12"/>
    <mergeCell ref="BN12:BO12"/>
    <mergeCell ref="BK13:BM13"/>
    <mergeCell ref="BN13:BO13"/>
    <mergeCell ref="BK8:BM8"/>
    <mergeCell ref="BN8:BO8"/>
    <mergeCell ref="BK9:BM9"/>
    <mergeCell ref="BN9:BO9"/>
    <mergeCell ref="BK10:BM10"/>
    <mergeCell ref="BN10:BO10"/>
    <mergeCell ref="BK17:BM17"/>
    <mergeCell ref="BN17:BO17"/>
    <mergeCell ref="BK18:BM18"/>
    <mergeCell ref="BN18:BO18"/>
    <mergeCell ref="BK14:BM14"/>
    <mergeCell ref="BN14:BO14"/>
    <mergeCell ref="BK15:BM15"/>
    <mergeCell ref="BN15:BO15"/>
    <mergeCell ref="BK16:BM16"/>
    <mergeCell ref="BN16:BO1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手順書_はじめに</vt:lpstr>
      <vt:lpstr>自動生成_地図データ</vt:lpstr>
      <vt:lpstr>CHANGELOG</vt:lpstr>
      <vt:lpstr>地図テンプレート_1</vt:lpstr>
      <vt:lpstr>地図テンプレート_2</vt:lpstr>
      <vt:lpstr>市町村データ</vt:lpstr>
      <vt:lpstr>手順書_市町村なまえ</vt:lpstr>
      <vt:lpstr>自動生成_市町村なまえ</vt:lpstr>
      <vt:lpstr>手順書_人口密度</vt:lpstr>
      <vt:lpstr>自動生成_人口密度</vt:lpstr>
      <vt:lpstr>手順書_人口</vt:lpstr>
      <vt:lpstr>自動生成_人口</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2025-06-10T22:54:14Z</dcterms:modified>
</cp:coreProperties>
</file>